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New folder\Telegram Desktop\"/>
    </mc:Choice>
  </mc:AlternateContent>
  <xr:revisionPtr revIDLastSave="0" documentId="13_ncr:1_{09523209-12CC-4359-803A-4E559E2E98B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Q1" sheetId="1" r:id="rId1"/>
    <sheet name="Comment Q1" sheetId="20" r:id="rId2"/>
    <sheet name="Q2" sheetId="14" r:id="rId3"/>
    <sheet name="Comment Q2" sheetId="21" r:id="rId4"/>
    <sheet name="FinalSem1 reportcard" sheetId="24" r:id="rId5"/>
    <sheet name="FinalSem1" sheetId="10" r:id="rId6"/>
    <sheet name="Q3" sheetId="8" r:id="rId7"/>
    <sheet name="Comment Q3" sheetId="22" r:id="rId8"/>
    <sheet name="Q4" sheetId="9" r:id="rId9"/>
    <sheet name="Comment Q4" sheetId="23" r:id="rId10"/>
    <sheet name="FinalSem2" sheetId="11" r:id="rId11"/>
    <sheet name="End Of Year Result" sheetId="12" r:id="rId12"/>
  </sheets>
  <externalReferences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6" i="14" l="1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BF26" i="14" s="1"/>
  <c r="AQ26" i="14"/>
  <c r="BG26" i="14" s="1"/>
  <c r="AR26" i="14"/>
  <c r="BH26" i="14" s="1"/>
  <c r="AS26" i="14"/>
  <c r="BI26" i="14" s="1"/>
  <c r="AT26" i="14"/>
  <c r="BJ26" i="14" s="1"/>
  <c r="AU26" i="14"/>
  <c r="AV26" i="14"/>
  <c r="AW26" i="14"/>
  <c r="AX26" i="14"/>
  <c r="CO26" i="14" s="1"/>
  <c r="AY26" i="14"/>
  <c r="BO26" i="14" s="1"/>
  <c r="AZ26" i="14"/>
  <c r="BP26" i="14" s="1"/>
  <c r="BA26" i="14"/>
  <c r="CG26" i="14" s="1"/>
  <c r="BB26" i="14"/>
  <c r="CH26" i="14" s="1"/>
  <c r="BC26" i="14"/>
  <c r="BD26" i="14"/>
  <c r="BE26" i="14"/>
  <c r="BK26" i="14"/>
  <c r="BL26" i="14"/>
  <c r="BM26" i="14"/>
  <c r="BN26" i="14"/>
  <c r="BS26" i="14"/>
  <c r="BT26" i="14"/>
  <c r="BU26" i="14"/>
  <c r="BV26" i="14"/>
  <c r="CA26" i="14"/>
  <c r="CB26" i="14"/>
  <c r="CD26" i="14"/>
  <c r="CE26" i="14"/>
  <c r="CF26" i="14"/>
  <c r="DB26" i="14"/>
  <c r="DC26" i="14"/>
  <c r="DD26" i="14"/>
  <c r="DI26" i="14" s="1"/>
  <c r="DH26" i="14"/>
  <c r="DJ26" i="14"/>
  <c r="DQ26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BD27" i="14" s="1"/>
  <c r="AO27" i="14"/>
  <c r="BE27" i="14" s="1"/>
  <c r="AP27" i="14"/>
  <c r="BF27" i="14" s="1"/>
  <c r="AQ27" i="14"/>
  <c r="BG27" i="14" s="1"/>
  <c r="AR27" i="14"/>
  <c r="BH27" i="14" s="1"/>
  <c r="AS27" i="14"/>
  <c r="BI27" i="14" s="1"/>
  <c r="AT27" i="14"/>
  <c r="BZ27" i="14" s="1"/>
  <c r="AU27" i="14"/>
  <c r="CA27" i="14" s="1"/>
  <c r="AV27" i="14"/>
  <c r="CB27" i="14" s="1"/>
  <c r="AW27" i="14"/>
  <c r="CC27" i="14" s="1"/>
  <c r="AX27" i="14"/>
  <c r="BN27" i="14" s="1"/>
  <c r="AY27" i="14"/>
  <c r="BO27" i="14" s="1"/>
  <c r="AZ27" i="14"/>
  <c r="BP27" i="14" s="1"/>
  <c r="BA27" i="14"/>
  <c r="BQ27" i="14" s="1"/>
  <c r="BB27" i="14"/>
  <c r="CH27" i="14" s="1"/>
  <c r="BK27" i="14"/>
  <c r="BL27" i="14"/>
  <c r="BR27" i="14"/>
  <c r="BV27" i="14"/>
  <c r="BY27" i="14"/>
  <c r="DB27" i="14"/>
  <c r="DC27" i="14"/>
  <c r="DD27" i="14"/>
  <c r="DH27" i="14"/>
  <c r="DJ27" i="14"/>
  <c r="DQ27" i="14"/>
  <c r="DJ26" i="10"/>
  <c r="EP26" i="10" s="1"/>
  <c r="FF26" i="10" s="1"/>
  <c r="DJ27" i="10"/>
  <c r="EP27" i="10" s="1"/>
  <c r="FF27" i="10" s="1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BU26" i="10" s="1"/>
  <c r="AP26" i="10"/>
  <c r="BV26" i="10" s="1"/>
  <c r="AQ26" i="10"/>
  <c r="BG26" i="10" s="1"/>
  <c r="AR26" i="10"/>
  <c r="BH26" i="10" s="1"/>
  <c r="AS26" i="10"/>
  <c r="BI26" i="10" s="1"/>
  <c r="AT26" i="10"/>
  <c r="BJ26" i="10" s="1"/>
  <c r="AU26" i="10"/>
  <c r="AV26" i="10"/>
  <c r="AW26" i="10"/>
  <c r="BM26" i="10" s="1"/>
  <c r="AX26" i="10"/>
  <c r="CD26" i="10" s="1"/>
  <c r="AY26" i="10"/>
  <c r="CE26" i="10" s="1"/>
  <c r="AZ26" i="10"/>
  <c r="BP26" i="10" s="1"/>
  <c r="BA26" i="10"/>
  <c r="BB26" i="10"/>
  <c r="BC26" i="10"/>
  <c r="BD26" i="10"/>
  <c r="BE26" i="10"/>
  <c r="BK26" i="10"/>
  <c r="BL26" i="10"/>
  <c r="BQ26" i="10"/>
  <c r="BR26" i="10"/>
  <c r="BS26" i="10"/>
  <c r="BT26" i="10"/>
  <c r="BY26" i="10"/>
  <c r="CA26" i="10"/>
  <c r="CB26" i="10"/>
  <c r="CC26" i="10"/>
  <c r="CG26" i="10"/>
  <c r="CH26" i="10"/>
  <c r="DK26" i="10"/>
  <c r="EA26" i="10" s="1"/>
  <c r="DL26" i="10"/>
  <c r="ER26" i="10" s="1"/>
  <c r="FH26" i="10" s="1"/>
  <c r="DM26" i="10"/>
  <c r="EC26" i="10" s="1"/>
  <c r="DN26" i="10"/>
  <c r="ED26" i="10" s="1"/>
  <c r="DO26" i="10"/>
  <c r="EU26" i="10" s="1"/>
  <c r="DP26" i="10"/>
  <c r="DQ26" i="10"/>
  <c r="DR26" i="10"/>
  <c r="EH26" i="10" s="1"/>
  <c r="DS26" i="10"/>
  <c r="DT26" i="10"/>
  <c r="EJ26" i="10" s="1"/>
  <c r="DU26" i="10"/>
  <c r="FA26" i="10" s="1"/>
  <c r="DV26" i="10"/>
  <c r="FB26" i="10" s="1"/>
  <c r="FR26" i="10" s="1"/>
  <c r="DW26" i="10"/>
  <c r="EM26" i="10" s="1"/>
  <c r="DX26" i="10"/>
  <c r="DY26" i="10"/>
  <c r="EO26" i="10" s="1"/>
  <c r="EE26" i="10"/>
  <c r="EF26" i="10"/>
  <c r="EG26" i="10"/>
  <c r="EN26" i="10"/>
  <c r="EV26" i="10"/>
  <c r="FL26" i="10" s="1"/>
  <c r="EW26" i="10"/>
  <c r="FM26" i="10" s="1"/>
  <c r="FC26" i="10"/>
  <c r="FS26" i="10" s="1"/>
  <c r="FD26" i="10"/>
  <c r="FT26" i="10" s="1"/>
  <c r="GC26" i="10"/>
  <c r="IC26" i="10"/>
  <c r="ID26" i="10"/>
  <c r="IE26" i="10"/>
  <c r="IF26" i="10"/>
  <c r="IG26" i="10"/>
  <c r="IH26" i="10"/>
  <c r="II26" i="10"/>
  <c r="IJ26" i="10"/>
  <c r="IK26" i="10"/>
  <c r="IL26" i="10"/>
  <c r="IM26" i="10"/>
  <c r="IN26" i="10"/>
  <c r="IO26" i="10"/>
  <c r="IP26" i="10"/>
  <c r="IQ26" i="10"/>
  <c r="IR26" i="10"/>
  <c r="IS26" i="10"/>
  <c r="JI26" i="10" s="1"/>
  <c r="IT26" i="10"/>
  <c r="JJ26" i="10" s="1"/>
  <c r="IU26" i="10"/>
  <c r="JZ26" i="10" s="1"/>
  <c r="IV26" i="10"/>
  <c r="JL26" i="10" s="1"/>
  <c r="IW26" i="10"/>
  <c r="JM26" i="10" s="1"/>
  <c r="IX26" i="10"/>
  <c r="JN26" i="10" s="1"/>
  <c r="IY26" i="10"/>
  <c r="JO26" i="10" s="1"/>
  <c r="IZ26" i="10"/>
  <c r="KE26" i="10" s="1"/>
  <c r="JA26" i="10"/>
  <c r="KF26" i="10" s="1"/>
  <c r="JB26" i="10"/>
  <c r="JC26" i="10"/>
  <c r="KH26" i="10" s="1"/>
  <c r="JD26" i="10"/>
  <c r="JS26" i="10" s="1"/>
  <c r="JE26" i="10"/>
  <c r="JT26" i="10" s="1"/>
  <c r="JF26" i="10"/>
  <c r="JU26" i="10" s="1"/>
  <c r="JG26" i="10"/>
  <c r="KL26" i="10" s="1"/>
  <c r="JH26" i="10"/>
  <c r="JK26" i="10"/>
  <c r="JQ26" i="10"/>
  <c r="JR26" i="10"/>
  <c r="JW26" i="10"/>
  <c r="KI26" i="10"/>
  <c r="KJ26" i="10"/>
  <c r="KM26" i="10"/>
  <c r="LI26" i="10"/>
  <c r="MO26" i="10" s="1"/>
  <c r="LJ26" i="10"/>
  <c r="MP26" i="10" s="1"/>
  <c r="NF26" i="10" s="1"/>
  <c r="LK26" i="10"/>
  <c r="MA26" i="10" s="1"/>
  <c r="LL26" i="10"/>
  <c r="MB26" i="10" s="1"/>
  <c r="LM26" i="10"/>
  <c r="MC26" i="10" s="1"/>
  <c r="LN26" i="10"/>
  <c r="MD26" i="10" s="1"/>
  <c r="LO26" i="10"/>
  <c r="ME26" i="10" s="1"/>
  <c r="LP26" i="10"/>
  <c r="LQ26" i="10"/>
  <c r="MW26" i="10" s="1"/>
  <c r="LR26" i="10"/>
  <c r="MH26" i="10" s="1"/>
  <c r="LS26" i="10"/>
  <c r="MY26" i="10" s="1"/>
  <c r="LT26" i="10"/>
  <c r="MZ26" i="10" s="1"/>
  <c r="LU26" i="10"/>
  <c r="NA26" i="10" s="1"/>
  <c r="LV26" i="10"/>
  <c r="NB26" i="10" s="1"/>
  <c r="NR26" i="10" s="1"/>
  <c r="LW26" i="10"/>
  <c r="MM26" i="10" s="1"/>
  <c r="LX26" i="10"/>
  <c r="MN26" i="10" s="1"/>
  <c r="LY26" i="10"/>
  <c r="LZ26" i="10"/>
  <c r="MF26" i="10"/>
  <c r="OB26" i="10" s="1"/>
  <c r="MV26" i="10"/>
  <c r="NL26" i="10" s="1"/>
  <c r="W27" i="10"/>
  <c r="X27" i="10"/>
  <c r="Y27" i="10"/>
  <c r="Z27" i="10"/>
  <c r="AA27" i="10"/>
  <c r="AB27" i="10"/>
  <c r="AC27" i="10"/>
  <c r="BY27" i="10" s="1"/>
  <c r="AD27" i="10"/>
  <c r="AE27" i="10"/>
  <c r="AF27" i="10"/>
  <c r="AG27" i="10"/>
  <c r="AH27" i="10"/>
  <c r="AI27" i="10"/>
  <c r="AJ27" i="10"/>
  <c r="AK27" i="10"/>
  <c r="AL27" i="10"/>
  <c r="AM27" i="10"/>
  <c r="BC27" i="10" s="1"/>
  <c r="AN27" i="10"/>
  <c r="BD27" i="10" s="1"/>
  <c r="AO27" i="10"/>
  <c r="BE27" i="10" s="1"/>
  <c r="AP27" i="10"/>
  <c r="BF27" i="10" s="1"/>
  <c r="AQ27" i="10"/>
  <c r="BG27" i="10" s="1"/>
  <c r="AR27" i="10"/>
  <c r="BH27" i="10" s="1"/>
  <c r="AS27" i="10"/>
  <c r="BI27" i="10" s="1"/>
  <c r="AT27" i="10"/>
  <c r="AU27" i="10"/>
  <c r="CA27" i="10" s="1"/>
  <c r="AV27" i="10"/>
  <c r="CB27" i="10" s="1"/>
  <c r="AW27" i="10"/>
  <c r="AX27" i="10"/>
  <c r="BN27" i="10" s="1"/>
  <c r="AY27" i="10"/>
  <c r="BO27" i="10" s="1"/>
  <c r="AZ27" i="10"/>
  <c r="BP27" i="10" s="1"/>
  <c r="BA27" i="10"/>
  <c r="BQ27" i="10" s="1"/>
  <c r="BB27" i="10"/>
  <c r="BR27" i="10" s="1"/>
  <c r="BL27" i="10"/>
  <c r="BM27" i="10"/>
  <c r="BS27" i="10"/>
  <c r="CC27" i="10"/>
  <c r="CE27" i="10"/>
  <c r="DK27" i="10"/>
  <c r="EA27" i="10" s="1"/>
  <c r="DL27" i="10"/>
  <c r="EB27" i="10" s="1"/>
  <c r="DM27" i="10"/>
  <c r="EC27" i="10" s="1"/>
  <c r="DN27" i="10"/>
  <c r="ET27" i="10" s="1"/>
  <c r="DO27" i="10"/>
  <c r="EU27" i="10" s="1"/>
  <c r="DP27" i="10"/>
  <c r="EV27" i="10" s="1"/>
  <c r="DQ27" i="10"/>
  <c r="EW27" i="10" s="1"/>
  <c r="DR27" i="10"/>
  <c r="EH27" i="10" s="1"/>
  <c r="DS27" i="10"/>
  <c r="EI27" i="10" s="1"/>
  <c r="DT27" i="10"/>
  <c r="EJ27" i="10" s="1"/>
  <c r="DU27" i="10"/>
  <c r="EK27" i="10" s="1"/>
  <c r="DV27" i="10"/>
  <c r="FB27" i="10" s="1"/>
  <c r="FR27" i="10" s="1"/>
  <c r="DW27" i="10"/>
  <c r="FC27" i="10" s="1"/>
  <c r="DX27" i="10"/>
  <c r="EN27" i="10" s="1"/>
  <c r="DY27" i="10"/>
  <c r="EO27" i="10" s="1"/>
  <c r="DZ27" i="10"/>
  <c r="ER27" i="10"/>
  <c r="FH27" i="10" s="1"/>
  <c r="ES27" i="10"/>
  <c r="FI27" i="10" s="1"/>
  <c r="FD27" i="10"/>
  <c r="FT27" i="10" s="1"/>
  <c r="IC27" i="10"/>
  <c r="ID27" i="10"/>
  <c r="IE27" i="10"/>
  <c r="IF27" i="10"/>
  <c r="IG27" i="10"/>
  <c r="IH27" i="10"/>
  <c r="II27" i="10"/>
  <c r="KD27" i="10" s="1"/>
  <c r="IJ27" i="10"/>
  <c r="IK27" i="10"/>
  <c r="IL27" i="10"/>
  <c r="IM27" i="10"/>
  <c r="IN27" i="10"/>
  <c r="KI27" i="10" s="1"/>
  <c r="IO27" i="10"/>
  <c r="IP27" i="10"/>
  <c r="IQ27" i="10"/>
  <c r="IR27" i="10"/>
  <c r="IS27" i="10"/>
  <c r="IT27" i="10"/>
  <c r="IU27" i="10"/>
  <c r="JZ27" i="10" s="1"/>
  <c r="IV27" i="10"/>
  <c r="KA27" i="10" s="1"/>
  <c r="IW27" i="10"/>
  <c r="JM27" i="10" s="1"/>
  <c r="IX27" i="10"/>
  <c r="JN27" i="10" s="1"/>
  <c r="IY27" i="10"/>
  <c r="JO27" i="10" s="1"/>
  <c r="IZ27" i="10"/>
  <c r="JP27" i="10" s="1"/>
  <c r="JA27" i="10"/>
  <c r="KF27" i="10" s="1"/>
  <c r="JB27" i="10"/>
  <c r="KG27" i="10" s="1"/>
  <c r="JC27" i="10"/>
  <c r="KH27" i="10" s="1"/>
  <c r="JD27" i="10"/>
  <c r="JE27" i="10"/>
  <c r="JT27" i="10" s="1"/>
  <c r="JF27" i="10"/>
  <c r="JU27" i="10" s="1"/>
  <c r="JG27" i="10"/>
  <c r="JH27" i="10"/>
  <c r="JW27" i="10" s="1"/>
  <c r="JJ27" i="10"/>
  <c r="JQ27" i="10"/>
  <c r="JR27" i="10"/>
  <c r="JS27" i="10"/>
  <c r="JY27" i="10"/>
  <c r="LI27" i="10"/>
  <c r="LY27" i="10" s="1"/>
  <c r="LJ27" i="10"/>
  <c r="LZ27" i="10" s="1"/>
  <c r="LK27" i="10"/>
  <c r="MQ27" i="10" s="1"/>
  <c r="LL27" i="10"/>
  <c r="LM27" i="10"/>
  <c r="MC27" i="10" s="1"/>
  <c r="LN27" i="10"/>
  <c r="MT27" i="10" s="1"/>
  <c r="LO27" i="10"/>
  <c r="MU27" i="10" s="1"/>
  <c r="LP27" i="10"/>
  <c r="MV27" i="10" s="1"/>
  <c r="LQ27" i="10"/>
  <c r="MW27" i="10" s="1"/>
  <c r="LR27" i="10"/>
  <c r="MH27" i="10" s="1"/>
  <c r="LS27" i="10"/>
  <c r="MI27" i="10" s="1"/>
  <c r="LT27" i="10"/>
  <c r="MJ27" i="10" s="1"/>
  <c r="LU27" i="10"/>
  <c r="MK27" i="10" s="1"/>
  <c r="LV27" i="10"/>
  <c r="ML27" i="10" s="1"/>
  <c r="LW27" i="10"/>
  <c r="MM27" i="10" s="1"/>
  <c r="LX27" i="10"/>
  <c r="MN27" i="10" s="1"/>
  <c r="MB27" i="10"/>
  <c r="MD27" i="10"/>
  <c r="MG27" i="10"/>
  <c r="MR27" i="10"/>
  <c r="NH27" i="10" s="1"/>
  <c r="MS27" i="10"/>
  <c r="NI27" i="10" s="1"/>
  <c r="JX26" i="10" l="1"/>
  <c r="BX27" i="14"/>
  <c r="CH27" i="10"/>
  <c r="BW27" i="14"/>
  <c r="BZ27" i="10"/>
  <c r="MU26" i="10"/>
  <c r="NK26" i="10" s="1"/>
  <c r="EL26" i="10"/>
  <c r="ML26" i="10"/>
  <c r="MK26" i="10"/>
  <c r="KJ27" i="10"/>
  <c r="KB27" i="10"/>
  <c r="KC26" i="10"/>
  <c r="DI27" i="14"/>
  <c r="BM27" i="14"/>
  <c r="CP27" i="14" s="1"/>
  <c r="KM27" i="10"/>
  <c r="ED27" i="10"/>
  <c r="BF26" i="10"/>
  <c r="ND27" i="10"/>
  <c r="NT27" i="10" s="1"/>
  <c r="BJ27" i="10"/>
  <c r="EB26" i="10"/>
  <c r="BR26" i="14"/>
  <c r="KK27" i="10"/>
  <c r="CF26" i="10"/>
  <c r="BW26" i="10"/>
  <c r="BZ26" i="14"/>
  <c r="BQ26" i="14"/>
  <c r="CC26" i="14"/>
  <c r="CQ26" i="14" s="1"/>
  <c r="CT26" i="14" s="1"/>
  <c r="KL27" i="10"/>
  <c r="JV26" i="10"/>
  <c r="NC27" i="10"/>
  <c r="NS27" i="10" s="1"/>
  <c r="BX26" i="10"/>
  <c r="MY27" i="10"/>
  <c r="OE27" i="10" s="1"/>
  <c r="BX27" i="10"/>
  <c r="KD26" i="10"/>
  <c r="BO26" i="10"/>
  <c r="JL27" i="10"/>
  <c r="BW27" i="10"/>
  <c r="ND26" i="10"/>
  <c r="NT26" i="10" s="1"/>
  <c r="KB26" i="10"/>
  <c r="BN26" i="10"/>
  <c r="CU27" i="14"/>
  <c r="BX26" i="14"/>
  <c r="KE27" i="10"/>
  <c r="JX27" i="10"/>
  <c r="EY27" i="10"/>
  <c r="GE27" i="10" s="1"/>
  <c r="BV27" i="10"/>
  <c r="KA26" i="10"/>
  <c r="KG26" i="10"/>
  <c r="BW26" i="14"/>
  <c r="FK26" i="10"/>
  <c r="GA26" i="10"/>
  <c r="OI27" i="10"/>
  <c r="EM27" i="10"/>
  <c r="NB27" i="10"/>
  <c r="NR27" i="10" s="1"/>
  <c r="BT27" i="14"/>
  <c r="EK26" i="10"/>
  <c r="GB26" i="10"/>
  <c r="CI27" i="14"/>
  <c r="MP27" i="10"/>
  <c r="NF27" i="10" s="1"/>
  <c r="FX26" i="10"/>
  <c r="CF27" i="14"/>
  <c r="CD27" i="14"/>
  <c r="EQ27" i="10"/>
  <c r="FG27" i="10" s="1"/>
  <c r="MI26" i="10"/>
  <c r="CJ26" i="14"/>
  <c r="NM27" i="10"/>
  <c r="OC27" i="10"/>
  <c r="NM26" i="10"/>
  <c r="NG27" i="10"/>
  <c r="FM27" i="10"/>
  <c r="FS27" i="10"/>
  <c r="GI27" i="10"/>
  <c r="MF27" i="10"/>
  <c r="MG26" i="10"/>
  <c r="OC26" i="10" s="1"/>
  <c r="EZ26" i="10"/>
  <c r="FP26" i="10" s="1"/>
  <c r="BJ27" i="14"/>
  <c r="EL27" i="10"/>
  <c r="GH27" i="10" s="1"/>
  <c r="EI26" i="10"/>
  <c r="MA27" i="10"/>
  <c r="NW27" i="10" s="1"/>
  <c r="FE27" i="10"/>
  <c r="FU27" i="10" s="1"/>
  <c r="EG27" i="10"/>
  <c r="GC27" i="10" s="1"/>
  <c r="EY26" i="10"/>
  <c r="CG27" i="14"/>
  <c r="BU27" i="14"/>
  <c r="EF27" i="10"/>
  <c r="MX26" i="10"/>
  <c r="NN26" i="10" s="1"/>
  <c r="EX26" i="10"/>
  <c r="FN26" i="10" s="1"/>
  <c r="NV26" i="10"/>
  <c r="CE27" i="14"/>
  <c r="BS27" i="14"/>
  <c r="CK27" i="14" s="1"/>
  <c r="CN27" i="14" s="1"/>
  <c r="BY26" i="14"/>
  <c r="CV26" i="14"/>
  <c r="CO27" i="14"/>
  <c r="CU26" i="14"/>
  <c r="CX26" i="14" s="1"/>
  <c r="CI26" i="14"/>
  <c r="MS26" i="10"/>
  <c r="GJ26" i="10"/>
  <c r="ES26" i="10"/>
  <c r="FY26" i="10" s="1"/>
  <c r="MR26" i="10"/>
  <c r="NX26" i="10" s="1"/>
  <c r="GH26" i="10"/>
  <c r="BC27" i="14"/>
  <c r="CJ27" i="14" s="1"/>
  <c r="CL27" i="14" s="1"/>
  <c r="CM27" i="14" s="1"/>
  <c r="FE26" i="10"/>
  <c r="FU26" i="10" s="1"/>
  <c r="EQ26" i="10"/>
  <c r="FG26" i="10" s="1"/>
  <c r="OH26" i="10"/>
  <c r="DZ26" i="10"/>
  <c r="FV26" i="10" s="1"/>
  <c r="FJ27" i="10"/>
  <c r="FZ27" i="10"/>
  <c r="NQ26" i="10"/>
  <c r="OG26" i="10"/>
  <c r="NE26" i="10"/>
  <c r="NU26" i="10"/>
  <c r="NL27" i="10"/>
  <c r="OB27" i="10"/>
  <c r="NP26" i="10"/>
  <c r="NK27" i="10"/>
  <c r="NO26" i="10"/>
  <c r="OE26" i="10"/>
  <c r="GI26" i="10"/>
  <c r="NJ27" i="10"/>
  <c r="NZ27" i="10"/>
  <c r="FQ26" i="10"/>
  <c r="GG26" i="10"/>
  <c r="OJ26" i="10"/>
  <c r="FL27" i="10"/>
  <c r="GB27" i="10"/>
  <c r="FK27" i="10"/>
  <c r="ME27" i="10"/>
  <c r="OA27" i="10" s="1"/>
  <c r="JK27" i="10"/>
  <c r="EE27" i="10"/>
  <c r="GA27" i="10" s="1"/>
  <c r="BK27" i="10"/>
  <c r="NH26" i="10"/>
  <c r="MJ26" i="10"/>
  <c r="OF26" i="10" s="1"/>
  <c r="JP26" i="10"/>
  <c r="JV27" i="10"/>
  <c r="NY27" i="10"/>
  <c r="NA27" i="10"/>
  <c r="MO27" i="10"/>
  <c r="NE27" i="10" s="1"/>
  <c r="JI27" i="10"/>
  <c r="GK27" i="10"/>
  <c r="FY27" i="10"/>
  <c r="FA27" i="10"/>
  <c r="CG27" i="10"/>
  <c r="BU27" i="10"/>
  <c r="MT26" i="10"/>
  <c r="NZ26" i="10" s="1"/>
  <c r="GD26" i="10"/>
  <c r="ET26" i="10"/>
  <c r="FJ26" i="10" s="1"/>
  <c r="BZ26" i="10"/>
  <c r="OJ27" i="10"/>
  <c r="NX27" i="10"/>
  <c r="MZ27" i="10"/>
  <c r="GJ27" i="10"/>
  <c r="FX27" i="10"/>
  <c r="EZ27" i="10"/>
  <c r="CF27" i="10"/>
  <c r="BT27" i="10"/>
  <c r="KK26" i="10"/>
  <c r="JY26" i="10"/>
  <c r="MX27" i="10"/>
  <c r="FV27" i="10"/>
  <c r="EX27" i="10"/>
  <c r="GL27" i="10" s="1"/>
  <c r="CD27" i="10"/>
  <c r="OA26" i="10"/>
  <c r="NC26" i="10"/>
  <c r="MQ26" i="10"/>
  <c r="KC27" i="10"/>
  <c r="OH27" i="10" l="1"/>
  <c r="NO27" i="10"/>
  <c r="GK26" i="10"/>
  <c r="CR27" i="14"/>
  <c r="CS27" i="14" s="1"/>
  <c r="CK26" i="14"/>
  <c r="GE26" i="10"/>
  <c r="CP26" i="14"/>
  <c r="CR26" i="14" s="1"/>
  <c r="CS26" i="14" s="1"/>
  <c r="FO27" i="10"/>
  <c r="CL26" i="14"/>
  <c r="CM26" i="14" s="1"/>
  <c r="OD26" i="10"/>
  <c r="GF26" i="10"/>
  <c r="CW26" i="14"/>
  <c r="NV27" i="10"/>
  <c r="CQ27" i="14"/>
  <c r="CT27" i="14" s="1"/>
  <c r="FW27" i="10"/>
  <c r="CY26" i="14"/>
  <c r="FW26" i="10"/>
  <c r="CN26" i="14"/>
  <c r="CZ26" i="14"/>
  <c r="CW27" i="14"/>
  <c r="CZ27" i="14" s="1"/>
  <c r="FI26" i="10"/>
  <c r="GM26" i="10" s="1"/>
  <c r="FO26" i="10"/>
  <c r="CV27" i="14"/>
  <c r="CX27" i="14" s="1"/>
  <c r="NY26" i="10"/>
  <c r="NI26" i="10"/>
  <c r="GG27" i="10"/>
  <c r="FQ27" i="10"/>
  <c r="OF27" i="10"/>
  <c r="NP27" i="10"/>
  <c r="NU27" i="10"/>
  <c r="NW26" i="10"/>
  <c r="NG26" i="10"/>
  <c r="OG27" i="10"/>
  <c r="NQ27" i="10"/>
  <c r="NJ26" i="10"/>
  <c r="FZ26" i="10"/>
  <c r="GL26" i="10"/>
  <c r="OI26" i="10"/>
  <c r="NS26" i="10"/>
  <c r="GD27" i="10"/>
  <c r="KO27" i="10" s="1"/>
  <c r="FN27" i="10"/>
  <c r="GM27" i="10" s="1"/>
  <c r="GO27" i="10" s="1"/>
  <c r="GP27" i="10" s="1"/>
  <c r="KN27" i="10"/>
  <c r="KP27" i="10"/>
  <c r="KS27" i="10" s="1"/>
  <c r="OD27" i="10"/>
  <c r="NN27" i="10"/>
  <c r="GF27" i="10"/>
  <c r="FP27" i="10"/>
  <c r="GO26" i="10" l="1"/>
  <c r="GP26" i="10" s="1"/>
  <c r="GN27" i="10"/>
  <c r="GQ27" i="10" s="1"/>
  <c r="CY27" i="14"/>
  <c r="KP26" i="10"/>
  <c r="KN26" i="10"/>
  <c r="KO26" i="10"/>
  <c r="GN26" i="10"/>
  <c r="GQ26" i="10" s="1"/>
  <c r="KQ27" i="10"/>
  <c r="KR27" i="10" s="1"/>
  <c r="KS26" i="10" l="1"/>
  <c r="KQ26" i="10"/>
  <c r="KR26" i="10" s="1"/>
  <c r="B26" i="10" l="1"/>
  <c r="C26" i="10"/>
  <c r="D26" i="10"/>
  <c r="E26" i="10"/>
  <c r="F26" i="10"/>
  <c r="B27" i="10"/>
  <c r="C27" i="10"/>
  <c r="D27" i="10"/>
  <c r="E27" i="10"/>
  <c r="F27" i="10"/>
  <c r="AG26" i="12"/>
  <c r="W26" i="12"/>
  <c r="X26" i="12"/>
  <c r="Y26" i="12"/>
  <c r="BU26" i="12" s="1"/>
  <c r="Z26" i="12"/>
  <c r="AA26" i="12"/>
  <c r="AB26" i="12"/>
  <c r="AC26" i="12"/>
  <c r="AD26" i="12"/>
  <c r="AE26" i="12"/>
  <c r="AF26" i="12"/>
  <c r="AH26" i="12"/>
  <c r="AI26" i="12"/>
  <c r="AJ26" i="12"/>
  <c r="AK26" i="12"/>
  <c r="AL26" i="12"/>
  <c r="AM26" i="12"/>
  <c r="AN26" i="12"/>
  <c r="AO26" i="12"/>
  <c r="BE26" i="12" s="1"/>
  <c r="AP26" i="12"/>
  <c r="BV26" i="12" s="1"/>
  <c r="AQ26" i="12"/>
  <c r="AR26" i="12"/>
  <c r="BH26" i="12" s="1"/>
  <c r="AS26" i="12"/>
  <c r="AT26" i="12"/>
  <c r="BJ26" i="12" s="1"/>
  <c r="AU26" i="12"/>
  <c r="BK26" i="12" s="1"/>
  <c r="AV26" i="12"/>
  <c r="BL26" i="12" s="1"/>
  <c r="AW26" i="12"/>
  <c r="BM26" i="12" s="1"/>
  <c r="AX26" i="12"/>
  <c r="AY26" i="12"/>
  <c r="BO26" i="12" s="1"/>
  <c r="AZ26" i="12"/>
  <c r="BA26" i="12"/>
  <c r="BB26" i="12"/>
  <c r="BC26" i="12"/>
  <c r="BD26" i="12"/>
  <c r="BI26" i="12"/>
  <c r="BQ26" i="12"/>
  <c r="CB26" i="12"/>
  <c r="CG26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BS27" i="12" s="1"/>
  <c r="AN27" i="12"/>
  <c r="BD27" i="12" s="1"/>
  <c r="AO27" i="12"/>
  <c r="BU27" i="12" s="1"/>
  <c r="AP27" i="12"/>
  <c r="BV27" i="12" s="1"/>
  <c r="AQ27" i="12"/>
  <c r="BG27" i="12" s="1"/>
  <c r="AR27" i="12"/>
  <c r="BH27" i="12" s="1"/>
  <c r="AS27" i="12"/>
  <c r="BI27" i="12" s="1"/>
  <c r="AT27" i="12"/>
  <c r="BJ27" i="12" s="1"/>
  <c r="AU27" i="12"/>
  <c r="BK27" i="12" s="1"/>
  <c r="AV27" i="12"/>
  <c r="BL27" i="12" s="1"/>
  <c r="AW27" i="12"/>
  <c r="BM27" i="12" s="1"/>
  <c r="AX27" i="12"/>
  <c r="BN27" i="12" s="1"/>
  <c r="AY27" i="12"/>
  <c r="CE27" i="12" s="1"/>
  <c r="AZ27" i="12"/>
  <c r="CF27" i="12" s="1"/>
  <c r="BA27" i="12"/>
  <c r="BQ27" i="12" s="1"/>
  <c r="BB27" i="12"/>
  <c r="BR27" i="12" s="1"/>
  <c r="BC27" i="12"/>
  <c r="BF27" i="12"/>
  <c r="BT27" i="12"/>
  <c r="CB27" i="12"/>
  <c r="CJ28" i="8"/>
  <c r="CJ29" i="8"/>
  <c r="CJ30" i="8"/>
  <c r="CJ31" i="8"/>
  <c r="CJ32" i="8"/>
  <c r="CJ33" i="8"/>
  <c r="CJ34" i="8"/>
  <c r="CJ35" i="8"/>
  <c r="CJ36" i="8"/>
  <c r="CJ37" i="8"/>
  <c r="CJ38" i="8"/>
  <c r="CJ39" i="8"/>
  <c r="CJ40" i="8"/>
  <c r="CJ41" i="8"/>
  <c r="CJ42" i="8"/>
  <c r="CJ43" i="8"/>
  <c r="CJ44" i="8"/>
  <c r="CJ45" i="8"/>
  <c r="CJ46" i="8"/>
  <c r="CJ47" i="8"/>
  <c r="CJ48" i="8"/>
  <c r="CJ49" i="8"/>
  <c r="CJ50" i="8"/>
  <c r="CJ51" i="8"/>
  <c r="CJ52" i="8"/>
  <c r="CJ53" i="8"/>
  <c r="CJ54" i="8"/>
  <c r="CJ55" i="8"/>
  <c r="CJ56" i="8"/>
  <c r="CJ57" i="8"/>
  <c r="CJ58" i="8"/>
  <c r="CJ59" i="8"/>
  <c r="CJ60" i="8"/>
  <c r="CJ61" i="8"/>
  <c r="CJ62" i="8"/>
  <c r="CJ63" i="8"/>
  <c r="CJ64" i="8"/>
  <c r="CJ65" i="8"/>
  <c r="CJ66" i="8"/>
  <c r="CJ67" i="8"/>
  <c r="CJ68" i="8"/>
  <c r="CJ69" i="8"/>
  <c r="CJ70" i="8"/>
  <c r="CJ71" i="8"/>
  <c r="CJ72" i="8"/>
  <c r="CJ73" i="8"/>
  <c r="CJ74" i="8"/>
  <c r="CJ75" i="8"/>
  <c r="CJ76" i="8"/>
  <c r="CJ77" i="8"/>
  <c r="CJ78" i="8"/>
  <c r="CJ79" i="8"/>
  <c r="CJ80" i="8"/>
  <c r="CJ81" i="8"/>
  <c r="CJ82" i="8"/>
  <c r="CJ83" i="8"/>
  <c r="CJ84" i="8"/>
  <c r="CJ85" i="8"/>
  <c r="CJ86" i="8"/>
  <c r="CJ87" i="8"/>
  <c r="CJ88" i="8"/>
  <c r="CJ89" i="8"/>
  <c r="CJ90" i="8"/>
  <c r="CJ91" i="8"/>
  <c r="CJ92" i="8"/>
  <c r="CJ93" i="8"/>
  <c r="CJ94" i="8"/>
  <c r="CJ95" i="8"/>
  <c r="CJ96" i="8"/>
  <c r="CJ97" i="8"/>
  <c r="CJ98" i="8"/>
  <c r="CJ99" i="8"/>
  <c r="AN26" i="1"/>
  <c r="BO27" i="12" l="1"/>
  <c r="BW26" i="12"/>
  <c r="CV27" i="10"/>
  <c r="CJ27" i="10"/>
  <c r="CC27" i="12"/>
  <c r="DD27" i="10"/>
  <c r="DF27" i="10"/>
  <c r="DG27" i="10"/>
  <c r="LG27" i="10"/>
  <c r="DB27" i="10"/>
  <c r="HE27" i="10"/>
  <c r="PD27" i="10"/>
  <c r="HJ27" i="10"/>
  <c r="HK27" i="10" s="1"/>
  <c r="HL27" i="10" s="1"/>
  <c r="HG27" i="10"/>
  <c r="PF27" i="10"/>
  <c r="HI27" i="10"/>
  <c r="CO27" i="10"/>
  <c r="CU27" i="10"/>
  <c r="CX27" i="10" s="1"/>
  <c r="CY27" i="10" s="1"/>
  <c r="KT27" i="10"/>
  <c r="CI27" i="10"/>
  <c r="KV27" i="10"/>
  <c r="DH27" i="10"/>
  <c r="DI27" i="10" s="1"/>
  <c r="CP27" i="10"/>
  <c r="LB27" i="10"/>
  <c r="LE27" i="10" s="1"/>
  <c r="GR27" i="10"/>
  <c r="OL27" i="10"/>
  <c r="OQ27" i="10"/>
  <c r="CQ27" i="10"/>
  <c r="OK27" i="10"/>
  <c r="ON27" i="10" s="1"/>
  <c r="OO27" i="10" s="1"/>
  <c r="KY27" i="10"/>
  <c r="GY27" i="10"/>
  <c r="OW27" i="10"/>
  <c r="OZ27" i="10" s="1"/>
  <c r="PA27" i="10" s="1"/>
  <c r="KU27" i="10"/>
  <c r="OX27" i="10"/>
  <c r="GZ27" i="10"/>
  <c r="HC27" i="10" s="1"/>
  <c r="GT27" i="10"/>
  <c r="GW27" i="10" s="1"/>
  <c r="OM27" i="10"/>
  <c r="OP27" i="10" s="1"/>
  <c r="OS27" i="10"/>
  <c r="OV27" i="10" s="1"/>
  <c r="GS27" i="10"/>
  <c r="GU27" i="10" s="1"/>
  <c r="GV27" i="10" s="1"/>
  <c r="OY27" i="10"/>
  <c r="OR27" i="10"/>
  <c r="CG27" i="12"/>
  <c r="BE27" i="12"/>
  <c r="BG26" i="12"/>
  <c r="KZ26" i="10"/>
  <c r="LA26" i="10"/>
  <c r="GX26" i="10"/>
  <c r="CK27" i="10"/>
  <c r="CN27" i="10" s="1"/>
  <c r="CW27" i="10"/>
  <c r="CA27" i="12"/>
  <c r="CK26" i="10"/>
  <c r="CW26" i="10"/>
  <c r="BW27" i="12"/>
  <c r="KZ27" i="10"/>
  <c r="LA27" i="10"/>
  <c r="LC27" i="10" s="1"/>
  <c r="LD27" i="10" s="1"/>
  <c r="GX27" i="10"/>
  <c r="CJ26" i="10"/>
  <c r="CV26" i="10"/>
  <c r="DD26" i="10"/>
  <c r="HE26" i="10"/>
  <c r="PD26" i="10"/>
  <c r="PF26" i="10"/>
  <c r="HG26" i="10"/>
  <c r="DF26" i="10"/>
  <c r="DG26" i="10"/>
  <c r="CO26" i="10"/>
  <c r="HJ26" i="10"/>
  <c r="HI26" i="10"/>
  <c r="HK26" i="10" s="1"/>
  <c r="HL26" i="10" s="1"/>
  <c r="DB26" i="10"/>
  <c r="LG26" i="10"/>
  <c r="KU26" i="10"/>
  <c r="CI26" i="10"/>
  <c r="CL26" i="10" s="1"/>
  <c r="CM26" i="10" s="1"/>
  <c r="CQ26" i="10"/>
  <c r="KT26" i="10"/>
  <c r="CU26" i="10"/>
  <c r="CX26" i="10" s="1"/>
  <c r="CY26" i="10" s="1"/>
  <c r="CP26" i="10"/>
  <c r="OS26" i="10"/>
  <c r="OV26" i="10" s="1"/>
  <c r="LB26" i="10"/>
  <c r="LE26" i="10" s="1"/>
  <c r="GR26" i="10"/>
  <c r="OQ26" i="10"/>
  <c r="OW26" i="10"/>
  <c r="OK26" i="10"/>
  <c r="GT26" i="10"/>
  <c r="GW26" i="10" s="1"/>
  <c r="KV26" i="10"/>
  <c r="KY26" i="10" s="1"/>
  <c r="GY26" i="10"/>
  <c r="GZ26" i="10"/>
  <c r="OR26" i="10"/>
  <c r="OY26" i="10"/>
  <c r="OX26" i="10"/>
  <c r="OM26" i="10"/>
  <c r="OP26" i="10" s="1"/>
  <c r="GS26" i="10"/>
  <c r="GU26" i="10" s="1"/>
  <c r="GV26" i="10" s="1"/>
  <c r="OL26" i="10"/>
  <c r="BY27" i="12"/>
  <c r="CD26" i="12"/>
  <c r="BX27" i="12"/>
  <c r="BP27" i="12"/>
  <c r="BF26" i="12"/>
  <c r="CH26" i="12"/>
  <c r="BR26" i="12"/>
  <c r="CF26" i="12"/>
  <c r="BT26" i="12"/>
  <c r="BP26" i="12"/>
  <c r="CC26" i="12"/>
  <c r="CH27" i="12"/>
  <c r="CD27" i="12"/>
  <c r="BZ27" i="12"/>
  <c r="BY26" i="12"/>
  <c r="BX26" i="12"/>
  <c r="CE26" i="12"/>
  <c r="BS26" i="12"/>
  <c r="CA26" i="12"/>
  <c r="BZ26" i="12"/>
  <c r="BN26" i="12"/>
  <c r="B10" i="20"/>
  <c r="C10" i="20"/>
  <c r="F10" i="20"/>
  <c r="B11" i="20"/>
  <c r="C11" i="20"/>
  <c r="F11" i="20"/>
  <c r="B12" i="20"/>
  <c r="C12" i="20"/>
  <c r="F12" i="20"/>
  <c r="B13" i="20"/>
  <c r="C13" i="20"/>
  <c r="F13" i="20"/>
  <c r="B14" i="20"/>
  <c r="C14" i="20"/>
  <c r="F14" i="20"/>
  <c r="B15" i="20"/>
  <c r="C15" i="20"/>
  <c r="F15" i="20"/>
  <c r="B16" i="20"/>
  <c r="C16" i="20"/>
  <c r="F16" i="20"/>
  <c r="B17" i="20"/>
  <c r="C17" i="20"/>
  <c r="F17" i="20"/>
  <c r="B18" i="20"/>
  <c r="C18" i="20"/>
  <c r="F18" i="20"/>
  <c r="B19" i="20"/>
  <c r="C19" i="20"/>
  <c r="F19" i="20"/>
  <c r="B20" i="20"/>
  <c r="C20" i="20"/>
  <c r="F20" i="20"/>
  <c r="B21" i="20"/>
  <c r="C21" i="20"/>
  <c r="F21" i="20"/>
  <c r="B22" i="20"/>
  <c r="C22" i="20"/>
  <c r="F22" i="20"/>
  <c r="B23" i="20"/>
  <c r="C23" i="20"/>
  <c r="F23" i="20"/>
  <c r="B24" i="20"/>
  <c r="C24" i="20"/>
  <c r="F24" i="20"/>
  <c r="B25" i="20"/>
  <c r="C25" i="20"/>
  <c r="F25" i="20"/>
  <c r="B26" i="20"/>
  <c r="C26" i="20"/>
  <c r="F26" i="20"/>
  <c r="B27" i="20"/>
  <c r="C27" i="20"/>
  <c r="F27" i="20"/>
  <c r="B28" i="20"/>
  <c r="C28" i="20"/>
  <c r="F28" i="20"/>
  <c r="B29" i="20"/>
  <c r="C29" i="20"/>
  <c r="F29" i="20"/>
  <c r="B30" i="20"/>
  <c r="C30" i="20"/>
  <c r="E30" i="20"/>
  <c r="F30" i="20"/>
  <c r="B31" i="20"/>
  <c r="C31" i="20"/>
  <c r="E31" i="20"/>
  <c r="F31" i="20"/>
  <c r="B32" i="20"/>
  <c r="C32" i="20"/>
  <c r="E32" i="20"/>
  <c r="F32" i="20"/>
  <c r="B33" i="20"/>
  <c r="C33" i="20"/>
  <c r="E33" i="20"/>
  <c r="F33" i="20"/>
  <c r="B34" i="20"/>
  <c r="C34" i="20"/>
  <c r="E34" i="20"/>
  <c r="F34" i="20"/>
  <c r="B35" i="20"/>
  <c r="C35" i="20"/>
  <c r="E35" i="20"/>
  <c r="F35" i="20"/>
  <c r="B36" i="20"/>
  <c r="C36" i="20"/>
  <c r="E36" i="20"/>
  <c r="F36" i="20"/>
  <c r="B37" i="20"/>
  <c r="C37" i="20"/>
  <c r="E37" i="20"/>
  <c r="F37" i="20"/>
  <c r="B38" i="20"/>
  <c r="C38" i="20"/>
  <c r="E38" i="20"/>
  <c r="F38" i="20"/>
  <c r="B39" i="20"/>
  <c r="C39" i="20"/>
  <c r="E39" i="20"/>
  <c r="F39" i="20"/>
  <c r="B40" i="20"/>
  <c r="C40" i="20"/>
  <c r="E40" i="20"/>
  <c r="F40" i="20"/>
  <c r="B41" i="20"/>
  <c r="C41" i="20"/>
  <c r="E41" i="20"/>
  <c r="F41" i="20"/>
  <c r="B42" i="20"/>
  <c r="C42" i="20"/>
  <c r="E42" i="20"/>
  <c r="F42" i="20"/>
  <c r="B43" i="20"/>
  <c r="C43" i="20"/>
  <c r="E43" i="20"/>
  <c r="F43" i="20"/>
  <c r="B44" i="20"/>
  <c r="C44" i="20"/>
  <c r="E44" i="20"/>
  <c r="F44" i="20"/>
  <c r="B45" i="20"/>
  <c r="C45" i="20"/>
  <c r="E45" i="20"/>
  <c r="F45" i="20"/>
  <c r="B46" i="20"/>
  <c r="C46" i="20"/>
  <c r="E46" i="20"/>
  <c r="F46" i="20"/>
  <c r="B47" i="20"/>
  <c r="C47" i="20"/>
  <c r="E47" i="20"/>
  <c r="F47" i="20"/>
  <c r="B48" i="20"/>
  <c r="C48" i="20"/>
  <c r="E48" i="20"/>
  <c r="F48" i="20"/>
  <c r="B49" i="20"/>
  <c r="C49" i="20"/>
  <c r="E49" i="20"/>
  <c r="F49" i="20"/>
  <c r="B50" i="20"/>
  <c r="C50" i="20"/>
  <c r="E50" i="20"/>
  <c r="F50" i="20"/>
  <c r="B51" i="20"/>
  <c r="C51" i="20"/>
  <c r="E51" i="20"/>
  <c r="F51" i="20"/>
  <c r="B52" i="20"/>
  <c r="C52" i="20"/>
  <c r="E52" i="20"/>
  <c r="F52" i="20"/>
  <c r="B53" i="20"/>
  <c r="C53" i="20"/>
  <c r="E53" i="20"/>
  <c r="F53" i="20"/>
  <c r="CR27" i="10" l="1"/>
  <c r="CS27" i="10" s="1"/>
  <c r="CR26" i="10"/>
  <c r="CS26" i="10" s="1"/>
  <c r="LC26" i="10"/>
  <c r="LD26" i="10" s="1"/>
  <c r="PB26" i="10"/>
  <c r="CZ26" i="10"/>
  <c r="OZ26" i="10"/>
  <c r="PA26" i="10" s="1"/>
  <c r="DH26" i="10"/>
  <c r="DI26" i="10" s="1"/>
  <c r="CN26" i="10"/>
  <c r="CT27" i="10"/>
  <c r="PB27" i="10"/>
  <c r="OT26" i="10"/>
  <c r="OU26" i="10" s="1"/>
  <c r="KW26" i="10"/>
  <c r="KX26" i="10" s="1"/>
  <c r="HA26" i="10"/>
  <c r="HB26" i="10" s="1"/>
  <c r="ON26" i="10"/>
  <c r="OO26" i="10" s="1"/>
  <c r="HC26" i="10"/>
  <c r="CZ27" i="10"/>
  <c r="CL27" i="10"/>
  <c r="CM27" i="10" s="1"/>
  <c r="CT26" i="10"/>
  <c r="HA27" i="10"/>
  <c r="HB27" i="10" s="1"/>
  <c r="OT27" i="10"/>
  <c r="OU27" i="10" s="1"/>
  <c r="KW27" i="10"/>
  <c r="KX27" i="10" s="1"/>
  <c r="JD14" i="12"/>
  <c r="IW14" i="12"/>
  <c r="LY15" i="11"/>
  <c r="IQ15" i="11"/>
  <c r="IR15" i="11"/>
  <c r="IC15" i="11"/>
  <c r="AK15" i="14" l="1"/>
  <c r="AL15" i="14"/>
  <c r="AC15" i="14"/>
  <c r="AA15" i="14"/>
  <c r="AB15" i="14"/>
  <c r="Z15" i="14"/>
  <c r="Y15" i="14"/>
  <c r="X15" i="14"/>
  <c r="W15" i="14"/>
  <c r="DQ100" i="9" l="1"/>
  <c r="DQ15" i="9"/>
  <c r="DQ99" i="9"/>
  <c r="DQ98" i="9"/>
  <c r="DQ97" i="9"/>
  <c r="DQ96" i="9"/>
  <c r="DQ95" i="9"/>
  <c r="DQ94" i="9"/>
  <c r="DQ93" i="9"/>
  <c r="DQ92" i="9"/>
  <c r="DQ91" i="9"/>
  <c r="DQ90" i="9"/>
  <c r="DQ89" i="9"/>
  <c r="DQ88" i="9"/>
  <c r="DQ87" i="9"/>
  <c r="DQ86" i="9"/>
  <c r="DQ85" i="9"/>
  <c r="DQ84" i="9"/>
  <c r="DQ83" i="9"/>
  <c r="DQ82" i="9"/>
  <c r="DQ81" i="9"/>
  <c r="DQ80" i="9"/>
  <c r="DQ79" i="9"/>
  <c r="DQ78" i="9"/>
  <c r="DQ77" i="9"/>
  <c r="DQ76" i="9"/>
  <c r="DQ75" i="9"/>
  <c r="DQ74" i="9"/>
  <c r="DQ73" i="9"/>
  <c r="DQ72" i="9"/>
  <c r="DQ71" i="9"/>
  <c r="DQ70" i="9"/>
  <c r="DQ69" i="9"/>
  <c r="DQ68" i="9"/>
  <c r="DQ67" i="9"/>
  <c r="DQ66" i="9"/>
  <c r="DQ65" i="9"/>
  <c r="DQ64" i="9"/>
  <c r="DQ63" i="9"/>
  <c r="DQ62" i="9"/>
  <c r="DQ61" i="9"/>
  <c r="DQ60" i="9"/>
  <c r="DQ59" i="9"/>
  <c r="DQ58" i="9"/>
  <c r="DQ57" i="9"/>
  <c r="DQ56" i="9"/>
  <c r="DQ55" i="9"/>
  <c r="DQ54" i="9"/>
  <c r="DQ53" i="9"/>
  <c r="DQ52" i="9"/>
  <c r="DQ51" i="9"/>
  <c r="DQ50" i="9"/>
  <c r="DQ49" i="9"/>
  <c r="DQ48" i="9"/>
  <c r="DQ47" i="9"/>
  <c r="DQ46" i="9"/>
  <c r="DQ45" i="9"/>
  <c r="DQ44" i="9"/>
  <c r="DQ43" i="9"/>
  <c r="DQ42" i="9"/>
  <c r="DQ41" i="9"/>
  <c r="DQ40" i="9"/>
  <c r="DQ39" i="9"/>
  <c r="DQ38" i="9"/>
  <c r="DQ37" i="9"/>
  <c r="DQ36" i="9"/>
  <c r="DQ35" i="9"/>
  <c r="DQ34" i="9"/>
  <c r="DQ33" i="9"/>
  <c r="DQ32" i="9"/>
  <c r="DQ31" i="9"/>
  <c r="DQ30" i="9"/>
  <c r="DQ29" i="9"/>
  <c r="DQ28" i="9"/>
  <c r="DQ27" i="9"/>
  <c r="DQ26" i="9"/>
  <c r="DQ25" i="9"/>
  <c r="DQ24" i="9"/>
  <c r="DQ23" i="9"/>
  <c r="DQ22" i="9"/>
  <c r="DQ21" i="9"/>
  <c r="DQ20" i="9"/>
  <c r="DQ19" i="9"/>
  <c r="DQ18" i="9"/>
  <c r="DQ17" i="9"/>
  <c r="DQ16" i="9"/>
  <c r="DQ59" i="14"/>
  <c r="DQ60" i="14"/>
  <c r="DQ61" i="14"/>
  <c r="DQ62" i="14"/>
  <c r="DQ63" i="14"/>
  <c r="DQ64" i="14"/>
  <c r="DQ65" i="14"/>
  <c r="DQ66" i="14"/>
  <c r="DQ67" i="14"/>
  <c r="DQ68" i="14"/>
  <c r="DQ69" i="14"/>
  <c r="DQ70" i="14"/>
  <c r="DQ71" i="14"/>
  <c r="DQ72" i="14"/>
  <c r="DQ73" i="14"/>
  <c r="DQ74" i="14"/>
  <c r="DQ75" i="14"/>
  <c r="DQ76" i="14"/>
  <c r="DQ77" i="14"/>
  <c r="DQ78" i="14"/>
  <c r="DQ79" i="14"/>
  <c r="DQ80" i="14"/>
  <c r="DQ81" i="14"/>
  <c r="DQ82" i="14"/>
  <c r="DQ75" i="8"/>
  <c r="DQ76" i="8"/>
  <c r="DQ77" i="8"/>
  <c r="DQ78" i="8"/>
  <c r="DQ79" i="8"/>
  <c r="DQ80" i="8"/>
  <c r="DQ81" i="8"/>
  <c r="DQ82" i="8"/>
  <c r="DQ83" i="8"/>
  <c r="DQ84" i="8"/>
  <c r="DQ85" i="8"/>
  <c r="DQ86" i="8"/>
  <c r="DQ87" i="8"/>
  <c r="DQ88" i="8"/>
  <c r="DQ89" i="8"/>
  <c r="DQ90" i="8"/>
  <c r="DQ91" i="8"/>
  <c r="DQ92" i="8"/>
  <c r="DQ93" i="8"/>
  <c r="DQ94" i="8"/>
  <c r="DQ95" i="8"/>
  <c r="DQ96" i="8"/>
  <c r="DQ97" i="8"/>
  <c r="DQ98" i="8"/>
  <c r="DQ99" i="8"/>
  <c r="DQ15" i="8"/>
  <c r="DQ74" i="8"/>
  <c r="DQ73" i="8"/>
  <c r="DQ72" i="8"/>
  <c r="DQ71" i="8"/>
  <c r="DQ70" i="8"/>
  <c r="DQ69" i="8"/>
  <c r="DQ68" i="8"/>
  <c r="DQ67" i="8"/>
  <c r="DQ66" i="8"/>
  <c r="DQ65" i="8"/>
  <c r="DQ64" i="8"/>
  <c r="DQ63" i="8"/>
  <c r="DQ62" i="8"/>
  <c r="DQ61" i="8"/>
  <c r="DQ60" i="8"/>
  <c r="DQ59" i="8"/>
  <c r="DQ58" i="8"/>
  <c r="DQ57" i="8"/>
  <c r="DQ56" i="8"/>
  <c r="DQ55" i="8"/>
  <c r="DQ54" i="8"/>
  <c r="DQ53" i="8"/>
  <c r="DQ52" i="8"/>
  <c r="DQ51" i="8"/>
  <c r="DQ50" i="8"/>
  <c r="DQ49" i="8"/>
  <c r="DQ48" i="8"/>
  <c r="DQ47" i="8"/>
  <c r="DQ46" i="8"/>
  <c r="DQ45" i="8"/>
  <c r="DQ44" i="8"/>
  <c r="DQ43" i="8"/>
  <c r="DQ42" i="8"/>
  <c r="DQ41" i="8"/>
  <c r="DQ40" i="8"/>
  <c r="DQ39" i="8"/>
  <c r="DQ38" i="8"/>
  <c r="DQ37" i="8"/>
  <c r="DQ36" i="8"/>
  <c r="DQ35" i="8"/>
  <c r="DQ34" i="8"/>
  <c r="DQ33" i="8"/>
  <c r="DQ32" i="8"/>
  <c r="DQ31" i="8"/>
  <c r="DQ30" i="8"/>
  <c r="DQ29" i="8"/>
  <c r="DQ28" i="8"/>
  <c r="DQ27" i="8"/>
  <c r="DQ26" i="8"/>
  <c r="DQ25" i="8"/>
  <c r="DQ24" i="8"/>
  <c r="DQ23" i="8"/>
  <c r="DQ22" i="8"/>
  <c r="DQ21" i="8"/>
  <c r="DQ20" i="8"/>
  <c r="DQ19" i="8"/>
  <c r="DQ18" i="8"/>
  <c r="DQ17" i="8"/>
  <c r="DQ16" i="8"/>
  <c r="DQ15" i="14"/>
  <c r="DQ58" i="14"/>
  <c r="DQ57" i="14"/>
  <c r="DQ56" i="14"/>
  <c r="DQ55" i="14"/>
  <c r="DQ54" i="14"/>
  <c r="DQ53" i="14"/>
  <c r="DQ52" i="14"/>
  <c r="DQ51" i="14"/>
  <c r="DQ50" i="14"/>
  <c r="DQ49" i="14"/>
  <c r="DQ48" i="14"/>
  <c r="DQ47" i="14"/>
  <c r="DQ46" i="14"/>
  <c r="DQ45" i="14"/>
  <c r="DQ44" i="14"/>
  <c r="DQ43" i="14"/>
  <c r="DQ42" i="14"/>
  <c r="DQ41" i="14"/>
  <c r="DQ40" i="14"/>
  <c r="DQ39" i="14"/>
  <c r="DQ38" i="14"/>
  <c r="DQ37" i="14"/>
  <c r="DQ36" i="14"/>
  <c r="DQ35" i="14"/>
  <c r="DQ34" i="14"/>
  <c r="DQ33" i="14"/>
  <c r="DQ32" i="14"/>
  <c r="DQ31" i="14"/>
  <c r="DQ30" i="14"/>
  <c r="DQ29" i="14"/>
  <c r="DQ28" i="14"/>
  <c r="DQ25" i="14"/>
  <c r="DQ24" i="14"/>
  <c r="DQ23" i="14"/>
  <c r="DQ22" i="14"/>
  <c r="DQ21" i="14"/>
  <c r="DQ20" i="14"/>
  <c r="DQ19" i="14"/>
  <c r="DQ18" i="14"/>
  <c r="DQ17" i="14"/>
  <c r="DQ16" i="14"/>
  <c r="DQ15" i="1"/>
  <c r="DQ16" i="1"/>
  <c r="DQ17" i="1"/>
  <c r="DQ18" i="1"/>
  <c r="DQ19" i="1"/>
  <c r="DQ20" i="1"/>
  <c r="DQ21" i="1"/>
  <c r="DQ22" i="1"/>
  <c r="DQ23" i="1"/>
  <c r="DQ24" i="1"/>
  <c r="DQ25" i="1"/>
  <c r="DQ26" i="1"/>
  <c r="DQ27" i="1"/>
  <c r="DQ28" i="1"/>
  <c r="DQ29" i="1"/>
  <c r="DQ30" i="1"/>
  <c r="DQ31" i="1"/>
  <c r="DQ32" i="1"/>
  <c r="DQ33" i="1"/>
  <c r="DQ34" i="1"/>
  <c r="DQ35" i="1"/>
  <c r="C4" i="20" l="1"/>
  <c r="C4" i="21"/>
  <c r="C4" i="22"/>
  <c r="C4" i="23"/>
  <c r="MO15" i="11"/>
  <c r="LS15" i="11"/>
  <c r="MI15" i="11" s="1"/>
  <c r="LP15" i="11"/>
  <c r="LR15" i="11"/>
  <c r="MH15" i="11" s="1"/>
  <c r="LJ15" i="11"/>
  <c r="LZ15" i="11" s="1"/>
  <c r="IS15" i="11"/>
  <c r="IP15" i="11"/>
  <c r="IO15" i="11"/>
  <c r="IN15" i="11"/>
  <c r="IM15" i="11"/>
  <c r="IL15" i="11"/>
  <c r="IK15" i="11"/>
  <c r="IJ15" i="11"/>
  <c r="II15" i="11"/>
  <c r="IH15" i="11"/>
  <c r="IG15" i="11"/>
  <c r="IF15" i="11"/>
  <c r="IE15" i="11"/>
  <c r="ID15" i="11"/>
  <c r="C9" i="23"/>
  <c r="D9" i="23"/>
  <c r="E9" i="23"/>
  <c r="F9" i="23"/>
  <c r="B9" i="23"/>
  <c r="CA9" i="23" s="1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B10" i="22"/>
  <c r="CA10" i="22" s="1"/>
  <c r="B11" i="22"/>
  <c r="CA11" i="22" s="1"/>
  <c r="B12" i="22"/>
  <c r="CA12" i="22" s="1"/>
  <c r="B13" i="22"/>
  <c r="CA13" i="22" s="1"/>
  <c r="B14" i="22"/>
  <c r="CA14" i="22" s="1"/>
  <c r="B15" i="22"/>
  <c r="CA15" i="22" s="1"/>
  <c r="B16" i="22"/>
  <c r="B17" i="22"/>
  <c r="CA17" i="22" s="1"/>
  <c r="B18" i="22"/>
  <c r="CA18" i="22" s="1"/>
  <c r="B19" i="22"/>
  <c r="CA19" i="22" s="1"/>
  <c r="B20" i="22"/>
  <c r="B21" i="22"/>
  <c r="CA21" i="22" s="1"/>
  <c r="B22" i="22"/>
  <c r="CA22" i="22" s="1"/>
  <c r="B23" i="22"/>
  <c r="CA23" i="22" s="1"/>
  <c r="B24" i="22"/>
  <c r="B25" i="22"/>
  <c r="CA25" i="22" s="1"/>
  <c r="B26" i="22"/>
  <c r="CA26" i="22" s="1"/>
  <c r="B27" i="22"/>
  <c r="CA27" i="22" s="1"/>
  <c r="B28" i="22"/>
  <c r="B29" i="22"/>
  <c r="CA29" i="22" s="1"/>
  <c r="B30" i="22"/>
  <c r="CA30" i="22" s="1"/>
  <c r="B31" i="22"/>
  <c r="CA31" i="22" s="1"/>
  <c r="B32" i="22"/>
  <c r="B33" i="22"/>
  <c r="CA33" i="22" s="1"/>
  <c r="B34" i="22"/>
  <c r="CA34" i="22" s="1"/>
  <c r="B35" i="22"/>
  <c r="CA35" i="22" s="1"/>
  <c r="B36" i="22"/>
  <c r="B37" i="22"/>
  <c r="CA37" i="22" s="1"/>
  <c r="B38" i="22"/>
  <c r="CA38" i="22" s="1"/>
  <c r="B39" i="22"/>
  <c r="CA39" i="22" s="1"/>
  <c r="B40" i="22"/>
  <c r="CA40" i="22" s="1"/>
  <c r="B41" i="22"/>
  <c r="CA41" i="22" s="1"/>
  <c r="B42" i="22"/>
  <c r="CA42" i="22" s="1"/>
  <c r="B43" i="22"/>
  <c r="CA43" i="22" s="1"/>
  <c r="B44" i="22"/>
  <c r="B45" i="22"/>
  <c r="CA45" i="22" s="1"/>
  <c r="B46" i="22"/>
  <c r="CA46" i="22" s="1"/>
  <c r="B47" i="22"/>
  <c r="CA47" i="22" s="1"/>
  <c r="B48" i="22"/>
  <c r="B49" i="22"/>
  <c r="CA49" i="22" s="1"/>
  <c r="B50" i="22"/>
  <c r="CA50" i="22" s="1"/>
  <c r="B51" i="22"/>
  <c r="CA51" i="22" s="1"/>
  <c r="B52" i="22"/>
  <c r="B53" i="22"/>
  <c r="CA53" i="22" s="1"/>
  <c r="B54" i="22"/>
  <c r="CA54" i="22" s="1"/>
  <c r="B55" i="22"/>
  <c r="BH55" i="22" s="1"/>
  <c r="B56" i="22"/>
  <c r="BH56" i="22" s="1"/>
  <c r="B57" i="22"/>
  <c r="AK57" i="22" s="1"/>
  <c r="AL57" i="22" s="1"/>
  <c r="B58" i="22"/>
  <c r="BC58" i="22" s="1"/>
  <c r="BD58" i="22" s="1"/>
  <c r="B59" i="22"/>
  <c r="BC59" i="22" s="1"/>
  <c r="BD59" i="22" s="1"/>
  <c r="B60" i="22"/>
  <c r="CA60" i="22" s="1"/>
  <c r="B61" i="22"/>
  <c r="CA61" i="22" s="1"/>
  <c r="B62" i="22"/>
  <c r="AS62" i="22" s="1"/>
  <c r="AT62" i="22" s="1"/>
  <c r="B63" i="22"/>
  <c r="Q63" i="22" s="1"/>
  <c r="B64" i="22"/>
  <c r="B65" i="22"/>
  <c r="AI65" i="22" s="1"/>
  <c r="B66" i="22"/>
  <c r="CA66" i="22" s="1"/>
  <c r="B67" i="22"/>
  <c r="AW67" i="22" s="1"/>
  <c r="AX67" i="22" s="1"/>
  <c r="C9" i="22"/>
  <c r="D9" i="22"/>
  <c r="E9" i="22"/>
  <c r="F9" i="22"/>
  <c r="B9" i="22"/>
  <c r="F9" i="21"/>
  <c r="CA9" i="21"/>
  <c r="B9" i="20"/>
  <c r="CA9" i="20" s="1"/>
  <c r="C9" i="20"/>
  <c r="F9" i="20"/>
  <c r="F67" i="23"/>
  <c r="E67" i="23"/>
  <c r="D67" i="23"/>
  <c r="C67" i="23"/>
  <c r="B67" i="23"/>
  <c r="CA67" i="23" s="1"/>
  <c r="F66" i="23"/>
  <c r="E66" i="23"/>
  <c r="D66" i="23"/>
  <c r="C66" i="23"/>
  <c r="B66" i="23"/>
  <c r="BF66" i="23" s="1"/>
  <c r="F65" i="23"/>
  <c r="E65" i="23"/>
  <c r="D65" i="23"/>
  <c r="C65" i="23"/>
  <c r="B65" i="23"/>
  <c r="F64" i="23"/>
  <c r="E64" i="23"/>
  <c r="D64" i="23"/>
  <c r="C64" i="23"/>
  <c r="B64" i="23"/>
  <c r="BH64" i="23" s="1"/>
  <c r="F63" i="23"/>
  <c r="E63" i="23"/>
  <c r="D63" i="23"/>
  <c r="C63" i="23"/>
  <c r="B63" i="23"/>
  <c r="BH63" i="23" s="1"/>
  <c r="F62" i="23"/>
  <c r="E62" i="23"/>
  <c r="D62" i="23"/>
  <c r="C62" i="23"/>
  <c r="B62" i="23"/>
  <c r="F61" i="23"/>
  <c r="E61" i="23"/>
  <c r="D61" i="23"/>
  <c r="C61" i="23"/>
  <c r="B61" i="23"/>
  <c r="BH61" i="23" s="1"/>
  <c r="F60" i="23"/>
  <c r="E60" i="23"/>
  <c r="D60" i="23"/>
  <c r="C60" i="23"/>
  <c r="B60" i="23"/>
  <c r="CA60" i="23" s="1"/>
  <c r="F59" i="23"/>
  <c r="E59" i="23"/>
  <c r="D59" i="23"/>
  <c r="C59" i="23"/>
  <c r="B59" i="23"/>
  <c r="AD59" i="23" s="1"/>
  <c r="F58" i="23"/>
  <c r="E58" i="23"/>
  <c r="D58" i="23"/>
  <c r="C58" i="23"/>
  <c r="B58" i="23"/>
  <c r="BH58" i="23" s="1"/>
  <c r="F57" i="23"/>
  <c r="E57" i="23"/>
  <c r="D57" i="23"/>
  <c r="C57" i="23"/>
  <c r="B57" i="23"/>
  <c r="CA57" i="23" s="1"/>
  <c r="F56" i="23"/>
  <c r="E56" i="23"/>
  <c r="D56" i="23"/>
  <c r="C56" i="23"/>
  <c r="B56" i="23"/>
  <c r="F55" i="23"/>
  <c r="E55" i="23"/>
  <c r="D55" i="23"/>
  <c r="C55" i="23"/>
  <c r="B55" i="23"/>
  <c r="BH55" i="23" s="1"/>
  <c r="F54" i="23"/>
  <c r="E54" i="23"/>
  <c r="D54" i="23"/>
  <c r="C54" i="23"/>
  <c r="B54" i="23"/>
  <c r="CA54" i="23" s="1"/>
  <c r="F53" i="23"/>
  <c r="E53" i="23"/>
  <c r="D53" i="23"/>
  <c r="C53" i="23"/>
  <c r="B53" i="23"/>
  <c r="CA53" i="23" s="1"/>
  <c r="F52" i="23"/>
  <c r="E52" i="23"/>
  <c r="D52" i="23"/>
  <c r="C52" i="23"/>
  <c r="B52" i="23"/>
  <c r="CA52" i="23" s="1"/>
  <c r="F51" i="23"/>
  <c r="E51" i="23"/>
  <c r="D51" i="23"/>
  <c r="C51" i="23"/>
  <c r="B51" i="23"/>
  <c r="CA51" i="23" s="1"/>
  <c r="F50" i="23"/>
  <c r="E50" i="23"/>
  <c r="D50" i="23"/>
  <c r="C50" i="23"/>
  <c r="B50" i="23"/>
  <c r="CA50" i="23" s="1"/>
  <c r="F49" i="23"/>
  <c r="E49" i="23"/>
  <c r="D49" i="23"/>
  <c r="C49" i="23"/>
  <c r="B49" i="23"/>
  <c r="CA49" i="23" s="1"/>
  <c r="F48" i="23"/>
  <c r="E48" i="23"/>
  <c r="D48" i="23"/>
  <c r="C48" i="23"/>
  <c r="B48" i="23"/>
  <c r="CA48" i="23" s="1"/>
  <c r="F47" i="23"/>
  <c r="E47" i="23"/>
  <c r="D47" i="23"/>
  <c r="C47" i="23"/>
  <c r="B47" i="23"/>
  <c r="CA47" i="23" s="1"/>
  <c r="F46" i="23"/>
  <c r="E46" i="23"/>
  <c r="D46" i="23"/>
  <c r="C46" i="23"/>
  <c r="B46" i="23"/>
  <c r="CA46" i="23" s="1"/>
  <c r="F45" i="23"/>
  <c r="E45" i="23"/>
  <c r="D45" i="23"/>
  <c r="C45" i="23"/>
  <c r="B45" i="23"/>
  <c r="CA45" i="23" s="1"/>
  <c r="F44" i="23"/>
  <c r="E44" i="23"/>
  <c r="D44" i="23"/>
  <c r="C44" i="23"/>
  <c r="B44" i="23"/>
  <c r="CA44" i="23" s="1"/>
  <c r="F43" i="23"/>
  <c r="E43" i="23"/>
  <c r="D43" i="23"/>
  <c r="C43" i="23"/>
  <c r="B43" i="23"/>
  <c r="CA43" i="23" s="1"/>
  <c r="F42" i="23"/>
  <c r="E42" i="23"/>
  <c r="D42" i="23"/>
  <c r="C42" i="23"/>
  <c r="B42" i="23"/>
  <c r="CA42" i="23" s="1"/>
  <c r="F41" i="23"/>
  <c r="E41" i="23"/>
  <c r="D41" i="23"/>
  <c r="C41" i="23"/>
  <c r="B41" i="23"/>
  <c r="CA41" i="23" s="1"/>
  <c r="F40" i="23"/>
  <c r="E40" i="23"/>
  <c r="D40" i="23"/>
  <c r="C40" i="23"/>
  <c r="B40" i="23"/>
  <c r="CA40" i="23" s="1"/>
  <c r="F39" i="23"/>
  <c r="E39" i="23"/>
  <c r="D39" i="23"/>
  <c r="C39" i="23"/>
  <c r="B39" i="23"/>
  <c r="CA39" i="23" s="1"/>
  <c r="F38" i="23"/>
  <c r="E38" i="23"/>
  <c r="D38" i="23"/>
  <c r="C38" i="23"/>
  <c r="B38" i="23"/>
  <c r="CA38" i="23" s="1"/>
  <c r="F37" i="23"/>
  <c r="E37" i="23"/>
  <c r="D37" i="23"/>
  <c r="C37" i="23"/>
  <c r="B37" i="23"/>
  <c r="CA37" i="23" s="1"/>
  <c r="F36" i="23"/>
  <c r="E36" i="23"/>
  <c r="D36" i="23"/>
  <c r="C36" i="23"/>
  <c r="B36" i="23"/>
  <c r="CA36" i="23" s="1"/>
  <c r="F35" i="23"/>
  <c r="E35" i="23"/>
  <c r="D35" i="23"/>
  <c r="C35" i="23"/>
  <c r="B35" i="23"/>
  <c r="CA35" i="23" s="1"/>
  <c r="F34" i="23"/>
  <c r="E34" i="23"/>
  <c r="D34" i="23"/>
  <c r="C34" i="23"/>
  <c r="B34" i="23"/>
  <c r="CA34" i="23" s="1"/>
  <c r="F33" i="23"/>
  <c r="E33" i="23"/>
  <c r="D33" i="23"/>
  <c r="C33" i="23"/>
  <c r="B33" i="23"/>
  <c r="CA33" i="23" s="1"/>
  <c r="F32" i="23"/>
  <c r="E32" i="23"/>
  <c r="D32" i="23"/>
  <c r="C32" i="23"/>
  <c r="B32" i="23"/>
  <c r="CA32" i="23" s="1"/>
  <c r="F31" i="23"/>
  <c r="E31" i="23"/>
  <c r="D31" i="23"/>
  <c r="C31" i="23"/>
  <c r="B31" i="23"/>
  <c r="CA31" i="23" s="1"/>
  <c r="F30" i="23"/>
  <c r="E30" i="23"/>
  <c r="D30" i="23"/>
  <c r="C30" i="23"/>
  <c r="B30" i="23"/>
  <c r="CA30" i="23" s="1"/>
  <c r="F29" i="23"/>
  <c r="E29" i="23"/>
  <c r="D29" i="23"/>
  <c r="C29" i="23"/>
  <c r="B29" i="23"/>
  <c r="CA29" i="23" s="1"/>
  <c r="F28" i="23"/>
  <c r="E28" i="23"/>
  <c r="D28" i="23"/>
  <c r="C28" i="23"/>
  <c r="B28" i="23"/>
  <c r="CA28" i="23" s="1"/>
  <c r="F27" i="23"/>
  <c r="E27" i="23"/>
  <c r="D27" i="23"/>
  <c r="C27" i="23"/>
  <c r="B27" i="23"/>
  <c r="CA27" i="23" s="1"/>
  <c r="F26" i="23"/>
  <c r="E26" i="23"/>
  <c r="D26" i="23"/>
  <c r="C26" i="23"/>
  <c r="B26" i="23"/>
  <c r="CA26" i="23" s="1"/>
  <c r="F25" i="23"/>
  <c r="E25" i="23"/>
  <c r="D25" i="23"/>
  <c r="C25" i="23"/>
  <c r="B25" i="23"/>
  <c r="CA25" i="23" s="1"/>
  <c r="F24" i="23"/>
  <c r="E24" i="23"/>
  <c r="D24" i="23"/>
  <c r="C24" i="23"/>
  <c r="B24" i="23"/>
  <c r="CA24" i="23" s="1"/>
  <c r="F23" i="23"/>
  <c r="E23" i="23"/>
  <c r="D23" i="23"/>
  <c r="C23" i="23"/>
  <c r="B23" i="23"/>
  <c r="CA23" i="23" s="1"/>
  <c r="F22" i="23"/>
  <c r="E22" i="23"/>
  <c r="D22" i="23"/>
  <c r="C22" i="23"/>
  <c r="B22" i="23"/>
  <c r="CA22" i="23" s="1"/>
  <c r="F21" i="23"/>
  <c r="E21" i="23"/>
  <c r="D21" i="23"/>
  <c r="C21" i="23"/>
  <c r="B21" i="23"/>
  <c r="CA21" i="23" s="1"/>
  <c r="F20" i="23"/>
  <c r="E20" i="23"/>
  <c r="D20" i="23"/>
  <c r="C20" i="23"/>
  <c r="B20" i="23"/>
  <c r="CA20" i="23" s="1"/>
  <c r="F19" i="23"/>
  <c r="E19" i="23"/>
  <c r="D19" i="23"/>
  <c r="C19" i="23"/>
  <c r="B19" i="23"/>
  <c r="CA19" i="23" s="1"/>
  <c r="F18" i="23"/>
  <c r="E18" i="23"/>
  <c r="D18" i="23"/>
  <c r="C18" i="23"/>
  <c r="B18" i="23"/>
  <c r="CA18" i="23" s="1"/>
  <c r="F17" i="23"/>
  <c r="E17" i="23"/>
  <c r="D17" i="23"/>
  <c r="C17" i="23"/>
  <c r="B17" i="23"/>
  <c r="CA17" i="23" s="1"/>
  <c r="F16" i="23"/>
  <c r="E16" i="23"/>
  <c r="D16" i="23"/>
  <c r="C16" i="23"/>
  <c r="B16" i="23"/>
  <c r="CA16" i="23" s="1"/>
  <c r="F15" i="23"/>
  <c r="E15" i="23"/>
  <c r="D15" i="23"/>
  <c r="C15" i="23"/>
  <c r="B15" i="23"/>
  <c r="CA15" i="23" s="1"/>
  <c r="F14" i="23"/>
  <c r="E14" i="23"/>
  <c r="D14" i="23"/>
  <c r="C14" i="23"/>
  <c r="B14" i="23"/>
  <c r="CA14" i="23" s="1"/>
  <c r="F13" i="23"/>
  <c r="E13" i="23"/>
  <c r="D13" i="23"/>
  <c r="C13" i="23"/>
  <c r="B13" i="23"/>
  <c r="CA13" i="23" s="1"/>
  <c r="F12" i="23"/>
  <c r="E12" i="23"/>
  <c r="D12" i="23"/>
  <c r="C12" i="23"/>
  <c r="B12" i="23"/>
  <c r="CA12" i="23" s="1"/>
  <c r="F11" i="23"/>
  <c r="E11" i="23"/>
  <c r="D11" i="23"/>
  <c r="C11" i="23"/>
  <c r="B11" i="23"/>
  <c r="CA11" i="23" s="1"/>
  <c r="F10" i="23"/>
  <c r="E10" i="23"/>
  <c r="D10" i="23"/>
  <c r="C10" i="23"/>
  <c r="B10" i="23"/>
  <c r="CA10" i="23" s="1"/>
  <c r="AY66" i="22"/>
  <c r="AZ66" i="22" s="1"/>
  <c r="AO64" i="22"/>
  <c r="AP64" i="22" s="1"/>
  <c r="Y64" i="22"/>
  <c r="Z64" i="22" s="1"/>
  <c r="I64" i="22"/>
  <c r="O61" i="22"/>
  <c r="BH60" i="22"/>
  <c r="BC60" i="22"/>
  <c r="BD60" i="22" s="1"/>
  <c r="BA60" i="22"/>
  <c r="BB60" i="22" s="1"/>
  <c r="AW60" i="22"/>
  <c r="AX60" i="22" s="1"/>
  <c r="AU60" i="22"/>
  <c r="AV60" i="22" s="1"/>
  <c r="AS60" i="22"/>
  <c r="AT60" i="22" s="1"/>
  <c r="AO60" i="22"/>
  <c r="AP60" i="22" s="1"/>
  <c r="AM60" i="22"/>
  <c r="AN60" i="22" s="1"/>
  <c r="AK60" i="22"/>
  <c r="AL60" i="22" s="1"/>
  <c r="AF60" i="22"/>
  <c r="AA60" i="22"/>
  <c r="AB60" i="22" s="1"/>
  <c r="Y60" i="22"/>
  <c r="Z60" i="22" s="1"/>
  <c r="U60" i="22"/>
  <c r="S60" i="22"/>
  <c r="Q60" i="22"/>
  <c r="M60" i="22"/>
  <c r="K60" i="22"/>
  <c r="I60" i="22"/>
  <c r="BF60" i="22"/>
  <c r="BG60" i="22" s="1"/>
  <c r="K59" i="22"/>
  <c r="L59" i="22" s="1"/>
  <c r="CA56" i="22"/>
  <c r="BC56" i="22"/>
  <c r="BD56" i="22" s="1"/>
  <c r="BA56" i="22"/>
  <c r="BB56" i="22" s="1"/>
  <c r="AY56" i="22"/>
  <c r="AZ56" i="22" s="1"/>
  <c r="AU56" i="22"/>
  <c r="AV56" i="22" s="1"/>
  <c r="AS56" i="22"/>
  <c r="AT56" i="22" s="1"/>
  <c r="AQ56" i="22"/>
  <c r="AR56" i="22" s="1"/>
  <c r="AM56" i="22"/>
  <c r="AN56" i="22" s="1"/>
  <c r="AK56" i="22"/>
  <c r="AL56" i="22" s="1"/>
  <c r="AI56" i="22"/>
  <c r="AJ56" i="22" s="1"/>
  <c r="AA56" i="22"/>
  <c r="AB56" i="22" s="1"/>
  <c r="Y56" i="22"/>
  <c r="Z56" i="22" s="1"/>
  <c r="W56" i="22"/>
  <c r="X56" i="22" s="1"/>
  <c r="S56" i="22"/>
  <c r="Q56" i="22"/>
  <c r="R56" i="22" s="1"/>
  <c r="O56" i="22"/>
  <c r="K56" i="22"/>
  <c r="I56" i="22"/>
  <c r="J56" i="22" s="1"/>
  <c r="G56" i="22"/>
  <c r="CA52" i="22"/>
  <c r="CA48" i="22"/>
  <c r="CA44" i="22"/>
  <c r="CA36" i="22"/>
  <c r="CA32" i="22"/>
  <c r="CA28" i="22"/>
  <c r="CA24" i="22"/>
  <c r="CA20" i="22"/>
  <c r="CA16" i="22"/>
  <c r="CA9" i="22"/>
  <c r="F67" i="21"/>
  <c r="E67" i="21"/>
  <c r="D67" i="21"/>
  <c r="C67" i="21"/>
  <c r="B67" i="21"/>
  <c r="CA67" i="21" s="1"/>
  <c r="F66" i="21"/>
  <c r="E66" i="21"/>
  <c r="D66" i="21"/>
  <c r="C66" i="21"/>
  <c r="B66" i="21"/>
  <c r="BF66" i="21" s="1"/>
  <c r="F65" i="21"/>
  <c r="E65" i="21"/>
  <c r="D65" i="21"/>
  <c r="C65" i="21"/>
  <c r="B65" i="21"/>
  <c r="AY65" i="21" s="1"/>
  <c r="AZ65" i="21" s="1"/>
  <c r="F64" i="21"/>
  <c r="E64" i="21"/>
  <c r="D64" i="21"/>
  <c r="C64" i="21"/>
  <c r="B64" i="21"/>
  <c r="BA64" i="21" s="1"/>
  <c r="BB64" i="21" s="1"/>
  <c r="F63" i="21"/>
  <c r="E63" i="21"/>
  <c r="D63" i="21"/>
  <c r="C63" i="21"/>
  <c r="B63" i="21"/>
  <c r="AA63" i="21" s="1"/>
  <c r="AB63" i="21" s="1"/>
  <c r="F62" i="21"/>
  <c r="E62" i="21"/>
  <c r="D62" i="21"/>
  <c r="C62" i="21"/>
  <c r="B62" i="21"/>
  <c r="AW62" i="21" s="1"/>
  <c r="AX62" i="21" s="1"/>
  <c r="F61" i="21"/>
  <c r="E61" i="21"/>
  <c r="D61" i="21"/>
  <c r="C61" i="21"/>
  <c r="B61" i="21"/>
  <c r="CA61" i="21" s="1"/>
  <c r="F60" i="21"/>
  <c r="E60" i="21"/>
  <c r="D60" i="21"/>
  <c r="C60" i="21"/>
  <c r="B60" i="21"/>
  <c r="BF60" i="21" s="1"/>
  <c r="F59" i="21"/>
  <c r="E59" i="21"/>
  <c r="D59" i="21"/>
  <c r="C59" i="21"/>
  <c r="B59" i="21"/>
  <c r="BC59" i="21" s="1"/>
  <c r="BD59" i="21" s="1"/>
  <c r="F58" i="21"/>
  <c r="E58" i="21"/>
  <c r="D58" i="21"/>
  <c r="C58" i="21"/>
  <c r="B58" i="21"/>
  <c r="CA58" i="21" s="1"/>
  <c r="F57" i="21"/>
  <c r="E57" i="21"/>
  <c r="D57" i="21"/>
  <c r="C57" i="21"/>
  <c r="B57" i="21"/>
  <c r="BC57" i="21" s="1"/>
  <c r="BD57" i="21" s="1"/>
  <c r="F56" i="21"/>
  <c r="E56" i="21"/>
  <c r="D56" i="21"/>
  <c r="C56" i="21"/>
  <c r="B56" i="21"/>
  <c r="AK56" i="21" s="1"/>
  <c r="AL56" i="21" s="1"/>
  <c r="F55" i="21"/>
  <c r="E55" i="21"/>
  <c r="D55" i="21"/>
  <c r="C55" i="21"/>
  <c r="B55" i="21"/>
  <c r="CA55" i="21" s="1"/>
  <c r="F54" i="21"/>
  <c r="E54" i="21"/>
  <c r="D54" i="21"/>
  <c r="C54" i="21"/>
  <c r="B54" i="21"/>
  <c r="AQ54" i="21" s="1"/>
  <c r="AR54" i="21" s="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CA10" i="21"/>
  <c r="CA10" i="20"/>
  <c r="CA11" i="20"/>
  <c r="CA12" i="20"/>
  <c r="CA13" i="20"/>
  <c r="CA14" i="20"/>
  <c r="CA15" i="20"/>
  <c r="CA16" i="20"/>
  <c r="CA17" i="20"/>
  <c r="CA18" i="20"/>
  <c r="CA19" i="20"/>
  <c r="CA20" i="20"/>
  <c r="CA21" i="20"/>
  <c r="CA22" i="20"/>
  <c r="CA23" i="20"/>
  <c r="CA24" i="20"/>
  <c r="CA25" i="20"/>
  <c r="CA26" i="20"/>
  <c r="CA27" i="20"/>
  <c r="CA28" i="20"/>
  <c r="CA29" i="20"/>
  <c r="CA30" i="20"/>
  <c r="CA31" i="20"/>
  <c r="CA32" i="20"/>
  <c r="CA33" i="20"/>
  <c r="CA34" i="20"/>
  <c r="CA35" i="20"/>
  <c r="CA36" i="20"/>
  <c r="CA37" i="20"/>
  <c r="CA38" i="20"/>
  <c r="CA39" i="20"/>
  <c r="CA40" i="20"/>
  <c r="CA41" i="20"/>
  <c r="CA42" i="20"/>
  <c r="CA43" i="20"/>
  <c r="CA44" i="20"/>
  <c r="CA45" i="20"/>
  <c r="CA46" i="20"/>
  <c r="CA47" i="20"/>
  <c r="CA48" i="20"/>
  <c r="CA49" i="20"/>
  <c r="CA50" i="20"/>
  <c r="CA51" i="20"/>
  <c r="CA52" i="20"/>
  <c r="CA53" i="20"/>
  <c r="IS14" i="12"/>
  <c r="F67" i="20"/>
  <c r="E67" i="20"/>
  <c r="C67" i="20"/>
  <c r="B67" i="20"/>
  <c r="F66" i="20"/>
  <c r="E66" i="20"/>
  <c r="C66" i="20"/>
  <c r="B66" i="20"/>
  <c r="BA66" i="20" s="1"/>
  <c r="BB66" i="20" s="1"/>
  <c r="F65" i="20"/>
  <c r="E65" i="20"/>
  <c r="C65" i="20"/>
  <c r="B65" i="20"/>
  <c r="F64" i="20"/>
  <c r="E64" i="20"/>
  <c r="C64" i="20"/>
  <c r="B64" i="20"/>
  <c r="I64" i="20" s="1"/>
  <c r="F63" i="20"/>
  <c r="E63" i="20"/>
  <c r="C63" i="20"/>
  <c r="B63" i="20"/>
  <c r="M63" i="20" s="1"/>
  <c r="F62" i="20"/>
  <c r="E62" i="20"/>
  <c r="C62" i="20"/>
  <c r="B62" i="20"/>
  <c r="BH62" i="20" s="1"/>
  <c r="F61" i="20"/>
  <c r="E61" i="20"/>
  <c r="C61" i="20"/>
  <c r="B61" i="20"/>
  <c r="AF61" i="20" s="1"/>
  <c r="F60" i="20"/>
  <c r="E60" i="20"/>
  <c r="C60" i="20"/>
  <c r="B60" i="20"/>
  <c r="M60" i="20" s="1"/>
  <c r="F59" i="20"/>
  <c r="E59" i="20"/>
  <c r="C59" i="20"/>
  <c r="B59" i="20"/>
  <c r="BF59" i="20" s="1"/>
  <c r="F58" i="20"/>
  <c r="E58" i="20"/>
  <c r="C58" i="20"/>
  <c r="B58" i="20"/>
  <c r="K58" i="20" s="1"/>
  <c r="F57" i="20"/>
  <c r="E57" i="20"/>
  <c r="C57" i="20"/>
  <c r="B57" i="20"/>
  <c r="F56" i="20"/>
  <c r="E56" i="20"/>
  <c r="C56" i="20"/>
  <c r="B56" i="20"/>
  <c r="CA56" i="20" s="1"/>
  <c r="F55" i="20"/>
  <c r="E55" i="20"/>
  <c r="C55" i="20"/>
  <c r="B55" i="20"/>
  <c r="G55" i="20" s="1"/>
  <c r="H55" i="20" s="1"/>
  <c r="F54" i="20"/>
  <c r="E54" i="20"/>
  <c r="C54" i="20"/>
  <c r="B54" i="20"/>
  <c r="AO61" i="22" l="1"/>
  <c r="AP61" i="22" s="1"/>
  <c r="AY61" i="22"/>
  <c r="AZ61" i="22" s="1"/>
  <c r="BF56" i="22"/>
  <c r="BG56" i="22" s="1"/>
  <c r="M56" i="22"/>
  <c r="N56" i="22" s="1"/>
  <c r="U56" i="22"/>
  <c r="V56" i="22" s="1"/>
  <c r="AF56" i="22"/>
  <c r="AO56" i="22"/>
  <c r="AP56" i="22" s="1"/>
  <c r="AW56" i="22"/>
  <c r="AX56" i="22" s="1"/>
  <c r="G60" i="22"/>
  <c r="O60" i="22"/>
  <c r="W60" i="22"/>
  <c r="X60" i="22" s="1"/>
  <c r="AI60" i="22"/>
  <c r="AJ60" i="22" s="1"/>
  <c r="AQ60" i="22"/>
  <c r="AR60" i="22" s="1"/>
  <c r="AY60" i="22"/>
  <c r="AZ60" i="22" s="1"/>
  <c r="AW62" i="22"/>
  <c r="AX62" i="22" s="1"/>
  <c r="BF66" i="22"/>
  <c r="JI15" i="11"/>
  <c r="JY15" i="11"/>
  <c r="AS57" i="22"/>
  <c r="AT57" i="22" s="1"/>
  <c r="G61" i="22"/>
  <c r="H61" i="22" s="1"/>
  <c r="AF62" i="22"/>
  <c r="AF55" i="22"/>
  <c r="W58" i="22"/>
  <c r="X58" i="22" s="1"/>
  <c r="S66" i="22"/>
  <c r="T66" i="22" s="1"/>
  <c r="AK67" i="22"/>
  <c r="AL67" i="22" s="1"/>
  <c r="BF58" i="22"/>
  <c r="BG58" i="22" s="1"/>
  <c r="M62" i="22"/>
  <c r="N62" i="22" s="1"/>
  <c r="AI66" i="22"/>
  <c r="AJ66" i="22" s="1"/>
  <c r="AU55" i="22"/>
  <c r="AV55" i="22" s="1"/>
  <c r="AA59" i="22"/>
  <c r="AB59" i="22" s="1"/>
  <c r="I63" i="22"/>
  <c r="J63" i="22" s="1"/>
  <c r="I67" i="22"/>
  <c r="J67" i="22" s="1"/>
  <c r="BA67" i="22"/>
  <c r="BB67" i="22" s="1"/>
  <c r="CA55" i="22"/>
  <c r="AQ59" i="22"/>
  <c r="AR59" i="22" s="1"/>
  <c r="Q67" i="22"/>
  <c r="R67" i="22" s="1"/>
  <c r="O55" i="22"/>
  <c r="BH59" i="22"/>
  <c r="Y67" i="22"/>
  <c r="Z67" i="22" s="1"/>
  <c r="BF55" i="22"/>
  <c r="BI55" i="22" s="1"/>
  <c r="BJ55" i="22" s="1"/>
  <c r="S55" i="22"/>
  <c r="T55" i="22" s="1"/>
  <c r="AI55" i="22"/>
  <c r="AJ55" i="22" s="1"/>
  <c r="AY55" i="22"/>
  <c r="AZ55" i="22" s="1"/>
  <c r="O59" i="22"/>
  <c r="P59" i="22" s="1"/>
  <c r="AF59" i="22"/>
  <c r="AU59" i="22"/>
  <c r="AV59" i="22" s="1"/>
  <c r="CA59" i="22"/>
  <c r="Y63" i="22"/>
  <c r="Z63" i="22" s="1"/>
  <c r="K67" i="22"/>
  <c r="L67" i="22" s="1"/>
  <c r="S67" i="22"/>
  <c r="T67" i="22" s="1"/>
  <c r="AA67" i="22"/>
  <c r="AB67" i="22" s="1"/>
  <c r="AO67" i="22"/>
  <c r="AP67" i="22" s="1"/>
  <c r="BH67" i="22"/>
  <c r="G55" i="22"/>
  <c r="BK55" i="22" s="1"/>
  <c r="BL55" i="22" s="1"/>
  <c r="W55" i="22"/>
  <c r="X55" i="22" s="1"/>
  <c r="AM55" i="22"/>
  <c r="AN55" i="22" s="1"/>
  <c r="BC55" i="22"/>
  <c r="BD55" i="22" s="1"/>
  <c r="BF59" i="22"/>
  <c r="BG59" i="22" s="1"/>
  <c r="S59" i="22"/>
  <c r="T59" i="22" s="1"/>
  <c r="AI59" i="22"/>
  <c r="AY59" i="22"/>
  <c r="AZ59" i="22" s="1"/>
  <c r="AD63" i="22"/>
  <c r="AE63" i="22" s="1"/>
  <c r="CA67" i="22"/>
  <c r="M67" i="22"/>
  <c r="N67" i="22" s="1"/>
  <c r="U67" i="22"/>
  <c r="V67" i="22" s="1"/>
  <c r="AF67" i="22"/>
  <c r="AS67" i="22"/>
  <c r="AT67" i="22" s="1"/>
  <c r="K55" i="22"/>
  <c r="AA55" i="22"/>
  <c r="AB55" i="22" s="1"/>
  <c r="AQ55" i="22"/>
  <c r="AR55" i="22" s="1"/>
  <c r="G59" i="22"/>
  <c r="H59" i="22" s="1"/>
  <c r="W59" i="22"/>
  <c r="X59" i="22" s="1"/>
  <c r="AM59" i="22"/>
  <c r="AN59" i="22" s="1"/>
  <c r="G67" i="22"/>
  <c r="H67" i="22" s="1"/>
  <c r="O67" i="22"/>
  <c r="P67" i="22" s="1"/>
  <c r="W67" i="22"/>
  <c r="X67" i="22" s="1"/>
  <c r="AI67" i="22"/>
  <c r="AJ67" i="22" s="1"/>
  <c r="G59" i="21"/>
  <c r="H59" i="21" s="1"/>
  <c r="AI66" i="23"/>
  <c r="AJ66" i="23" s="1"/>
  <c r="AY58" i="22"/>
  <c r="AZ58" i="22" s="1"/>
  <c r="AM58" i="22"/>
  <c r="AN58" i="22" s="1"/>
  <c r="CA58" i="22"/>
  <c r="Q62" i="22"/>
  <c r="R62" i="22" s="1"/>
  <c r="AK62" i="22"/>
  <c r="AL62" i="22" s="1"/>
  <c r="BA62" i="22"/>
  <c r="BB62" i="22" s="1"/>
  <c r="G66" i="22"/>
  <c r="H66" i="22" s="1"/>
  <c r="W66" i="22"/>
  <c r="X66" i="22" s="1"/>
  <c r="AM66" i="22"/>
  <c r="AN66" i="22" s="1"/>
  <c r="BC66" i="22"/>
  <c r="BD66" i="22" s="1"/>
  <c r="G58" i="22"/>
  <c r="H58" i="22" s="1"/>
  <c r="AU58" i="22"/>
  <c r="AV58" i="22" s="1"/>
  <c r="W61" i="22"/>
  <c r="X61" i="22" s="1"/>
  <c r="CA62" i="22"/>
  <c r="U62" i="22"/>
  <c r="V62" i="22" s="1"/>
  <c r="AO62" i="22"/>
  <c r="AP62" i="22" s="1"/>
  <c r="BH62" i="22"/>
  <c r="K65" i="22"/>
  <c r="L65" i="22" s="1"/>
  <c r="K66" i="22"/>
  <c r="L66" i="22" s="1"/>
  <c r="AA66" i="22"/>
  <c r="AB66" i="22" s="1"/>
  <c r="AQ66" i="22"/>
  <c r="AR66" i="22" s="1"/>
  <c r="BH66" i="22"/>
  <c r="BI66" i="22" s="1"/>
  <c r="BJ66" i="22" s="1"/>
  <c r="O58" i="22"/>
  <c r="P58" i="22" s="1"/>
  <c r="AI61" i="22"/>
  <c r="AJ61" i="22" s="1"/>
  <c r="I62" i="22"/>
  <c r="BM62" i="22" s="1"/>
  <c r="BN62" i="22" s="1"/>
  <c r="Y62" i="22"/>
  <c r="Z62" i="22" s="1"/>
  <c r="AQ65" i="22"/>
  <c r="AR65" i="22" s="1"/>
  <c r="O66" i="22"/>
  <c r="P66" i="22" s="1"/>
  <c r="AF66" i="22"/>
  <c r="AU66" i="22"/>
  <c r="AV66" i="22" s="1"/>
  <c r="BK56" i="22"/>
  <c r="BL56" i="22" s="1"/>
  <c r="MY15" i="11"/>
  <c r="OE15" i="11" s="1"/>
  <c r="Q66" i="21"/>
  <c r="R66" i="21" s="1"/>
  <c r="M61" i="23"/>
  <c r="N61" i="23" s="1"/>
  <c r="I64" i="23"/>
  <c r="J64" i="23" s="1"/>
  <c r="G58" i="21"/>
  <c r="H58" i="21" s="1"/>
  <c r="O60" i="21"/>
  <c r="P60" i="21" s="1"/>
  <c r="BA56" i="21"/>
  <c r="BB56" i="21" s="1"/>
  <c r="O58" i="21"/>
  <c r="P58" i="21" s="1"/>
  <c r="K59" i="21"/>
  <c r="L59" i="21" s="1"/>
  <c r="AS66" i="21"/>
  <c r="AT66" i="21" s="1"/>
  <c r="M55" i="23"/>
  <c r="N55" i="23" s="1"/>
  <c r="AK64" i="23"/>
  <c r="AL64" i="23" s="1"/>
  <c r="Y59" i="20"/>
  <c r="Z59" i="20" s="1"/>
  <c r="AU58" i="21"/>
  <c r="AV58" i="21" s="1"/>
  <c r="BF65" i="21"/>
  <c r="BG65" i="21" s="1"/>
  <c r="Y55" i="23"/>
  <c r="Z55" i="23" s="1"/>
  <c r="I58" i="23"/>
  <c r="J58" i="23" s="1"/>
  <c r="K63" i="23"/>
  <c r="L63" i="23" s="1"/>
  <c r="CA59" i="20"/>
  <c r="G60" i="21"/>
  <c r="H60" i="21" s="1"/>
  <c r="I67" i="21"/>
  <c r="J67" i="21" s="1"/>
  <c r="BA58" i="23"/>
  <c r="BB58" i="23" s="1"/>
  <c r="M55" i="21"/>
  <c r="N55" i="21" s="1"/>
  <c r="M61" i="21"/>
  <c r="N61" i="21" s="1"/>
  <c r="Y66" i="21"/>
  <c r="Z66" i="21" s="1"/>
  <c r="AU66" i="21"/>
  <c r="AV66" i="21" s="1"/>
  <c r="Y67" i="21"/>
  <c r="Z67" i="21" s="1"/>
  <c r="AW55" i="23"/>
  <c r="AX55" i="23" s="1"/>
  <c r="I57" i="23"/>
  <c r="J57" i="23" s="1"/>
  <c r="M58" i="23"/>
  <c r="N58" i="23" s="1"/>
  <c r="BA61" i="23"/>
  <c r="BB61" i="23" s="1"/>
  <c r="O63" i="23"/>
  <c r="P63" i="23" s="1"/>
  <c r="G67" i="23"/>
  <c r="H67" i="23" s="1"/>
  <c r="BA61" i="21"/>
  <c r="BB61" i="21" s="1"/>
  <c r="Q55" i="21"/>
  <c r="R55" i="21" s="1"/>
  <c r="M56" i="21"/>
  <c r="N56" i="21" s="1"/>
  <c r="BF58" i="21"/>
  <c r="BG58" i="21" s="1"/>
  <c r="AM59" i="21"/>
  <c r="AN59" i="21" s="1"/>
  <c r="AQ60" i="21"/>
  <c r="AR60" i="21" s="1"/>
  <c r="Q61" i="21"/>
  <c r="R61" i="21" s="1"/>
  <c r="Q62" i="21"/>
  <c r="R62" i="21" s="1"/>
  <c r="I66" i="21"/>
  <c r="J66" i="21" s="1"/>
  <c r="AA66" i="21"/>
  <c r="AB66" i="21" s="1"/>
  <c r="BA66" i="21"/>
  <c r="BB66" i="21" s="1"/>
  <c r="I55" i="23"/>
  <c r="J55" i="23" s="1"/>
  <c r="BA55" i="23"/>
  <c r="BB55" i="23" s="1"/>
  <c r="AF57" i="23"/>
  <c r="Y58" i="23"/>
  <c r="Z58" i="23" s="1"/>
  <c r="BA55" i="21"/>
  <c r="BB55" i="21" s="1"/>
  <c r="AS59" i="20"/>
  <c r="AT59" i="20" s="1"/>
  <c r="AW55" i="21"/>
  <c r="AX55" i="21" s="1"/>
  <c r="U56" i="21"/>
  <c r="V56" i="21" s="1"/>
  <c r="AY60" i="21"/>
  <c r="AZ60" i="21" s="1"/>
  <c r="AW61" i="21"/>
  <c r="AX61" i="21" s="1"/>
  <c r="AD62" i="21"/>
  <c r="AE62" i="21" s="1"/>
  <c r="W65" i="21"/>
  <c r="X65" i="21" s="1"/>
  <c r="K66" i="21"/>
  <c r="AK66" i="21"/>
  <c r="AL66" i="21" s="1"/>
  <c r="AW58" i="23"/>
  <c r="AX58" i="23" s="1"/>
  <c r="G54" i="21"/>
  <c r="H54" i="21" s="1"/>
  <c r="AA65" i="21"/>
  <c r="AB65" i="21" s="1"/>
  <c r="AK58" i="23"/>
  <c r="AL58" i="23" s="1"/>
  <c r="BF59" i="23"/>
  <c r="BG59" i="23" s="1"/>
  <c r="Q61" i="23"/>
  <c r="R61" i="23" s="1"/>
  <c r="AA63" i="23"/>
  <c r="AB63" i="23" s="1"/>
  <c r="K64" i="23"/>
  <c r="L64" i="23" s="1"/>
  <c r="AO64" i="23"/>
  <c r="AP64" i="23" s="1"/>
  <c r="K66" i="23"/>
  <c r="L66" i="23" s="1"/>
  <c r="AU66" i="23"/>
  <c r="AV66" i="23" s="1"/>
  <c r="AF67" i="23"/>
  <c r="W54" i="21"/>
  <c r="X54" i="21" s="1"/>
  <c r="AW54" i="21"/>
  <c r="AX54" i="21" s="1"/>
  <c r="AW64" i="21"/>
  <c r="AX64" i="21" s="1"/>
  <c r="AD62" i="20"/>
  <c r="AE62" i="20" s="1"/>
  <c r="AF54" i="21"/>
  <c r="AY54" i="21"/>
  <c r="AZ54" i="21" s="1"/>
  <c r="G64" i="21"/>
  <c r="H64" i="21" s="1"/>
  <c r="CA65" i="21"/>
  <c r="W55" i="20"/>
  <c r="X55" i="20" s="1"/>
  <c r="BH60" i="20"/>
  <c r="BC62" i="20"/>
  <c r="BD62" i="20" s="1"/>
  <c r="M54" i="21"/>
  <c r="N54" i="21" s="1"/>
  <c r="AI54" i="21"/>
  <c r="AJ54" i="21" s="1"/>
  <c r="CA54" i="21"/>
  <c r="AF55" i="21"/>
  <c r="W58" i="21"/>
  <c r="X58" i="21" s="1"/>
  <c r="AQ59" i="21"/>
  <c r="AR59" i="21" s="1"/>
  <c r="W60" i="21"/>
  <c r="X60" i="21" s="1"/>
  <c r="CA60" i="21"/>
  <c r="AF61" i="21"/>
  <c r="K63" i="21"/>
  <c r="L63" i="21" s="1"/>
  <c r="S64" i="21"/>
  <c r="T64" i="21" s="1"/>
  <c r="G65" i="21"/>
  <c r="H65" i="21" s="1"/>
  <c r="AQ65" i="21"/>
  <c r="AR65" i="21" s="1"/>
  <c r="S66" i="21"/>
  <c r="T66" i="21" s="1"/>
  <c r="AM66" i="21"/>
  <c r="AN66" i="21" s="1"/>
  <c r="BC66" i="21"/>
  <c r="BD66" i="21" s="1"/>
  <c r="AS67" i="21"/>
  <c r="AT67" i="21" s="1"/>
  <c r="AK55" i="23"/>
  <c r="AL55" i="23" s="1"/>
  <c r="AK61" i="23"/>
  <c r="AL61" i="23" s="1"/>
  <c r="AF63" i="23"/>
  <c r="Q64" i="23"/>
  <c r="R64" i="23" s="1"/>
  <c r="BA64" i="23"/>
  <c r="BB64" i="23" s="1"/>
  <c r="O66" i="23"/>
  <c r="P66" i="23" s="1"/>
  <c r="AY66" i="23"/>
  <c r="AZ66" i="23" s="1"/>
  <c r="O54" i="21"/>
  <c r="BS54" i="21" s="1"/>
  <c r="BT54" i="21" s="1"/>
  <c r="AK55" i="21"/>
  <c r="AL55" i="21" s="1"/>
  <c r="AK58" i="21"/>
  <c r="AL58" i="21" s="1"/>
  <c r="AI60" i="21"/>
  <c r="AK61" i="21"/>
  <c r="AL61" i="21" s="1"/>
  <c r="S63" i="21"/>
  <c r="T63" i="21" s="1"/>
  <c r="AD64" i="21"/>
  <c r="AE64" i="21" s="1"/>
  <c r="K65" i="21"/>
  <c r="L65" i="21" s="1"/>
  <c r="AU65" i="21"/>
  <c r="AV65" i="21" s="1"/>
  <c r="AO61" i="23"/>
  <c r="AP61" i="23" s="1"/>
  <c r="S64" i="23"/>
  <c r="T64" i="23" s="1"/>
  <c r="AA66" i="23"/>
  <c r="AB66" i="23" s="1"/>
  <c r="BF54" i="20"/>
  <c r="BG54" i="20" s="1"/>
  <c r="BA54" i="20"/>
  <c r="BB54" i="20" s="1"/>
  <c r="BF57" i="20"/>
  <c r="BG57" i="20" s="1"/>
  <c r="CA57" i="20"/>
  <c r="W57" i="20"/>
  <c r="X57" i="20" s="1"/>
  <c r="BH55" i="20"/>
  <c r="AS55" i="20"/>
  <c r="AT55" i="20" s="1"/>
  <c r="M55" i="20"/>
  <c r="N55" i="20" s="1"/>
  <c r="AA55" i="20"/>
  <c r="AB55" i="20" s="1"/>
  <c r="G57" i="20"/>
  <c r="H57" i="20" s="1"/>
  <c r="S58" i="20"/>
  <c r="T58" i="20" s="1"/>
  <c r="S57" i="21"/>
  <c r="T57" i="21" s="1"/>
  <c r="AS57" i="20"/>
  <c r="AT57" i="20" s="1"/>
  <c r="CA58" i="20"/>
  <c r="AM57" i="21"/>
  <c r="AN57" i="21" s="1"/>
  <c r="CA61" i="20"/>
  <c r="I61" i="20"/>
  <c r="J61" i="20" s="1"/>
  <c r="U61" i="20"/>
  <c r="V61" i="20" s="1"/>
  <c r="AQ55" i="20"/>
  <c r="AR55" i="20" s="1"/>
  <c r="AU58" i="20"/>
  <c r="AV58" i="20" s="1"/>
  <c r="BA61" i="20"/>
  <c r="BB61" i="20" s="1"/>
  <c r="K55" i="20"/>
  <c r="L55" i="20" s="1"/>
  <c r="BH57" i="20"/>
  <c r="AA64" i="20"/>
  <c r="AB64" i="20" s="1"/>
  <c r="AI64" i="20"/>
  <c r="AJ64" i="20" s="1"/>
  <c r="M66" i="20"/>
  <c r="N66" i="20" s="1"/>
  <c r="CA55" i="20"/>
  <c r="BF54" i="21"/>
  <c r="BA54" i="21"/>
  <c r="BB54" i="21" s="1"/>
  <c r="AS54" i="21"/>
  <c r="AT54" i="21" s="1"/>
  <c r="AK54" i="21"/>
  <c r="AL54" i="21" s="1"/>
  <c r="Y54" i="21"/>
  <c r="Z54" i="21" s="1"/>
  <c r="Q54" i="21"/>
  <c r="R54" i="21" s="1"/>
  <c r="I54" i="21"/>
  <c r="J54" i="21" s="1"/>
  <c r="BC54" i="21"/>
  <c r="BD54" i="21" s="1"/>
  <c r="AU54" i="21"/>
  <c r="AV54" i="21" s="1"/>
  <c r="AM54" i="21"/>
  <c r="AN54" i="21" s="1"/>
  <c r="AA54" i="21"/>
  <c r="AB54" i="21" s="1"/>
  <c r="S54" i="21"/>
  <c r="T54" i="21" s="1"/>
  <c r="K54" i="21"/>
  <c r="L54" i="21" s="1"/>
  <c r="U54" i="21"/>
  <c r="V54" i="21" s="1"/>
  <c r="AO54" i="21"/>
  <c r="AP54" i="21" s="1"/>
  <c r="BH54" i="21"/>
  <c r="CA54" i="20"/>
  <c r="BF57" i="21"/>
  <c r="BG57" i="21" s="1"/>
  <c r="AQ57" i="21"/>
  <c r="AR57" i="21" s="1"/>
  <c r="W57" i="21"/>
  <c r="X57" i="21" s="1"/>
  <c r="G57" i="21"/>
  <c r="H57" i="21" s="1"/>
  <c r="AY57" i="21"/>
  <c r="AZ57" i="21" s="1"/>
  <c r="AI57" i="21"/>
  <c r="AJ57" i="21" s="1"/>
  <c r="O57" i="21"/>
  <c r="P57" i="21" s="1"/>
  <c r="CA57" i="21"/>
  <c r="AU57" i="21"/>
  <c r="AV57" i="21" s="1"/>
  <c r="AA57" i="21"/>
  <c r="AB57" i="21" s="1"/>
  <c r="K57" i="21"/>
  <c r="L57" i="21" s="1"/>
  <c r="G59" i="20"/>
  <c r="H59" i="20" s="1"/>
  <c r="AW60" i="20"/>
  <c r="AX60" i="20" s="1"/>
  <c r="W62" i="20"/>
  <c r="X62" i="20" s="1"/>
  <c r="AA63" i="20"/>
  <c r="AB63" i="20" s="1"/>
  <c r="CA60" i="20"/>
  <c r="I55" i="21"/>
  <c r="J55" i="21" s="1"/>
  <c r="Y55" i="21"/>
  <c r="Z55" i="21" s="1"/>
  <c r="AS55" i="21"/>
  <c r="AT55" i="21" s="1"/>
  <c r="AS56" i="21"/>
  <c r="AT56" i="21" s="1"/>
  <c r="K58" i="21"/>
  <c r="L58" i="21" s="1"/>
  <c r="S58" i="21"/>
  <c r="T58" i="21" s="1"/>
  <c r="AD58" i="21"/>
  <c r="AE58" i="21" s="1"/>
  <c r="AO58" i="21"/>
  <c r="AP58" i="21" s="1"/>
  <c r="BA58" i="21"/>
  <c r="BB58" i="21" s="1"/>
  <c r="AF59" i="21"/>
  <c r="BH59" i="21"/>
  <c r="K60" i="21"/>
  <c r="L60" i="21" s="1"/>
  <c r="S60" i="21"/>
  <c r="T60" i="21" s="1"/>
  <c r="AA60" i="21"/>
  <c r="AB60" i="21" s="1"/>
  <c r="AM60" i="21"/>
  <c r="AN60" i="21" s="1"/>
  <c r="AU60" i="21"/>
  <c r="AV60" i="21" s="1"/>
  <c r="BC60" i="21"/>
  <c r="BD60" i="21" s="1"/>
  <c r="I61" i="21"/>
  <c r="J61" i="21" s="1"/>
  <c r="Y61" i="21"/>
  <c r="Z61" i="21" s="1"/>
  <c r="AS61" i="21"/>
  <c r="AT61" i="21" s="1"/>
  <c r="AS63" i="21"/>
  <c r="AT63" i="21" s="1"/>
  <c r="M64" i="21"/>
  <c r="N64" i="21" s="1"/>
  <c r="W64" i="21"/>
  <c r="X64" i="21" s="1"/>
  <c r="AO64" i="21"/>
  <c r="AP64" i="21" s="1"/>
  <c r="S65" i="21"/>
  <c r="T65" i="21" s="1"/>
  <c r="AM65" i="21"/>
  <c r="AN65" i="21" s="1"/>
  <c r="BC65" i="21"/>
  <c r="BD65" i="21" s="1"/>
  <c r="G66" i="21"/>
  <c r="H66" i="21" s="1"/>
  <c r="O66" i="21"/>
  <c r="P66" i="21" s="1"/>
  <c r="W66" i="21"/>
  <c r="X66" i="21" s="1"/>
  <c r="AI66" i="21"/>
  <c r="AJ66" i="21" s="1"/>
  <c r="AQ66" i="21"/>
  <c r="AR66" i="21" s="1"/>
  <c r="AY66" i="21"/>
  <c r="AZ66" i="21" s="1"/>
  <c r="CA66" i="21"/>
  <c r="Q67" i="21"/>
  <c r="R67" i="21" s="1"/>
  <c r="AK67" i="21"/>
  <c r="AL67" i="21" s="1"/>
  <c r="BA67" i="21"/>
  <c r="BB67" i="21" s="1"/>
  <c r="G54" i="23"/>
  <c r="H54" i="23" s="1"/>
  <c r="O54" i="23"/>
  <c r="P54" i="23" s="1"/>
  <c r="W54" i="23"/>
  <c r="X54" i="23" s="1"/>
  <c r="AF54" i="23"/>
  <c r="AM54" i="23"/>
  <c r="AN54" i="23" s="1"/>
  <c r="AU54" i="23"/>
  <c r="AV54" i="23" s="1"/>
  <c r="BH54" i="23"/>
  <c r="Q55" i="23"/>
  <c r="AO55" i="23"/>
  <c r="AP55" i="23" s="1"/>
  <c r="BH57" i="23"/>
  <c r="Q58" i="23"/>
  <c r="R58" i="23" s="1"/>
  <c r="AO58" i="23"/>
  <c r="AP58" i="23" s="1"/>
  <c r="I60" i="23"/>
  <c r="J60" i="23" s="1"/>
  <c r="Y60" i="23"/>
  <c r="Z60" i="23" s="1"/>
  <c r="AS60" i="23"/>
  <c r="AT60" i="23" s="1"/>
  <c r="U61" i="23"/>
  <c r="V61" i="23" s="1"/>
  <c r="AS61" i="23"/>
  <c r="AT61" i="23" s="1"/>
  <c r="S63" i="23"/>
  <c r="T63" i="23" s="1"/>
  <c r="M64" i="23"/>
  <c r="N64" i="23" s="1"/>
  <c r="U64" i="23"/>
  <c r="V64" i="23" s="1"/>
  <c r="AS64" i="23"/>
  <c r="AT64" i="23" s="1"/>
  <c r="S66" i="23"/>
  <c r="T66" i="23" s="1"/>
  <c r="AM66" i="23"/>
  <c r="AN66" i="23" s="1"/>
  <c r="BC66" i="23"/>
  <c r="BD66" i="23" s="1"/>
  <c r="K67" i="23"/>
  <c r="L67" i="23" s="1"/>
  <c r="BH67" i="23"/>
  <c r="M58" i="21"/>
  <c r="N58" i="21" s="1"/>
  <c r="U58" i="21"/>
  <c r="V58" i="21" s="1"/>
  <c r="AI58" i="21"/>
  <c r="AJ58" i="21" s="1"/>
  <c r="AS58" i="21"/>
  <c r="AT58" i="21" s="1"/>
  <c r="BC58" i="21"/>
  <c r="BD58" i="21" s="1"/>
  <c r="M60" i="21"/>
  <c r="N60" i="21" s="1"/>
  <c r="U60" i="21"/>
  <c r="V60" i="21" s="1"/>
  <c r="AF60" i="21"/>
  <c r="AO60" i="21"/>
  <c r="AP60" i="21" s="1"/>
  <c r="AW60" i="21"/>
  <c r="AX60" i="21" s="1"/>
  <c r="BH60" i="21"/>
  <c r="BI60" i="21" s="1"/>
  <c r="BJ60" i="21" s="1"/>
  <c r="O64" i="21"/>
  <c r="P64" i="21" s="1"/>
  <c r="Y64" i="21"/>
  <c r="Z64" i="21" s="1"/>
  <c r="AS64" i="21"/>
  <c r="AT64" i="21" s="1"/>
  <c r="U67" i="21"/>
  <c r="V67" i="21" s="1"/>
  <c r="AO67" i="21"/>
  <c r="AP67" i="21" s="1"/>
  <c r="BH67" i="21"/>
  <c r="I54" i="23"/>
  <c r="J54" i="23" s="1"/>
  <c r="Q54" i="23"/>
  <c r="R54" i="23" s="1"/>
  <c r="Y54" i="23"/>
  <c r="Z54" i="23" s="1"/>
  <c r="AI54" i="23"/>
  <c r="AJ54" i="23" s="1"/>
  <c r="AO54" i="23"/>
  <c r="AP54" i="23" s="1"/>
  <c r="AW54" i="23"/>
  <c r="AX54" i="23" s="1"/>
  <c r="U55" i="23"/>
  <c r="V55" i="23" s="1"/>
  <c r="AS55" i="23"/>
  <c r="AT55" i="23" s="1"/>
  <c r="U58" i="23"/>
  <c r="V58" i="23" s="1"/>
  <c r="AS58" i="23"/>
  <c r="AT58" i="23" s="1"/>
  <c r="M60" i="23"/>
  <c r="N60" i="23" s="1"/>
  <c r="AF60" i="23"/>
  <c r="AW60" i="23"/>
  <c r="AX60" i="23" s="1"/>
  <c r="I61" i="23"/>
  <c r="J61" i="23" s="1"/>
  <c r="Y61" i="23"/>
  <c r="Z61" i="23" s="1"/>
  <c r="AW61" i="23"/>
  <c r="AX61" i="23" s="1"/>
  <c r="G63" i="23"/>
  <c r="H63" i="23" s="1"/>
  <c r="W63" i="23"/>
  <c r="X63" i="23" s="1"/>
  <c r="G64" i="23"/>
  <c r="H64" i="23" s="1"/>
  <c r="O64" i="23"/>
  <c r="P64" i="23" s="1"/>
  <c r="Y64" i="23"/>
  <c r="Z64" i="23" s="1"/>
  <c r="AW64" i="23"/>
  <c r="AX64" i="23" s="1"/>
  <c r="G66" i="23"/>
  <c r="H66" i="23" s="1"/>
  <c r="W66" i="23"/>
  <c r="X66" i="23" s="1"/>
  <c r="AQ66" i="23"/>
  <c r="AR66" i="23" s="1"/>
  <c r="CA66" i="23"/>
  <c r="O67" i="23"/>
  <c r="P67" i="23" s="1"/>
  <c r="K54" i="23"/>
  <c r="S54" i="23"/>
  <c r="T54" i="23" s="1"/>
  <c r="AA54" i="23"/>
  <c r="AB54" i="23" s="1"/>
  <c r="AQ54" i="23"/>
  <c r="AR54" i="23" s="1"/>
  <c r="AY54" i="23"/>
  <c r="AZ54" i="23" s="1"/>
  <c r="Q60" i="23"/>
  <c r="AK60" i="23"/>
  <c r="AL60" i="23" s="1"/>
  <c r="BA60" i="23"/>
  <c r="BB60" i="23" s="1"/>
  <c r="S67" i="23"/>
  <c r="T67" i="23" s="1"/>
  <c r="U55" i="21"/>
  <c r="V55" i="21" s="1"/>
  <c r="AO55" i="21"/>
  <c r="AP55" i="21" s="1"/>
  <c r="BH55" i="21"/>
  <c r="I58" i="21"/>
  <c r="Q58" i="21"/>
  <c r="R58" i="21" s="1"/>
  <c r="Y58" i="21"/>
  <c r="Z58" i="21" s="1"/>
  <c r="AM58" i="21"/>
  <c r="AN58" i="21" s="1"/>
  <c r="AY58" i="21"/>
  <c r="AZ58" i="21" s="1"/>
  <c r="W59" i="21"/>
  <c r="X59" i="21" s="1"/>
  <c r="I60" i="21"/>
  <c r="J60" i="21" s="1"/>
  <c r="Q60" i="21"/>
  <c r="R60" i="21" s="1"/>
  <c r="Y60" i="21"/>
  <c r="Z60" i="21" s="1"/>
  <c r="AK60" i="21"/>
  <c r="AL60" i="21" s="1"/>
  <c r="AS60" i="21"/>
  <c r="AT60" i="21" s="1"/>
  <c r="BA60" i="21"/>
  <c r="BB60" i="21" s="1"/>
  <c r="U61" i="21"/>
  <c r="V61" i="21" s="1"/>
  <c r="AO61" i="21"/>
  <c r="AP61" i="21" s="1"/>
  <c r="BH61" i="21"/>
  <c r="I64" i="21"/>
  <c r="J64" i="21" s="1"/>
  <c r="U64" i="21"/>
  <c r="V64" i="21" s="1"/>
  <c r="AK64" i="21"/>
  <c r="AL64" i="21" s="1"/>
  <c r="O65" i="21"/>
  <c r="P65" i="21" s="1"/>
  <c r="AI65" i="21"/>
  <c r="AJ65" i="21" s="1"/>
  <c r="M66" i="21"/>
  <c r="N66" i="21" s="1"/>
  <c r="U66" i="21"/>
  <c r="V66" i="21" s="1"/>
  <c r="AF66" i="21"/>
  <c r="AO66" i="21"/>
  <c r="AP66" i="21" s="1"/>
  <c r="AW66" i="21"/>
  <c r="AX66" i="21" s="1"/>
  <c r="BH66" i="21"/>
  <c r="BI66" i="21" s="1"/>
  <c r="BJ66" i="21" s="1"/>
  <c r="M67" i="21"/>
  <c r="N67" i="21" s="1"/>
  <c r="AF67" i="21"/>
  <c r="AW67" i="21"/>
  <c r="AX67" i="21" s="1"/>
  <c r="M54" i="23"/>
  <c r="N54" i="23" s="1"/>
  <c r="U54" i="23"/>
  <c r="V54" i="23" s="1"/>
  <c r="AK54" i="23"/>
  <c r="AL54" i="23" s="1"/>
  <c r="AS54" i="23"/>
  <c r="AT54" i="23" s="1"/>
  <c r="BA54" i="23"/>
  <c r="BB54" i="23" s="1"/>
  <c r="U60" i="23"/>
  <c r="V60" i="23" s="1"/>
  <c r="AO60" i="23"/>
  <c r="AP60" i="23" s="1"/>
  <c r="BH60" i="23"/>
  <c r="M57" i="22"/>
  <c r="N57" i="22" s="1"/>
  <c r="BA57" i="22"/>
  <c r="BB57" i="22" s="1"/>
  <c r="I61" i="22"/>
  <c r="J61" i="22" s="1"/>
  <c r="Q61" i="22"/>
  <c r="R61" i="22" s="1"/>
  <c r="Y61" i="22"/>
  <c r="Z61" i="22" s="1"/>
  <c r="AQ61" i="22"/>
  <c r="AR61" i="22" s="1"/>
  <c r="BC61" i="22"/>
  <c r="BD61" i="22" s="1"/>
  <c r="S65" i="22"/>
  <c r="T65" i="22" s="1"/>
  <c r="AY65" i="22"/>
  <c r="AZ65" i="22" s="1"/>
  <c r="U57" i="22"/>
  <c r="V57" i="22" s="1"/>
  <c r="K61" i="22"/>
  <c r="S61" i="22"/>
  <c r="T61" i="22" s="1"/>
  <c r="AA61" i="22"/>
  <c r="AB61" i="22" s="1"/>
  <c r="AK61" i="22"/>
  <c r="AL61" i="22" s="1"/>
  <c r="AS61" i="22"/>
  <c r="AT61" i="22" s="1"/>
  <c r="BH61" i="22"/>
  <c r="AA65" i="22"/>
  <c r="AB65" i="22" s="1"/>
  <c r="BF65" i="22"/>
  <c r="BG65" i="22" s="1"/>
  <c r="BF61" i="22"/>
  <c r="M61" i="22"/>
  <c r="N61" i="22" s="1"/>
  <c r="U61" i="22"/>
  <c r="V61" i="22" s="1"/>
  <c r="AF61" i="22"/>
  <c r="AM61" i="22"/>
  <c r="AN61" i="22" s="1"/>
  <c r="AU61" i="22"/>
  <c r="AV61" i="22" s="1"/>
  <c r="BO60" i="22"/>
  <c r="BP60" i="22" s="1"/>
  <c r="BW60" i="22"/>
  <c r="BX60" i="22" s="1"/>
  <c r="BS56" i="22"/>
  <c r="BT56" i="22" s="1"/>
  <c r="BO56" i="22"/>
  <c r="BP56" i="22" s="1"/>
  <c r="BW56" i="22"/>
  <c r="BX56" i="22" s="1"/>
  <c r="L56" i="22"/>
  <c r="BM56" i="22"/>
  <c r="BN56" i="22" s="1"/>
  <c r="T56" i="22"/>
  <c r="H56" i="22"/>
  <c r="T60" i="22"/>
  <c r="BU56" i="22"/>
  <c r="BV56" i="22" s="1"/>
  <c r="P56" i="22"/>
  <c r="L60" i="22"/>
  <c r="BF56" i="23"/>
  <c r="AD56" i="23"/>
  <c r="W56" i="23"/>
  <c r="X56" i="23" s="1"/>
  <c r="AM56" i="23"/>
  <c r="AN56" i="23" s="1"/>
  <c r="AW56" i="23"/>
  <c r="AX56" i="23" s="1"/>
  <c r="CA56" i="23"/>
  <c r="AD55" i="23"/>
  <c r="BF55" i="23"/>
  <c r="G56" i="23"/>
  <c r="K56" i="23"/>
  <c r="O56" i="23"/>
  <c r="S56" i="23"/>
  <c r="AI56" i="23"/>
  <c r="AS56" i="23"/>
  <c r="AT56" i="23" s="1"/>
  <c r="AY56" i="23"/>
  <c r="AZ56" i="23" s="1"/>
  <c r="AE59" i="23"/>
  <c r="BA65" i="23"/>
  <c r="BB65" i="23" s="1"/>
  <c r="AW65" i="23"/>
  <c r="AX65" i="23" s="1"/>
  <c r="AS65" i="23"/>
  <c r="AT65" i="23" s="1"/>
  <c r="AO65" i="23"/>
  <c r="AP65" i="23" s="1"/>
  <c r="AK65" i="23"/>
  <c r="AL65" i="23" s="1"/>
  <c r="Y65" i="23"/>
  <c r="Z65" i="23" s="1"/>
  <c r="U65" i="23"/>
  <c r="Q65" i="23"/>
  <c r="M65" i="23"/>
  <c r="I65" i="23"/>
  <c r="BH65" i="23"/>
  <c r="AF65" i="23"/>
  <c r="CA65" i="23"/>
  <c r="BC65" i="23"/>
  <c r="BD65" i="23" s="1"/>
  <c r="AY65" i="23"/>
  <c r="AZ65" i="23" s="1"/>
  <c r="AU65" i="23"/>
  <c r="AV65" i="23" s="1"/>
  <c r="AQ65" i="23"/>
  <c r="AR65" i="23" s="1"/>
  <c r="AM65" i="23"/>
  <c r="AN65" i="23" s="1"/>
  <c r="AI65" i="23"/>
  <c r="AA65" i="23"/>
  <c r="AB65" i="23" s="1"/>
  <c r="W65" i="23"/>
  <c r="X65" i="23" s="1"/>
  <c r="S65" i="23"/>
  <c r="O65" i="23"/>
  <c r="K65" i="23"/>
  <c r="G65" i="23"/>
  <c r="AD65" i="23"/>
  <c r="BF65" i="23"/>
  <c r="BC56" i="23"/>
  <c r="BD56" i="23" s="1"/>
  <c r="AD54" i="23"/>
  <c r="BF54" i="23"/>
  <c r="G55" i="23"/>
  <c r="K55" i="23"/>
  <c r="O55" i="23"/>
  <c r="S55" i="23"/>
  <c r="W55" i="23"/>
  <c r="X55" i="23" s="1"/>
  <c r="AA55" i="23"/>
  <c r="AB55" i="23" s="1"/>
  <c r="AI55" i="23"/>
  <c r="AM55" i="23"/>
  <c r="AN55" i="23" s="1"/>
  <c r="AQ55" i="23"/>
  <c r="AR55" i="23" s="1"/>
  <c r="AU55" i="23"/>
  <c r="AV55" i="23" s="1"/>
  <c r="AY55" i="23"/>
  <c r="AZ55" i="23" s="1"/>
  <c r="BC55" i="23"/>
  <c r="BD55" i="23" s="1"/>
  <c r="CA55" i="23"/>
  <c r="Y56" i="23"/>
  <c r="Z56" i="23" s="1"/>
  <c r="AO56" i="23"/>
  <c r="AP56" i="23" s="1"/>
  <c r="AU56" i="23"/>
  <c r="AV56" i="23" s="1"/>
  <c r="BC54" i="23"/>
  <c r="BD54" i="23" s="1"/>
  <c r="AF55" i="23"/>
  <c r="I56" i="23"/>
  <c r="M56" i="23"/>
  <c r="Q56" i="23"/>
  <c r="U56" i="23"/>
  <c r="AA56" i="23"/>
  <c r="AB56" i="23" s="1"/>
  <c r="AF56" i="23"/>
  <c r="AK56" i="23"/>
  <c r="AL56" i="23" s="1"/>
  <c r="AQ56" i="23"/>
  <c r="AR56" i="23" s="1"/>
  <c r="BA56" i="23"/>
  <c r="BB56" i="23" s="1"/>
  <c r="BH56" i="23"/>
  <c r="BA59" i="23"/>
  <c r="BB59" i="23" s="1"/>
  <c r="AW59" i="23"/>
  <c r="AX59" i="23" s="1"/>
  <c r="AS59" i="23"/>
  <c r="AT59" i="23" s="1"/>
  <c r="AO59" i="23"/>
  <c r="AP59" i="23" s="1"/>
  <c r="AK59" i="23"/>
  <c r="AL59" i="23" s="1"/>
  <c r="Y59" i="23"/>
  <c r="Z59" i="23" s="1"/>
  <c r="U59" i="23"/>
  <c r="Q59" i="23"/>
  <c r="M59" i="23"/>
  <c r="I59" i="23"/>
  <c r="CA59" i="23"/>
  <c r="BH59" i="23"/>
  <c r="AF59" i="23"/>
  <c r="AG59" i="23" s="1"/>
  <c r="AH59" i="23" s="1"/>
  <c r="BC59" i="23"/>
  <c r="BD59" i="23" s="1"/>
  <c r="AY59" i="23"/>
  <c r="AZ59" i="23" s="1"/>
  <c r="AU59" i="23"/>
  <c r="AV59" i="23" s="1"/>
  <c r="AQ59" i="23"/>
  <c r="AR59" i="23" s="1"/>
  <c r="AM59" i="23"/>
  <c r="AN59" i="23" s="1"/>
  <c r="AI59" i="23"/>
  <c r="AA59" i="23"/>
  <c r="AB59" i="23" s="1"/>
  <c r="W59" i="23"/>
  <c r="X59" i="23" s="1"/>
  <c r="S59" i="23"/>
  <c r="O59" i="23"/>
  <c r="K59" i="23"/>
  <c r="G59" i="23"/>
  <c r="BA62" i="23"/>
  <c r="BB62" i="23" s="1"/>
  <c r="AW62" i="23"/>
  <c r="AX62" i="23" s="1"/>
  <c r="AS62" i="23"/>
  <c r="AT62" i="23" s="1"/>
  <c r="AO62" i="23"/>
  <c r="AP62" i="23" s="1"/>
  <c r="AK62" i="23"/>
  <c r="AL62" i="23" s="1"/>
  <c r="Y62" i="23"/>
  <c r="Z62" i="23" s="1"/>
  <c r="U62" i="23"/>
  <c r="Q62" i="23"/>
  <c r="M62" i="23"/>
  <c r="I62" i="23"/>
  <c r="BH62" i="23"/>
  <c r="AF62" i="23"/>
  <c r="CA62" i="23"/>
  <c r="BC62" i="23"/>
  <c r="BD62" i="23" s="1"/>
  <c r="AY62" i="23"/>
  <c r="AZ62" i="23" s="1"/>
  <c r="AU62" i="23"/>
  <c r="AV62" i="23" s="1"/>
  <c r="AQ62" i="23"/>
  <c r="AR62" i="23" s="1"/>
  <c r="AM62" i="23"/>
  <c r="AN62" i="23" s="1"/>
  <c r="AI62" i="23"/>
  <c r="AA62" i="23"/>
  <c r="AB62" i="23" s="1"/>
  <c r="W62" i="23"/>
  <c r="X62" i="23" s="1"/>
  <c r="S62" i="23"/>
  <c r="O62" i="23"/>
  <c r="K62" i="23"/>
  <c r="G62" i="23"/>
  <c r="AD62" i="23"/>
  <c r="BF62" i="23"/>
  <c r="M57" i="23"/>
  <c r="Q57" i="23"/>
  <c r="U57" i="23"/>
  <c r="Y57" i="23"/>
  <c r="Z57" i="23" s="1"/>
  <c r="AK57" i="23"/>
  <c r="AL57" i="23" s="1"/>
  <c r="AO57" i="23"/>
  <c r="AP57" i="23" s="1"/>
  <c r="AS57" i="23"/>
  <c r="AT57" i="23" s="1"/>
  <c r="AW57" i="23"/>
  <c r="AX57" i="23" s="1"/>
  <c r="BA57" i="23"/>
  <c r="BB57" i="23" s="1"/>
  <c r="AD58" i="23"/>
  <c r="BF58" i="23"/>
  <c r="AD57" i="23"/>
  <c r="BF57" i="23"/>
  <c r="G58" i="23"/>
  <c r="K58" i="23"/>
  <c r="O58" i="23"/>
  <c r="S58" i="23"/>
  <c r="W58" i="23"/>
  <c r="X58" i="23" s="1"/>
  <c r="AA58" i="23"/>
  <c r="AB58" i="23" s="1"/>
  <c r="AI58" i="23"/>
  <c r="AM58" i="23"/>
  <c r="AN58" i="23" s="1"/>
  <c r="AQ58" i="23"/>
  <c r="AR58" i="23" s="1"/>
  <c r="AU58" i="23"/>
  <c r="AV58" i="23" s="1"/>
  <c r="AY58" i="23"/>
  <c r="AZ58" i="23" s="1"/>
  <c r="BC58" i="23"/>
  <c r="BD58" i="23" s="1"/>
  <c r="CA58" i="23"/>
  <c r="BG66" i="23"/>
  <c r="G57" i="23"/>
  <c r="K57" i="23"/>
  <c r="O57" i="23"/>
  <c r="S57" i="23"/>
  <c r="W57" i="23"/>
  <c r="X57" i="23" s="1"/>
  <c r="AA57" i="23"/>
  <c r="AB57" i="23" s="1"/>
  <c r="AI57" i="23"/>
  <c r="AM57" i="23"/>
  <c r="AN57" i="23" s="1"/>
  <c r="AQ57" i="23"/>
  <c r="AR57" i="23" s="1"/>
  <c r="AU57" i="23"/>
  <c r="AV57" i="23" s="1"/>
  <c r="AY57" i="23"/>
  <c r="AZ57" i="23" s="1"/>
  <c r="BC57" i="23"/>
  <c r="BD57" i="23" s="1"/>
  <c r="AF58" i="23"/>
  <c r="AD61" i="23"/>
  <c r="BF61" i="23"/>
  <c r="AD60" i="23"/>
  <c r="BF60" i="23"/>
  <c r="G61" i="23"/>
  <c r="K61" i="23"/>
  <c r="O61" i="23"/>
  <c r="S61" i="23"/>
  <c r="W61" i="23"/>
  <c r="X61" i="23" s="1"/>
  <c r="AA61" i="23"/>
  <c r="AB61" i="23" s="1"/>
  <c r="AI61" i="23"/>
  <c r="AM61" i="23"/>
  <c r="AN61" i="23" s="1"/>
  <c r="AQ61" i="23"/>
  <c r="AR61" i="23" s="1"/>
  <c r="AU61" i="23"/>
  <c r="AV61" i="23" s="1"/>
  <c r="AY61" i="23"/>
  <c r="AZ61" i="23" s="1"/>
  <c r="BC61" i="23"/>
  <c r="BD61" i="23" s="1"/>
  <c r="CA61" i="23"/>
  <c r="I63" i="23"/>
  <c r="M63" i="23"/>
  <c r="Q63" i="23"/>
  <c r="U63" i="23"/>
  <c r="Y63" i="23"/>
  <c r="Z63" i="23" s="1"/>
  <c r="G60" i="23"/>
  <c r="K60" i="23"/>
  <c r="O60" i="23"/>
  <c r="S60" i="23"/>
  <c r="W60" i="23"/>
  <c r="X60" i="23" s="1"/>
  <c r="AA60" i="23"/>
  <c r="AB60" i="23" s="1"/>
  <c r="AI60" i="23"/>
  <c r="AM60" i="23"/>
  <c r="AN60" i="23" s="1"/>
  <c r="AQ60" i="23"/>
  <c r="AR60" i="23" s="1"/>
  <c r="AU60" i="23"/>
  <c r="AV60" i="23" s="1"/>
  <c r="AY60" i="23"/>
  <c r="AZ60" i="23" s="1"/>
  <c r="BC60" i="23"/>
  <c r="BD60" i="23" s="1"/>
  <c r="AF61" i="23"/>
  <c r="CA63" i="23"/>
  <c r="BC63" i="23"/>
  <c r="BD63" i="23" s="1"/>
  <c r="AY63" i="23"/>
  <c r="AZ63" i="23" s="1"/>
  <c r="AU63" i="23"/>
  <c r="AV63" i="23" s="1"/>
  <c r="AQ63" i="23"/>
  <c r="AR63" i="23" s="1"/>
  <c r="AM63" i="23"/>
  <c r="AN63" i="23" s="1"/>
  <c r="AI63" i="23"/>
  <c r="BF63" i="23"/>
  <c r="BA63" i="23"/>
  <c r="BB63" i="23" s="1"/>
  <c r="AW63" i="23"/>
  <c r="AX63" i="23" s="1"/>
  <c r="AS63" i="23"/>
  <c r="AT63" i="23" s="1"/>
  <c r="AO63" i="23"/>
  <c r="AP63" i="23" s="1"/>
  <c r="AK63" i="23"/>
  <c r="AL63" i="23" s="1"/>
  <c r="AD63" i="23"/>
  <c r="AD64" i="23"/>
  <c r="BF64" i="23"/>
  <c r="AF66" i="23"/>
  <c r="BH66" i="23"/>
  <c r="BI66" i="23" s="1"/>
  <c r="BJ66" i="23" s="1"/>
  <c r="I67" i="23"/>
  <c r="M67" i="23"/>
  <c r="Q67" i="23"/>
  <c r="U67" i="23"/>
  <c r="Y67" i="23"/>
  <c r="Z67" i="23" s="1"/>
  <c r="AK67" i="23"/>
  <c r="AL67" i="23" s="1"/>
  <c r="AO67" i="23"/>
  <c r="AP67" i="23" s="1"/>
  <c r="AS67" i="23"/>
  <c r="AT67" i="23" s="1"/>
  <c r="AW67" i="23"/>
  <c r="AX67" i="23" s="1"/>
  <c r="BA67" i="23"/>
  <c r="BB67" i="23" s="1"/>
  <c r="W64" i="23"/>
  <c r="X64" i="23" s="1"/>
  <c r="AA64" i="23"/>
  <c r="AB64" i="23" s="1"/>
  <c r="AI64" i="23"/>
  <c r="AM64" i="23"/>
  <c r="AN64" i="23" s="1"/>
  <c r="AQ64" i="23"/>
  <c r="AR64" i="23" s="1"/>
  <c r="AU64" i="23"/>
  <c r="AV64" i="23" s="1"/>
  <c r="AY64" i="23"/>
  <c r="AZ64" i="23" s="1"/>
  <c r="BC64" i="23"/>
  <c r="BD64" i="23" s="1"/>
  <c r="CA64" i="23"/>
  <c r="I66" i="23"/>
  <c r="M66" i="23"/>
  <c r="Q66" i="23"/>
  <c r="U66" i="23"/>
  <c r="Y66" i="23"/>
  <c r="Z66" i="23" s="1"/>
  <c r="AK66" i="23"/>
  <c r="AL66" i="23" s="1"/>
  <c r="AO66" i="23"/>
  <c r="AP66" i="23" s="1"/>
  <c r="AS66" i="23"/>
  <c r="AT66" i="23" s="1"/>
  <c r="AW66" i="23"/>
  <c r="AX66" i="23" s="1"/>
  <c r="BA66" i="23"/>
  <c r="BB66" i="23" s="1"/>
  <c r="AD67" i="23"/>
  <c r="BF67" i="23"/>
  <c r="AF64" i="23"/>
  <c r="AD66" i="23"/>
  <c r="W67" i="23"/>
  <c r="X67" i="23" s="1"/>
  <c r="AA67" i="23"/>
  <c r="AB67" i="23" s="1"/>
  <c r="AI67" i="23"/>
  <c r="AM67" i="23"/>
  <c r="AN67" i="23" s="1"/>
  <c r="AQ67" i="23"/>
  <c r="AR67" i="23" s="1"/>
  <c r="AU67" i="23"/>
  <c r="AV67" i="23" s="1"/>
  <c r="AY67" i="23"/>
  <c r="AZ67" i="23" s="1"/>
  <c r="BC67" i="23"/>
  <c r="BD67" i="23" s="1"/>
  <c r="R63" i="22"/>
  <c r="G54" i="22"/>
  <c r="O54" i="22"/>
  <c r="W54" i="22"/>
  <c r="X54" i="22" s="1"/>
  <c r="AM54" i="22"/>
  <c r="AN54" i="22" s="1"/>
  <c r="AU54" i="22"/>
  <c r="AV54" i="22" s="1"/>
  <c r="BC54" i="22"/>
  <c r="BD54" i="22" s="1"/>
  <c r="BH57" i="22"/>
  <c r="AF57" i="22"/>
  <c r="CA57" i="22"/>
  <c r="BC57" i="22"/>
  <c r="BD57" i="22" s="1"/>
  <c r="AY57" i="22"/>
  <c r="AZ57" i="22" s="1"/>
  <c r="AU57" i="22"/>
  <c r="AV57" i="22" s="1"/>
  <c r="AQ57" i="22"/>
  <c r="AR57" i="22" s="1"/>
  <c r="AM57" i="22"/>
  <c r="AN57" i="22" s="1"/>
  <c r="AI57" i="22"/>
  <c r="AA57" i="22"/>
  <c r="AB57" i="22" s="1"/>
  <c r="W57" i="22"/>
  <c r="X57" i="22" s="1"/>
  <c r="S57" i="22"/>
  <c r="O57" i="22"/>
  <c r="K57" i="22"/>
  <c r="G57" i="22"/>
  <c r="AD57" i="22"/>
  <c r="BY60" i="22"/>
  <c r="BZ60" i="22" s="1"/>
  <c r="V60" i="22"/>
  <c r="BI60" i="22"/>
  <c r="BJ60" i="22" s="1"/>
  <c r="P61" i="22"/>
  <c r="BA54" i="22"/>
  <c r="BB54" i="22" s="1"/>
  <c r="AW54" i="22"/>
  <c r="AX54" i="22" s="1"/>
  <c r="AS54" i="22"/>
  <c r="AT54" i="22" s="1"/>
  <c r="AO54" i="22"/>
  <c r="AP54" i="22" s="1"/>
  <c r="AK54" i="22"/>
  <c r="AL54" i="22" s="1"/>
  <c r="Y54" i="22"/>
  <c r="Z54" i="22" s="1"/>
  <c r="U54" i="22"/>
  <c r="Q54" i="22"/>
  <c r="M54" i="22"/>
  <c r="I54" i="22"/>
  <c r="BH54" i="22"/>
  <c r="AF54" i="22"/>
  <c r="AD54" i="22"/>
  <c r="BM60" i="22"/>
  <c r="BN60" i="22" s="1"/>
  <c r="J60" i="22"/>
  <c r="BF54" i="22"/>
  <c r="BI56" i="22"/>
  <c r="BJ56" i="22" s="1"/>
  <c r="I57" i="22"/>
  <c r="Q57" i="22"/>
  <c r="Y57" i="22"/>
  <c r="Z57" i="22" s="1"/>
  <c r="AO57" i="22"/>
  <c r="AP57" i="22" s="1"/>
  <c r="AW57" i="22"/>
  <c r="AX57" i="22" s="1"/>
  <c r="K58" i="22"/>
  <c r="S58" i="22"/>
  <c r="AA58" i="22"/>
  <c r="AB58" i="22" s="1"/>
  <c r="AI58" i="22"/>
  <c r="BK58" i="22" s="1"/>
  <c r="BL58" i="22" s="1"/>
  <c r="AQ58" i="22"/>
  <c r="AR58" i="22" s="1"/>
  <c r="BU60" i="22"/>
  <c r="BV60" i="22" s="1"/>
  <c r="R60" i="22"/>
  <c r="BH64" i="22"/>
  <c r="AF64" i="22"/>
  <c r="CA64" i="22"/>
  <c r="BC64" i="22"/>
  <c r="BD64" i="22" s="1"/>
  <c r="AY64" i="22"/>
  <c r="AZ64" i="22" s="1"/>
  <c r="AU64" i="22"/>
  <c r="AV64" i="22" s="1"/>
  <c r="AQ64" i="22"/>
  <c r="AR64" i="22" s="1"/>
  <c r="AM64" i="22"/>
  <c r="AN64" i="22" s="1"/>
  <c r="AI64" i="22"/>
  <c r="AA64" i="22"/>
  <c r="AB64" i="22" s="1"/>
  <c r="W64" i="22"/>
  <c r="X64" i="22" s="1"/>
  <c r="S64" i="22"/>
  <c r="O64" i="22"/>
  <c r="K64" i="22"/>
  <c r="G64" i="22"/>
  <c r="BA64" i="22"/>
  <c r="BB64" i="22" s="1"/>
  <c r="AS64" i="22"/>
  <c r="AT64" i="22" s="1"/>
  <c r="AK64" i="22"/>
  <c r="AL64" i="22" s="1"/>
  <c r="U64" i="22"/>
  <c r="M64" i="22"/>
  <c r="BF64" i="22"/>
  <c r="AW64" i="22"/>
  <c r="AX64" i="22" s="1"/>
  <c r="Q64" i="22"/>
  <c r="AD64" i="22"/>
  <c r="BG66" i="22"/>
  <c r="K54" i="22"/>
  <c r="S54" i="22"/>
  <c r="AA54" i="22"/>
  <c r="AB54" i="22" s="1"/>
  <c r="AI54" i="22"/>
  <c r="AQ54" i="22"/>
  <c r="AR54" i="22" s="1"/>
  <c r="AY54" i="22"/>
  <c r="AZ54" i="22" s="1"/>
  <c r="BF57" i="22"/>
  <c r="BA58" i="22"/>
  <c r="BB58" i="22" s="1"/>
  <c r="AW58" i="22"/>
  <c r="AX58" i="22" s="1"/>
  <c r="AS58" i="22"/>
  <c r="AT58" i="22" s="1"/>
  <c r="AO58" i="22"/>
  <c r="AP58" i="22" s="1"/>
  <c r="AK58" i="22"/>
  <c r="AL58" i="22" s="1"/>
  <c r="Y58" i="22"/>
  <c r="Z58" i="22" s="1"/>
  <c r="U58" i="22"/>
  <c r="Q58" i="22"/>
  <c r="M58" i="22"/>
  <c r="I58" i="22"/>
  <c r="BH58" i="22"/>
  <c r="AF58" i="22"/>
  <c r="AD58" i="22"/>
  <c r="BQ60" i="22"/>
  <c r="BR60" i="22" s="1"/>
  <c r="N60" i="22"/>
  <c r="CA63" i="22"/>
  <c r="BC63" i="22"/>
  <c r="BD63" i="22" s="1"/>
  <c r="AY63" i="22"/>
  <c r="AZ63" i="22" s="1"/>
  <c r="BF63" i="22"/>
  <c r="AQ63" i="22"/>
  <c r="AR63" i="22" s="1"/>
  <c r="AK63" i="22"/>
  <c r="AL63" i="22" s="1"/>
  <c r="AF63" i="22"/>
  <c r="BA63" i="22"/>
  <c r="BB63" i="22" s="1"/>
  <c r="AU63" i="22"/>
  <c r="AV63" i="22" s="1"/>
  <c r="AO63" i="22"/>
  <c r="AP63" i="22" s="1"/>
  <c r="AA63" i="22"/>
  <c r="AB63" i="22" s="1"/>
  <c r="W63" i="22"/>
  <c r="X63" i="22" s="1"/>
  <c r="S63" i="22"/>
  <c r="O63" i="22"/>
  <c r="K63" i="22"/>
  <c r="G63" i="22"/>
  <c r="AW63" i="22"/>
  <c r="AX63" i="22" s="1"/>
  <c r="AM63" i="22"/>
  <c r="AN63" i="22" s="1"/>
  <c r="U63" i="22"/>
  <c r="M63" i="22"/>
  <c r="BH63" i="22"/>
  <c r="AS63" i="22"/>
  <c r="AT63" i="22" s="1"/>
  <c r="AI63" i="22"/>
  <c r="J64" i="22"/>
  <c r="AJ65" i="22"/>
  <c r="I55" i="22"/>
  <c r="M55" i="22"/>
  <c r="Q55" i="22"/>
  <c r="U55" i="22"/>
  <c r="Y55" i="22"/>
  <c r="Z55" i="22" s="1"/>
  <c r="AK55" i="22"/>
  <c r="AL55" i="22" s="1"/>
  <c r="AO55" i="22"/>
  <c r="AP55" i="22" s="1"/>
  <c r="AS55" i="22"/>
  <c r="AT55" i="22" s="1"/>
  <c r="AW55" i="22"/>
  <c r="AX55" i="22" s="1"/>
  <c r="BA55" i="22"/>
  <c r="BB55" i="22" s="1"/>
  <c r="AD56" i="22"/>
  <c r="I59" i="22"/>
  <c r="M59" i="22"/>
  <c r="Q59" i="22"/>
  <c r="U59" i="22"/>
  <c r="Y59" i="22"/>
  <c r="Z59" i="22" s="1"/>
  <c r="AK59" i="22"/>
  <c r="AL59" i="22" s="1"/>
  <c r="AO59" i="22"/>
  <c r="AP59" i="22" s="1"/>
  <c r="AS59" i="22"/>
  <c r="AT59" i="22" s="1"/>
  <c r="AW59" i="22"/>
  <c r="AX59" i="22" s="1"/>
  <c r="BA59" i="22"/>
  <c r="BB59" i="22" s="1"/>
  <c r="AD60" i="22"/>
  <c r="AD55" i="22"/>
  <c r="AD59" i="22"/>
  <c r="AW61" i="22"/>
  <c r="AX61" i="22" s="1"/>
  <c r="BA61" i="22"/>
  <c r="BB61" i="22" s="1"/>
  <c r="AD62" i="22"/>
  <c r="BF62" i="22"/>
  <c r="BA65" i="22"/>
  <c r="BB65" i="22" s="1"/>
  <c r="AW65" i="22"/>
  <c r="AX65" i="22" s="1"/>
  <c r="AS65" i="22"/>
  <c r="AT65" i="22" s="1"/>
  <c r="AO65" i="22"/>
  <c r="AP65" i="22" s="1"/>
  <c r="AK65" i="22"/>
  <c r="AL65" i="22" s="1"/>
  <c r="Y65" i="22"/>
  <c r="Z65" i="22" s="1"/>
  <c r="U65" i="22"/>
  <c r="Q65" i="22"/>
  <c r="M65" i="22"/>
  <c r="I65" i="22"/>
  <c r="BH65" i="22"/>
  <c r="AF65" i="22"/>
  <c r="AD65" i="22"/>
  <c r="AD61" i="22"/>
  <c r="G62" i="22"/>
  <c r="K62" i="22"/>
  <c r="O62" i="22"/>
  <c r="S62" i="22"/>
  <c r="W62" i="22"/>
  <c r="X62" i="22" s="1"/>
  <c r="AA62" i="22"/>
  <c r="AB62" i="22" s="1"/>
  <c r="AI62" i="22"/>
  <c r="AM62" i="22"/>
  <c r="AN62" i="22" s="1"/>
  <c r="AQ62" i="22"/>
  <c r="AR62" i="22" s="1"/>
  <c r="AU62" i="22"/>
  <c r="AV62" i="22" s="1"/>
  <c r="AY62" i="22"/>
  <c r="AZ62" i="22" s="1"/>
  <c r="BC62" i="22"/>
  <c r="BD62" i="22" s="1"/>
  <c r="G65" i="22"/>
  <c r="O65" i="22"/>
  <c r="W65" i="22"/>
  <c r="X65" i="22" s="1"/>
  <c r="AM65" i="22"/>
  <c r="AU65" i="22"/>
  <c r="AV65" i="22" s="1"/>
  <c r="BC65" i="22"/>
  <c r="BD65" i="22" s="1"/>
  <c r="CA65" i="22"/>
  <c r="I66" i="22"/>
  <c r="M66" i="22"/>
  <c r="Q66" i="22"/>
  <c r="U66" i="22"/>
  <c r="Y66" i="22"/>
  <c r="Z66" i="22" s="1"/>
  <c r="AK66" i="22"/>
  <c r="AL66" i="22" s="1"/>
  <c r="AO66" i="22"/>
  <c r="AP66" i="22" s="1"/>
  <c r="AS66" i="22"/>
  <c r="AT66" i="22" s="1"/>
  <c r="AW66" i="22"/>
  <c r="AX66" i="22" s="1"/>
  <c r="BA66" i="22"/>
  <c r="BB66" i="22" s="1"/>
  <c r="AD67" i="22"/>
  <c r="BF67" i="22"/>
  <c r="AD66" i="22"/>
  <c r="AM67" i="22"/>
  <c r="AQ67" i="22"/>
  <c r="AR67" i="22" s="1"/>
  <c r="AU67" i="22"/>
  <c r="AV67" i="22" s="1"/>
  <c r="AY67" i="22"/>
  <c r="AZ67" i="22" s="1"/>
  <c r="BC67" i="22"/>
  <c r="BD67" i="22" s="1"/>
  <c r="BG60" i="21"/>
  <c r="BH56" i="21"/>
  <c r="AF56" i="21"/>
  <c r="CA56" i="21"/>
  <c r="BC56" i="21"/>
  <c r="BD56" i="21" s="1"/>
  <c r="AY56" i="21"/>
  <c r="AZ56" i="21" s="1"/>
  <c r="AU56" i="21"/>
  <c r="AV56" i="21" s="1"/>
  <c r="AQ56" i="21"/>
  <c r="AR56" i="21" s="1"/>
  <c r="AM56" i="21"/>
  <c r="AN56" i="21" s="1"/>
  <c r="AI56" i="21"/>
  <c r="AA56" i="21"/>
  <c r="AB56" i="21" s="1"/>
  <c r="W56" i="21"/>
  <c r="X56" i="21" s="1"/>
  <c r="S56" i="21"/>
  <c r="O56" i="21"/>
  <c r="K56" i="21"/>
  <c r="G56" i="21"/>
  <c r="AD56" i="21"/>
  <c r="I56" i="21"/>
  <c r="Q56" i="21"/>
  <c r="Y56" i="21"/>
  <c r="Z56" i="21" s="1"/>
  <c r="AO56" i="21"/>
  <c r="AP56" i="21" s="1"/>
  <c r="AW56" i="21"/>
  <c r="AX56" i="21" s="1"/>
  <c r="BH62" i="21"/>
  <c r="AF62" i="21"/>
  <c r="CA62" i="21"/>
  <c r="BC62" i="21"/>
  <c r="BD62" i="21" s="1"/>
  <c r="AY62" i="21"/>
  <c r="AZ62" i="21" s="1"/>
  <c r="AU62" i="21"/>
  <c r="AV62" i="21" s="1"/>
  <c r="AQ62" i="21"/>
  <c r="AR62" i="21" s="1"/>
  <c r="AM62" i="21"/>
  <c r="AN62" i="21" s="1"/>
  <c r="AI62" i="21"/>
  <c r="AA62" i="21"/>
  <c r="AB62" i="21" s="1"/>
  <c r="W62" i="21"/>
  <c r="X62" i="21" s="1"/>
  <c r="S62" i="21"/>
  <c r="O62" i="21"/>
  <c r="K62" i="21"/>
  <c r="G62" i="21"/>
  <c r="BA62" i="21"/>
  <c r="BB62" i="21" s="1"/>
  <c r="AS62" i="21"/>
  <c r="AT62" i="21" s="1"/>
  <c r="AK62" i="21"/>
  <c r="AL62" i="21" s="1"/>
  <c r="U62" i="21"/>
  <c r="M62" i="21"/>
  <c r="BF62" i="21"/>
  <c r="BF56" i="21"/>
  <c r="BA57" i="21"/>
  <c r="BB57" i="21" s="1"/>
  <c r="AW57" i="21"/>
  <c r="AX57" i="21" s="1"/>
  <c r="AS57" i="21"/>
  <c r="AT57" i="21" s="1"/>
  <c r="AO57" i="21"/>
  <c r="AP57" i="21" s="1"/>
  <c r="AK57" i="21"/>
  <c r="AL57" i="21" s="1"/>
  <c r="Y57" i="21"/>
  <c r="Z57" i="21" s="1"/>
  <c r="U57" i="21"/>
  <c r="Q57" i="21"/>
  <c r="M57" i="21"/>
  <c r="I57" i="21"/>
  <c r="BH57" i="21"/>
  <c r="AF57" i="21"/>
  <c r="AD57" i="21"/>
  <c r="BA59" i="21"/>
  <c r="BB59" i="21" s="1"/>
  <c r="AW59" i="21"/>
  <c r="AX59" i="21" s="1"/>
  <c r="AS59" i="21"/>
  <c r="AT59" i="21" s="1"/>
  <c r="AO59" i="21"/>
  <c r="AP59" i="21" s="1"/>
  <c r="AK59" i="21"/>
  <c r="AL59" i="21" s="1"/>
  <c r="Y59" i="21"/>
  <c r="Z59" i="21" s="1"/>
  <c r="U59" i="21"/>
  <c r="Q59" i="21"/>
  <c r="M59" i="21"/>
  <c r="I59" i="21"/>
  <c r="CA59" i="21"/>
  <c r="BF59" i="21"/>
  <c r="AU59" i="21"/>
  <c r="AV59" i="21" s="1"/>
  <c r="O59" i="21"/>
  <c r="AY59" i="21"/>
  <c r="AZ59" i="21" s="1"/>
  <c r="AI59" i="21"/>
  <c r="AD59" i="21"/>
  <c r="S59" i="21"/>
  <c r="AA59" i="21"/>
  <c r="AB59" i="21" s="1"/>
  <c r="I62" i="21"/>
  <c r="Y62" i="21"/>
  <c r="Z62" i="21" s="1"/>
  <c r="AO62" i="21"/>
  <c r="AP62" i="21" s="1"/>
  <c r="AD55" i="21"/>
  <c r="BF55" i="21"/>
  <c r="CA63" i="21"/>
  <c r="BC63" i="21"/>
  <c r="BD63" i="21" s="1"/>
  <c r="AY63" i="21"/>
  <c r="AZ63" i="21" s="1"/>
  <c r="AU63" i="21"/>
  <c r="AV63" i="21" s="1"/>
  <c r="AQ63" i="21"/>
  <c r="AR63" i="21" s="1"/>
  <c r="AM63" i="21"/>
  <c r="AN63" i="21" s="1"/>
  <c r="AI63" i="21"/>
  <c r="BH63" i="21"/>
  <c r="AW63" i="21"/>
  <c r="AX63" i="21" s="1"/>
  <c r="Y63" i="21"/>
  <c r="Z63" i="21" s="1"/>
  <c r="U63" i="21"/>
  <c r="Q63" i="21"/>
  <c r="M63" i="21"/>
  <c r="I63" i="21"/>
  <c r="BF63" i="21"/>
  <c r="BA63" i="21"/>
  <c r="BB63" i="21" s="1"/>
  <c r="AK63" i="21"/>
  <c r="AL63" i="21" s="1"/>
  <c r="AF63" i="21"/>
  <c r="AD63" i="21"/>
  <c r="AD54" i="21"/>
  <c r="G55" i="21"/>
  <c r="K55" i="21"/>
  <c r="O55" i="21"/>
  <c r="S55" i="21"/>
  <c r="W55" i="21"/>
  <c r="X55" i="21" s="1"/>
  <c r="AA55" i="21"/>
  <c r="AB55" i="21" s="1"/>
  <c r="AI55" i="21"/>
  <c r="AM55" i="21"/>
  <c r="AN55" i="21" s="1"/>
  <c r="AQ55" i="21"/>
  <c r="AR55" i="21" s="1"/>
  <c r="AU55" i="21"/>
  <c r="AV55" i="21" s="1"/>
  <c r="AY55" i="21"/>
  <c r="AZ55" i="21" s="1"/>
  <c r="BC55" i="21"/>
  <c r="BD55" i="21" s="1"/>
  <c r="BH58" i="21"/>
  <c r="AF58" i="21"/>
  <c r="AA58" i="21"/>
  <c r="AB58" i="21" s="1"/>
  <c r="AQ58" i="21"/>
  <c r="AR58" i="21" s="1"/>
  <c r="AW58" i="21"/>
  <c r="G63" i="21"/>
  <c r="O63" i="21"/>
  <c r="W63" i="21"/>
  <c r="X63" i="21" s="1"/>
  <c r="AO63" i="21"/>
  <c r="AP63" i="21" s="1"/>
  <c r="AD61" i="21"/>
  <c r="BF61" i="21"/>
  <c r="AD60" i="21"/>
  <c r="G61" i="21"/>
  <c r="K61" i="21"/>
  <c r="O61" i="21"/>
  <c r="S61" i="21"/>
  <c r="W61" i="21"/>
  <c r="X61" i="21" s="1"/>
  <c r="AA61" i="21"/>
  <c r="AB61" i="21" s="1"/>
  <c r="AI61" i="21"/>
  <c r="AM61" i="21"/>
  <c r="AN61" i="21" s="1"/>
  <c r="AQ61" i="21"/>
  <c r="AR61" i="21" s="1"/>
  <c r="AU61" i="21"/>
  <c r="AV61" i="21" s="1"/>
  <c r="AY61" i="21"/>
  <c r="AZ61" i="21" s="1"/>
  <c r="BC61" i="21"/>
  <c r="BD61" i="21" s="1"/>
  <c r="BH64" i="21"/>
  <c r="AF64" i="21"/>
  <c r="CA64" i="21"/>
  <c r="BC64" i="21"/>
  <c r="BD64" i="21" s="1"/>
  <c r="AY64" i="21"/>
  <c r="AZ64" i="21" s="1"/>
  <c r="AU64" i="21"/>
  <c r="AV64" i="21" s="1"/>
  <c r="AQ64" i="21"/>
  <c r="AR64" i="21" s="1"/>
  <c r="AM64" i="21"/>
  <c r="AN64" i="21" s="1"/>
  <c r="AI64" i="21"/>
  <c r="K64" i="21"/>
  <c r="Q64" i="21"/>
  <c r="AA64" i="21"/>
  <c r="AB64" i="21" s="1"/>
  <c r="BF64" i="21"/>
  <c r="BA65" i="21"/>
  <c r="BB65" i="21" s="1"/>
  <c r="AW65" i="21"/>
  <c r="AX65" i="21" s="1"/>
  <c r="AS65" i="21"/>
  <c r="AT65" i="21" s="1"/>
  <c r="AO65" i="21"/>
  <c r="AP65" i="21" s="1"/>
  <c r="AK65" i="21"/>
  <c r="AL65" i="21" s="1"/>
  <c r="Y65" i="21"/>
  <c r="Z65" i="21" s="1"/>
  <c r="U65" i="21"/>
  <c r="Q65" i="21"/>
  <c r="M65" i="21"/>
  <c r="I65" i="21"/>
  <c r="BH65" i="21"/>
  <c r="AF65" i="21"/>
  <c r="AD65" i="21"/>
  <c r="BG66" i="21"/>
  <c r="AD67" i="21"/>
  <c r="BF67" i="21"/>
  <c r="AD66" i="21"/>
  <c r="G67" i="21"/>
  <c r="K67" i="21"/>
  <c r="O67" i="21"/>
  <c r="S67" i="21"/>
  <c r="W67" i="21"/>
  <c r="X67" i="21" s="1"/>
  <c r="AA67" i="21"/>
  <c r="AB67" i="21" s="1"/>
  <c r="AI67" i="21"/>
  <c r="AM67" i="21"/>
  <c r="AN67" i="21" s="1"/>
  <c r="AQ67" i="21"/>
  <c r="AR67" i="21" s="1"/>
  <c r="AU67" i="21"/>
  <c r="AV67" i="21" s="1"/>
  <c r="AY67" i="21"/>
  <c r="AZ67" i="21" s="1"/>
  <c r="BC67" i="21"/>
  <c r="BD67" i="21" s="1"/>
  <c r="AF55" i="20"/>
  <c r="AY55" i="20"/>
  <c r="AZ55" i="20" s="1"/>
  <c r="M57" i="20"/>
  <c r="N57" i="20" s="1"/>
  <c r="AD57" i="20"/>
  <c r="AE57" i="20" s="1"/>
  <c r="AU57" i="20"/>
  <c r="AV57" i="20" s="1"/>
  <c r="M59" i="20"/>
  <c r="N59" i="20" s="1"/>
  <c r="AA59" i="20"/>
  <c r="AB59" i="20" s="1"/>
  <c r="AW59" i="20"/>
  <c r="AX59" i="20" s="1"/>
  <c r="AI62" i="20"/>
  <c r="AJ62" i="20" s="1"/>
  <c r="AK66" i="20"/>
  <c r="AL66" i="20" s="1"/>
  <c r="S55" i="20"/>
  <c r="T55" i="20" s="1"/>
  <c r="AK55" i="20"/>
  <c r="AL55" i="20" s="1"/>
  <c r="BC55" i="20"/>
  <c r="BD55" i="20" s="1"/>
  <c r="O57" i="20"/>
  <c r="P57" i="20" s="1"/>
  <c r="AI57" i="20"/>
  <c r="AJ57" i="20" s="1"/>
  <c r="AY57" i="20"/>
  <c r="AZ57" i="20" s="1"/>
  <c r="Q59" i="20"/>
  <c r="AK59" i="20"/>
  <c r="AL59" i="20" s="1"/>
  <c r="BA59" i="20"/>
  <c r="BB59" i="20" s="1"/>
  <c r="AO61" i="20"/>
  <c r="AP61" i="20" s="1"/>
  <c r="G62" i="20"/>
  <c r="H62" i="20" s="1"/>
  <c r="AQ62" i="20"/>
  <c r="AR62" i="20" s="1"/>
  <c r="S57" i="20"/>
  <c r="T57" i="20" s="1"/>
  <c r="AM57" i="20"/>
  <c r="AN57" i="20" s="1"/>
  <c r="BC57" i="20"/>
  <c r="BD57" i="20" s="1"/>
  <c r="U59" i="20"/>
  <c r="V59" i="20" s="1"/>
  <c r="AM59" i="20"/>
  <c r="AN59" i="20" s="1"/>
  <c r="BG59" i="20"/>
  <c r="CA63" i="20"/>
  <c r="BF63" i="20"/>
  <c r="BG63" i="20" s="1"/>
  <c r="AS63" i="20"/>
  <c r="AK63" i="20"/>
  <c r="AL63" i="20" s="1"/>
  <c r="Y63" i="20"/>
  <c r="Z63" i="20" s="1"/>
  <c r="K63" i="20"/>
  <c r="BC63" i="20"/>
  <c r="BD63" i="20" s="1"/>
  <c r="AW63" i="20"/>
  <c r="AX63" i="20" s="1"/>
  <c r="AQ63" i="20"/>
  <c r="AR63" i="20" s="1"/>
  <c r="AI63" i="20"/>
  <c r="AJ63" i="20" s="1"/>
  <c r="W63" i="20"/>
  <c r="X63" i="20" s="1"/>
  <c r="Q63" i="20"/>
  <c r="R63" i="20" s="1"/>
  <c r="I63" i="20"/>
  <c r="J63" i="20" s="1"/>
  <c r="BA63" i="20"/>
  <c r="BB63" i="20" s="1"/>
  <c r="AU63" i="20"/>
  <c r="AV63" i="20" s="1"/>
  <c r="AO63" i="20"/>
  <c r="AP63" i="20" s="1"/>
  <c r="AD63" i="20"/>
  <c r="AE63" i="20" s="1"/>
  <c r="U63" i="20"/>
  <c r="O63" i="20"/>
  <c r="G63" i="20"/>
  <c r="H63" i="20" s="1"/>
  <c r="AM63" i="20"/>
  <c r="AN63" i="20" s="1"/>
  <c r="BF65" i="20"/>
  <c r="BG65" i="20" s="1"/>
  <c r="AD65" i="20"/>
  <c r="AE65" i="20" s="1"/>
  <c r="S63" i="20"/>
  <c r="AY63" i="20"/>
  <c r="AZ63" i="20" s="1"/>
  <c r="Q55" i="20"/>
  <c r="AI55" i="20"/>
  <c r="BK55" i="20" s="1"/>
  <c r="BA55" i="20"/>
  <c r="BB55" i="20" s="1"/>
  <c r="K57" i="20"/>
  <c r="L57" i="20" s="1"/>
  <c r="Q57" i="20"/>
  <c r="Y57" i="20"/>
  <c r="AO57" i="20"/>
  <c r="AP57" i="20" s="1"/>
  <c r="BA57" i="20"/>
  <c r="BB57" i="20" s="1"/>
  <c r="I59" i="20"/>
  <c r="J59" i="20" s="1"/>
  <c r="O59" i="20"/>
  <c r="P59" i="20" s="1"/>
  <c r="W59" i="20"/>
  <c r="AD59" i="20"/>
  <c r="AE59" i="20" s="1"/>
  <c r="AQ59" i="20"/>
  <c r="AR59" i="20" s="1"/>
  <c r="AY59" i="20"/>
  <c r="AZ59" i="20" s="1"/>
  <c r="Q60" i="20"/>
  <c r="R60" i="20" s="1"/>
  <c r="K61" i="20"/>
  <c r="L61" i="20" s="1"/>
  <c r="AK61" i="20"/>
  <c r="AL61" i="20" s="1"/>
  <c r="S62" i="20"/>
  <c r="T62" i="20" s="1"/>
  <c r="AF62" i="20"/>
  <c r="AY62" i="20"/>
  <c r="AZ62" i="20" s="1"/>
  <c r="AW64" i="20"/>
  <c r="AX64" i="20" s="1"/>
  <c r="Q66" i="20"/>
  <c r="R66" i="20" s="1"/>
  <c r="AO66" i="20"/>
  <c r="AP66" i="20" s="1"/>
  <c r="U66" i="20"/>
  <c r="V66" i="20" s="1"/>
  <c r="AS66" i="20"/>
  <c r="AT66" i="20" s="1"/>
  <c r="AF54" i="20"/>
  <c r="U55" i="20"/>
  <c r="V55" i="20" s="1"/>
  <c r="AM55" i="20"/>
  <c r="AW55" i="20"/>
  <c r="AX55" i="20" s="1"/>
  <c r="I57" i="20"/>
  <c r="J57" i="20" s="1"/>
  <c r="U57" i="20"/>
  <c r="AA57" i="20"/>
  <c r="AB57" i="20" s="1"/>
  <c r="AK57" i="20"/>
  <c r="AL57" i="20" s="1"/>
  <c r="AQ57" i="20"/>
  <c r="AR57" i="20" s="1"/>
  <c r="AW57" i="20"/>
  <c r="AX57" i="20" s="1"/>
  <c r="K59" i="20"/>
  <c r="L59" i="20" s="1"/>
  <c r="S59" i="20"/>
  <c r="T59" i="20" s="1"/>
  <c r="AI59" i="20"/>
  <c r="AJ59" i="20" s="1"/>
  <c r="AO59" i="20"/>
  <c r="AP59" i="20" s="1"/>
  <c r="AU59" i="20"/>
  <c r="AV59" i="20" s="1"/>
  <c r="BC59" i="20"/>
  <c r="BD59" i="20" s="1"/>
  <c r="AS60" i="20"/>
  <c r="AT60" i="20" s="1"/>
  <c r="AA61" i="20"/>
  <c r="AB61" i="20" s="1"/>
  <c r="AQ61" i="20"/>
  <c r="AR61" i="20" s="1"/>
  <c r="K62" i="20"/>
  <c r="L62" i="20" s="1"/>
  <c r="AA62" i="20"/>
  <c r="AB62" i="20" s="1"/>
  <c r="AM62" i="20"/>
  <c r="AN62" i="20" s="1"/>
  <c r="I66" i="20"/>
  <c r="Y66" i="20"/>
  <c r="AW66" i="20"/>
  <c r="AX66" i="20" s="1"/>
  <c r="N63" i="20"/>
  <c r="L58" i="20"/>
  <c r="BA56" i="20"/>
  <c r="BB56" i="20" s="1"/>
  <c r="AW56" i="20"/>
  <c r="AX56" i="20" s="1"/>
  <c r="AS56" i="20"/>
  <c r="AT56" i="20" s="1"/>
  <c r="AO56" i="20"/>
  <c r="AP56" i="20" s="1"/>
  <c r="AK56" i="20"/>
  <c r="AL56" i="20" s="1"/>
  <c r="Y56" i="20"/>
  <c r="U56" i="20"/>
  <c r="Q56" i="20"/>
  <c r="M56" i="20"/>
  <c r="I56" i="20"/>
  <c r="BH56" i="20"/>
  <c r="BC56" i="20"/>
  <c r="BD56" i="20" s="1"/>
  <c r="AM56" i="20"/>
  <c r="AN56" i="20" s="1"/>
  <c r="W56" i="20"/>
  <c r="G56" i="20"/>
  <c r="AQ56" i="20"/>
  <c r="AR56" i="20" s="1"/>
  <c r="AF56" i="20"/>
  <c r="AA56" i="20"/>
  <c r="K56" i="20"/>
  <c r="AI56" i="20"/>
  <c r="AY56" i="20"/>
  <c r="AZ56" i="20" s="1"/>
  <c r="AD56" i="20"/>
  <c r="S56" i="20"/>
  <c r="BF56" i="20"/>
  <c r="O56" i="20"/>
  <c r="AU56" i="20"/>
  <c r="AV56" i="20" s="1"/>
  <c r="N60" i="20"/>
  <c r="AK54" i="20"/>
  <c r="AL54" i="20" s="1"/>
  <c r="BC54" i="20"/>
  <c r="BD54" i="20" s="1"/>
  <c r="AY54" i="20"/>
  <c r="AZ54" i="20" s="1"/>
  <c r="AU54" i="20"/>
  <c r="AV54" i="20" s="1"/>
  <c r="AQ54" i="20"/>
  <c r="AR54" i="20" s="1"/>
  <c r="AM54" i="20"/>
  <c r="AN54" i="20" s="1"/>
  <c r="AI54" i="20"/>
  <c r="AA54" i="20"/>
  <c r="W54" i="20"/>
  <c r="S54" i="20"/>
  <c r="O54" i="20"/>
  <c r="K54" i="20"/>
  <c r="G54" i="20"/>
  <c r="AS54" i="20"/>
  <c r="AT54" i="20" s="1"/>
  <c r="M54" i="20"/>
  <c r="BH54" i="20"/>
  <c r="AW54" i="20"/>
  <c r="AX54" i="20" s="1"/>
  <c r="Q54" i="20"/>
  <c r="AO54" i="20"/>
  <c r="AP54" i="20" s="1"/>
  <c r="AD54" i="20"/>
  <c r="I54" i="20"/>
  <c r="Y54" i="20"/>
  <c r="U54" i="20"/>
  <c r="BA58" i="20"/>
  <c r="BB58" i="20" s="1"/>
  <c r="AW58" i="20"/>
  <c r="AX58" i="20" s="1"/>
  <c r="AS58" i="20"/>
  <c r="AT58" i="20" s="1"/>
  <c r="AO58" i="20"/>
  <c r="AP58" i="20" s="1"/>
  <c r="AK58" i="20"/>
  <c r="AL58" i="20" s="1"/>
  <c r="Y58" i="20"/>
  <c r="U58" i="20"/>
  <c r="Q58" i="20"/>
  <c r="M58" i="20"/>
  <c r="I58" i="20"/>
  <c r="BH58" i="20"/>
  <c r="BC58" i="20"/>
  <c r="BD58" i="20" s="1"/>
  <c r="AM58" i="20"/>
  <c r="AN58" i="20" s="1"/>
  <c r="W58" i="20"/>
  <c r="G58" i="20"/>
  <c r="BF58" i="20"/>
  <c r="AY58" i="20"/>
  <c r="AZ58" i="20" s="1"/>
  <c r="AQ58" i="20"/>
  <c r="AR58" i="20" s="1"/>
  <c r="AD58" i="20"/>
  <c r="O58" i="20"/>
  <c r="AI58" i="20"/>
  <c r="AA58" i="20"/>
  <c r="AF58" i="20"/>
  <c r="J64" i="20"/>
  <c r="BF55" i="20"/>
  <c r="AD55" i="20"/>
  <c r="I55" i="20"/>
  <c r="O55" i="20"/>
  <c r="Y55" i="20"/>
  <c r="AO55" i="20"/>
  <c r="AP55" i="20" s="1"/>
  <c r="AU55" i="20"/>
  <c r="AV55" i="20" s="1"/>
  <c r="BF61" i="20"/>
  <c r="AD61" i="20"/>
  <c r="AY61" i="20"/>
  <c r="AZ61" i="20" s="1"/>
  <c r="AS61" i="20"/>
  <c r="AT61" i="20" s="1"/>
  <c r="AI61" i="20"/>
  <c r="S61" i="20"/>
  <c r="M61" i="20"/>
  <c r="BH61" i="20"/>
  <c r="BC61" i="20"/>
  <c r="BD61" i="20" s="1"/>
  <c r="AW61" i="20"/>
  <c r="AX61" i="20" s="1"/>
  <c r="AM61" i="20"/>
  <c r="AN61" i="20" s="1"/>
  <c r="W61" i="20"/>
  <c r="Q61" i="20"/>
  <c r="G61" i="20"/>
  <c r="O61" i="20"/>
  <c r="Y61" i="20"/>
  <c r="AU61" i="20"/>
  <c r="AV61" i="20" s="1"/>
  <c r="BF64" i="20"/>
  <c r="AD64" i="20"/>
  <c r="BH64" i="20"/>
  <c r="AF64" i="20"/>
  <c r="CA64" i="20"/>
  <c r="BA64" i="20"/>
  <c r="BB64" i="20" s="1"/>
  <c r="AS64" i="20"/>
  <c r="AT64" i="20" s="1"/>
  <c r="AK64" i="20"/>
  <c r="AL64" i="20" s="1"/>
  <c r="W64" i="20"/>
  <c r="S64" i="20"/>
  <c r="O64" i="20"/>
  <c r="K64" i="20"/>
  <c r="G64" i="20"/>
  <c r="BC64" i="20"/>
  <c r="BD64" i="20" s="1"/>
  <c r="AQ64" i="20"/>
  <c r="AR64" i="20" s="1"/>
  <c r="M64" i="20"/>
  <c r="AY64" i="20"/>
  <c r="AZ64" i="20" s="1"/>
  <c r="AO64" i="20"/>
  <c r="AP64" i="20" s="1"/>
  <c r="Q64" i="20"/>
  <c r="U64" i="20"/>
  <c r="AM64" i="20"/>
  <c r="AN64" i="20" s="1"/>
  <c r="CA67" i="20"/>
  <c r="BC67" i="20"/>
  <c r="BD67" i="20" s="1"/>
  <c r="AY67" i="20"/>
  <c r="AZ67" i="20" s="1"/>
  <c r="AU67" i="20"/>
  <c r="AV67" i="20" s="1"/>
  <c r="AQ67" i="20"/>
  <c r="AR67" i="20" s="1"/>
  <c r="AM67" i="20"/>
  <c r="AN67" i="20" s="1"/>
  <c r="AI67" i="20"/>
  <c r="AA67" i="20"/>
  <c r="W67" i="20"/>
  <c r="S67" i="20"/>
  <c r="O67" i="20"/>
  <c r="K67" i="20"/>
  <c r="G67" i="20"/>
  <c r="BF67" i="20"/>
  <c r="AD67" i="20"/>
  <c r="BA67" i="20"/>
  <c r="BB67" i="20" s="1"/>
  <c r="AW67" i="20"/>
  <c r="AX67" i="20" s="1"/>
  <c r="AS67" i="20"/>
  <c r="AT67" i="20" s="1"/>
  <c r="AO67" i="20"/>
  <c r="AP67" i="20" s="1"/>
  <c r="AK67" i="20"/>
  <c r="AL67" i="20" s="1"/>
  <c r="Y67" i="20"/>
  <c r="U67" i="20"/>
  <c r="Q67" i="20"/>
  <c r="M67" i="20"/>
  <c r="I67" i="20"/>
  <c r="AF67" i="20"/>
  <c r="Y64" i="20"/>
  <c r="AU64" i="20"/>
  <c r="AV64" i="20" s="1"/>
  <c r="BH67" i="20"/>
  <c r="BC60" i="20"/>
  <c r="BD60" i="20" s="1"/>
  <c r="AY60" i="20"/>
  <c r="AZ60" i="20" s="1"/>
  <c r="AU60" i="20"/>
  <c r="AV60" i="20" s="1"/>
  <c r="AQ60" i="20"/>
  <c r="AR60" i="20" s="1"/>
  <c r="AM60" i="20"/>
  <c r="AN60" i="20" s="1"/>
  <c r="AI60" i="20"/>
  <c r="AA60" i="20"/>
  <c r="W60" i="20"/>
  <c r="S60" i="20"/>
  <c r="O60" i="20"/>
  <c r="K60" i="20"/>
  <c r="G60" i="20"/>
  <c r="I60" i="20"/>
  <c r="Y60" i="20"/>
  <c r="AD60" i="20"/>
  <c r="AO60" i="20"/>
  <c r="AP60" i="20" s="1"/>
  <c r="AF57" i="20"/>
  <c r="U60" i="20"/>
  <c r="AF60" i="20"/>
  <c r="AK60" i="20"/>
  <c r="AL60" i="20" s="1"/>
  <c r="BA60" i="20"/>
  <c r="BB60" i="20" s="1"/>
  <c r="BF60" i="20"/>
  <c r="BA62" i="20"/>
  <c r="BB62" i="20" s="1"/>
  <c r="AW62" i="20"/>
  <c r="AX62" i="20" s="1"/>
  <c r="AS62" i="20"/>
  <c r="AT62" i="20" s="1"/>
  <c r="AO62" i="20"/>
  <c r="AP62" i="20" s="1"/>
  <c r="AK62" i="20"/>
  <c r="AL62" i="20" s="1"/>
  <c r="Y62" i="20"/>
  <c r="U62" i="20"/>
  <c r="Q62" i="20"/>
  <c r="M62" i="20"/>
  <c r="I62" i="20"/>
  <c r="O62" i="20"/>
  <c r="AU62" i="20"/>
  <c r="BF62" i="20"/>
  <c r="CA62" i="20"/>
  <c r="AF59" i="20"/>
  <c r="BH59" i="20"/>
  <c r="BI59" i="20" s="1"/>
  <c r="BJ59" i="20" s="1"/>
  <c r="AF63" i="20"/>
  <c r="BH63" i="20"/>
  <c r="G65" i="20"/>
  <c r="K65" i="20"/>
  <c r="O65" i="20"/>
  <c r="S65" i="20"/>
  <c r="W65" i="20"/>
  <c r="AA65" i="20"/>
  <c r="AI65" i="20"/>
  <c r="AM65" i="20"/>
  <c r="AN65" i="20" s="1"/>
  <c r="AQ65" i="20"/>
  <c r="AR65" i="20" s="1"/>
  <c r="AU65" i="20"/>
  <c r="AV65" i="20" s="1"/>
  <c r="AY65" i="20"/>
  <c r="AZ65" i="20" s="1"/>
  <c r="BC65" i="20"/>
  <c r="BD65" i="20" s="1"/>
  <c r="CA65" i="20"/>
  <c r="AD66" i="20"/>
  <c r="BF66" i="20"/>
  <c r="AF65" i="20"/>
  <c r="BH65" i="20"/>
  <c r="G66" i="20"/>
  <c r="K66" i="20"/>
  <c r="O66" i="20"/>
  <c r="S66" i="20"/>
  <c r="W66" i="20"/>
  <c r="AA66" i="20"/>
  <c r="AI66" i="20"/>
  <c r="AM66" i="20"/>
  <c r="AN66" i="20" s="1"/>
  <c r="AQ66" i="20"/>
  <c r="AR66" i="20" s="1"/>
  <c r="AU66" i="20"/>
  <c r="AV66" i="20" s="1"/>
  <c r="AY66" i="20"/>
  <c r="AZ66" i="20" s="1"/>
  <c r="BC66" i="20"/>
  <c r="BD66" i="20" s="1"/>
  <c r="CA66" i="20"/>
  <c r="I65" i="20"/>
  <c r="M65" i="20"/>
  <c r="Q65" i="20"/>
  <c r="U65" i="20"/>
  <c r="Y65" i="20"/>
  <c r="AK65" i="20"/>
  <c r="AL65" i="20" s="1"/>
  <c r="AO65" i="20"/>
  <c r="AP65" i="20" s="1"/>
  <c r="AS65" i="20"/>
  <c r="AT65" i="20" s="1"/>
  <c r="AW65" i="20"/>
  <c r="AX65" i="20" s="1"/>
  <c r="BA65" i="20"/>
  <c r="BB65" i="20" s="1"/>
  <c r="AF66" i="20"/>
  <c r="BH66" i="20"/>
  <c r="AC60" i="22" l="1"/>
  <c r="P60" i="22"/>
  <c r="BK60" i="22"/>
  <c r="BL60" i="22" s="1"/>
  <c r="BK59" i="22"/>
  <c r="BL59" i="22" s="1"/>
  <c r="AC56" i="22"/>
  <c r="H60" i="22"/>
  <c r="BY56" i="22"/>
  <c r="BZ56" i="22" s="1"/>
  <c r="BE60" i="22"/>
  <c r="BQ56" i="22"/>
  <c r="BR56" i="22" s="1"/>
  <c r="BE56" i="22"/>
  <c r="BS60" i="22"/>
  <c r="BT60" i="22" s="1"/>
  <c r="BO55" i="22"/>
  <c r="BP55" i="22" s="1"/>
  <c r="BG55" i="22"/>
  <c r="BO59" i="22"/>
  <c r="BP59" i="22" s="1"/>
  <c r="BW55" i="22"/>
  <c r="BX55" i="22" s="1"/>
  <c r="BS59" i="22"/>
  <c r="BT59" i="22" s="1"/>
  <c r="BK59" i="21"/>
  <c r="BL59" i="21" s="1"/>
  <c r="BS55" i="22"/>
  <c r="BT55" i="22" s="1"/>
  <c r="AG63" i="22"/>
  <c r="AH63" i="22" s="1"/>
  <c r="H55" i="22"/>
  <c r="BK66" i="22"/>
  <c r="BL66" i="22" s="1"/>
  <c r="BY62" i="22"/>
  <c r="BZ62" i="22" s="1"/>
  <c r="BI58" i="22"/>
  <c r="BJ58" i="22" s="1"/>
  <c r="BY67" i="22"/>
  <c r="BZ67" i="22" s="1"/>
  <c r="P55" i="22"/>
  <c r="BW66" i="22"/>
  <c r="BX66" i="22" s="1"/>
  <c r="BK67" i="22"/>
  <c r="BL67" i="22" s="1"/>
  <c r="BI59" i="22"/>
  <c r="BJ59" i="22" s="1"/>
  <c r="AJ59" i="22"/>
  <c r="BQ67" i="22"/>
  <c r="BR67" i="22" s="1"/>
  <c r="BU67" i="22"/>
  <c r="BV67" i="22" s="1"/>
  <c r="J62" i="22"/>
  <c r="L55" i="22"/>
  <c r="BM67" i="22"/>
  <c r="BN67" i="22" s="1"/>
  <c r="AC67" i="22"/>
  <c r="BW59" i="22"/>
  <c r="BX59" i="22" s="1"/>
  <c r="BI59" i="23"/>
  <c r="BJ59" i="23" s="1"/>
  <c r="BO66" i="22"/>
  <c r="BP66" i="22" s="1"/>
  <c r="BQ62" i="22"/>
  <c r="BR62" i="22" s="1"/>
  <c r="BU62" i="22"/>
  <c r="BV62" i="22" s="1"/>
  <c r="BK61" i="22"/>
  <c r="BL61" i="22" s="1"/>
  <c r="BI54" i="21"/>
  <c r="BJ54" i="21" s="1"/>
  <c r="BW58" i="21"/>
  <c r="BX58" i="21" s="1"/>
  <c r="BS66" i="22"/>
  <c r="BT66" i="22" s="1"/>
  <c r="BQ55" i="21"/>
  <c r="BR55" i="21" s="1"/>
  <c r="BO55" i="20"/>
  <c r="BP55" i="20" s="1"/>
  <c r="BK64" i="23"/>
  <c r="BL64" i="23" s="1"/>
  <c r="BU60" i="21"/>
  <c r="BV60" i="21" s="1"/>
  <c r="BY54" i="23"/>
  <c r="BZ54" i="23" s="1"/>
  <c r="AG62" i="21"/>
  <c r="AH62" i="21" s="1"/>
  <c r="BK60" i="21"/>
  <c r="BL60" i="21" s="1"/>
  <c r="BQ61" i="22"/>
  <c r="BR61" i="22" s="1"/>
  <c r="BS60" i="21"/>
  <c r="BT60" i="21" s="1"/>
  <c r="BK66" i="23"/>
  <c r="BL66" i="23" s="1"/>
  <c r="AG62" i="20"/>
  <c r="AH62" i="20" s="1"/>
  <c r="AG58" i="21"/>
  <c r="AH58" i="21" s="1"/>
  <c r="AG64" i="21"/>
  <c r="AH64" i="21" s="1"/>
  <c r="BI65" i="21"/>
  <c r="BJ65" i="21" s="1"/>
  <c r="BS57" i="21"/>
  <c r="BT57" i="21" s="1"/>
  <c r="BM60" i="23"/>
  <c r="BN60" i="23" s="1"/>
  <c r="BO54" i="23"/>
  <c r="BP54" i="23" s="1"/>
  <c r="BU61" i="23"/>
  <c r="BV61" i="23" s="1"/>
  <c r="BQ55" i="23"/>
  <c r="BR55" i="23" s="1"/>
  <c r="BM55" i="23"/>
  <c r="BN55" i="23" s="1"/>
  <c r="BM58" i="21"/>
  <c r="BN58" i="21" s="1"/>
  <c r="BI65" i="22"/>
  <c r="BJ65" i="22" s="1"/>
  <c r="BM61" i="23"/>
  <c r="BN61" i="23" s="1"/>
  <c r="BQ60" i="23"/>
  <c r="BR60" i="23" s="1"/>
  <c r="BU55" i="20"/>
  <c r="BV55" i="20" s="1"/>
  <c r="BO57" i="21"/>
  <c r="BP57" i="21" s="1"/>
  <c r="BM61" i="22"/>
  <c r="BN61" i="22" s="1"/>
  <c r="BM64" i="23"/>
  <c r="BN64" i="23" s="1"/>
  <c r="BI57" i="20"/>
  <c r="BJ57" i="20" s="1"/>
  <c r="BY55" i="23"/>
  <c r="BZ55" i="23" s="1"/>
  <c r="BM54" i="21"/>
  <c r="BN54" i="21" s="1"/>
  <c r="BS54" i="23"/>
  <c r="BT54" i="23" s="1"/>
  <c r="BS61" i="22"/>
  <c r="BT61" i="22" s="1"/>
  <c r="BO66" i="21"/>
  <c r="BP66" i="21" s="1"/>
  <c r="BQ63" i="20"/>
  <c r="BR63" i="20" s="1"/>
  <c r="BQ67" i="21"/>
  <c r="BR67" i="21" s="1"/>
  <c r="BU55" i="21"/>
  <c r="BV55" i="21" s="1"/>
  <c r="AJ60" i="21"/>
  <c r="BI58" i="21"/>
  <c r="BJ58" i="21" s="1"/>
  <c r="L66" i="21"/>
  <c r="BO65" i="21"/>
  <c r="BP65" i="21" s="1"/>
  <c r="BW66" i="23"/>
  <c r="BX66" i="23" s="1"/>
  <c r="BQ58" i="21"/>
  <c r="BR58" i="21" s="1"/>
  <c r="BK58" i="21"/>
  <c r="BL58" i="21" s="1"/>
  <c r="J58" i="21"/>
  <c r="BM67" i="21"/>
  <c r="BN67" i="21" s="1"/>
  <c r="BQ64" i="21"/>
  <c r="BR64" i="21" s="1"/>
  <c r="BK67" i="23"/>
  <c r="BL67" i="23" s="1"/>
  <c r="BK65" i="21"/>
  <c r="BL65" i="21" s="1"/>
  <c r="BU66" i="21"/>
  <c r="BV66" i="21" s="1"/>
  <c r="BO58" i="21"/>
  <c r="BP58" i="21" s="1"/>
  <c r="AC60" i="21"/>
  <c r="BM66" i="21"/>
  <c r="BN66" i="21" s="1"/>
  <c r="BY54" i="21"/>
  <c r="BZ54" i="21" s="1"/>
  <c r="BQ54" i="21"/>
  <c r="BR54" i="21" s="1"/>
  <c r="BQ58" i="23"/>
  <c r="BR58" i="23" s="1"/>
  <c r="BY60" i="23"/>
  <c r="BZ60" i="23" s="1"/>
  <c r="BW66" i="21"/>
  <c r="BX66" i="21" s="1"/>
  <c r="BY67" i="21"/>
  <c r="BZ67" i="21" s="1"/>
  <c r="BW65" i="21"/>
  <c r="BX65" i="21" s="1"/>
  <c r="BY61" i="21"/>
  <c r="BZ61" i="21" s="1"/>
  <c r="BO60" i="21"/>
  <c r="BP60" i="21" s="1"/>
  <c r="BG54" i="21"/>
  <c r="BM61" i="21"/>
  <c r="BN61" i="21" s="1"/>
  <c r="BK57" i="21"/>
  <c r="BL57" i="21" s="1"/>
  <c r="P54" i="21"/>
  <c r="BM58" i="23"/>
  <c r="BN58" i="23" s="1"/>
  <c r="BU54" i="23"/>
  <c r="BV54" i="23" s="1"/>
  <c r="BO66" i="23"/>
  <c r="BP66" i="23" s="1"/>
  <c r="BU64" i="23"/>
  <c r="BV64" i="23" s="1"/>
  <c r="BI54" i="20"/>
  <c r="BJ54" i="20" s="1"/>
  <c r="BU57" i="20"/>
  <c r="BV57" i="20" s="1"/>
  <c r="BU59" i="20"/>
  <c r="BV59" i="20" s="1"/>
  <c r="AC54" i="21"/>
  <c r="BU61" i="21"/>
  <c r="BV61" i="21" s="1"/>
  <c r="BU58" i="23"/>
  <c r="BV58" i="23" s="1"/>
  <c r="L54" i="23"/>
  <c r="BW58" i="20"/>
  <c r="BX58" i="20" s="1"/>
  <c r="BQ66" i="21"/>
  <c r="BR66" i="21" s="1"/>
  <c r="BU67" i="21"/>
  <c r="BV67" i="21" s="1"/>
  <c r="BO59" i="21"/>
  <c r="BP59" i="21" s="1"/>
  <c r="BS65" i="21"/>
  <c r="BT65" i="21" s="1"/>
  <c r="BY64" i="21"/>
  <c r="BZ64" i="21" s="1"/>
  <c r="BU60" i="23"/>
  <c r="BV60" i="23" s="1"/>
  <c r="BU55" i="23"/>
  <c r="BV55" i="23" s="1"/>
  <c r="BK63" i="20"/>
  <c r="BL63" i="20" s="1"/>
  <c r="BY66" i="21"/>
  <c r="BZ66" i="21" s="1"/>
  <c r="AC66" i="21"/>
  <c r="BQ60" i="21"/>
  <c r="BR60" i="21" s="1"/>
  <c r="BM64" i="21"/>
  <c r="BN64" i="21" s="1"/>
  <c r="BQ61" i="21"/>
  <c r="BR61" i="21" s="1"/>
  <c r="BU54" i="21"/>
  <c r="BV54" i="21" s="1"/>
  <c r="BS66" i="21"/>
  <c r="BT66" i="21" s="1"/>
  <c r="BM60" i="21"/>
  <c r="BN60" i="21" s="1"/>
  <c r="BW57" i="21"/>
  <c r="BX57" i="21" s="1"/>
  <c r="BE54" i="21"/>
  <c r="BY64" i="23"/>
  <c r="BZ64" i="23" s="1"/>
  <c r="R55" i="23"/>
  <c r="BQ64" i="23"/>
  <c r="BR64" i="23" s="1"/>
  <c r="BQ61" i="23"/>
  <c r="BR61" i="23" s="1"/>
  <c r="BO54" i="21"/>
  <c r="BP54" i="21" s="1"/>
  <c r="AJ55" i="20"/>
  <c r="BE66" i="21"/>
  <c r="BW60" i="21"/>
  <c r="BX60" i="21" s="1"/>
  <c r="BE60" i="21"/>
  <c r="BY60" i="21"/>
  <c r="BZ60" i="21" s="1"/>
  <c r="BY61" i="23"/>
  <c r="BZ61" i="23" s="1"/>
  <c r="BM54" i="23"/>
  <c r="BN54" i="23" s="1"/>
  <c r="BK57" i="20"/>
  <c r="BL57" i="20" s="1"/>
  <c r="BI57" i="21"/>
  <c r="BJ57" i="21" s="1"/>
  <c r="BY55" i="21"/>
  <c r="BZ55" i="21" s="1"/>
  <c r="BM55" i="21"/>
  <c r="BN55" i="21" s="1"/>
  <c r="BY58" i="23"/>
  <c r="BZ58" i="23" s="1"/>
  <c r="BK54" i="21"/>
  <c r="BL54" i="21" s="1"/>
  <c r="R60" i="23"/>
  <c r="BS66" i="23"/>
  <c r="BT66" i="23" s="1"/>
  <c r="BW54" i="21"/>
  <c r="BX54" i="21" s="1"/>
  <c r="BW61" i="22"/>
  <c r="BX61" i="22" s="1"/>
  <c r="AC54" i="23"/>
  <c r="BU58" i="21"/>
  <c r="BV58" i="21" s="1"/>
  <c r="BW54" i="23"/>
  <c r="BX54" i="23" s="1"/>
  <c r="BK54" i="23"/>
  <c r="BL54" i="23" s="1"/>
  <c r="BQ54" i="23"/>
  <c r="BR54" i="23" s="1"/>
  <c r="BI61" i="22"/>
  <c r="BJ61" i="22" s="1"/>
  <c r="BK66" i="21"/>
  <c r="BL66" i="21" s="1"/>
  <c r="BY66" i="20"/>
  <c r="BZ66" i="20" s="1"/>
  <c r="AC61" i="22"/>
  <c r="BG61" i="22"/>
  <c r="BU61" i="22"/>
  <c r="BV61" i="22" s="1"/>
  <c r="L61" i="22"/>
  <c r="BO61" i="22"/>
  <c r="BP61" i="22" s="1"/>
  <c r="BI63" i="20"/>
  <c r="BJ63" i="20" s="1"/>
  <c r="BM57" i="23"/>
  <c r="BN57" i="23" s="1"/>
  <c r="BW63" i="20"/>
  <c r="BX63" i="20" s="1"/>
  <c r="BE65" i="22"/>
  <c r="BI65" i="20"/>
  <c r="BJ65" i="20" s="1"/>
  <c r="BO64" i="23"/>
  <c r="BP64" i="23" s="1"/>
  <c r="AN55" i="20"/>
  <c r="BU62" i="21"/>
  <c r="BV62" i="21" s="1"/>
  <c r="BM61" i="20"/>
  <c r="BN61" i="20" s="1"/>
  <c r="BO63" i="21"/>
  <c r="BP63" i="21" s="1"/>
  <c r="BS58" i="21"/>
  <c r="BT58" i="21" s="1"/>
  <c r="BE54" i="23"/>
  <c r="BY57" i="20"/>
  <c r="BZ57" i="20" s="1"/>
  <c r="BY56" i="21"/>
  <c r="BZ56" i="21" s="1"/>
  <c r="BU66" i="20"/>
  <c r="BV66" i="20" s="1"/>
  <c r="BW57" i="20"/>
  <c r="BX57" i="20" s="1"/>
  <c r="BQ57" i="20"/>
  <c r="BR57" i="20" s="1"/>
  <c r="T63" i="20"/>
  <c r="R59" i="20"/>
  <c r="BK62" i="20"/>
  <c r="BL62" i="20" s="1"/>
  <c r="R55" i="20"/>
  <c r="BO62" i="20"/>
  <c r="BP62" i="20" s="1"/>
  <c r="AC58" i="23"/>
  <c r="AC57" i="23"/>
  <c r="R57" i="20"/>
  <c r="AC63" i="22"/>
  <c r="AC64" i="21"/>
  <c r="AC55" i="21"/>
  <c r="V67" i="23"/>
  <c r="BY67" i="23"/>
  <c r="BZ67" i="23" s="1"/>
  <c r="BM63" i="23"/>
  <c r="BN63" i="23" s="1"/>
  <c r="J63" i="23"/>
  <c r="AC63" i="23"/>
  <c r="L61" i="23"/>
  <c r="BO61" i="23"/>
  <c r="BP61" i="23" s="1"/>
  <c r="BS59" i="23"/>
  <c r="BT59" i="23" s="1"/>
  <c r="P59" i="23"/>
  <c r="AJ55" i="23"/>
  <c r="BE55" i="23"/>
  <c r="AG65" i="23"/>
  <c r="AH65" i="23" s="1"/>
  <c r="AE65" i="23"/>
  <c r="BO56" i="23"/>
  <c r="BP56" i="23" s="1"/>
  <c r="L56" i="23"/>
  <c r="BG67" i="23"/>
  <c r="BI67" i="23"/>
  <c r="BJ67" i="23" s="1"/>
  <c r="V66" i="23"/>
  <c r="BY66" i="23"/>
  <c r="BZ66" i="23" s="1"/>
  <c r="R67" i="23"/>
  <c r="BU67" i="23"/>
  <c r="BV67" i="23" s="1"/>
  <c r="BE63" i="23"/>
  <c r="AJ63" i="23"/>
  <c r="BW60" i="23"/>
  <c r="BX60" i="23" s="1"/>
  <c r="T60" i="23"/>
  <c r="BS67" i="23"/>
  <c r="BT67" i="23" s="1"/>
  <c r="BY63" i="23"/>
  <c r="BZ63" i="23" s="1"/>
  <c r="V63" i="23"/>
  <c r="H61" i="23"/>
  <c r="BK61" i="23"/>
  <c r="BL61" i="23" s="1"/>
  <c r="AE61" i="23"/>
  <c r="AG61" i="23"/>
  <c r="AH61" i="23" s="1"/>
  <c r="BK57" i="23"/>
  <c r="BL57" i="23" s="1"/>
  <c r="H57" i="23"/>
  <c r="H58" i="23"/>
  <c r="BK58" i="23"/>
  <c r="BL58" i="23" s="1"/>
  <c r="BE66" i="23"/>
  <c r="AE58" i="23"/>
  <c r="AG58" i="23"/>
  <c r="AH58" i="23" s="1"/>
  <c r="BI62" i="23"/>
  <c r="BJ62" i="23" s="1"/>
  <c r="BG62" i="23"/>
  <c r="P62" i="23"/>
  <c r="BS62" i="23"/>
  <c r="BT62" i="23" s="1"/>
  <c r="BE62" i="23"/>
  <c r="AJ62" i="23"/>
  <c r="BY62" i="23"/>
  <c r="BZ62" i="23" s="1"/>
  <c r="V62" i="23"/>
  <c r="T59" i="23"/>
  <c r="BW59" i="23"/>
  <c r="BX59" i="23" s="1"/>
  <c r="BM59" i="23"/>
  <c r="BN59" i="23" s="1"/>
  <c r="AC59" i="23"/>
  <c r="J59" i="23"/>
  <c r="BM56" i="23"/>
  <c r="BN56" i="23" s="1"/>
  <c r="AC56" i="23"/>
  <c r="J56" i="23"/>
  <c r="L55" i="23"/>
  <c r="BO55" i="23"/>
  <c r="BP55" i="23" s="1"/>
  <c r="H65" i="23"/>
  <c r="BK65" i="23"/>
  <c r="BL65" i="23" s="1"/>
  <c r="BQ65" i="23"/>
  <c r="BR65" i="23" s="1"/>
  <c r="N65" i="23"/>
  <c r="BE56" i="23"/>
  <c r="AJ56" i="23"/>
  <c r="H56" i="23"/>
  <c r="BK56" i="23"/>
  <c r="BL56" i="23" s="1"/>
  <c r="J66" i="23"/>
  <c r="BM66" i="23"/>
  <c r="BN66" i="23" s="1"/>
  <c r="AC66" i="23"/>
  <c r="BG58" i="23"/>
  <c r="BI58" i="23"/>
  <c r="BJ58" i="23" s="1"/>
  <c r="BQ56" i="23"/>
  <c r="BR56" i="23" s="1"/>
  <c r="N56" i="23"/>
  <c r="AE54" i="23"/>
  <c r="AG54" i="23"/>
  <c r="AH54" i="23" s="1"/>
  <c r="T65" i="23"/>
  <c r="BW65" i="23"/>
  <c r="BX65" i="23" s="1"/>
  <c r="BM65" i="23"/>
  <c r="BN65" i="23" s="1"/>
  <c r="AC65" i="23"/>
  <c r="J65" i="23"/>
  <c r="AE67" i="23"/>
  <c r="AG67" i="23"/>
  <c r="AH67" i="23" s="1"/>
  <c r="R66" i="23"/>
  <c r="BU66" i="23"/>
  <c r="BV66" i="23" s="1"/>
  <c r="BW64" i="23"/>
  <c r="BX64" i="23" s="1"/>
  <c r="N67" i="23"/>
  <c r="BQ67" i="23"/>
  <c r="BR67" i="23" s="1"/>
  <c r="BG64" i="23"/>
  <c r="BI64" i="23"/>
  <c r="BJ64" i="23" s="1"/>
  <c r="AG63" i="23"/>
  <c r="AH63" i="23" s="1"/>
  <c r="AE63" i="23"/>
  <c r="BE60" i="23"/>
  <c r="AJ60" i="23"/>
  <c r="BS60" i="23"/>
  <c r="BT60" i="23" s="1"/>
  <c r="P60" i="23"/>
  <c r="BU63" i="23"/>
  <c r="BV63" i="23" s="1"/>
  <c r="R63" i="23"/>
  <c r="T61" i="23"/>
  <c r="BW61" i="23"/>
  <c r="BX61" i="23" s="1"/>
  <c r="BG60" i="23"/>
  <c r="BI60" i="23"/>
  <c r="BJ60" i="23" s="1"/>
  <c r="BW57" i="23"/>
  <c r="BX57" i="23" s="1"/>
  <c r="T57" i="23"/>
  <c r="BW67" i="23"/>
  <c r="BX67" i="23" s="1"/>
  <c r="T58" i="23"/>
  <c r="BW58" i="23"/>
  <c r="BX58" i="23" s="1"/>
  <c r="BG57" i="23"/>
  <c r="BI57" i="23"/>
  <c r="BJ57" i="23" s="1"/>
  <c r="V57" i="23"/>
  <c r="BY57" i="23"/>
  <c r="BZ57" i="23" s="1"/>
  <c r="AG62" i="23"/>
  <c r="AH62" i="23" s="1"/>
  <c r="AE62" i="23"/>
  <c r="T62" i="23"/>
  <c r="BW62" i="23"/>
  <c r="BX62" i="23" s="1"/>
  <c r="BM62" i="23"/>
  <c r="BN62" i="23" s="1"/>
  <c r="AC62" i="23"/>
  <c r="J62" i="23"/>
  <c r="H59" i="23"/>
  <c r="BK59" i="23"/>
  <c r="BL59" i="23" s="1"/>
  <c r="BQ59" i="23"/>
  <c r="BR59" i="23" s="1"/>
  <c r="N59" i="23"/>
  <c r="V56" i="23"/>
  <c r="BY56" i="23"/>
  <c r="BZ56" i="23" s="1"/>
  <c r="H55" i="23"/>
  <c r="BK55" i="23"/>
  <c r="BL55" i="23" s="1"/>
  <c r="AC55" i="23"/>
  <c r="L65" i="23"/>
  <c r="BO65" i="23"/>
  <c r="BP65" i="23" s="1"/>
  <c r="BU65" i="23"/>
  <c r="BV65" i="23" s="1"/>
  <c r="R65" i="23"/>
  <c r="BW56" i="23"/>
  <c r="BX56" i="23" s="1"/>
  <c r="T56" i="23"/>
  <c r="BG55" i="23"/>
  <c r="BI55" i="23"/>
  <c r="BJ55" i="23" s="1"/>
  <c r="AE56" i="23"/>
  <c r="AG56" i="23"/>
  <c r="AH56" i="23" s="1"/>
  <c r="BE67" i="23"/>
  <c r="AJ67" i="23"/>
  <c r="BG63" i="23"/>
  <c r="BI63" i="23"/>
  <c r="BJ63" i="23" s="1"/>
  <c r="BK60" i="23"/>
  <c r="BL60" i="23" s="1"/>
  <c r="H60" i="23"/>
  <c r="BG61" i="23"/>
  <c r="BI61" i="23"/>
  <c r="BJ61" i="23" s="1"/>
  <c r="BO57" i="23"/>
  <c r="BP57" i="23" s="1"/>
  <c r="L57" i="23"/>
  <c r="AC61" i="23"/>
  <c r="L58" i="23"/>
  <c r="BO58" i="23"/>
  <c r="BP58" i="23" s="1"/>
  <c r="N57" i="23"/>
  <c r="BQ57" i="23"/>
  <c r="BR57" i="23" s="1"/>
  <c r="L62" i="23"/>
  <c r="BO62" i="23"/>
  <c r="BP62" i="23" s="1"/>
  <c r="BU62" i="23"/>
  <c r="BV62" i="23" s="1"/>
  <c r="R62" i="23"/>
  <c r="BE59" i="23"/>
  <c r="AJ59" i="23"/>
  <c r="BY59" i="23"/>
  <c r="BZ59" i="23" s="1"/>
  <c r="V59" i="23"/>
  <c r="P55" i="23"/>
  <c r="BS55" i="23"/>
  <c r="BT55" i="23" s="1"/>
  <c r="AG66" i="23"/>
  <c r="AH66" i="23" s="1"/>
  <c r="AE66" i="23"/>
  <c r="N66" i="23"/>
  <c r="BQ66" i="23"/>
  <c r="BR66" i="23" s="1"/>
  <c r="BS64" i="23"/>
  <c r="BT64" i="23" s="1"/>
  <c r="AJ64" i="23"/>
  <c r="BE64" i="23"/>
  <c r="J67" i="23"/>
  <c r="BM67" i="23"/>
  <c r="BN67" i="23" s="1"/>
  <c r="AC67" i="23"/>
  <c r="AE64" i="23"/>
  <c r="AG64" i="23"/>
  <c r="AH64" i="23" s="1"/>
  <c r="BO60" i="23"/>
  <c r="BP60" i="23" s="1"/>
  <c r="L60" i="23"/>
  <c r="AC60" i="23"/>
  <c r="AC64" i="23"/>
  <c r="BQ63" i="23"/>
  <c r="BR63" i="23" s="1"/>
  <c r="N63" i="23"/>
  <c r="AJ61" i="23"/>
  <c r="BE61" i="23"/>
  <c r="P61" i="23"/>
  <c r="BS61" i="23"/>
  <c r="BT61" i="23" s="1"/>
  <c r="AE60" i="23"/>
  <c r="AG60" i="23"/>
  <c r="AH60" i="23" s="1"/>
  <c r="BS63" i="23"/>
  <c r="BT63" i="23" s="1"/>
  <c r="BE57" i="23"/>
  <c r="AJ57" i="23"/>
  <c r="BS57" i="23"/>
  <c r="BT57" i="23" s="1"/>
  <c r="P57" i="23"/>
  <c r="BO67" i="23"/>
  <c r="BP67" i="23" s="1"/>
  <c r="BO63" i="23"/>
  <c r="BP63" i="23" s="1"/>
  <c r="AJ58" i="23"/>
  <c r="BE58" i="23"/>
  <c r="P58" i="23"/>
  <c r="BS58" i="23"/>
  <c r="BT58" i="23" s="1"/>
  <c r="AE57" i="23"/>
  <c r="AG57" i="23"/>
  <c r="AH57" i="23" s="1"/>
  <c r="BK63" i="23"/>
  <c r="BL63" i="23" s="1"/>
  <c r="R57" i="23"/>
  <c r="BU57" i="23"/>
  <c r="BV57" i="23" s="1"/>
  <c r="H62" i="23"/>
  <c r="BK62" i="23"/>
  <c r="BL62" i="23" s="1"/>
  <c r="BQ62" i="23"/>
  <c r="BR62" i="23" s="1"/>
  <c r="N62" i="23"/>
  <c r="L59" i="23"/>
  <c r="BO59" i="23"/>
  <c r="BP59" i="23" s="1"/>
  <c r="BU59" i="23"/>
  <c r="BV59" i="23" s="1"/>
  <c r="R59" i="23"/>
  <c r="BU56" i="23"/>
  <c r="BV56" i="23" s="1"/>
  <c r="R56" i="23"/>
  <c r="T55" i="23"/>
  <c r="BW55" i="23"/>
  <c r="BX55" i="23" s="1"/>
  <c r="BG54" i="23"/>
  <c r="BI54" i="23"/>
  <c r="BJ54" i="23" s="1"/>
  <c r="BI65" i="23"/>
  <c r="BJ65" i="23" s="1"/>
  <c r="BG65" i="23"/>
  <c r="P65" i="23"/>
  <c r="BS65" i="23"/>
  <c r="BT65" i="23" s="1"/>
  <c r="BE65" i="23"/>
  <c r="AJ65" i="23"/>
  <c r="BY65" i="23"/>
  <c r="BZ65" i="23" s="1"/>
  <c r="V65" i="23"/>
  <c r="BW63" i="23"/>
  <c r="BX63" i="23" s="1"/>
  <c r="P56" i="23"/>
  <c r="BS56" i="23"/>
  <c r="BT56" i="23" s="1"/>
  <c r="AE55" i="23"/>
  <c r="AG55" i="23"/>
  <c r="AH55" i="23" s="1"/>
  <c r="BI56" i="23"/>
  <c r="BJ56" i="23" s="1"/>
  <c r="BG56" i="23"/>
  <c r="AE67" i="22"/>
  <c r="AG67" i="22"/>
  <c r="AH67" i="22" s="1"/>
  <c r="AG61" i="22"/>
  <c r="AH61" i="22" s="1"/>
  <c r="AE61" i="22"/>
  <c r="BE61" i="22"/>
  <c r="J59" i="22"/>
  <c r="BM59" i="22"/>
  <c r="BN59" i="22" s="1"/>
  <c r="AC59" i="22"/>
  <c r="V55" i="22"/>
  <c r="BY55" i="22"/>
  <c r="BZ55" i="22" s="1"/>
  <c r="BY63" i="22"/>
  <c r="BZ63" i="22" s="1"/>
  <c r="V63" i="22"/>
  <c r="AG58" i="22"/>
  <c r="AH58" i="22" s="1"/>
  <c r="AE58" i="22"/>
  <c r="L64" i="22"/>
  <c r="BO64" i="22"/>
  <c r="BP64" i="22" s="1"/>
  <c r="BY54" i="22"/>
  <c r="BZ54" i="22" s="1"/>
  <c r="V54" i="22"/>
  <c r="AE57" i="22"/>
  <c r="AG57" i="22"/>
  <c r="AH57" i="22" s="1"/>
  <c r="AJ57" i="22"/>
  <c r="BE57" i="22"/>
  <c r="AN67" i="22"/>
  <c r="BE67" i="22"/>
  <c r="N66" i="22"/>
  <c r="BQ66" i="22"/>
  <c r="BR66" i="22" s="1"/>
  <c r="BE62" i="22"/>
  <c r="AJ62" i="22"/>
  <c r="BS62" i="22"/>
  <c r="BT62" i="22" s="1"/>
  <c r="P62" i="22"/>
  <c r="AG65" i="22"/>
  <c r="AH65" i="22" s="1"/>
  <c r="AE65" i="22"/>
  <c r="BQ65" i="22"/>
  <c r="BR65" i="22" s="1"/>
  <c r="N65" i="22"/>
  <c r="V59" i="22"/>
  <c r="BY59" i="22"/>
  <c r="BZ59" i="22" s="1"/>
  <c r="AE56" i="22"/>
  <c r="AG56" i="22"/>
  <c r="AH56" i="22" s="1"/>
  <c r="R55" i="22"/>
  <c r="BU55" i="22"/>
  <c r="BV55" i="22" s="1"/>
  <c r="BM64" i="22"/>
  <c r="BN64" i="22" s="1"/>
  <c r="BS63" i="22"/>
  <c r="BT63" i="22" s="1"/>
  <c r="P63" i="22"/>
  <c r="BU58" i="22"/>
  <c r="BV58" i="22" s="1"/>
  <c r="R58" i="22"/>
  <c r="BG57" i="22"/>
  <c r="BI57" i="22"/>
  <c r="BJ57" i="22" s="1"/>
  <c r="BG64" i="22"/>
  <c r="BI64" i="22"/>
  <c r="BJ64" i="22" s="1"/>
  <c r="P64" i="22"/>
  <c r="BS64" i="22"/>
  <c r="BT64" i="22" s="1"/>
  <c r="AJ64" i="22"/>
  <c r="BE64" i="22"/>
  <c r="T58" i="22"/>
  <c r="BW58" i="22"/>
  <c r="BX58" i="22" s="1"/>
  <c r="BI54" i="22"/>
  <c r="BJ54" i="22" s="1"/>
  <c r="BG54" i="22"/>
  <c r="BM54" i="22"/>
  <c r="BN54" i="22" s="1"/>
  <c r="AC54" i="22"/>
  <c r="J54" i="22"/>
  <c r="T57" i="22"/>
  <c r="BW57" i="22"/>
  <c r="BX57" i="22" s="1"/>
  <c r="BS58" i="22"/>
  <c r="BT58" i="22" s="1"/>
  <c r="BU63" i="22"/>
  <c r="BV63" i="22" s="1"/>
  <c r="R66" i="22"/>
  <c r="BU66" i="22"/>
  <c r="BV66" i="22" s="1"/>
  <c r="BW62" i="22"/>
  <c r="BX62" i="22" s="1"/>
  <c r="T62" i="22"/>
  <c r="BM65" i="22"/>
  <c r="BN65" i="22" s="1"/>
  <c r="AC65" i="22"/>
  <c r="J65" i="22"/>
  <c r="AG55" i="22"/>
  <c r="AH55" i="22" s="1"/>
  <c r="AE55" i="22"/>
  <c r="BE54" i="22"/>
  <c r="AJ54" i="22"/>
  <c r="AC62" i="22"/>
  <c r="BE55" i="22"/>
  <c r="P57" i="22"/>
  <c r="BS57" i="22"/>
  <c r="BT57" i="22" s="1"/>
  <c r="AG66" i="22"/>
  <c r="AH66" i="22" s="1"/>
  <c r="AE66" i="22"/>
  <c r="J66" i="22"/>
  <c r="BM66" i="22"/>
  <c r="BN66" i="22" s="1"/>
  <c r="AC66" i="22"/>
  <c r="P65" i="22"/>
  <c r="BS65" i="22"/>
  <c r="BT65" i="22" s="1"/>
  <c r="BO62" i="22"/>
  <c r="BP62" i="22" s="1"/>
  <c r="L62" i="22"/>
  <c r="BW67" i="22"/>
  <c r="BX67" i="22" s="1"/>
  <c r="BU65" i="22"/>
  <c r="BV65" i="22" s="1"/>
  <c r="R65" i="22"/>
  <c r="BG62" i="22"/>
  <c r="BI62" i="22"/>
  <c r="BJ62" i="22" s="1"/>
  <c r="AE60" i="22"/>
  <c r="AG60" i="22"/>
  <c r="AH60" i="22" s="1"/>
  <c r="R59" i="22"/>
  <c r="BU59" i="22"/>
  <c r="BV59" i="22" s="1"/>
  <c r="N55" i="22"/>
  <c r="BQ55" i="22"/>
  <c r="BR55" i="22" s="1"/>
  <c r="BO67" i="22"/>
  <c r="BP67" i="22" s="1"/>
  <c r="BW63" i="22"/>
  <c r="BX63" i="22" s="1"/>
  <c r="T63" i="22"/>
  <c r="BY58" i="22"/>
  <c r="BZ58" i="22" s="1"/>
  <c r="V58" i="22"/>
  <c r="T54" i="22"/>
  <c r="BW54" i="22"/>
  <c r="BX54" i="22" s="1"/>
  <c r="BM63" i="22"/>
  <c r="BN63" i="22" s="1"/>
  <c r="AE64" i="22"/>
  <c r="AG64" i="22"/>
  <c r="AH64" i="22" s="1"/>
  <c r="BQ64" i="22"/>
  <c r="BR64" i="22" s="1"/>
  <c r="N64" i="22"/>
  <c r="T64" i="22"/>
  <c r="BW64" i="22"/>
  <c r="BX64" i="22" s="1"/>
  <c r="L58" i="22"/>
  <c r="BO58" i="22"/>
  <c r="BP58" i="22" s="1"/>
  <c r="R57" i="22"/>
  <c r="BU57" i="22"/>
  <c r="BV57" i="22" s="1"/>
  <c r="BW65" i="22"/>
  <c r="BX65" i="22" s="1"/>
  <c r="AG54" i="22"/>
  <c r="AH54" i="22" s="1"/>
  <c r="AE54" i="22"/>
  <c r="BQ54" i="22"/>
  <c r="BR54" i="22" s="1"/>
  <c r="N54" i="22"/>
  <c r="BE59" i="22"/>
  <c r="H57" i="22"/>
  <c r="BK57" i="22"/>
  <c r="BL57" i="22" s="1"/>
  <c r="BS67" i="22"/>
  <c r="BT67" i="22" s="1"/>
  <c r="AN65" i="22"/>
  <c r="BO65" i="22"/>
  <c r="BP65" i="22" s="1"/>
  <c r="AJ63" i="22"/>
  <c r="BE63" i="22"/>
  <c r="BO63" i="22"/>
  <c r="BP63" i="22" s="1"/>
  <c r="L63" i="22"/>
  <c r="BQ58" i="22"/>
  <c r="BR58" i="22" s="1"/>
  <c r="N58" i="22"/>
  <c r="H54" i="22"/>
  <c r="BK54" i="22"/>
  <c r="BL54" i="22" s="1"/>
  <c r="BG67" i="22"/>
  <c r="BI67" i="22"/>
  <c r="BJ67" i="22" s="1"/>
  <c r="V66" i="22"/>
  <c r="BY66" i="22"/>
  <c r="BZ66" i="22" s="1"/>
  <c r="H65" i="22"/>
  <c r="BK65" i="22"/>
  <c r="BL65" i="22" s="1"/>
  <c r="BK62" i="22"/>
  <c r="BL62" i="22" s="1"/>
  <c r="H62" i="22"/>
  <c r="BY65" i="22"/>
  <c r="BZ65" i="22" s="1"/>
  <c r="V65" i="22"/>
  <c r="AE62" i="22"/>
  <c r="AG62" i="22"/>
  <c r="AH62" i="22" s="1"/>
  <c r="BE66" i="22"/>
  <c r="AG59" i="22"/>
  <c r="AH59" i="22" s="1"/>
  <c r="AE59" i="22"/>
  <c r="N59" i="22"/>
  <c r="BQ59" i="22"/>
  <c r="BR59" i="22" s="1"/>
  <c r="J55" i="22"/>
  <c r="BM55" i="22"/>
  <c r="BN55" i="22" s="1"/>
  <c r="AC55" i="22"/>
  <c r="AC64" i="22"/>
  <c r="BQ63" i="22"/>
  <c r="BR63" i="22" s="1"/>
  <c r="N63" i="22"/>
  <c r="BK63" i="22"/>
  <c r="BL63" i="22" s="1"/>
  <c r="H63" i="22"/>
  <c r="BG63" i="22"/>
  <c r="BI63" i="22"/>
  <c r="BJ63" i="22" s="1"/>
  <c r="BM58" i="22"/>
  <c r="BN58" i="22" s="1"/>
  <c r="AC58" i="22"/>
  <c r="J58" i="22"/>
  <c r="L54" i="22"/>
  <c r="BO54" i="22"/>
  <c r="BP54" i="22" s="1"/>
  <c r="R64" i="22"/>
  <c r="BU64" i="22"/>
  <c r="BV64" i="22" s="1"/>
  <c r="BY64" i="22"/>
  <c r="BZ64" i="22" s="1"/>
  <c r="V64" i="22"/>
  <c r="H64" i="22"/>
  <c r="BK64" i="22"/>
  <c r="BL64" i="22" s="1"/>
  <c r="BE58" i="22"/>
  <c r="AJ58" i="22"/>
  <c r="J57" i="22"/>
  <c r="BM57" i="22"/>
  <c r="BN57" i="22" s="1"/>
  <c r="AC57" i="22"/>
  <c r="BU54" i="22"/>
  <c r="BV54" i="22" s="1"/>
  <c r="R54" i="22"/>
  <c r="BY61" i="22"/>
  <c r="BZ61" i="22" s="1"/>
  <c r="L57" i="22"/>
  <c r="BO57" i="22"/>
  <c r="BP57" i="22" s="1"/>
  <c r="P54" i="22"/>
  <c r="BS54" i="22"/>
  <c r="BT54" i="22" s="1"/>
  <c r="BQ57" i="22"/>
  <c r="BR57" i="22" s="1"/>
  <c r="BY57" i="22"/>
  <c r="BZ57" i="22" s="1"/>
  <c r="BW67" i="21"/>
  <c r="BX67" i="21" s="1"/>
  <c r="T67" i="21"/>
  <c r="BU64" i="21"/>
  <c r="BV64" i="21" s="1"/>
  <c r="R64" i="21"/>
  <c r="BE61" i="21"/>
  <c r="AJ61" i="21"/>
  <c r="BE55" i="21"/>
  <c r="AJ55" i="21"/>
  <c r="P59" i="21"/>
  <c r="BS59" i="21"/>
  <c r="BT59" i="21" s="1"/>
  <c r="BM59" i="21"/>
  <c r="BN59" i="21" s="1"/>
  <c r="AC59" i="21"/>
  <c r="J59" i="21"/>
  <c r="BQ57" i="21"/>
  <c r="BR57" i="21" s="1"/>
  <c r="N57" i="21"/>
  <c r="BY62" i="21"/>
  <c r="BZ62" i="21" s="1"/>
  <c r="V62" i="21"/>
  <c r="AJ67" i="21"/>
  <c r="BE67" i="21"/>
  <c r="BS67" i="21"/>
  <c r="BT67" i="21" s="1"/>
  <c r="P67" i="21"/>
  <c r="AG65" i="21"/>
  <c r="AH65" i="21" s="1"/>
  <c r="AE65" i="21"/>
  <c r="BE65" i="21"/>
  <c r="BS63" i="21"/>
  <c r="BT63" i="21" s="1"/>
  <c r="P63" i="21"/>
  <c r="BE63" i="21"/>
  <c r="AJ63" i="21"/>
  <c r="AG59" i="21"/>
  <c r="AH59" i="21" s="1"/>
  <c r="AE59" i="21"/>
  <c r="BQ59" i="21"/>
  <c r="BR59" i="21" s="1"/>
  <c r="N59" i="21"/>
  <c r="BU57" i="21"/>
  <c r="BV57" i="21" s="1"/>
  <c r="R57" i="21"/>
  <c r="BG56" i="21"/>
  <c r="BI56" i="21"/>
  <c r="BJ56" i="21" s="1"/>
  <c r="BW63" i="21"/>
  <c r="BX63" i="21" s="1"/>
  <c r="L62" i="21"/>
  <c r="BO62" i="21"/>
  <c r="BP62" i="21" s="1"/>
  <c r="P56" i="21"/>
  <c r="BS56" i="21"/>
  <c r="BT56" i="21" s="1"/>
  <c r="AJ56" i="21"/>
  <c r="BE56" i="21"/>
  <c r="BO67" i="21"/>
  <c r="BP67" i="21" s="1"/>
  <c r="L67" i="21"/>
  <c r="AE67" i="21"/>
  <c r="AG67" i="21"/>
  <c r="AH67" i="21" s="1"/>
  <c r="BU65" i="21"/>
  <c r="BV65" i="21" s="1"/>
  <c r="R65" i="21"/>
  <c r="BG64" i="21"/>
  <c r="BI64" i="21"/>
  <c r="BJ64" i="21" s="1"/>
  <c r="AJ64" i="21"/>
  <c r="BE64" i="21"/>
  <c r="BK61" i="21"/>
  <c r="BL61" i="21" s="1"/>
  <c r="H61" i="21"/>
  <c r="BS64" i="21"/>
  <c r="BT64" i="21" s="1"/>
  <c r="BK63" i="21"/>
  <c r="BL63" i="21" s="1"/>
  <c r="H63" i="21"/>
  <c r="BK55" i="21"/>
  <c r="BL55" i="21" s="1"/>
  <c r="H55" i="21"/>
  <c r="BM63" i="21"/>
  <c r="BN63" i="21" s="1"/>
  <c r="AC63" i="21"/>
  <c r="J63" i="21"/>
  <c r="BG55" i="21"/>
  <c r="BI55" i="21"/>
  <c r="BJ55" i="21" s="1"/>
  <c r="BE59" i="21"/>
  <c r="AJ59" i="21"/>
  <c r="BI59" i="21"/>
  <c r="BJ59" i="21" s="1"/>
  <c r="BG59" i="21"/>
  <c r="BU59" i="21"/>
  <c r="BV59" i="21" s="1"/>
  <c r="R59" i="21"/>
  <c r="BE58" i="21"/>
  <c r="BY57" i="21"/>
  <c r="BZ57" i="21" s="1"/>
  <c r="V57" i="21"/>
  <c r="BK64" i="21"/>
  <c r="BL64" i="21" s="1"/>
  <c r="BG62" i="21"/>
  <c r="BI62" i="21"/>
  <c r="BJ62" i="21" s="1"/>
  <c r="P62" i="21"/>
  <c r="BS62" i="21"/>
  <c r="BT62" i="21" s="1"/>
  <c r="AJ62" i="21"/>
  <c r="BE62" i="21"/>
  <c r="BE57" i="21"/>
  <c r="R56" i="21"/>
  <c r="BU56" i="21"/>
  <c r="BV56" i="21" s="1"/>
  <c r="AE56" i="21"/>
  <c r="AG56" i="21"/>
  <c r="AH56" i="21" s="1"/>
  <c r="T56" i="21"/>
  <c r="BW56" i="21"/>
  <c r="BX56" i="21" s="1"/>
  <c r="BQ56" i="21"/>
  <c r="BR56" i="21" s="1"/>
  <c r="AG66" i="21"/>
  <c r="AH66" i="21" s="1"/>
  <c r="AE66" i="21"/>
  <c r="BM65" i="21"/>
  <c r="BN65" i="21" s="1"/>
  <c r="AC65" i="21"/>
  <c r="J65" i="21"/>
  <c r="BS61" i="21"/>
  <c r="BT61" i="21" s="1"/>
  <c r="P61" i="21"/>
  <c r="BG61" i="21"/>
  <c r="BI61" i="21"/>
  <c r="BJ61" i="21" s="1"/>
  <c r="BS55" i="21"/>
  <c r="BT55" i="21" s="1"/>
  <c r="P55" i="21"/>
  <c r="BU63" i="21"/>
  <c r="BV63" i="21" s="1"/>
  <c r="R63" i="21"/>
  <c r="T59" i="21"/>
  <c r="BW59" i="21"/>
  <c r="BX59" i="21" s="1"/>
  <c r="AG57" i="21"/>
  <c r="AH57" i="21" s="1"/>
  <c r="AE57" i="21"/>
  <c r="H62" i="21"/>
  <c r="BK62" i="21"/>
  <c r="BL62" i="21" s="1"/>
  <c r="L56" i="21"/>
  <c r="BO56" i="21"/>
  <c r="BP56" i="21" s="1"/>
  <c r="BG67" i="21"/>
  <c r="BI67" i="21"/>
  <c r="BJ67" i="21" s="1"/>
  <c r="BQ65" i="21"/>
  <c r="BR65" i="21" s="1"/>
  <c r="N65" i="21"/>
  <c r="L64" i="21"/>
  <c r="BO64" i="21"/>
  <c r="BP64" i="21" s="1"/>
  <c r="BO61" i="21"/>
  <c r="BP61" i="21" s="1"/>
  <c r="L61" i="21"/>
  <c r="AE61" i="21"/>
  <c r="AG61" i="21"/>
  <c r="AH61" i="21" s="1"/>
  <c r="BY58" i="21"/>
  <c r="BZ58" i="21" s="1"/>
  <c r="AX58" i="21"/>
  <c r="BO55" i="21"/>
  <c r="BP55" i="21" s="1"/>
  <c r="L55" i="21"/>
  <c r="AC67" i="21"/>
  <c r="AG63" i="21"/>
  <c r="AH63" i="21" s="1"/>
  <c r="AE63" i="21"/>
  <c r="BG63" i="21"/>
  <c r="BI63" i="21"/>
  <c r="BJ63" i="21" s="1"/>
  <c r="V63" i="21"/>
  <c r="BY63" i="21"/>
  <c r="BZ63" i="21" s="1"/>
  <c r="AC62" i="21"/>
  <c r="J62" i="21"/>
  <c r="BM62" i="21"/>
  <c r="BN62" i="21" s="1"/>
  <c r="BK67" i="21"/>
  <c r="BL67" i="21" s="1"/>
  <c r="H67" i="21"/>
  <c r="BY65" i="21"/>
  <c r="BZ65" i="21" s="1"/>
  <c r="V65" i="21"/>
  <c r="BW61" i="21"/>
  <c r="BX61" i="21" s="1"/>
  <c r="T61" i="21"/>
  <c r="AG60" i="21"/>
  <c r="AH60" i="21" s="1"/>
  <c r="AE60" i="21"/>
  <c r="BW55" i="21"/>
  <c r="BX55" i="21" s="1"/>
  <c r="T55" i="21"/>
  <c r="AG54" i="21"/>
  <c r="AH54" i="21" s="1"/>
  <c r="AE54" i="21"/>
  <c r="BW64" i="21"/>
  <c r="BX64" i="21" s="1"/>
  <c r="BQ63" i="21"/>
  <c r="BR63" i="21" s="1"/>
  <c r="N63" i="21"/>
  <c r="AE55" i="21"/>
  <c r="AG55" i="21"/>
  <c r="AH55" i="21" s="1"/>
  <c r="BY59" i="21"/>
  <c r="BZ59" i="21" s="1"/>
  <c r="V59" i="21"/>
  <c r="BM57" i="21"/>
  <c r="BN57" i="21" s="1"/>
  <c r="AC57" i="21"/>
  <c r="J57" i="21"/>
  <c r="AC61" i="21"/>
  <c r="BQ62" i="21"/>
  <c r="BR62" i="21" s="1"/>
  <c r="N62" i="21"/>
  <c r="T62" i="21"/>
  <c r="BW62" i="21"/>
  <c r="BX62" i="21" s="1"/>
  <c r="J56" i="21"/>
  <c r="AC56" i="21"/>
  <c r="BM56" i="21"/>
  <c r="BN56" i="21" s="1"/>
  <c r="H56" i="21"/>
  <c r="BK56" i="21"/>
  <c r="BL56" i="21" s="1"/>
  <c r="AC58" i="21"/>
  <c r="BE59" i="20"/>
  <c r="V57" i="20"/>
  <c r="BO57" i="20"/>
  <c r="BP57" i="20" s="1"/>
  <c r="BY59" i="20"/>
  <c r="BZ59" i="20" s="1"/>
  <c r="BM59" i="20"/>
  <c r="BN59" i="20" s="1"/>
  <c r="BE63" i="20"/>
  <c r="AC63" i="20"/>
  <c r="BU60" i="20"/>
  <c r="BV60" i="20" s="1"/>
  <c r="BK59" i="20"/>
  <c r="BL59" i="20" s="1"/>
  <c r="AC59" i="20"/>
  <c r="BE57" i="20"/>
  <c r="BW59" i="20"/>
  <c r="BX59" i="20" s="1"/>
  <c r="BS59" i="20"/>
  <c r="BT59" i="20" s="1"/>
  <c r="BY55" i="20"/>
  <c r="BZ55" i="20" s="1"/>
  <c r="BM57" i="20"/>
  <c r="BN57" i="20" s="1"/>
  <c r="BO58" i="20"/>
  <c r="BP58" i="20" s="1"/>
  <c r="V63" i="20"/>
  <c r="BY63" i="20"/>
  <c r="BZ63" i="20" s="1"/>
  <c r="BU63" i="20"/>
  <c r="BV63" i="20" s="1"/>
  <c r="AT63" i="20"/>
  <c r="BQ59" i="20"/>
  <c r="BR59" i="20" s="1"/>
  <c r="P63" i="20"/>
  <c r="BS63" i="20"/>
  <c r="BT63" i="20" s="1"/>
  <c r="BO59" i="20"/>
  <c r="BP59" i="20" s="1"/>
  <c r="BO61" i="20"/>
  <c r="BP61" i="20" s="1"/>
  <c r="BQ66" i="20"/>
  <c r="BR66" i="20" s="1"/>
  <c r="Z66" i="20"/>
  <c r="Z57" i="20"/>
  <c r="L63" i="20"/>
  <c r="BO63" i="20"/>
  <c r="BP63" i="20" s="1"/>
  <c r="BM63" i="20"/>
  <c r="BN63" i="20" s="1"/>
  <c r="AC57" i="20"/>
  <c r="BY61" i="20"/>
  <c r="BZ61" i="20" s="1"/>
  <c r="BS57" i="20"/>
  <c r="BT57" i="20" s="1"/>
  <c r="BW55" i="20"/>
  <c r="BX55" i="20" s="1"/>
  <c r="J66" i="20"/>
  <c r="BM66" i="20"/>
  <c r="BN66" i="20" s="1"/>
  <c r="X59" i="20"/>
  <c r="AB66" i="20"/>
  <c r="BQ62" i="20"/>
  <c r="BR62" i="20" s="1"/>
  <c r="N62" i="20"/>
  <c r="Z60" i="20"/>
  <c r="BS60" i="20"/>
  <c r="BT60" i="20" s="1"/>
  <c r="P60" i="20"/>
  <c r="N67" i="20"/>
  <c r="BQ67" i="20"/>
  <c r="BR67" i="20" s="1"/>
  <c r="L66" i="20"/>
  <c r="BO66" i="20"/>
  <c r="BP66" i="20" s="1"/>
  <c r="AC66" i="20"/>
  <c r="X65" i="20"/>
  <c r="BE60" i="20"/>
  <c r="AJ60" i="20"/>
  <c r="BU65" i="20"/>
  <c r="BV65" i="20" s="1"/>
  <c r="R65" i="20"/>
  <c r="H65" i="20"/>
  <c r="BK65" i="20"/>
  <c r="BE62" i="20"/>
  <c r="BK67" i="20"/>
  <c r="H67" i="20"/>
  <c r="X67" i="20"/>
  <c r="BU64" i="20"/>
  <c r="BV64" i="20" s="1"/>
  <c r="R64" i="20"/>
  <c r="BO64" i="20"/>
  <c r="BP64" i="20" s="1"/>
  <c r="L64" i="20"/>
  <c r="BW61" i="20"/>
  <c r="BX61" i="20" s="1"/>
  <c r="T61" i="20"/>
  <c r="BE58" i="20"/>
  <c r="AJ58" i="20"/>
  <c r="BM58" i="20"/>
  <c r="BN58" i="20" s="1"/>
  <c r="AC58" i="20"/>
  <c r="J58" i="20"/>
  <c r="BY54" i="20"/>
  <c r="BZ54" i="20" s="1"/>
  <c r="V54" i="20"/>
  <c r="BS54" i="20"/>
  <c r="BT54" i="20" s="1"/>
  <c r="P54" i="20"/>
  <c r="BE56" i="20"/>
  <c r="AJ56" i="20"/>
  <c r="BY56" i="20"/>
  <c r="BZ56" i="20" s="1"/>
  <c r="V56" i="20"/>
  <c r="BQ65" i="20"/>
  <c r="BR65" i="20" s="1"/>
  <c r="N65" i="20"/>
  <c r="H66" i="20"/>
  <c r="BK66" i="20"/>
  <c r="T65" i="20"/>
  <c r="BW65" i="20"/>
  <c r="BX65" i="20" s="1"/>
  <c r="BI62" i="20"/>
  <c r="BJ62" i="20" s="1"/>
  <c r="BG62" i="20"/>
  <c r="BU62" i="20"/>
  <c r="BV62" i="20" s="1"/>
  <c r="R62" i="20"/>
  <c r="BW60" i="20"/>
  <c r="BX60" i="20" s="1"/>
  <c r="T60" i="20"/>
  <c r="R67" i="20"/>
  <c r="BU67" i="20"/>
  <c r="BV67" i="20" s="1"/>
  <c r="BO67" i="20"/>
  <c r="BP67" i="20" s="1"/>
  <c r="L67" i="20"/>
  <c r="BS64" i="20"/>
  <c r="BT64" i="20" s="1"/>
  <c r="P64" i="20"/>
  <c r="BE61" i="20"/>
  <c r="AJ61" i="20"/>
  <c r="Z55" i="20"/>
  <c r="AE55" i="20"/>
  <c r="AG55" i="20"/>
  <c r="AH55" i="20" s="1"/>
  <c r="BS58" i="20"/>
  <c r="BT58" i="20" s="1"/>
  <c r="P58" i="20"/>
  <c r="BI58" i="20"/>
  <c r="BJ58" i="20" s="1"/>
  <c r="BG58" i="20"/>
  <c r="AE54" i="20"/>
  <c r="AG54" i="20"/>
  <c r="AH54" i="20" s="1"/>
  <c r="BW54" i="20"/>
  <c r="BX54" i="20" s="1"/>
  <c r="T54" i="20"/>
  <c r="AG56" i="20"/>
  <c r="AH56" i="20" s="1"/>
  <c r="AE56" i="20"/>
  <c r="L56" i="20"/>
  <c r="BO56" i="20"/>
  <c r="BP56" i="20" s="1"/>
  <c r="BM56" i="20"/>
  <c r="BN56" i="20" s="1"/>
  <c r="AC56" i="20"/>
  <c r="J56" i="20"/>
  <c r="Z56" i="20"/>
  <c r="BM65" i="20"/>
  <c r="BN65" i="20" s="1"/>
  <c r="AC65" i="20"/>
  <c r="J65" i="20"/>
  <c r="T66" i="20"/>
  <c r="BW66" i="20"/>
  <c r="BX66" i="20" s="1"/>
  <c r="AE66" i="20"/>
  <c r="AG66" i="20"/>
  <c r="AH66" i="20" s="1"/>
  <c r="BY62" i="20"/>
  <c r="BZ62" i="20" s="1"/>
  <c r="V62" i="20"/>
  <c r="AG57" i="20"/>
  <c r="AH57" i="20" s="1"/>
  <c r="X60" i="20"/>
  <c r="Z64" i="20"/>
  <c r="AE67" i="20"/>
  <c r="AG67" i="20"/>
  <c r="AH67" i="20" s="1"/>
  <c r="BS67" i="20"/>
  <c r="BT67" i="20" s="1"/>
  <c r="P67" i="20"/>
  <c r="BI61" i="20"/>
  <c r="BJ61" i="20" s="1"/>
  <c r="BG61" i="20"/>
  <c r="BG55" i="20"/>
  <c r="BI55" i="20"/>
  <c r="BJ55" i="20" s="1"/>
  <c r="AC64" i="20"/>
  <c r="X58" i="20"/>
  <c r="BU58" i="20"/>
  <c r="BV58" i="20" s="1"/>
  <c r="R58" i="20"/>
  <c r="BK54" i="20"/>
  <c r="H54" i="20"/>
  <c r="X54" i="20"/>
  <c r="AB56" i="20"/>
  <c r="BQ64" i="20"/>
  <c r="BR64" i="20" s="1"/>
  <c r="N64" i="20"/>
  <c r="AG64" i="20"/>
  <c r="AH64" i="20" s="1"/>
  <c r="AE64" i="20"/>
  <c r="R61" i="20"/>
  <c r="BU61" i="20"/>
  <c r="BV61" i="20" s="1"/>
  <c r="BE64" i="20"/>
  <c r="Z58" i="20"/>
  <c r="AC54" i="20"/>
  <c r="BM54" i="20"/>
  <c r="BN54" i="20" s="1"/>
  <c r="J54" i="20"/>
  <c r="BE54" i="20"/>
  <c r="AJ54" i="20"/>
  <c r="BW56" i="20"/>
  <c r="BX56" i="20" s="1"/>
  <c r="T56" i="20"/>
  <c r="X66" i="20"/>
  <c r="BG66" i="20"/>
  <c r="BI66" i="20"/>
  <c r="BJ66" i="20" s="1"/>
  <c r="P62" i="20"/>
  <c r="BS62" i="20"/>
  <c r="BT62" i="20" s="1"/>
  <c r="J60" i="20"/>
  <c r="AC60" i="20"/>
  <c r="BM60" i="20"/>
  <c r="BN60" i="20" s="1"/>
  <c r="AB67" i="20"/>
  <c r="BI64" i="20"/>
  <c r="BJ64" i="20" s="1"/>
  <c r="BG64" i="20"/>
  <c r="Z61" i="20"/>
  <c r="X61" i="20"/>
  <c r="AG61" i="20"/>
  <c r="AH61" i="20" s="1"/>
  <c r="AE61" i="20"/>
  <c r="BL55" i="20"/>
  <c r="H58" i="20"/>
  <c r="BK58" i="20"/>
  <c r="BQ58" i="20"/>
  <c r="BR58" i="20" s="1"/>
  <c r="N58" i="20"/>
  <c r="BE55" i="20"/>
  <c r="AC61" i="20"/>
  <c r="Z65" i="20"/>
  <c r="BE65" i="20"/>
  <c r="AJ65" i="20"/>
  <c r="P65" i="20"/>
  <c r="BS65" i="20"/>
  <c r="BT65" i="20" s="1"/>
  <c r="AG59" i="20"/>
  <c r="AH59" i="20" s="1"/>
  <c r="AV62" i="20"/>
  <c r="BW62" i="20"/>
  <c r="BX62" i="20" s="1"/>
  <c r="BG60" i="20"/>
  <c r="BI60" i="20"/>
  <c r="BJ60" i="20" s="1"/>
  <c r="V60" i="20"/>
  <c r="BY60" i="20"/>
  <c r="BZ60" i="20" s="1"/>
  <c r="BK60" i="20"/>
  <c r="H60" i="20"/>
  <c r="V67" i="20"/>
  <c r="BY67" i="20"/>
  <c r="BZ67" i="20" s="1"/>
  <c r="BE67" i="20"/>
  <c r="AJ67" i="20"/>
  <c r="BW64" i="20"/>
  <c r="BX64" i="20" s="1"/>
  <c r="T64" i="20"/>
  <c r="BS61" i="20"/>
  <c r="BT61" i="20" s="1"/>
  <c r="P61" i="20"/>
  <c r="P55" i="20"/>
  <c r="BS55" i="20"/>
  <c r="BT55" i="20" s="1"/>
  <c r="AG63" i="20"/>
  <c r="AH63" i="20" s="1"/>
  <c r="AG58" i="20"/>
  <c r="AH58" i="20" s="1"/>
  <c r="AE58" i="20"/>
  <c r="Z54" i="20"/>
  <c r="BS56" i="20"/>
  <c r="BT56" i="20" s="1"/>
  <c r="P56" i="20"/>
  <c r="H56" i="20"/>
  <c r="BK56" i="20"/>
  <c r="BQ56" i="20"/>
  <c r="BR56" i="20" s="1"/>
  <c r="N56" i="20"/>
  <c r="BY65" i="20"/>
  <c r="BZ65" i="20" s="1"/>
  <c r="V65" i="20"/>
  <c r="AJ66" i="20"/>
  <c r="BE66" i="20"/>
  <c r="P66" i="20"/>
  <c r="BS66" i="20"/>
  <c r="BT66" i="20" s="1"/>
  <c r="AB65" i="20"/>
  <c r="L65" i="20"/>
  <c r="BO65" i="20"/>
  <c r="BP65" i="20" s="1"/>
  <c r="BM62" i="20"/>
  <c r="BN62" i="20" s="1"/>
  <c r="AC62" i="20"/>
  <c r="J62" i="20"/>
  <c r="Z62" i="20"/>
  <c r="AG65" i="20"/>
  <c r="AH65" i="20" s="1"/>
  <c r="AE60" i="20"/>
  <c r="AG60" i="20"/>
  <c r="AH60" i="20" s="1"/>
  <c r="BO60" i="20"/>
  <c r="BP60" i="20" s="1"/>
  <c r="L60" i="20"/>
  <c r="AB60" i="20"/>
  <c r="J67" i="20"/>
  <c r="BM67" i="20"/>
  <c r="BN67" i="20" s="1"/>
  <c r="AC67" i="20"/>
  <c r="Z67" i="20"/>
  <c r="BG67" i="20"/>
  <c r="BI67" i="20"/>
  <c r="BJ67" i="20" s="1"/>
  <c r="BW67" i="20"/>
  <c r="BX67" i="20" s="1"/>
  <c r="T67" i="20"/>
  <c r="BY64" i="20"/>
  <c r="BZ64" i="20" s="1"/>
  <c r="V64" i="20"/>
  <c r="H64" i="20"/>
  <c r="BK64" i="20"/>
  <c r="X64" i="20"/>
  <c r="H61" i="20"/>
  <c r="BK61" i="20"/>
  <c r="N61" i="20"/>
  <c r="BQ61" i="20"/>
  <c r="BR61" i="20" s="1"/>
  <c r="J55" i="20"/>
  <c r="AC55" i="20"/>
  <c r="BM55" i="20"/>
  <c r="BN55" i="20" s="1"/>
  <c r="BQ55" i="20"/>
  <c r="BR55" i="20" s="1"/>
  <c r="BM64" i="20"/>
  <c r="BN64" i="20" s="1"/>
  <c r="AB58" i="20"/>
  <c r="BY58" i="20"/>
  <c r="BZ58" i="20" s="1"/>
  <c r="V58" i="20"/>
  <c r="R54" i="20"/>
  <c r="BU54" i="20"/>
  <c r="BV54" i="20" s="1"/>
  <c r="N54" i="20"/>
  <c r="BQ54" i="20"/>
  <c r="BR54" i="20" s="1"/>
  <c r="BO54" i="20"/>
  <c r="BP54" i="20" s="1"/>
  <c r="L54" i="20"/>
  <c r="AB54" i="20"/>
  <c r="BQ60" i="20"/>
  <c r="BR60" i="20" s="1"/>
  <c r="BI56" i="20"/>
  <c r="BJ56" i="20" s="1"/>
  <c r="BG56" i="20"/>
  <c r="X56" i="20"/>
  <c r="BU56" i="20"/>
  <c r="BV56" i="20" s="1"/>
  <c r="R56" i="20"/>
  <c r="BL67" i="20" l="1"/>
  <c r="BL64" i="20"/>
  <c r="BL56" i="20"/>
  <c r="BL60" i="20"/>
  <c r="BL58" i="20"/>
  <c r="BL54" i="20"/>
  <c r="BL66" i="20"/>
  <c r="BL61" i="20"/>
  <c r="BL65" i="20"/>
  <c r="IT14" i="12" l="1"/>
  <c r="IU14" i="12"/>
  <c r="JA14" i="12"/>
  <c r="IZ14" i="12"/>
  <c r="IY14" i="12"/>
  <c r="IX14" i="12"/>
  <c r="IV14" i="12"/>
  <c r="JB14" i="12"/>
  <c r="JC14" i="12"/>
  <c r="LI15" i="10"/>
  <c r="LM15" i="10"/>
  <c r="LL15" i="10"/>
  <c r="LJ16" i="10"/>
  <c r="LJ17" i="10"/>
  <c r="LJ18" i="10"/>
  <c r="LJ19" i="10"/>
  <c r="LJ20" i="10"/>
  <c r="LJ21" i="10"/>
  <c r="LJ22" i="10"/>
  <c r="LJ23" i="10"/>
  <c r="LJ24" i="10"/>
  <c r="LJ25" i="10"/>
  <c r="LJ15" i="10"/>
  <c r="LQ15" i="11"/>
  <c r="LJ16" i="11"/>
  <c r="LK16" i="11"/>
  <c r="LL16" i="11"/>
  <c r="LM16" i="11"/>
  <c r="LN16" i="11"/>
  <c r="LO16" i="11"/>
  <c r="LP16" i="11"/>
  <c r="LQ16" i="11"/>
  <c r="LR16" i="11"/>
  <c r="LJ17" i="11"/>
  <c r="LK17" i="11"/>
  <c r="LL17" i="11"/>
  <c r="LM17" i="11"/>
  <c r="LN17" i="11"/>
  <c r="LO17" i="11"/>
  <c r="LP17" i="11"/>
  <c r="LQ17" i="11"/>
  <c r="LR17" i="11"/>
  <c r="LJ18" i="11"/>
  <c r="LK18" i="11"/>
  <c r="LL18" i="11"/>
  <c r="LM18" i="11"/>
  <c r="LN18" i="11"/>
  <c r="LO18" i="11"/>
  <c r="LP18" i="11"/>
  <c r="LQ18" i="11"/>
  <c r="LR18" i="11"/>
  <c r="LJ19" i="11"/>
  <c r="LK19" i="11"/>
  <c r="LL19" i="11"/>
  <c r="LM19" i="11"/>
  <c r="LN19" i="11"/>
  <c r="LO19" i="11"/>
  <c r="LP19" i="11"/>
  <c r="LQ19" i="11"/>
  <c r="LR19" i="11"/>
  <c r="LJ20" i="11"/>
  <c r="LK20" i="11"/>
  <c r="LL20" i="11"/>
  <c r="LM20" i="11"/>
  <c r="LN20" i="11"/>
  <c r="LO20" i="11"/>
  <c r="LP20" i="11"/>
  <c r="LQ20" i="11"/>
  <c r="LR20" i="11"/>
  <c r="LJ21" i="11"/>
  <c r="LK21" i="11"/>
  <c r="LL21" i="11"/>
  <c r="LM21" i="11"/>
  <c r="LN21" i="11"/>
  <c r="LO21" i="11"/>
  <c r="LP21" i="11"/>
  <c r="LQ21" i="11"/>
  <c r="LR21" i="11"/>
  <c r="LJ22" i="11"/>
  <c r="LK22" i="11"/>
  <c r="LL22" i="11"/>
  <c r="LM22" i="11"/>
  <c r="LN22" i="11"/>
  <c r="LO22" i="11"/>
  <c r="LP22" i="11"/>
  <c r="LQ22" i="11"/>
  <c r="LR22" i="11"/>
  <c r="LJ23" i="11"/>
  <c r="LK23" i="11"/>
  <c r="LL23" i="11"/>
  <c r="LM23" i="11"/>
  <c r="LN23" i="11"/>
  <c r="LO23" i="11"/>
  <c r="LP23" i="11"/>
  <c r="LQ23" i="11"/>
  <c r="LR23" i="11"/>
  <c r="LJ24" i="11"/>
  <c r="LK24" i="11"/>
  <c r="LL24" i="11"/>
  <c r="LM24" i="11"/>
  <c r="LN24" i="11"/>
  <c r="LO24" i="11"/>
  <c r="LP24" i="11"/>
  <c r="LQ24" i="11"/>
  <c r="LR24" i="11"/>
  <c r="LJ25" i="11"/>
  <c r="LK25" i="11"/>
  <c r="LL25" i="11"/>
  <c r="LM25" i="11"/>
  <c r="LN25" i="11"/>
  <c r="LO25" i="11"/>
  <c r="LP25" i="11"/>
  <c r="LQ25" i="11"/>
  <c r="LR25" i="11"/>
  <c r="LJ26" i="11"/>
  <c r="LK26" i="11"/>
  <c r="LL26" i="11"/>
  <c r="LM26" i="11"/>
  <c r="LN26" i="11"/>
  <c r="LO26" i="11"/>
  <c r="LP26" i="11"/>
  <c r="LQ26" i="11"/>
  <c r="LR26" i="11"/>
  <c r="LJ27" i="11"/>
  <c r="LK27" i="11"/>
  <c r="LL27" i="11"/>
  <c r="LM27" i="11"/>
  <c r="LN27" i="11"/>
  <c r="LO27" i="11"/>
  <c r="LP27" i="11"/>
  <c r="LQ27" i="11"/>
  <c r="LR27" i="11"/>
  <c r="LO15" i="11"/>
  <c r="LN15" i="11"/>
  <c r="LM15" i="11"/>
  <c r="LL15" i="11"/>
  <c r="LK15" i="11"/>
  <c r="DC15" i="1"/>
  <c r="DB15" i="14"/>
  <c r="DB15" i="1"/>
  <c r="IC16" i="11"/>
  <c r="ID16" i="11"/>
  <c r="IE16" i="11"/>
  <c r="IF16" i="11"/>
  <c r="IG16" i="11"/>
  <c r="IH16" i="11"/>
  <c r="II16" i="11"/>
  <c r="IJ16" i="11"/>
  <c r="IK16" i="11"/>
  <c r="IC17" i="11"/>
  <c r="ID17" i="11"/>
  <c r="IE17" i="11"/>
  <c r="IF17" i="11"/>
  <c r="IG17" i="11"/>
  <c r="IH17" i="11"/>
  <c r="II17" i="11"/>
  <c r="IJ17" i="11"/>
  <c r="IK17" i="11"/>
  <c r="IC18" i="11"/>
  <c r="ID18" i="11"/>
  <c r="IE18" i="11"/>
  <c r="IF18" i="11"/>
  <c r="IG18" i="11"/>
  <c r="IH18" i="11"/>
  <c r="II18" i="11"/>
  <c r="IJ18" i="11"/>
  <c r="IK18" i="11"/>
  <c r="IC19" i="11"/>
  <c r="ID19" i="11"/>
  <c r="IE19" i="11"/>
  <c r="IF19" i="11"/>
  <c r="IG19" i="11"/>
  <c r="IH19" i="11"/>
  <c r="II19" i="11"/>
  <c r="IJ19" i="11"/>
  <c r="IK19" i="11"/>
  <c r="IC20" i="11"/>
  <c r="ID20" i="11"/>
  <c r="IE20" i="11"/>
  <c r="IF20" i="11"/>
  <c r="IG20" i="11"/>
  <c r="IH20" i="11"/>
  <c r="II20" i="11"/>
  <c r="IJ20" i="11"/>
  <c r="IK20" i="11"/>
  <c r="IC21" i="11"/>
  <c r="ID21" i="11"/>
  <c r="IE21" i="11"/>
  <c r="IF21" i="11"/>
  <c r="IG21" i="11"/>
  <c r="IH21" i="11"/>
  <c r="II21" i="11"/>
  <c r="IJ21" i="11"/>
  <c r="IK21" i="11"/>
  <c r="IC22" i="11"/>
  <c r="ID22" i="11"/>
  <c r="IE22" i="11"/>
  <c r="IF22" i="11"/>
  <c r="IG22" i="11"/>
  <c r="IH22" i="11"/>
  <c r="II22" i="11"/>
  <c r="IJ22" i="11"/>
  <c r="IK22" i="11"/>
  <c r="IC23" i="11"/>
  <c r="ID23" i="11"/>
  <c r="IE23" i="11"/>
  <c r="IF23" i="11"/>
  <c r="IG23" i="11"/>
  <c r="IH23" i="11"/>
  <c r="II23" i="11"/>
  <c r="IJ23" i="11"/>
  <c r="IK23" i="11"/>
  <c r="IC24" i="11"/>
  <c r="ID24" i="11"/>
  <c r="IE24" i="11"/>
  <c r="IF24" i="11"/>
  <c r="IG24" i="11"/>
  <c r="IH24" i="11"/>
  <c r="II24" i="11"/>
  <c r="IJ24" i="11"/>
  <c r="IK24" i="11"/>
  <c r="IC25" i="11"/>
  <c r="ID25" i="11"/>
  <c r="IE25" i="11"/>
  <c r="IF25" i="11"/>
  <c r="IG25" i="11"/>
  <c r="IH25" i="11"/>
  <c r="II25" i="11"/>
  <c r="IJ25" i="11"/>
  <c r="IK25" i="11"/>
  <c r="IC26" i="11"/>
  <c r="ID26" i="11"/>
  <c r="IE26" i="11"/>
  <c r="IF26" i="11"/>
  <c r="IG26" i="11"/>
  <c r="IH26" i="11"/>
  <c r="II26" i="11"/>
  <c r="IJ26" i="11"/>
  <c r="IK26" i="11"/>
  <c r="IC27" i="11"/>
  <c r="ID27" i="11"/>
  <c r="IE27" i="11"/>
  <c r="IF27" i="11"/>
  <c r="IG27" i="11"/>
  <c r="IH27" i="11"/>
  <c r="II27" i="11"/>
  <c r="IJ27" i="11"/>
  <c r="IK27" i="11"/>
  <c r="JC15" i="11"/>
  <c r="JS15" i="11" s="1"/>
  <c r="IS16" i="11"/>
  <c r="IT16" i="11"/>
  <c r="IU16" i="11"/>
  <c r="IV16" i="11"/>
  <c r="IW16" i="11"/>
  <c r="IX16" i="11"/>
  <c r="IY16" i="11"/>
  <c r="IZ16" i="11"/>
  <c r="JA16" i="11"/>
  <c r="IS17" i="11"/>
  <c r="JI17" i="11" s="1"/>
  <c r="IT17" i="11"/>
  <c r="IU17" i="11"/>
  <c r="IV17" i="11"/>
  <c r="IW17" i="11"/>
  <c r="IX17" i="11"/>
  <c r="IY17" i="11"/>
  <c r="IZ17" i="11"/>
  <c r="JA17" i="11"/>
  <c r="IS18" i="11"/>
  <c r="JI18" i="11" s="1"/>
  <c r="IT18" i="11"/>
  <c r="IU18" i="11"/>
  <c r="IV18" i="11"/>
  <c r="IW18" i="11"/>
  <c r="IX18" i="11"/>
  <c r="IY18" i="11"/>
  <c r="IZ18" i="11"/>
  <c r="JA18" i="11"/>
  <c r="IS19" i="11"/>
  <c r="JI19" i="11" s="1"/>
  <c r="IT19" i="11"/>
  <c r="IU19" i="11"/>
  <c r="IV19" i="11"/>
  <c r="IW19" i="11"/>
  <c r="IX19" i="11"/>
  <c r="IY19" i="11"/>
  <c r="IZ19" i="11"/>
  <c r="JA19" i="11"/>
  <c r="IS20" i="11"/>
  <c r="JI20" i="11" s="1"/>
  <c r="IT20" i="11"/>
  <c r="IU20" i="11"/>
  <c r="IV20" i="11"/>
  <c r="IW20" i="11"/>
  <c r="IX20" i="11"/>
  <c r="IY20" i="11"/>
  <c r="IZ20" i="11"/>
  <c r="JA20" i="11"/>
  <c r="IS21" i="11"/>
  <c r="JI21" i="11" s="1"/>
  <c r="IT21" i="11"/>
  <c r="IU21" i="11"/>
  <c r="IV21" i="11"/>
  <c r="IW21" i="11"/>
  <c r="IX21" i="11"/>
  <c r="IY21" i="11"/>
  <c r="IZ21" i="11"/>
  <c r="JA21" i="11"/>
  <c r="IS22" i="11"/>
  <c r="JI22" i="11" s="1"/>
  <c r="IT22" i="11"/>
  <c r="IU22" i="11"/>
  <c r="IV22" i="11"/>
  <c r="IW22" i="11"/>
  <c r="IX22" i="11"/>
  <c r="IY22" i="11"/>
  <c r="IZ22" i="11"/>
  <c r="JA22" i="11"/>
  <c r="IS23" i="11"/>
  <c r="JI23" i="11" s="1"/>
  <c r="IT23" i="11"/>
  <c r="IU23" i="11"/>
  <c r="IV23" i="11"/>
  <c r="IW23" i="11"/>
  <c r="IX23" i="11"/>
  <c r="IY23" i="11"/>
  <c r="IZ23" i="11"/>
  <c r="JA23" i="11"/>
  <c r="IS24" i="11"/>
  <c r="JI24" i="11" s="1"/>
  <c r="IT24" i="11"/>
  <c r="IU24" i="11"/>
  <c r="IV24" i="11"/>
  <c r="IW24" i="11"/>
  <c r="IX24" i="11"/>
  <c r="IY24" i="11"/>
  <c r="IZ24" i="11"/>
  <c r="JA24" i="11"/>
  <c r="IS25" i="11"/>
  <c r="JI25" i="11" s="1"/>
  <c r="IT25" i="11"/>
  <c r="IU25" i="11"/>
  <c r="IV25" i="11"/>
  <c r="IW25" i="11"/>
  <c r="IX25" i="11"/>
  <c r="IY25" i="11"/>
  <c r="IZ25" i="11"/>
  <c r="JA25" i="11"/>
  <c r="IS26" i="11"/>
  <c r="JI26" i="11" s="1"/>
  <c r="IT26" i="11"/>
  <c r="IU26" i="11"/>
  <c r="IV26" i="11"/>
  <c r="IW26" i="11"/>
  <c r="IX26" i="11"/>
  <c r="IY26" i="11"/>
  <c r="IZ26" i="11"/>
  <c r="JA26" i="11"/>
  <c r="IS27" i="11"/>
  <c r="JI27" i="11" s="1"/>
  <c r="IT27" i="11"/>
  <c r="IU27" i="11"/>
  <c r="IV27" i="11"/>
  <c r="IW27" i="11"/>
  <c r="IX27" i="11"/>
  <c r="IY27" i="11"/>
  <c r="IZ27" i="11"/>
  <c r="JA27" i="11"/>
  <c r="JA15" i="11"/>
  <c r="KG15" i="11" s="1"/>
  <c r="IZ15" i="11"/>
  <c r="KF15" i="11" s="1"/>
  <c r="IY15" i="11"/>
  <c r="IX15" i="11"/>
  <c r="JN15" i="11" s="1"/>
  <c r="IW15" i="11"/>
  <c r="JM15" i="11" s="1"/>
  <c r="IV15" i="11"/>
  <c r="IU15" i="11"/>
  <c r="IT15" i="11"/>
  <c r="DK15" i="11"/>
  <c r="EA15" i="11" s="1"/>
  <c r="DJ16" i="11"/>
  <c r="DK16" i="11"/>
  <c r="DL16" i="11"/>
  <c r="DM16" i="11"/>
  <c r="EC16" i="11" s="1"/>
  <c r="DN16" i="11"/>
  <c r="DO16" i="11"/>
  <c r="DP16" i="11"/>
  <c r="DQ16" i="11"/>
  <c r="EG16" i="11" s="1"/>
  <c r="DR16" i="11"/>
  <c r="DJ17" i="11"/>
  <c r="DK17" i="11"/>
  <c r="DL17" i="11"/>
  <c r="EB17" i="11" s="1"/>
  <c r="DM17" i="11"/>
  <c r="DN17" i="11"/>
  <c r="DO17" i="11"/>
  <c r="DP17" i="11"/>
  <c r="EF17" i="11" s="1"/>
  <c r="DQ17" i="11"/>
  <c r="DR17" i="11"/>
  <c r="DJ18" i="11"/>
  <c r="DK18" i="11"/>
  <c r="EA18" i="11" s="1"/>
  <c r="DL18" i="11"/>
  <c r="DM18" i="11"/>
  <c r="DN18" i="11"/>
  <c r="DO18" i="11"/>
  <c r="EE18" i="11" s="1"/>
  <c r="DP18" i="11"/>
  <c r="DQ18" i="11"/>
  <c r="DR18" i="11"/>
  <c r="DJ19" i="11"/>
  <c r="DZ19" i="11" s="1"/>
  <c r="DK19" i="11"/>
  <c r="DL19" i="11"/>
  <c r="DM19" i="11"/>
  <c r="DN19" i="11"/>
  <c r="ED19" i="11" s="1"/>
  <c r="DO19" i="11"/>
  <c r="DP19" i="11"/>
  <c r="DQ19" i="11"/>
  <c r="DR19" i="11"/>
  <c r="EH19" i="11" s="1"/>
  <c r="DJ20" i="11"/>
  <c r="DK20" i="11"/>
  <c r="DL20" i="11"/>
  <c r="DM20" i="11"/>
  <c r="EC20" i="11" s="1"/>
  <c r="DN20" i="11"/>
  <c r="DO20" i="11"/>
  <c r="DP20" i="11"/>
  <c r="DQ20" i="11"/>
  <c r="EG20" i="11" s="1"/>
  <c r="DR20" i="11"/>
  <c r="DJ21" i="11"/>
  <c r="DK21" i="11"/>
  <c r="DL21" i="11"/>
  <c r="EB21" i="11" s="1"/>
  <c r="DM21" i="11"/>
  <c r="DN21" i="11"/>
  <c r="DO21" i="11"/>
  <c r="DP21" i="11"/>
  <c r="EF21" i="11" s="1"/>
  <c r="DQ21" i="11"/>
  <c r="DR21" i="11"/>
  <c r="DJ22" i="11"/>
  <c r="DK22" i="11"/>
  <c r="EA22" i="11" s="1"/>
  <c r="DL22" i="11"/>
  <c r="DM22" i="11"/>
  <c r="DN22" i="11"/>
  <c r="DO22" i="11"/>
  <c r="EE22" i="11" s="1"/>
  <c r="DP22" i="11"/>
  <c r="DQ22" i="11"/>
  <c r="DR22" i="11"/>
  <c r="DJ23" i="11"/>
  <c r="DZ23" i="11" s="1"/>
  <c r="DK23" i="11"/>
  <c r="DL23" i="11"/>
  <c r="DM23" i="11"/>
  <c r="DN23" i="11"/>
  <c r="ED23" i="11" s="1"/>
  <c r="DO23" i="11"/>
  <c r="DP23" i="11"/>
  <c r="DQ23" i="11"/>
  <c r="DR23" i="11"/>
  <c r="EH23" i="11" s="1"/>
  <c r="DJ24" i="11"/>
  <c r="DK24" i="11"/>
  <c r="DL24" i="11"/>
  <c r="DM24" i="11"/>
  <c r="EC24" i="11" s="1"/>
  <c r="DN24" i="11"/>
  <c r="DO24" i="11"/>
  <c r="DP24" i="11"/>
  <c r="DQ24" i="11"/>
  <c r="EG24" i="11" s="1"/>
  <c r="DR24" i="11"/>
  <c r="DJ25" i="11"/>
  <c r="DK25" i="11"/>
  <c r="DL25" i="11"/>
  <c r="EB25" i="11" s="1"/>
  <c r="DM25" i="11"/>
  <c r="DN25" i="11"/>
  <c r="DO25" i="11"/>
  <c r="DP25" i="11"/>
  <c r="EF25" i="11" s="1"/>
  <c r="DQ25" i="11"/>
  <c r="DR25" i="11"/>
  <c r="DJ26" i="11"/>
  <c r="DK26" i="11"/>
  <c r="EA26" i="11" s="1"/>
  <c r="DL26" i="11"/>
  <c r="DM26" i="11"/>
  <c r="DN26" i="11"/>
  <c r="DO26" i="11"/>
  <c r="EE26" i="11" s="1"/>
  <c r="DP26" i="11"/>
  <c r="DQ26" i="11"/>
  <c r="DR26" i="11"/>
  <c r="DJ27" i="11"/>
  <c r="DZ27" i="11" s="1"/>
  <c r="DK27" i="11"/>
  <c r="DL27" i="11"/>
  <c r="DM27" i="11"/>
  <c r="DN27" i="11"/>
  <c r="ED27" i="11" s="1"/>
  <c r="DO27" i="11"/>
  <c r="DP27" i="11"/>
  <c r="DQ27" i="11"/>
  <c r="DR27" i="11"/>
  <c r="EH27" i="11" s="1"/>
  <c r="DR15" i="11"/>
  <c r="EH15" i="11" s="1"/>
  <c r="DQ15" i="11"/>
  <c r="EG15" i="11" s="1"/>
  <c r="DP15" i="11"/>
  <c r="EF15" i="11" s="1"/>
  <c r="DO15" i="11"/>
  <c r="DN15" i="11"/>
  <c r="ED15" i="11" s="1"/>
  <c r="DM15" i="11"/>
  <c r="EC15" i="11" s="1"/>
  <c r="DL15" i="11"/>
  <c r="EB15" i="11" s="1"/>
  <c r="DJ15" i="11"/>
  <c r="G15" i="11"/>
  <c r="H15" i="11"/>
  <c r="AN15" i="11" s="1"/>
  <c r="K18" i="11"/>
  <c r="DN18" i="12" s="1"/>
  <c r="G16" i="11"/>
  <c r="H16" i="11"/>
  <c r="DK16" i="12" s="1"/>
  <c r="I16" i="11"/>
  <c r="J16" i="11"/>
  <c r="DM16" i="12" s="1"/>
  <c r="K16" i="11"/>
  <c r="DN16" i="12" s="1"/>
  <c r="L16" i="11"/>
  <c r="DO16" i="12" s="1"/>
  <c r="M16" i="11"/>
  <c r="N16" i="11"/>
  <c r="DQ16" i="12" s="1"/>
  <c r="O16" i="11"/>
  <c r="DR16" i="12" s="1"/>
  <c r="G17" i="11"/>
  <c r="DJ17" i="12" s="1"/>
  <c r="H17" i="11"/>
  <c r="I17" i="11"/>
  <c r="DL17" i="12" s="1"/>
  <c r="J17" i="11"/>
  <c r="K17" i="11"/>
  <c r="DN17" i="12" s="1"/>
  <c r="L17" i="11"/>
  <c r="M17" i="11"/>
  <c r="DP17" i="12" s="1"/>
  <c r="N17" i="11"/>
  <c r="DQ17" i="12" s="1"/>
  <c r="O17" i="11"/>
  <c r="DR17" i="12" s="1"/>
  <c r="G18" i="11"/>
  <c r="H18" i="11"/>
  <c r="DK18" i="12" s="1"/>
  <c r="I18" i="11"/>
  <c r="DL18" i="12" s="1"/>
  <c r="J18" i="11"/>
  <c r="L18" i="11"/>
  <c r="DO18" i="12" s="1"/>
  <c r="M18" i="11"/>
  <c r="N18" i="11"/>
  <c r="DQ18" i="12" s="1"/>
  <c r="O18" i="11"/>
  <c r="G19" i="11"/>
  <c r="DJ19" i="12" s="1"/>
  <c r="H19" i="11"/>
  <c r="DK19" i="12" s="1"/>
  <c r="I19" i="11"/>
  <c r="J19" i="11"/>
  <c r="DM19" i="12" s="1"/>
  <c r="K19" i="11"/>
  <c r="DN19" i="12" s="1"/>
  <c r="L19" i="11"/>
  <c r="DO19" i="12" s="1"/>
  <c r="M19" i="11"/>
  <c r="DP19" i="12" s="1"/>
  <c r="N19" i="11"/>
  <c r="O19" i="11"/>
  <c r="DR19" i="12" s="1"/>
  <c r="G20" i="11"/>
  <c r="H20" i="11"/>
  <c r="DK20" i="12" s="1"/>
  <c r="I20" i="11"/>
  <c r="J20" i="11"/>
  <c r="DM20" i="12" s="1"/>
  <c r="K20" i="11"/>
  <c r="DN20" i="12" s="1"/>
  <c r="L20" i="11"/>
  <c r="DO20" i="12" s="1"/>
  <c r="M20" i="11"/>
  <c r="N20" i="11"/>
  <c r="DQ20" i="12" s="1"/>
  <c r="O20" i="11"/>
  <c r="DR20" i="12" s="1"/>
  <c r="G21" i="11"/>
  <c r="DJ21" i="12" s="1"/>
  <c r="H21" i="11"/>
  <c r="DK21" i="12" s="1"/>
  <c r="I21" i="11"/>
  <c r="DL21" i="12" s="1"/>
  <c r="J21" i="11"/>
  <c r="K21" i="11"/>
  <c r="DN21" i="12" s="1"/>
  <c r="L21" i="11"/>
  <c r="M21" i="11"/>
  <c r="DP21" i="12" s="1"/>
  <c r="N21" i="11"/>
  <c r="DQ21" i="12" s="1"/>
  <c r="O21" i="11"/>
  <c r="DR21" i="12" s="1"/>
  <c r="G22" i="11"/>
  <c r="DJ22" i="12" s="1"/>
  <c r="H22" i="11"/>
  <c r="DK22" i="12" s="1"/>
  <c r="I22" i="11"/>
  <c r="DL22" i="12" s="1"/>
  <c r="J22" i="11"/>
  <c r="DM22" i="12" s="1"/>
  <c r="K22" i="11"/>
  <c r="L22" i="11"/>
  <c r="DO22" i="12" s="1"/>
  <c r="M22" i="11"/>
  <c r="N22" i="11"/>
  <c r="DQ22" i="12" s="1"/>
  <c r="O22" i="11"/>
  <c r="G23" i="11"/>
  <c r="DJ23" i="12" s="1"/>
  <c r="H23" i="11"/>
  <c r="DK23" i="12" s="1"/>
  <c r="I23" i="11"/>
  <c r="DL23" i="12" s="1"/>
  <c r="J23" i="11"/>
  <c r="K23" i="11"/>
  <c r="DN23" i="12" s="1"/>
  <c r="L23" i="11"/>
  <c r="DO23" i="12" s="1"/>
  <c r="M23" i="11"/>
  <c r="DP23" i="12" s="1"/>
  <c r="N23" i="11"/>
  <c r="DQ23" i="12" s="1"/>
  <c r="O23" i="11"/>
  <c r="DR23" i="12" s="1"/>
  <c r="G24" i="11"/>
  <c r="H24" i="11"/>
  <c r="DK24" i="12" s="1"/>
  <c r="I24" i="11"/>
  <c r="J24" i="11"/>
  <c r="DM24" i="12" s="1"/>
  <c r="K24" i="11"/>
  <c r="DN24" i="12" s="1"/>
  <c r="L24" i="11"/>
  <c r="DO24" i="12" s="1"/>
  <c r="M24" i="11"/>
  <c r="DP24" i="12" s="1"/>
  <c r="N24" i="11"/>
  <c r="DQ24" i="12" s="1"/>
  <c r="O24" i="11"/>
  <c r="DR24" i="12" s="1"/>
  <c r="G25" i="11"/>
  <c r="DJ25" i="12" s="1"/>
  <c r="H25" i="11"/>
  <c r="I25" i="11"/>
  <c r="DL25" i="12" s="1"/>
  <c r="J25" i="11"/>
  <c r="K25" i="11"/>
  <c r="DN25" i="12" s="1"/>
  <c r="L25" i="11"/>
  <c r="M25" i="11"/>
  <c r="DP25" i="12" s="1"/>
  <c r="N25" i="11"/>
  <c r="DQ25" i="12" s="1"/>
  <c r="O25" i="11"/>
  <c r="DR25" i="12" s="1"/>
  <c r="G26" i="11"/>
  <c r="H26" i="11"/>
  <c r="DK26" i="12" s="1"/>
  <c r="I26" i="11"/>
  <c r="DL26" i="12" s="1"/>
  <c r="J26" i="11"/>
  <c r="K26" i="11"/>
  <c r="DN26" i="12" s="1"/>
  <c r="L26" i="11"/>
  <c r="DO26" i="12" s="1"/>
  <c r="M26" i="11"/>
  <c r="N26" i="11"/>
  <c r="DQ26" i="12" s="1"/>
  <c r="O26" i="11"/>
  <c r="G27" i="11"/>
  <c r="DJ27" i="12" s="1"/>
  <c r="H27" i="11"/>
  <c r="DK27" i="12" s="1"/>
  <c r="I27" i="11"/>
  <c r="DL27" i="12" s="1"/>
  <c r="J27" i="11"/>
  <c r="DM27" i="12" s="1"/>
  <c r="K27" i="11"/>
  <c r="DN27" i="12" s="1"/>
  <c r="L27" i="11"/>
  <c r="DO27" i="12" s="1"/>
  <c r="M27" i="11"/>
  <c r="DP27" i="12" s="1"/>
  <c r="N27" i="11"/>
  <c r="O27" i="11"/>
  <c r="DR27" i="12" s="1"/>
  <c r="O15" i="11"/>
  <c r="N15" i="11"/>
  <c r="DQ15" i="12" s="1"/>
  <c r="EG15" i="12" s="1"/>
  <c r="M15" i="11"/>
  <c r="DP15" i="12" s="1"/>
  <c r="EF15" i="12" s="1"/>
  <c r="L15" i="11"/>
  <c r="DO15" i="12" s="1"/>
  <c r="K15" i="11"/>
  <c r="DN15" i="12" s="1"/>
  <c r="ED15" i="12" s="1"/>
  <c r="J15" i="11"/>
  <c r="I15" i="11"/>
  <c r="CZ60" i="9"/>
  <c r="CZ61" i="9"/>
  <c r="CZ62" i="9"/>
  <c r="CZ63" i="9"/>
  <c r="CZ64" i="9"/>
  <c r="CZ65" i="9"/>
  <c r="CZ66" i="9"/>
  <c r="CZ67" i="9"/>
  <c r="CZ68" i="9"/>
  <c r="CZ69" i="9"/>
  <c r="CZ70" i="9"/>
  <c r="CZ71" i="9"/>
  <c r="CZ72" i="9"/>
  <c r="CZ73" i="9"/>
  <c r="CZ74" i="9"/>
  <c r="CZ75" i="9"/>
  <c r="CZ76" i="9"/>
  <c r="CZ77" i="9"/>
  <c r="CZ78" i="9"/>
  <c r="CZ79" i="9"/>
  <c r="CZ80" i="9"/>
  <c r="CZ81" i="9"/>
  <c r="CZ82" i="9"/>
  <c r="CZ83" i="9"/>
  <c r="CZ84" i="9"/>
  <c r="CZ85" i="9"/>
  <c r="CZ86" i="9"/>
  <c r="CZ87" i="9"/>
  <c r="CZ88" i="9"/>
  <c r="CZ89" i="9"/>
  <c r="CZ90" i="9"/>
  <c r="CZ91" i="9"/>
  <c r="CZ92" i="9"/>
  <c r="CZ93" i="9"/>
  <c r="CZ94" i="9"/>
  <c r="CZ95" i="9"/>
  <c r="CZ96" i="9"/>
  <c r="CZ97" i="9"/>
  <c r="CZ98" i="9"/>
  <c r="CZ99" i="9"/>
  <c r="CZ100" i="9"/>
  <c r="CN28" i="9"/>
  <c r="CN29" i="9"/>
  <c r="CN30" i="9"/>
  <c r="CN31" i="9"/>
  <c r="CN32" i="9"/>
  <c r="CN33" i="9"/>
  <c r="CN34" i="9"/>
  <c r="CN35" i="9"/>
  <c r="CN36" i="9"/>
  <c r="CN37" i="9"/>
  <c r="CN38" i="9"/>
  <c r="CN39" i="9"/>
  <c r="CN40" i="9"/>
  <c r="CN41" i="9"/>
  <c r="CN42" i="9"/>
  <c r="CN43" i="9"/>
  <c r="CN44" i="9"/>
  <c r="CN45" i="9"/>
  <c r="CN46" i="9"/>
  <c r="CN47" i="9"/>
  <c r="CN48" i="9"/>
  <c r="CN49" i="9"/>
  <c r="CN50" i="9"/>
  <c r="CN51" i="9"/>
  <c r="CN52" i="9"/>
  <c r="CN53" i="9"/>
  <c r="CN54" i="9"/>
  <c r="CN55" i="9"/>
  <c r="CN56" i="9"/>
  <c r="CN57" i="9"/>
  <c r="CN58" i="9"/>
  <c r="CN59" i="9"/>
  <c r="CN60" i="9"/>
  <c r="CN61" i="9"/>
  <c r="CN62" i="9"/>
  <c r="CN63" i="9"/>
  <c r="CN64" i="9"/>
  <c r="CN65" i="9"/>
  <c r="CN66" i="9"/>
  <c r="CN67" i="9"/>
  <c r="CN68" i="9"/>
  <c r="CN69" i="9"/>
  <c r="CN70" i="9"/>
  <c r="CN71" i="9"/>
  <c r="CN72" i="9"/>
  <c r="CN73" i="9"/>
  <c r="CN74" i="9"/>
  <c r="CN75" i="9"/>
  <c r="CN76" i="9"/>
  <c r="CN77" i="9"/>
  <c r="CN78" i="9"/>
  <c r="CN79" i="9"/>
  <c r="CN80" i="9"/>
  <c r="CN81" i="9"/>
  <c r="CN82" i="9"/>
  <c r="CN83" i="9"/>
  <c r="CN84" i="9"/>
  <c r="CN85" i="9"/>
  <c r="CN86" i="9"/>
  <c r="CN87" i="9"/>
  <c r="CN88" i="9"/>
  <c r="CN89" i="9"/>
  <c r="CN90" i="9"/>
  <c r="CN91" i="9"/>
  <c r="CN92" i="9"/>
  <c r="CN93" i="9"/>
  <c r="CN94" i="9"/>
  <c r="CN95" i="9"/>
  <c r="CN96" i="9"/>
  <c r="CN97" i="9"/>
  <c r="CN98" i="9"/>
  <c r="CN99" i="9"/>
  <c r="CN100" i="9"/>
  <c r="CK28" i="9"/>
  <c r="CK29" i="9"/>
  <c r="CK30" i="9"/>
  <c r="CK31" i="9"/>
  <c r="CK32" i="9"/>
  <c r="CK33" i="9"/>
  <c r="CK34" i="9"/>
  <c r="CK35" i="9"/>
  <c r="CK36" i="9"/>
  <c r="CK37" i="9"/>
  <c r="CK38" i="9"/>
  <c r="CK39" i="9"/>
  <c r="CK40" i="9"/>
  <c r="CK41" i="9"/>
  <c r="CK42" i="9"/>
  <c r="CK43" i="9"/>
  <c r="CK44" i="9"/>
  <c r="CK45" i="9"/>
  <c r="CK46" i="9"/>
  <c r="CK47" i="9"/>
  <c r="CK48" i="9"/>
  <c r="CK49" i="9"/>
  <c r="CK50" i="9"/>
  <c r="CK51" i="9"/>
  <c r="CK52" i="9"/>
  <c r="CK53" i="9"/>
  <c r="CK54" i="9"/>
  <c r="CK55" i="9"/>
  <c r="CK56" i="9"/>
  <c r="CK57" i="9"/>
  <c r="CK58" i="9"/>
  <c r="CK59" i="9"/>
  <c r="CK60" i="9"/>
  <c r="CK61" i="9"/>
  <c r="CK62" i="9"/>
  <c r="CK63" i="9"/>
  <c r="CK64" i="9"/>
  <c r="CK65" i="9"/>
  <c r="CK66" i="9"/>
  <c r="CK67" i="9"/>
  <c r="CK68" i="9"/>
  <c r="CK69" i="9"/>
  <c r="CK70" i="9"/>
  <c r="CK71" i="9"/>
  <c r="CK72" i="9"/>
  <c r="CK73" i="9"/>
  <c r="CK74" i="9"/>
  <c r="CK75" i="9"/>
  <c r="CK76" i="9"/>
  <c r="CK77" i="9"/>
  <c r="CK78" i="9"/>
  <c r="CK79" i="9"/>
  <c r="CK80" i="9"/>
  <c r="CK81" i="9"/>
  <c r="CK82" i="9"/>
  <c r="CK83" i="9"/>
  <c r="CK84" i="9"/>
  <c r="CK85" i="9"/>
  <c r="CK86" i="9"/>
  <c r="CK87" i="9"/>
  <c r="CK88" i="9"/>
  <c r="CK89" i="9"/>
  <c r="CK90" i="9"/>
  <c r="CK91" i="9"/>
  <c r="CK92" i="9"/>
  <c r="CK93" i="9"/>
  <c r="CK94" i="9"/>
  <c r="CK95" i="9"/>
  <c r="CK96" i="9"/>
  <c r="CK97" i="9"/>
  <c r="CK98" i="9"/>
  <c r="CK99" i="9"/>
  <c r="CK100" i="9"/>
  <c r="CJ16" i="9"/>
  <c r="CJ17" i="9"/>
  <c r="CJ18" i="9"/>
  <c r="CJ19" i="9"/>
  <c r="CJ20" i="9"/>
  <c r="CJ21" i="9"/>
  <c r="CJ22" i="9"/>
  <c r="CJ23" i="9"/>
  <c r="CJ24" i="9"/>
  <c r="CJ25" i="9"/>
  <c r="CJ26" i="9"/>
  <c r="CJ27" i="9"/>
  <c r="CJ28" i="9"/>
  <c r="CJ29" i="9"/>
  <c r="CJ30" i="9"/>
  <c r="CJ31" i="9"/>
  <c r="CJ32" i="9"/>
  <c r="CJ33" i="9"/>
  <c r="CJ34" i="9"/>
  <c r="CJ35" i="9"/>
  <c r="CJ36" i="9"/>
  <c r="CJ37" i="9"/>
  <c r="CJ38" i="9"/>
  <c r="CJ39" i="9"/>
  <c r="CJ40" i="9"/>
  <c r="CJ41" i="9"/>
  <c r="CJ42" i="9"/>
  <c r="CJ43" i="9"/>
  <c r="CJ44" i="9"/>
  <c r="CJ45" i="9"/>
  <c r="CJ46" i="9"/>
  <c r="CJ47" i="9"/>
  <c r="CJ48" i="9"/>
  <c r="CJ49" i="9"/>
  <c r="CJ50" i="9"/>
  <c r="CJ51" i="9"/>
  <c r="CJ52" i="9"/>
  <c r="CJ53" i="9"/>
  <c r="CJ54" i="9"/>
  <c r="CJ55" i="9"/>
  <c r="CJ56" i="9"/>
  <c r="CJ57" i="9"/>
  <c r="CJ58" i="9"/>
  <c r="CJ59" i="9"/>
  <c r="CJ60" i="9"/>
  <c r="CJ61" i="9"/>
  <c r="CJ62" i="9"/>
  <c r="CJ63" i="9"/>
  <c r="CJ64" i="9"/>
  <c r="CJ65" i="9"/>
  <c r="CJ66" i="9"/>
  <c r="CJ67" i="9"/>
  <c r="CJ68" i="9"/>
  <c r="CJ69" i="9"/>
  <c r="CJ70" i="9"/>
  <c r="CJ71" i="9"/>
  <c r="CJ72" i="9"/>
  <c r="CJ73" i="9"/>
  <c r="CJ74" i="9"/>
  <c r="CJ75" i="9"/>
  <c r="CJ76" i="9"/>
  <c r="CJ77" i="9"/>
  <c r="CJ78" i="9"/>
  <c r="CJ79" i="9"/>
  <c r="CJ80" i="9"/>
  <c r="CJ81" i="9"/>
  <c r="CJ82" i="9"/>
  <c r="CJ83" i="9"/>
  <c r="CJ84" i="9"/>
  <c r="CJ85" i="9"/>
  <c r="CJ86" i="9"/>
  <c r="CJ87" i="9"/>
  <c r="CJ88" i="9"/>
  <c r="CJ89" i="9"/>
  <c r="CJ90" i="9"/>
  <c r="CJ91" i="9"/>
  <c r="CJ92" i="9"/>
  <c r="CJ93" i="9"/>
  <c r="CJ94" i="9"/>
  <c r="CJ95" i="9"/>
  <c r="CJ96" i="9"/>
  <c r="CJ97" i="9"/>
  <c r="CJ98" i="9"/>
  <c r="CJ99" i="9"/>
  <c r="CJ100" i="9"/>
  <c r="CI28" i="9"/>
  <c r="CI29" i="9"/>
  <c r="CI30" i="9"/>
  <c r="CI31" i="9"/>
  <c r="CI32" i="9"/>
  <c r="CI33" i="9"/>
  <c r="CI34" i="9"/>
  <c r="CI35" i="9"/>
  <c r="CI36" i="9"/>
  <c r="CI37" i="9"/>
  <c r="CI38" i="9"/>
  <c r="CI39" i="9"/>
  <c r="CI40" i="9"/>
  <c r="CI41" i="9"/>
  <c r="CI42" i="9"/>
  <c r="CI43" i="9"/>
  <c r="CI44" i="9"/>
  <c r="CI45" i="9"/>
  <c r="CI46" i="9"/>
  <c r="CI47" i="9"/>
  <c r="CI48" i="9"/>
  <c r="CI49" i="9"/>
  <c r="CI50" i="9"/>
  <c r="CI51" i="9"/>
  <c r="CI52" i="9"/>
  <c r="CI53" i="9"/>
  <c r="CI54" i="9"/>
  <c r="CI55" i="9"/>
  <c r="CI56" i="9"/>
  <c r="CI57" i="9"/>
  <c r="CI58" i="9"/>
  <c r="CI59" i="9"/>
  <c r="CI60" i="9"/>
  <c r="CI61" i="9"/>
  <c r="CI62" i="9"/>
  <c r="CI63" i="9"/>
  <c r="CI64" i="9"/>
  <c r="CI65" i="9"/>
  <c r="CI66" i="9"/>
  <c r="CI67" i="9"/>
  <c r="CI68" i="9"/>
  <c r="CI69" i="9"/>
  <c r="CI70" i="9"/>
  <c r="CI71" i="9"/>
  <c r="CI72" i="9"/>
  <c r="CI73" i="9"/>
  <c r="CI74" i="9"/>
  <c r="CI75" i="9"/>
  <c r="CI76" i="9"/>
  <c r="CI77" i="9"/>
  <c r="CI78" i="9"/>
  <c r="CI79" i="9"/>
  <c r="CI80" i="9"/>
  <c r="CI81" i="9"/>
  <c r="CI82" i="9"/>
  <c r="CI83" i="9"/>
  <c r="CI84" i="9"/>
  <c r="CI85" i="9"/>
  <c r="CI86" i="9"/>
  <c r="CI87" i="9"/>
  <c r="CI88" i="9"/>
  <c r="CI89" i="9"/>
  <c r="CI90" i="9"/>
  <c r="CI91" i="9"/>
  <c r="CI92" i="9"/>
  <c r="CI93" i="9"/>
  <c r="CI94" i="9"/>
  <c r="CI95" i="9"/>
  <c r="CI96" i="9"/>
  <c r="CI97" i="9"/>
  <c r="CI98" i="9"/>
  <c r="CI99" i="9"/>
  <c r="CI100" i="9"/>
  <c r="CJ15" i="9"/>
  <c r="AM16" i="9"/>
  <c r="AN16" i="9"/>
  <c r="AO16" i="9"/>
  <c r="AP16" i="9"/>
  <c r="AQ16" i="9"/>
  <c r="AR16" i="9"/>
  <c r="AS16" i="9"/>
  <c r="AT16" i="9"/>
  <c r="AU16" i="9"/>
  <c r="AM17" i="9"/>
  <c r="AN17" i="9"/>
  <c r="AO17" i="9"/>
  <c r="AP17" i="9"/>
  <c r="AQ17" i="9"/>
  <c r="AR17" i="9"/>
  <c r="AS17" i="9"/>
  <c r="AT17" i="9"/>
  <c r="AU17" i="9"/>
  <c r="AM18" i="9"/>
  <c r="AN18" i="9"/>
  <c r="AO18" i="9"/>
  <c r="AP18" i="9"/>
  <c r="AQ18" i="9"/>
  <c r="AR18" i="9"/>
  <c r="AS18" i="9"/>
  <c r="AT18" i="9"/>
  <c r="AU18" i="9"/>
  <c r="AM19" i="9"/>
  <c r="AN19" i="9"/>
  <c r="AO19" i="9"/>
  <c r="AP19" i="9"/>
  <c r="AQ19" i="9"/>
  <c r="AR19" i="9"/>
  <c r="AS19" i="9"/>
  <c r="AT19" i="9"/>
  <c r="AU19" i="9"/>
  <c r="AM20" i="9"/>
  <c r="AN20" i="9"/>
  <c r="AO20" i="9"/>
  <c r="AP20" i="9"/>
  <c r="AQ20" i="9"/>
  <c r="AR20" i="9"/>
  <c r="AS20" i="9"/>
  <c r="AT20" i="9"/>
  <c r="AU20" i="9"/>
  <c r="AM21" i="9"/>
  <c r="AN21" i="9"/>
  <c r="AO21" i="9"/>
  <c r="AP21" i="9"/>
  <c r="AQ21" i="9"/>
  <c r="AR21" i="9"/>
  <c r="AS21" i="9"/>
  <c r="AT21" i="9"/>
  <c r="AU21" i="9"/>
  <c r="AM22" i="9"/>
  <c r="AN22" i="9"/>
  <c r="AO22" i="9"/>
  <c r="AP22" i="9"/>
  <c r="AQ22" i="9"/>
  <c r="AR22" i="9"/>
  <c r="AS22" i="9"/>
  <c r="AT22" i="9"/>
  <c r="AU22" i="9"/>
  <c r="AM23" i="9"/>
  <c r="AN23" i="9"/>
  <c r="AO23" i="9"/>
  <c r="AP23" i="9"/>
  <c r="AQ23" i="9"/>
  <c r="AR23" i="9"/>
  <c r="AS23" i="9"/>
  <c r="AT23" i="9"/>
  <c r="AU23" i="9"/>
  <c r="AM24" i="9"/>
  <c r="AN24" i="9"/>
  <c r="AO24" i="9"/>
  <c r="AP24" i="9"/>
  <c r="AQ24" i="9"/>
  <c r="AR24" i="9"/>
  <c r="AS24" i="9"/>
  <c r="AT24" i="9"/>
  <c r="AU24" i="9"/>
  <c r="AM25" i="9"/>
  <c r="AN25" i="9"/>
  <c r="AO25" i="9"/>
  <c r="AP25" i="9"/>
  <c r="AQ25" i="9"/>
  <c r="AR25" i="9"/>
  <c r="AS25" i="9"/>
  <c r="AT25" i="9"/>
  <c r="AU25" i="9"/>
  <c r="AM26" i="9"/>
  <c r="AN26" i="9"/>
  <c r="AO26" i="9"/>
  <c r="AP26" i="9"/>
  <c r="AQ26" i="9"/>
  <c r="AR26" i="9"/>
  <c r="AS26" i="9"/>
  <c r="AT26" i="9"/>
  <c r="AU26" i="9"/>
  <c r="AM27" i="9"/>
  <c r="AN27" i="9"/>
  <c r="AO27" i="9"/>
  <c r="AP27" i="9"/>
  <c r="AQ27" i="9"/>
  <c r="AR27" i="9"/>
  <c r="AS27" i="9"/>
  <c r="AT27" i="9"/>
  <c r="AU27" i="9"/>
  <c r="AM28" i="9"/>
  <c r="AN28" i="9"/>
  <c r="AO28" i="9"/>
  <c r="AP28" i="9"/>
  <c r="AQ28" i="9"/>
  <c r="AR28" i="9"/>
  <c r="AS28" i="9"/>
  <c r="AT28" i="9"/>
  <c r="AU28" i="9"/>
  <c r="AM29" i="9"/>
  <c r="AN29" i="9"/>
  <c r="AO29" i="9"/>
  <c r="AP29" i="9"/>
  <c r="AQ29" i="9"/>
  <c r="AR29" i="9"/>
  <c r="AS29" i="9"/>
  <c r="AT29" i="9"/>
  <c r="AU29" i="9"/>
  <c r="AM30" i="9"/>
  <c r="AN30" i="9"/>
  <c r="AO30" i="9"/>
  <c r="AP30" i="9"/>
  <c r="AQ30" i="9"/>
  <c r="AR30" i="9"/>
  <c r="AS30" i="9"/>
  <c r="AT30" i="9"/>
  <c r="AU30" i="9"/>
  <c r="AM31" i="9"/>
  <c r="AN31" i="9"/>
  <c r="AO31" i="9"/>
  <c r="AP31" i="9"/>
  <c r="AQ31" i="9"/>
  <c r="AR31" i="9"/>
  <c r="AS31" i="9"/>
  <c r="AT31" i="9"/>
  <c r="AU31" i="9"/>
  <c r="AM32" i="9"/>
  <c r="AN32" i="9"/>
  <c r="AO32" i="9"/>
  <c r="AP32" i="9"/>
  <c r="AQ32" i="9"/>
  <c r="AR32" i="9"/>
  <c r="AS32" i="9"/>
  <c r="AT32" i="9"/>
  <c r="AU32" i="9"/>
  <c r="AM33" i="9"/>
  <c r="AN33" i="9"/>
  <c r="AO33" i="9"/>
  <c r="AP33" i="9"/>
  <c r="AQ33" i="9"/>
  <c r="AR33" i="9"/>
  <c r="AS33" i="9"/>
  <c r="AT33" i="9"/>
  <c r="AU33" i="9"/>
  <c r="AM34" i="9"/>
  <c r="AN34" i="9"/>
  <c r="AO34" i="9"/>
  <c r="AP34" i="9"/>
  <c r="AQ34" i="9"/>
  <c r="AR34" i="9"/>
  <c r="AS34" i="9"/>
  <c r="AT34" i="9"/>
  <c r="AU34" i="9"/>
  <c r="AM35" i="9"/>
  <c r="AN35" i="9"/>
  <c r="AO35" i="9"/>
  <c r="AP35" i="9"/>
  <c r="AQ35" i="9"/>
  <c r="AR35" i="9"/>
  <c r="AS35" i="9"/>
  <c r="AT35" i="9"/>
  <c r="AU35" i="9"/>
  <c r="AM36" i="9"/>
  <c r="AN36" i="9"/>
  <c r="AO36" i="9"/>
  <c r="AP36" i="9"/>
  <c r="AQ36" i="9"/>
  <c r="AR36" i="9"/>
  <c r="AS36" i="9"/>
  <c r="AT36" i="9"/>
  <c r="AU36" i="9"/>
  <c r="AM37" i="9"/>
  <c r="AN37" i="9"/>
  <c r="AO37" i="9"/>
  <c r="AP37" i="9"/>
  <c r="AQ37" i="9"/>
  <c r="AR37" i="9"/>
  <c r="AS37" i="9"/>
  <c r="AT37" i="9"/>
  <c r="AU37" i="9"/>
  <c r="AM38" i="9"/>
  <c r="AN38" i="9"/>
  <c r="AO38" i="9"/>
  <c r="AP38" i="9"/>
  <c r="AQ38" i="9"/>
  <c r="AR38" i="9"/>
  <c r="AS38" i="9"/>
  <c r="AT38" i="9"/>
  <c r="AU38" i="9"/>
  <c r="AM39" i="9"/>
  <c r="AN39" i="9"/>
  <c r="AO39" i="9"/>
  <c r="AP39" i="9"/>
  <c r="AQ39" i="9"/>
  <c r="AR39" i="9"/>
  <c r="AS39" i="9"/>
  <c r="AT39" i="9"/>
  <c r="AU39" i="9"/>
  <c r="AM40" i="9"/>
  <c r="AN40" i="9"/>
  <c r="AO40" i="9"/>
  <c r="AP40" i="9"/>
  <c r="AQ40" i="9"/>
  <c r="AR40" i="9"/>
  <c r="AS40" i="9"/>
  <c r="AT40" i="9"/>
  <c r="AU40" i="9"/>
  <c r="AM41" i="9"/>
  <c r="AN41" i="9"/>
  <c r="AO41" i="9"/>
  <c r="AP41" i="9"/>
  <c r="AQ41" i="9"/>
  <c r="AR41" i="9"/>
  <c r="AS41" i="9"/>
  <c r="AT41" i="9"/>
  <c r="AU41" i="9"/>
  <c r="AM42" i="9"/>
  <c r="AN42" i="9"/>
  <c r="AO42" i="9"/>
  <c r="AP42" i="9"/>
  <c r="AQ42" i="9"/>
  <c r="AR42" i="9"/>
  <c r="AS42" i="9"/>
  <c r="AT42" i="9"/>
  <c r="AU42" i="9"/>
  <c r="AM43" i="9"/>
  <c r="AN43" i="9"/>
  <c r="AO43" i="9"/>
  <c r="AP43" i="9"/>
  <c r="AQ43" i="9"/>
  <c r="AR43" i="9"/>
  <c r="AS43" i="9"/>
  <c r="AT43" i="9"/>
  <c r="AU43" i="9"/>
  <c r="AM44" i="9"/>
  <c r="AN44" i="9"/>
  <c r="AO44" i="9"/>
  <c r="AP44" i="9"/>
  <c r="AQ44" i="9"/>
  <c r="AR44" i="9"/>
  <c r="AS44" i="9"/>
  <c r="AT44" i="9"/>
  <c r="AU44" i="9"/>
  <c r="AM45" i="9"/>
  <c r="AN45" i="9"/>
  <c r="AO45" i="9"/>
  <c r="AP45" i="9"/>
  <c r="AQ45" i="9"/>
  <c r="AR45" i="9"/>
  <c r="AS45" i="9"/>
  <c r="AT45" i="9"/>
  <c r="AU45" i="9"/>
  <c r="AM46" i="9"/>
  <c r="AN46" i="9"/>
  <c r="AO46" i="9"/>
  <c r="AP46" i="9"/>
  <c r="AQ46" i="9"/>
  <c r="AR46" i="9"/>
  <c r="AS46" i="9"/>
  <c r="AT46" i="9"/>
  <c r="AU46" i="9"/>
  <c r="AM47" i="9"/>
  <c r="AN47" i="9"/>
  <c r="AO47" i="9"/>
  <c r="AP47" i="9"/>
  <c r="AQ47" i="9"/>
  <c r="AR47" i="9"/>
  <c r="AS47" i="9"/>
  <c r="BI47" i="9" s="1"/>
  <c r="AT47" i="9"/>
  <c r="AU47" i="9"/>
  <c r="AM48" i="9"/>
  <c r="AN48" i="9"/>
  <c r="BD48" i="9" s="1"/>
  <c r="AO48" i="9"/>
  <c r="AP48" i="9"/>
  <c r="AQ48" i="9"/>
  <c r="AR48" i="9"/>
  <c r="BH48" i="9" s="1"/>
  <c r="AS48" i="9"/>
  <c r="AT48" i="9"/>
  <c r="AU48" i="9"/>
  <c r="AM49" i="9"/>
  <c r="BC49" i="9" s="1"/>
  <c r="AN49" i="9"/>
  <c r="AO49" i="9"/>
  <c r="AP49" i="9"/>
  <c r="AQ49" i="9"/>
  <c r="BG49" i="9" s="1"/>
  <c r="AR49" i="9"/>
  <c r="AS49" i="9"/>
  <c r="AT49" i="9"/>
  <c r="AU49" i="9"/>
  <c r="AM50" i="9"/>
  <c r="AN50" i="9"/>
  <c r="AO50" i="9"/>
  <c r="AP50" i="9"/>
  <c r="AQ50" i="9"/>
  <c r="AR50" i="9"/>
  <c r="AS50" i="9"/>
  <c r="AT50" i="9"/>
  <c r="AU50" i="9"/>
  <c r="AM51" i="9"/>
  <c r="AN51" i="9"/>
  <c r="AO51" i="9"/>
  <c r="AP51" i="9"/>
  <c r="AQ51" i="9"/>
  <c r="AR51" i="9"/>
  <c r="AS51" i="9"/>
  <c r="AT51" i="9"/>
  <c r="AU51" i="9"/>
  <c r="AM52" i="9"/>
  <c r="AN52" i="9"/>
  <c r="AO52" i="9"/>
  <c r="AP52" i="9"/>
  <c r="AQ52" i="9"/>
  <c r="AR52" i="9"/>
  <c r="AS52" i="9"/>
  <c r="AT52" i="9"/>
  <c r="AU52" i="9"/>
  <c r="AM53" i="9"/>
  <c r="AN53" i="9"/>
  <c r="AO53" i="9"/>
  <c r="AP53" i="9"/>
  <c r="AQ53" i="9"/>
  <c r="AR53" i="9"/>
  <c r="AS53" i="9"/>
  <c r="AT53" i="9"/>
  <c r="AU53" i="9"/>
  <c r="AM54" i="9"/>
  <c r="AN54" i="9"/>
  <c r="AO54" i="9"/>
  <c r="AP54" i="9"/>
  <c r="AQ54" i="9"/>
  <c r="AR54" i="9"/>
  <c r="AS54" i="9"/>
  <c r="AT54" i="9"/>
  <c r="AU54" i="9"/>
  <c r="AM55" i="9"/>
  <c r="AN55" i="9"/>
  <c r="AO55" i="9"/>
  <c r="AP55" i="9"/>
  <c r="AQ55" i="9"/>
  <c r="AR55" i="9"/>
  <c r="AS55" i="9"/>
  <c r="AT55" i="9"/>
  <c r="AU55" i="9"/>
  <c r="AM56" i="9"/>
  <c r="AN56" i="9"/>
  <c r="AO56" i="9"/>
  <c r="AP56" i="9"/>
  <c r="AQ56" i="9"/>
  <c r="AR56" i="9"/>
  <c r="AS56" i="9"/>
  <c r="AT56" i="9"/>
  <c r="AU56" i="9"/>
  <c r="AM57" i="9"/>
  <c r="AN57" i="9"/>
  <c r="AO57" i="9"/>
  <c r="AP57" i="9"/>
  <c r="AQ57" i="9"/>
  <c r="AR57" i="9"/>
  <c r="AS57" i="9"/>
  <c r="AT57" i="9"/>
  <c r="AU57" i="9"/>
  <c r="AM58" i="9"/>
  <c r="AN58" i="9"/>
  <c r="AO58" i="9"/>
  <c r="AP58" i="9"/>
  <c r="AQ58" i="9"/>
  <c r="AR58" i="9"/>
  <c r="AS58" i="9"/>
  <c r="AT58" i="9"/>
  <c r="AU58" i="9"/>
  <c r="AM59" i="9"/>
  <c r="AN59" i="9"/>
  <c r="AO59" i="9"/>
  <c r="AP59" i="9"/>
  <c r="AQ59" i="9"/>
  <c r="AR59" i="9"/>
  <c r="AS59" i="9"/>
  <c r="AT59" i="9"/>
  <c r="AU59" i="9"/>
  <c r="AM60" i="9"/>
  <c r="AN60" i="9"/>
  <c r="AO60" i="9"/>
  <c r="AP60" i="9"/>
  <c r="AQ60" i="9"/>
  <c r="AR60" i="9"/>
  <c r="AS60" i="9"/>
  <c r="AT60" i="9"/>
  <c r="AU60" i="9"/>
  <c r="AM61" i="9"/>
  <c r="AN61" i="9"/>
  <c r="AO61" i="9"/>
  <c r="AP61" i="9"/>
  <c r="AQ61" i="9"/>
  <c r="AR61" i="9"/>
  <c r="AS61" i="9"/>
  <c r="AT61" i="9"/>
  <c r="AU61" i="9"/>
  <c r="AM62" i="9"/>
  <c r="AN62" i="9"/>
  <c r="AO62" i="9"/>
  <c r="AP62" i="9"/>
  <c r="AQ62" i="9"/>
  <c r="AR62" i="9"/>
  <c r="AS62" i="9"/>
  <c r="AT62" i="9"/>
  <c r="AU62" i="9"/>
  <c r="AM63" i="9"/>
  <c r="AN63" i="9"/>
  <c r="AO63" i="9"/>
  <c r="AP63" i="9"/>
  <c r="AQ63" i="9"/>
  <c r="AR63" i="9"/>
  <c r="AS63" i="9"/>
  <c r="AT63" i="9"/>
  <c r="AU63" i="9"/>
  <c r="AM64" i="9"/>
  <c r="AN64" i="9"/>
  <c r="AO64" i="9"/>
  <c r="AP64" i="9"/>
  <c r="AQ64" i="9"/>
  <c r="AR64" i="9"/>
  <c r="AS64" i="9"/>
  <c r="AT64" i="9"/>
  <c r="AU64" i="9"/>
  <c r="AM65" i="9"/>
  <c r="AN65" i="9"/>
  <c r="AO65" i="9"/>
  <c r="AP65" i="9"/>
  <c r="AQ65" i="9"/>
  <c r="AR65" i="9"/>
  <c r="AS65" i="9"/>
  <c r="AT65" i="9"/>
  <c r="AU65" i="9"/>
  <c r="AM66" i="9"/>
  <c r="AN66" i="9"/>
  <c r="AO66" i="9"/>
  <c r="AP66" i="9"/>
  <c r="AQ66" i="9"/>
  <c r="AR66" i="9"/>
  <c r="AS66" i="9"/>
  <c r="AT66" i="9"/>
  <c r="AU66" i="9"/>
  <c r="AM67" i="9"/>
  <c r="AN67" i="9"/>
  <c r="AO67" i="9"/>
  <c r="AP67" i="9"/>
  <c r="AQ67" i="9"/>
  <c r="AR67" i="9"/>
  <c r="AS67" i="9"/>
  <c r="AT67" i="9"/>
  <c r="AU67" i="9"/>
  <c r="AM68" i="9"/>
  <c r="AN68" i="9"/>
  <c r="AO68" i="9"/>
  <c r="AP68" i="9"/>
  <c r="AQ68" i="9"/>
  <c r="AR68" i="9"/>
  <c r="AS68" i="9"/>
  <c r="AT68" i="9"/>
  <c r="AU68" i="9"/>
  <c r="AM69" i="9"/>
  <c r="AN69" i="9"/>
  <c r="AO69" i="9"/>
  <c r="AP69" i="9"/>
  <c r="AQ69" i="9"/>
  <c r="AR69" i="9"/>
  <c r="AS69" i="9"/>
  <c r="AT69" i="9"/>
  <c r="AU69" i="9"/>
  <c r="AM70" i="9"/>
  <c r="AN70" i="9"/>
  <c r="AO70" i="9"/>
  <c r="AP70" i="9"/>
  <c r="AQ70" i="9"/>
  <c r="AR70" i="9"/>
  <c r="AS70" i="9"/>
  <c r="AT70" i="9"/>
  <c r="AU70" i="9"/>
  <c r="AM71" i="9"/>
  <c r="AN71" i="9"/>
  <c r="AO71" i="9"/>
  <c r="AP71" i="9"/>
  <c r="AQ71" i="9"/>
  <c r="AR71" i="9"/>
  <c r="AS71" i="9"/>
  <c r="AT71" i="9"/>
  <c r="AU71" i="9"/>
  <c r="AM72" i="9"/>
  <c r="AN72" i="9"/>
  <c r="AO72" i="9"/>
  <c r="AP72" i="9"/>
  <c r="AQ72" i="9"/>
  <c r="AR72" i="9"/>
  <c r="AS72" i="9"/>
  <c r="AT72" i="9"/>
  <c r="AU72" i="9"/>
  <c r="AM73" i="9"/>
  <c r="AN73" i="9"/>
  <c r="AO73" i="9"/>
  <c r="AP73" i="9"/>
  <c r="AQ73" i="9"/>
  <c r="AR73" i="9"/>
  <c r="AS73" i="9"/>
  <c r="AT73" i="9"/>
  <c r="AU73" i="9"/>
  <c r="AM74" i="9"/>
  <c r="AN74" i="9"/>
  <c r="AO74" i="9"/>
  <c r="AP74" i="9"/>
  <c r="AQ74" i="9"/>
  <c r="AR74" i="9"/>
  <c r="AS74" i="9"/>
  <c r="AT74" i="9"/>
  <c r="AU74" i="9"/>
  <c r="AM75" i="9"/>
  <c r="AN75" i="9"/>
  <c r="AO75" i="9"/>
  <c r="AP75" i="9"/>
  <c r="AQ75" i="9"/>
  <c r="AR75" i="9"/>
  <c r="AS75" i="9"/>
  <c r="AT75" i="9"/>
  <c r="AU75" i="9"/>
  <c r="AM76" i="9"/>
  <c r="AN76" i="9"/>
  <c r="AO76" i="9"/>
  <c r="AP76" i="9"/>
  <c r="AQ76" i="9"/>
  <c r="AR76" i="9"/>
  <c r="AS76" i="9"/>
  <c r="AT76" i="9"/>
  <c r="AU76" i="9"/>
  <c r="AM77" i="9"/>
  <c r="AN77" i="9"/>
  <c r="AO77" i="9"/>
  <c r="AP77" i="9"/>
  <c r="AQ77" i="9"/>
  <c r="AR77" i="9"/>
  <c r="AS77" i="9"/>
  <c r="AT77" i="9"/>
  <c r="AU77" i="9"/>
  <c r="AM78" i="9"/>
  <c r="AN78" i="9"/>
  <c r="AO78" i="9"/>
  <c r="AP78" i="9"/>
  <c r="AQ78" i="9"/>
  <c r="AR78" i="9"/>
  <c r="AS78" i="9"/>
  <c r="AT78" i="9"/>
  <c r="AU78" i="9"/>
  <c r="AM79" i="9"/>
  <c r="AN79" i="9"/>
  <c r="AO79" i="9"/>
  <c r="AP79" i="9"/>
  <c r="AQ79" i="9"/>
  <c r="AR79" i="9"/>
  <c r="AS79" i="9"/>
  <c r="AT79" i="9"/>
  <c r="AU79" i="9"/>
  <c r="AM80" i="9"/>
  <c r="AN80" i="9"/>
  <c r="AO80" i="9"/>
  <c r="AP80" i="9"/>
  <c r="AQ80" i="9"/>
  <c r="AR80" i="9"/>
  <c r="AS80" i="9"/>
  <c r="AT80" i="9"/>
  <c r="AU80" i="9"/>
  <c r="AM81" i="9"/>
  <c r="AN81" i="9"/>
  <c r="AO81" i="9"/>
  <c r="AP81" i="9"/>
  <c r="AQ81" i="9"/>
  <c r="AR81" i="9"/>
  <c r="AS81" i="9"/>
  <c r="AT81" i="9"/>
  <c r="AU81" i="9"/>
  <c r="AM82" i="9"/>
  <c r="AN82" i="9"/>
  <c r="AO82" i="9"/>
  <c r="AP82" i="9"/>
  <c r="AQ82" i="9"/>
  <c r="AR82" i="9"/>
  <c r="AS82" i="9"/>
  <c r="AT82" i="9"/>
  <c r="AU82" i="9"/>
  <c r="AM83" i="9"/>
  <c r="AN83" i="9"/>
  <c r="AO83" i="9"/>
  <c r="AP83" i="9"/>
  <c r="AQ83" i="9"/>
  <c r="AR83" i="9"/>
  <c r="AS83" i="9"/>
  <c r="AT83" i="9"/>
  <c r="AU83" i="9"/>
  <c r="AM84" i="9"/>
  <c r="AN84" i="9"/>
  <c r="AO84" i="9"/>
  <c r="AP84" i="9"/>
  <c r="AQ84" i="9"/>
  <c r="AR84" i="9"/>
  <c r="AS84" i="9"/>
  <c r="AT84" i="9"/>
  <c r="AU84" i="9"/>
  <c r="AM85" i="9"/>
  <c r="AN85" i="9"/>
  <c r="AO85" i="9"/>
  <c r="AP85" i="9"/>
  <c r="AQ85" i="9"/>
  <c r="AR85" i="9"/>
  <c r="AS85" i="9"/>
  <c r="AT85" i="9"/>
  <c r="AU85" i="9"/>
  <c r="AM86" i="9"/>
  <c r="AN86" i="9"/>
  <c r="AO86" i="9"/>
  <c r="AP86" i="9"/>
  <c r="AQ86" i="9"/>
  <c r="AR86" i="9"/>
  <c r="AS86" i="9"/>
  <c r="AT86" i="9"/>
  <c r="AU86" i="9"/>
  <c r="AM87" i="9"/>
  <c r="AN87" i="9"/>
  <c r="AO87" i="9"/>
  <c r="AP87" i="9"/>
  <c r="AQ87" i="9"/>
  <c r="AR87" i="9"/>
  <c r="AS87" i="9"/>
  <c r="AT87" i="9"/>
  <c r="AU87" i="9"/>
  <c r="AM88" i="9"/>
  <c r="AN88" i="9"/>
  <c r="AO88" i="9"/>
  <c r="AP88" i="9"/>
  <c r="AQ88" i="9"/>
  <c r="AR88" i="9"/>
  <c r="AS88" i="9"/>
  <c r="AT88" i="9"/>
  <c r="AU88" i="9"/>
  <c r="AM89" i="9"/>
  <c r="AN89" i="9"/>
  <c r="AO89" i="9"/>
  <c r="AP89" i="9"/>
  <c r="AQ89" i="9"/>
  <c r="AR89" i="9"/>
  <c r="AS89" i="9"/>
  <c r="AT89" i="9"/>
  <c r="AU89" i="9"/>
  <c r="AM90" i="9"/>
  <c r="AN90" i="9"/>
  <c r="AO90" i="9"/>
  <c r="BE90" i="9" s="1"/>
  <c r="AP90" i="9"/>
  <c r="BF90" i="9" s="1"/>
  <c r="AQ90" i="9"/>
  <c r="AR90" i="9"/>
  <c r="BH90" i="9" s="1"/>
  <c r="AS90" i="9"/>
  <c r="BI90" i="9" s="1"/>
  <c r="AT90" i="9"/>
  <c r="BJ90" i="9" s="1"/>
  <c r="AU90" i="9"/>
  <c r="AM91" i="9"/>
  <c r="AN91" i="9"/>
  <c r="BD91" i="9" s="1"/>
  <c r="AO91" i="9"/>
  <c r="BE91" i="9" s="1"/>
  <c r="AP91" i="9"/>
  <c r="AQ91" i="9"/>
  <c r="AR91" i="9"/>
  <c r="BH91" i="9" s="1"/>
  <c r="AS91" i="9"/>
  <c r="BI91" i="9" s="1"/>
  <c r="AT91" i="9"/>
  <c r="AU91" i="9"/>
  <c r="AM92" i="9"/>
  <c r="BC92" i="9" s="1"/>
  <c r="AN92" i="9"/>
  <c r="BD92" i="9" s="1"/>
  <c r="AO92" i="9"/>
  <c r="AP92" i="9"/>
  <c r="BF92" i="9" s="1"/>
  <c r="AQ92" i="9"/>
  <c r="BG92" i="9" s="1"/>
  <c r="AR92" i="9"/>
  <c r="BH92" i="9" s="1"/>
  <c r="AS92" i="9"/>
  <c r="AT92" i="9"/>
  <c r="AU92" i="9"/>
  <c r="BK92" i="9" s="1"/>
  <c r="AM93" i="9"/>
  <c r="BC93" i="9" s="1"/>
  <c r="AN93" i="9"/>
  <c r="AO93" i="9"/>
  <c r="AP93" i="9"/>
  <c r="BF93" i="9" s="1"/>
  <c r="AQ93" i="9"/>
  <c r="BG93" i="9" s="1"/>
  <c r="AR93" i="9"/>
  <c r="AS93" i="9"/>
  <c r="AT93" i="9"/>
  <c r="BJ93" i="9" s="1"/>
  <c r="AU93" i="9"/>
  <c r="BK93" i="9" s="1"/>
  <c r="AM94" i="9"/>
  <c r="AN94" i="9"/>
  <c r="BD94" i="9" s="1"/>
  <c r="AO94" i="9"/>
  <c r="BE94" i="9" s="1"/>
  <c r="AP94" i="9"/>
  <c r="BF94" i="9" s="1"/>
  <c r="AQ94" i="9"/>
  <c r="AR94" i="9"/>
  <c r="AS94" i="9"/>
  <c r="BI94" i="9" s="1"/>
  <c r="AT94" i="9"/>
  <c r="BJ94" i="9" s="1"/>
  <c r="AU94" i="9"/>
  <c r="AM95" i="9"/>
  <c r="AN95" i="9"/>
  <c r="BD95" i="9" s="1"/>
  <c r="AO95" i="9"/>
  <c r="BE95" i="9" s="1"/>
  <c r="AP95" i="9"/>
  <c r="AQ95" i="9"/>
  <c r="AR95" i="9"/>
  <c r="BH95" i="9" s="1"/>
  <c r="AS95" i="9"/>
  <c r="BI95" i="9" s="1"/>
  <c r="AT95" i="9"/>
  <c r="AU95" i="9"/>
  <c r="BK95" i="9" s="1"/>
  <c r="AM96" i="9"/>
  <c r="BC96" i="9" s="1"/>
  <c r="AN96" i="9"/>
  <c r="BD96" i="9" s="1"/>
  <c r="AO96" i="9"/>
  <c r="AP96" i="9"/>
  <c r="AQ96" i="9"/>
  <c r="BG96" i="9" s="1"/>
  <c r="AR96" i="9"/>
  <c r="BH96" i="9" s="1"/>
  <c r="AS96" i="9"/>
  <c r="AT96" i="9"/>
  <c r="AU96" i="9"/>
  <c r="BK96" i="9" s="1"/>
  <c r="AM97" i="9"/>
  <c r="BC97" i="9" s="1"/>
  <c r="AN97" i="9"/>
  <c r="AO97" i="9"/>
  <c r="AP97" i="9"/>
  <c r="BF97" i="9" s="1"/>
  <c r="AQ97" i="9"/>
  <c r="BG97" i="9" s="1"/>
  <c r="AR97" i="9"/>
  <c r="AS97" i="9"/>
  <c r="BI97" i="9" s="1"/>
  <c r="AT97" i="9"/>
  <c r="BJ97" i="9" s="1"/>
  <c r="AU97" i="9"/>
  <c r="BK97" i="9" s="1"/>
  <c r="AM98" i="9"/>
  <c r="AN98" i="9"/>
  <c r="AO98" i="9"/>
  <c r="BE98" i="9" s="1"/>
  <c r="AP98" i="9"/>
  <c r="BF98" i="9" s="1"/>
  <c r="AQ98" i="9"/>
  <c r="AR98" i="9"/>
  <c r="AS98" i="9"/>
  <c r="BI98" i="9" s="1"/>
  <c r="AT98" i="9"/>
  <c r="BJ98" i="9" s="1"/>
  <c r="AU98" i="9"/>
  <c r="AM99" i="9"/>
  <c r="AN99" i="9"/>
  <c r="BD99" i="9" s="1"/>
  <c r="AO99" i="9"/>
  <c r="BE99" i="9" s="1"/>
  <c r="AP99" i="9"/>
  <c r="AQ99" i="9"/>
  <c r="BG99" i="9" s="1"/>
  <c r="AR99" i="9"/>
  <c r="BH99" i="9" s="1"/>
  <c r="AS99" i="9"/>
  <c r="BI99" i="9" s="1"/>
  <c r="AT99" i="9"/>
  <c r="AU99" i="9"/>
  <c r="AM100" i="9"/>
  <c r="BC100" i="9" s="1"/>
  <c r="AN100" i="9"/>
  <c r="BD100" i="9" s="1"/>
  <c r="AO100" i="9"/>
  <c r="AP100" i="9"/>
  <c r="AQ100" i="9"/>
  <c r="BG100" i="9" s="1"/>
  <c r="AR100" i="9"/>
  <c r="BH100" i="9" s="1"/>
  <c r="AS100" i="9"/>
  <c r="AT100" i="9"/>
  <c r="AU100" i="9"/>
  <c r="BK100" i="9" s="1"/>
  <c r="AU15" i="9"/>
  <c r="AT15" i="9"/>
  <c r="AS15" i="9"/>
  <c r="AR15" i="9"/>
  <c r="AQ15" i="9"/>
  <c r="AP15" i="9"/>
  <c r="AO15" i="9"/>
  <c r="AN15" i="9"/>
  <c r="AM15" i="9"/>
  <c r="W16" i="9"/>
  <c r="X16" i="9"/>
  <c r="Y16" i="9"/>
  <c r="Z16" i="9"/>
  <c r="AA16" i="9"/>
  <c r="AB16" i="9"/>
  <c r="AC16" i="9"/>
  <c r="AD16" i="9"/>
  <c r="AE16" i="9"/>
  <c r="W17" i="9"/>
  <c r="X17" i="9"/>
  <c r="Y17" i="9"/>
  <c r="Z17" i="9"/>
  <c r="AA17" i="9"/>
  <c r="AB17" i="9"/>
  <c r="AC17" i="9"/>
  <c r="AD17" i="9"/>
  <c r="AE17" i="9"/>
  <c r="W18" i="9"/>
  <c r="X18" i="9"/>
  <c r="Y18" i="9"/>
  <c r="Z18" i="9"/>
  <c r="AA18" i="9"/>
  <c r="AB18" i="9"/>
  <c r="AC18" i="9"/>
  <c r="AD18" i="9"/>
  <c r="AE18" i="9"/>
  <c r="W19" i="9"/>
  <c r="X19" i="9"/>
  <c r="Y19" i="9"/>
  <c r="Z19" i="9"/>
  <c r="AA19" i="9"/>
  <c r="AB19" i="9"/>
  <c r="AC19" i="9"/>
  <c r="AD19" i="9"/>
  <c r="AE19" i="9"/>
  <c r="W20" i="9"/>
  <c r="X20" i="9"/>
  <c r="Y20" i="9"/>
  <c r="Z20" i="9"/>
  <c r="AA20" i="9"/>
  <c r="AB20" i="9"/>
  <c r="AC20" i="9"/>
  <c r="AD20" i="9"/>
  <c r="AE20" i="9"/>
  <c r="W21" i="9"/>
  <c r="X21" i="9"/>
  <c r="Y21" i="9"/>
  <c r="Z21" i="9"/>
  <c r="AA21" i="9"/>
  <c r="AB21" i="9"/>
  <c r="AC21" i="9"/>
  <c r="AD21" i="9"/>
  <c r="AE21" i="9"/>
  <c r="W22" i="9"/>
  <c r="X22" i="9"/>
  <c r="Y22" i="9"/>
  <c r="Z22" i="9"/>
  <c r="AA22" i="9"/>
  <c r="AB22" i="9"/>
  <c r="AC22" i="9"/>
  <c r="AD22" i="9"/>
  <c r="AE22" i="9"/>
  <c r="W23" i="9"/>
  <c r="X23" i="9"/>
  <c r="Y23" i="9"/>
  <c r="Z23" i="9"/>
  <c r="AA23" i="9"/>
  <c r="AB23" i="9"/>
  <c r="AC23" i="9"/>
  <c r="AD23" i="9"/>
  <c r="AE23" i="9"/>
  <c r="W24" i="9"/>
  <c r="X24" i="9"/>
  <c r="Y24" i="9"/>
  <c r="Z24" i="9"/>
  <c r="AA24" i="9"/>
  <c r="AB24" i="9"/>
  <c r="AC24" i="9"/>
  <c r="AD24" i="9"/>
  <c r="AE24" i="9"/>
  <c r="W25" i="9"/>
  <c r="X25" i="9"/>
  <c r="Y25" i="9"/>
  <c r="Z25" i="9"/>
  <c r="AA25" i="9"/>
  <c r="AB25" i="9"/>
  <c r="AC25" i="9"/>
  <c r="AD25" i="9"/>
  <c r="AE25" i="9"/>
  <c r="W26" i="9"/>
  <c r="X26" i="9"/>
  <c r="Y26" i="9"/>
  <c r="Z26" i="9"/>
  <c r="AA26" i="9"/>
  <c r="AB26" i="9"/>
  <c r="AC26" i="9"/>
  <c r="AD26" i="9"/>
  <c r="AE26" i="9"/>
  <c r="W27" i="9"/>
  <c r="X27" i="9"/>
  <c r="Y27" i="9"/>
  <c r="Z27" i="9"/>
  <c r="AA27" i="9"/>
  <c r="AB27" i="9"/>
  <c r="AC27" i="9"/>
  <c r="AD27" i="9"/>
  <c r="AE27" i="9"/>
  <c r="W28" i="9"/>
  <c r="X28" i="9"/>
  <c r="Y28" i="9"/>
  <c r="Z28" i="9"/>
  <c r="AA28" i="9"/>
  <c r="AB28" i="9"/>
  <c r="AC28" i="9"/>
  <c r="AD28" i="9"/>
  <c r="AE28" i="9"/>
  <c r="W29" i="9"/>
  <c r="X29" i="9"/>
  <c r="Y29" i="9"/>
  <c r="Z29" i="9"/>
  <c r="AA29" i="9"/>
  <c r="AB29" i="9"/>
  <c r="AC29" i="9"/>
  <c r="AD29" i="9"/>
  <c r="AE29" i="9"/>
  <c r="W30" i="9"/>
  <c r="X30" i="9"/>
  <c r="Y30" i="9"/>
  <c r="Z30" i="9"/>
  <c r="AA30" i="9"/>
  <c r="AB30" i="9"/>
  <c r="AC30" i="9"/>
  <c r="AD30" i="9"/>
  <c r="AE30" i="9"/>
  <c r="W31" i="9"/>
  <c r="X31" i="9"/>
  <c r="Y31" i="9"/>
  <c r="Z31" i="9"/>
  <c r="AA31" i="9"/>
  <c r="AB31" i="9"/>
  <c r="AC31" i="9"/>
  <c r="AD31" i="9"/>
  <c r="AE31" i="9"/>
  <c r="W32" i="9"/>
  <c r="X32" i="9"/>
  <c r="Y32" i="9"/>
  <c r="Z32" i="9"/>
  <c r="AA32" i="9"/>
  <c r="AB32" i="9"/>
  <c r="AC32" i="9"/>
  <c r="AD32" i="9"/>
  <c r="AE32" i="9"/>
  <c r="W33" i="9"/>
  <c r="X33" i="9"/>
  <c r="Y33" i="9"/>
  <c r="Z33" i="9"/>
  <c r="AA33" i="9"/>
  <c r="AB33" i="9"/>
  <c r="AC33" i="9"/>
  <c r="AD33" i="9"/>
  <c r="AE33" i="9"/>
  <c r="W34" i="9"/>
  <c r="X34" i="9"/>
  <c r="Y34" i="9"/>
  <c r="Z34" i="9"/>
  <c r="AA34" i="9"/>
  <c r="AB34" i="9"/>
  <c r="AC34" i="9"/>
  <c r="AD34" i="9"/>
  <c r="AE34" i="9"/>
  <c r="W35" i="9"/>
  <c r="X35" i="9"/>
  <c r="Y35" i="9"/>
  <c r="Z35" i="9"/>
  <c r="AA35" i="9"/>
  <c r="AB35" i="9"/>
  <c r="AC35" i="9"/>
  <c r="AD35" i="9"/>
  <c r="AE35" i="9"/>
  <c r="W36" i="9"/>
  <c r="X36" i="9"/>
  <c r="Y36" i="9"/>
  <c r="Z36" i="9"/>
  <c r="AA36" i="9"/>
  <c r="AB36" i="9"/>
  <c r="AC36" i="9"/>
  <c r="AD36" i="9"/>
  <c r="AE36" i="9"/>
  <c r="W37" i="9"/>
  <c r="X37" i="9"/>
  <c r="Y37" i="9"/>
  <c r="Z37" i="9"/>
  <c r="AA37" i="9"/>
  <c r="AB37" i="9"/>
  <c r="AC37" i="9"/>
  <c r="AD37" i="9"/>
  <c r="AE37" i="9"/>
  <c r="W38" i="9"/>
  <c r="X38" i="9"/>
  <c r="Y38" i="9"/>
  <c r="Z38" i="9"/>
  <c r="AA38" i="9"/>
  <c r="AB38" i="9"/>
  <c r="AC38" i="9"/>
  <c r="AD38" i="9"/>
  <c r="AE38" i="9"/>
  <c r="W39" i="9"/>
  <c r="X39" i="9"/>
  <c r="Y39" i="9"/>
  <c r="Z39" i="9"/>
  <c r="AA39" i="9"/>
  <c r="AB39" i="9"/>
  <c r="AC39" i="9"/>
  <c r="AD39" i="9"/>
  <c r="AE39" i="9"/>
  <c r="W40" i="9"/>
  <c r="X40" i="9"/>
  <c r="Y40" i="9"/>
  <c r="Z40" i="9"/>
  <c r="AA40" i="9"/>
  <c r="AB40" i="9"/>
  <c r="AC40" i="9"/>
  <c r="AD40" i="9"/>
  <c r="AE40" i="9"/>
  <c r="W41" i="9"/>
  <c r="X41" i="9"/>
  <c r="Y41" i="9"/>
  <c r="Z41" i="9"/>
  <c r="AA41" i="9"/>
  <c r="AB41" i="9"/>
  <c r="AC41" i="9"/>
  <c r="AD41" i="9"/>
  <c r="AE41" i="9"/>
  <c r="W42" i="9"/>
  <c r="X42" i="9"/>
  <c r="Y42" i="9"/>
  <c r="Z42" i="9"/>
  <c r="AA42" i="9"/>
  <c r="AB42" i="9"/>
  <c r="AC42" i="9"/>
  <c r="AD42" i="9"/>
  <c r="AE42" i="9"/>
  <c r="W43" i="9"/>
  <c r="X43" i="9"/>
  <c r="Y43" i="9"/>
  <c r="Z43" i="9"/>
  <c r="AA43" i="9"/>
  <c r="AB43" i="9"/>
  <c r="AC43" i="9"/>
  <c r="AD43" i="9"/>
  <c r="AE43" i="9"/>
  <c r="W44" i="9"/>
  <c r="X44" i="9"/>
  <c r="Y44" i="9"/>
  <c r="Z44" i="9"/>
  <c r="AA44" i="9"/>
  <c r="AB44" i="9"/>
  <c r="AC44" i="9"/>
  <c r="AD44" i="9"/>
  <c r="AE44" i="9"/>
  <c r="W45" i="9"/>
  <c r="X45" i="9"/>
  <c r="Y45" i="9"/>
  <c r="Z45" i="9"/>
  <c r="AA45" i="9"/>
  <c r="AB45" i="9"/>
  <c r="AC45" i="9"/>
  <c r="AD45" i="9"/>
  <c r="AE45" i="9"/>
  <c r="W46" i="9"/>
  <c r="X46" i="9"/>
  <c r="Y46" i="9"/>
  <c r="Z46" i="9"/>
  <c r="AA46" i="9"/>
  <c r="AB46" i="9"/>
  <c r="AC46" i="9"/>
  <c r="AD46" i="9"/>
  <c r="AE46" i="9"/>
  <c r="W47" i="9"/>
  <c r="X47" i="9"/>
  <c r="Y47" i="9"/>
  <c r="Z47" i="9"/>
  <c r="AA47" i="9"/>
  <c r="AB47" i="9"/>
  <c r="AC47" i="9"/>
  <c r="AD47" i="9"/>
  <c r="AE47" i="9"/>
  <c r="W48" i="9"/>
  <c r="X48" i="9"/>
  <c r="Y48" i="9"/>
  <c r="Z48" i="9"/>
  <c r="AA48" i="9"/>
  <c r="AB48" i="9"/>
  <c r="AC48" i="9"/>
  <c r="AD48" i="9"/>
  <c r="AE48" i="9"/>
  <c r="W49" i="9"/>
  <c r="X49" i="9"/>
  <c r="Y49" i="9"/>
  <c r="Z49" i="9"/>
  <c r="AA49" i="9"/>
  <c r="AB49" i="9"/>
  <c r="AC49" i="9"/>
  <c r="AD49" i="9"/>
  <c r="AE49" i="9"/>
  <c r="W50" i="9"/>
  <c r="X50" i="9"/>
  <c r="Y50" i="9"/>
  <c r="Z50" i="9"/>
  <c r="AA50" i="9"/>
  <c r="AB50" i="9"/>
  <c r="AC50" i="9"/>
  <c r="AD50" i="9"/>
  <c r="AE50" i="9"/>
  <c r="W51" i="9"/>
  <c r="X51" i="9"/>
  <c r="Y51" i="9"/>
  <c r="Z51" i="9"/>
  <c r="AA51" i="9"/>
  <c r="AB51" i="9"/>
  <c r="AC51" i="9"/>
  <c r="AD51" i="9"/>
  <c r="AE51" i="9"/>
  <c r="W52" i="9"/>
  <c r="X52" i="9"/>
  <c r="Y52" i="9"/>
  <c r="Z52" i="9"/>
  <c r="AA52" i="9"/>
  <c r="AB52" i="9"/>
  <c r="AC52" i="9"/>
  <c r="AD52" i="9"/>
  <c r="AE52" i="9"/>
  <c r="W53" i="9"/>
  <c r="X53" i="9"/>
  <c r="Y53" i="9"/>
  <c r="Z53" i="9"/>
  <c r="AA53" i="9"/>
  <c r="AB53" i="9"/>
  <c r="AC53" i="9"/>
  <c r="AD53" i="9"/>
  <c r="AE53" i="9"/>
  <c r="W54" i="9"/>
  <c r="X54" i="9"/>
  <c r="Y54" i="9"/>
  <c r="Z54" i="9"/>
  <c r="AA54" i="9"/>
  <c r="AB54" i="9"/>
  <c r="AC54" i="9"/>
  <c r="AD54" i="9"/>
  <c r="AE54" i="9"/>
  <c r="W55" i="9"/>
  <c r="X55" i="9"/>
  <c r="Y55" i="9"/>
  <c r="Z55" i="9"/>
  <c r="AA55" i="9"/>
  <c r="AB55" i="9"/>
  <c r="AC55" i="9"/>
  <c r="AD55" i="9"/>
  <c r="AE55" i="9"/>
  <c r="W56" i="9"/>
  <c r="X56" i="9"/>
  <c r="Y56" i="9"/>
  <c r="Z56" i="9"/>
  <c r="AA56" i="9"/>
  <c r="AB56" i="9"/>
  <c r="AC56" i="9"/>
  <c r="AD56" i="9"/>
  <c r="AE56" i="9"/>
  <c r="W57" i="9"/>
  <c r="X57" i="9"/>
  <c r="Y57" i="9"/>
  <c r="Z57" i="9"/>
  <c r="AA57" i="9"/>
  <c r="AB57" i="9"/>
  <c r="AC57" i="9"/>
  <c r="AD57" i="9"/>
  <c r="AE57" i="9"/>
  <c r="W58" i="9"/>
  <c r="X58" i="9"/>
  <c r="Y58" i="9"/>
  <c r="Z58" i="9"/>
  <c r="AA58" i="9"/>
  <c r="AB58" i="9"/>
  <c r="AC58" i="9"/>
  <c r="AD58" i="9"/>
  <c r="AE58" i="9"/>
  <c r="W59" i="9"/>
  <c r="X59" i="9"/>
  <c r="Y59" i="9"/>
  <c r="Z59" i="9"/>
  <c r="AA59" i="9"/>
  <c r="AB59" i="9"/>
  <c r="AC59" i="9"/>
  <c r="AD59" i="9"/>
  <c r="AE59" i="9"/>
  <c r="W60" i="9"/>
  <c r="X60" i="9"/>
  <c r="Y60" i="9"/>
  <c r="Z60" i="9"/>
  <c r="AA60" i="9"/>
  <c r="AB60" i="9"/>
  <c r="AC60" i="9"/>
  <c r="AD60" i="9"/>
  <c r="AE60" i="9"/>
  <c r="W61" i="9"/>
  <c r="X61" i="9"/>
  <c r="Y61" i="9"/>
  <c r="Z61" i="9"/>
  <c r="AA61" i="9"/>
  <c r="AB61" i="9"/>
  <c r="AC61" i="9"/>
  <c r="AD61" i="9"/>
  <c r="AE61" i="9"/>
  <c r="W62" i="9"/>
  <c r="X62" i="9"/>
  <c r="Y62" i="9"/>
  <c r="Z62" i="9"/>
  <c r="AA62" i="9"/>
  <c r="AB62" i="9"/>
  <c r="AC62" i="9"/>
  <c r="AD62" i="9"/>
  <c r="AE62" i="9"/>
  <c r="W63" i="9"/>
  <c r="X63" i="9"/>
  <c r="Y63" i="9"/>
  <c r="Z63" i="9"/>
  <c r="AA63" i="9"/>
  <c r="AB63" i="9"/>
  <c r="AC63" i="9"/>
  <c r="AD63" i="9"/>
  <c r="AE63" i="9"/>
  <c r="W64" i="9"/>
  <c r="X64" i="9"/>
  <c r="Y64" i="9"/>
  <c r="Z64" i="9"/>
  <c r="AA64" i="9"/>
  <c r="AB64" i="9"/>
  <c r="AC64" i="9"/>
  <c r="AD64" i="9"/>
  <c r="AE64" i="9"/>
  <c r="W65" i="9"/>
  <c r="X65" i="9"/>
  <c r="Y65" i="9"/>
  <c r="Z65" i="9"/>
  <c r="AA65" i="9"/>
  <c r="AB65" i="9"/>
  <c r="AC65" i="9"/>
  <c r="AD65" i="9"/>
  <c r="AE65" i="9"/>
  <c r="W66" i="9"/>
  <c r="X66" i="9"/>
  <c r="Y66" i="9"/>
  <c r="Z66" i="9"/>
  <c r="AA66" i="9"/>
  <c r="AB66" i="9"/>
  <c r="AC66" i="9"/>
  <c r="AD66" i="9"/>
  <c r="AE66" i="9"/>
  <c r="W67" i="9"/>
  <c r="X67" i="9"/>
  <c r="Y67" i="9"/>
  <c r="Z67" i="9"/>
  <c r="AA67" i="9"/>
  <c r="AB67" i="9"/>
  <c r="AC67" i="9"/>
  <c r="AD67" i="9"/>
  <c r="AE67" i="9"/>
  <c r="W68" i="9"/>
  <c r="X68" i="9"/>
  <c r="Y68" i="9"/>
  <c r="Z68" i="9"/>
  <c r="AA68" i="9"/>
  <c r="AB68" i="9"/>
  <c r="AC68" i="9"/>
  <c r="AD68" i="9"/>
  <c r="AE68" i="9"/>
  <c r="W69" i="9"/>
  <c r="X69" i="9"/>
  <c r="Y69" i="9"/>
  <c r="Z69" i="9"/>
  <c r="AA69" i="9"/>
  <c r="AB69" i="9"/>
  <c r="AC69" i="9"/>
  <c r="AD69" i="9"/>
  <c r="AE69" i="9"/>
  <c r="W70" i="9"/>
  <c r="X70" i="9"/>
  <c r="Y70" i="9"/>
  <c r="Z70" i="9"/>
  <c r="AA70" i="9"/>
  <c r="AB70" i="9"/>
  <c r="AC70" i="9"/>
  <c r="AD70" i="9"/>
  <c r="AE70" i="9"/>
  <c r="W71" i="9"/>
  <c r="X71" i="9"/>
  <c r="Y71" i="9"/>
  <c r="Z71" i="9"/>
  <c r="AA71" i="9"/>
  <c r="AB71" i="9"/>
  <c r="AC71" i="9"/>
  <c r="AD71" i="9"/>
  <c r="AE71" i="9"/>
  <c r="W72" i="9"/>
  <c r="X72" i="9"/>
  <c r="Y72" i="9"/>
  <c r="Z72" i="9"/>
  <c r="AA72" i="9"/>
  <c r="AB72" i="9"/>
  <c r="AC72" i="9"/>
  <c r="AD72" i="9"/>
  <c r="AE72" i="9"/>
  <c r="W73" i="9"/>
  <c r="X73" i="9"/>
  <c r="Y73" i="9"/>
  <c r="Z73" i="9"/>
  <c r="AA73" i="9"/>
  <c r="AB73" i="9"/>
  <c r="AC73" i="9"/>
  <c r="AD73" i="9"/>
  <c r="AE73" i="9"/>
  <c r="W74" i="9"/>
  <c r="X74" i="9"/>
  <c r="Y74" i="9"/>
  <c r="Z74" i="9"/>
  <c r="AA74" i="9"/>
  <c r="AB74" i="9"/>
  <c r="AC74" i="9"/>
  <c r="AD74" i="9"/>
  <c r="AE74" i="9"/>
  <c r="W75" i="9"/>
  <c r="X75" i="9"/>
  <c r="Y75" i="9"/>
  <c r="Z75" i="9"/>
  <c r="AA75" i="9"/>
  <c r="AB75" i="9"/>
  <c r="AC75" i="9"/>
  <c r="AD75" i="9"/>
  <c r="AE75" i="9"/>
  <c r="W76" i="9"/>
  <c r="X76" i="9"/>
  <c r="Y76" i="9"/>
  <c r="Z76" i="9"/>
  <c r="AA76" i="9"/>
  <c r="AB76" i="9"/>
  <c r="AC76" i="9"/>
  <c r="AD76" i="9"/>
  <c r="AE76" i="9"/>
  <c r="W77" i="9"/>
  <c r="X77" i="9"/>
  <c r="Y77" i="9"/>
  <c r="Z77" i="9"/>
  <c r="AA77" i="9"/>
  <c r="AB77" i="9"/>
  <c r="AC77" i="9"/>
  <c r="AD77" i="9"/>
  <c r="AE77" i="9"/>
  <c r="W78" i="9"/>
  <c r="X78" i="9"/>
  <c r="Y78" i="9"/>
  <c r="Z78" i="9"/>
  <c r="AA78" i="9"/>
  <c r="AB78" i="9"/>
  <c r="AC78" i="9"/>
  <c r="AD78" i="9"/>
  <c r="AE78" i="9"/>
  <c r="W79" i="9"/>
  <c r="X79" i="9"/>
  <c r="Y79" i="9"/>
  <c r="Z79" i="9"/>
  <c r="AA79" i="9"/>
  <c r="AB79" i="9"/>
  <c r="AC79" i="9"/>
  <c r="AD79" i="9"/>
  <c r="AE79" i="9"/>
  <c r="W80" i="9"/>
  <c r="X80" i="9"/>
  <c r="Y80" i="9"/>
  <c r="Z80" i="9"/>
  <c r="AA80" i="9"/>
  <c r="AB80" i="9"/>
  <c r="AC80" i="9"/>
  <c r="AD80" i="9"/>
  <c r="AE80" i="9"/>
  <c r="W81" i="9"/>
  <c r="X81" i="9"/>
  <c r="Y81" i="9"/>
  <c r="Z81" i="9"/>
  <c r="AA81" i="9"/>
  <c r="AB81" i="9"/>
  <c r="AC81" i="9"/>
  <c r="AD81" i="9"/>
  <c r="AE81" i="9"/>
  <c r="W82" i="9"/>
  <c r="X82" i="9"/>
  <c r="Y82" i="9"/>
  <c r="Z82" i="9"/>
  <c r="AA82" i="9"/>
  <c r="AB82" i="9"/>
  <c r="AC82" i="9"/>
  <c r="AD82" i="9"/>
  <c r="AE82" i="9"/>
  <c r="W83" i="9"/>
  <c r="X83" i="9"/>
  <c r="Y83" i="9"/>
  <c r="Z83" i="9"/>
  <c r="AA83" i="9"/>
  <c r="AB83" i="9"/>
  <c r="AC83" i="9"/>
  <c r="AD83" i="9"/>
  <c r="AE83" i="9"/>
  <c r="W84" i="9"/>
  <c r="X84" i="9"/>
  <c r="Y84" i="9"/>
  <c r="Z84" i="9"/>
  <c r="AA84" i="9"/>
  <c r="AB84" i="9"/>
  <c r="AC84" i="9"/>
  <c r="AD84" i="9"/>
  <c r="AE84" i="9"/>
  <c r="W85" i="9"/>
  <c r="X85" i="9"/>
  <c r="Y85" i="9"/>
  <c r="Z85" i="9"/>
  <c r="AA85" i="9"/>
  <c r="AB85" i="9"/>
  <c r="AC85" i="9"/>
  <c r="AD85" i="9"/>
  <c r="AE85" i="9"/>
  <c r="W86" i="9"/>
  <c r="X86" i="9"/>
  <c r="Y86" i="9"/>
  <c r="Z86" i="9"/>
  <c r="AA86" i="9"/>
  <c r="AB86" i="9"/>
  <c r="AC86" i="9"/>
  <c r="AD86" i="9"/>
  <c r="AE86" i="9"/>
  <c r="W87" i="9"/>
  <c r="X87" i="9"/>
  <c r="Y87" i="9"/>
  <c r="Z87" i="9"/>
  <c r="AA87" i="9"/>
  <c r="AB87" i="9"/>
  <c r="AC87" i="9"/>
  <c r="AD87" i="9"/>
  <c r="AE87" i="9"/>
  <c r="W88" i="9"/>
  <c r="X88" i="9"/>
  <c r="Y88" i="9"/>
  <c r="Z88" i="9"/>
  <c r="AA88" i="9"/>
  <c r="AB88" i="9"/>
  <c r="AC88" i="9"/>
  <c r="AD88" i="9"/>
  <c r="AE88" i="9"/>
  <c r="W89" i="9"/>
  <c r="X89" i="9"/>
  <c r="Y89" i="9"/>
  <c r="Z89" i="9"/>
  <c r="AA89" i="9"/>
  <c r="AB89" i="9"/>
  <c r="AC89" i="9"/>
  <c r="AD89" i="9"/>
  <c r="AE89" i="9"/>
  <c r="W90" i="9"/>
  <c r="X90" i="9"/>
  <c r="Y90" i="9"/>
  <c r="Z90" i="9"/>
  <c r="AA90" i="9"/>
  <c r="AB90" i="9"/>
  <c r="AC90" i="9"/>
  <c r="AD90" i="9"/>
  <c r="AE90" i="9"/>
  <c r="W91" i="9"/>
  <c r="X91" i="9"/>
  <c r="Y91" i="9"/>
  <c r="Z91" i="9"/>
  <c r="AA91" i="9"/>
  <c r="AB91" i="9"/>
  <c r="AC91" i="9"/>
  <c r="AD91" i="9"/>
  <c r="AE91" i="9"/>
  <c r="W92" i="9"/>
  <c r="X92" i="9"/>
  <c r="Y92" i="9"/>
  <c r="Z92" i="9"/>
  <c r="AA92" i="9"/>
  <c r="AB92" i="9"/>
  <c r="AC92" i="9"/>
  <c r="AD92" i="9"/>
  <c r="AE92" i="9"/>
  <c r="W93" i="9"/>
  <c r="X93" i="9"/>
  <c r="Y93" i="9"/>
  <c r="Z93" i="9"/>
  <c r="AA93" i="9"/>
  <c r="AB93" i="9"/>
  <c r="AC93" i="9"/>
  <c r="AD93" i="9"/>
  <c r="AE93" i="9"/>
  <c r="W94" i="9"/>
  <c r="X94" i="9"/>
  <c r="Y94" i="9"/>
  <c r="Z94" i="9"/>
  <c r="AA94" i="9"/>
  <c r="AB94" i="9"/>
  <c r="AC94" i="9"/>
  <c r="AD94" i="9"/>
  <c r="AE94" i="9"/>
  <c r="W95" i="9"/>
  <c r="X95" i="9"/>
  <c r="Y95" i="9"/>
  <c r="Z95" i="9"/>
  <c r="AA95" i="9"/>
  <c r="AB95" i="9"/>
  <c r="AC95" i="9"/>
  <c r="AD95" i="9"/>
  <c r="AE95" i="9"/>
  <c r="W96" i="9"/>
  <c r="X96" i="9"/>
  <c r="Y96" i="9"/>
  <c r="Z96" i="9"/>
  <c r="AA96" i="9"/>
  <c r="AB96" i="9"/>
  <c r="AC96" i="9"/>
  <c r="AD96" i="9"/>
  <c r="AE96" i="9"/>
  <c r="W97" i="9"/>
  <c r="X97" i="9"/>
  <c r="Y97" i="9"/>
  <c r="Z97" i="9"/>
  <c r="AA97" i="9"/>
  <c r="AB97" i="9"/>
  <c r="AC97" i="9"/>
  <c r="AD97" i="9"/>
  <c r="AE97" i="9"/>
  <c r="W98" i="9"/>
  <c r="X98" i="9"/>
  <c r="Y98" i="9"/>
  <c r="Z98" i="9"/>
  <c r="AA98" i="9"/>
  <c r="AB98" i="9"/>
  <c r="AC98" i="9"/>
  <c r="AD98" i="9"/>
  <c r="AE98" i="9"/>
  <c r="W99" i="9"/>
  <c r="X99" i="9"/>
  <c r="Y99" i="9"/>
  <c r="Z99" i="9"/>
  <c r="AA99" i="9"/>
  <c r="AB99" i="9"/>
  <c r="AC99" i="9"/>
  <c r="AD99" i="9"/>
  <c r="AE99" i="9"/>
  <c r="W100" i="9"/>
  <c r="X100" i="9"/>
  <c r="Y100" i="9"/>
  <c r="Z100" i="9"/>
  <c r="AA100" i="9"/>
  <c r="AB100" i="9"/>
  <c r="AC100" i="9"/>
  <c r="AD100" i="9"/>
  <c r="AE100" i="9"/>
  <c r="W15" i="9"/>
  <c r="AE15" i="9"/>
  <c r="AD15" i="9"/>
  <c r="AC15" i="9"/>
  <c r="AB15" i="9"/>
  <c r="AA15" i="9"/>
  <c r="Z15" i="9"/>
  <c r="Y15" i="9"/>
  <c r="X15" i="9"/>
  <c r="AF15" i="8"/>
  <c r="AD15" i="8"/>
  <c r="AE15" i="8"/>
  <c r="CZ60" i="8"/>
  <c r="CZ61" i="8"/>
  <c r="CZ62" i="8"/>
  <c r="CZ63" i="8"/>
  <c r="CZ64" i="8"/>
  <c r="CZ65" i="8"/>
  <c r="CZ66" i="8"/>
  <c r="CZ67" i="8"/>
  <c r="CZ68" i="8"/>
  <c r="CZ69" i="8"/>
  <c r="CZ70" i="8"/>
  <c r="CZ71" i="8"/>
  <c r="CZ72" i="8"/>
  <c r="CZ73" i="8"/>
  <c r="CZ74" i="8"/>
  <c r="CZ75" i="8"/>
  <c r="CZ76" i="8"/>
  <c r="CZ77" i="8"/>
  <c r="CZ78" i="8"/>
  <c r="CZ79" i="8"/>
  <c r="CZ80" i="8"/>
  <c r="CZ81" i="8"/>
  <c r="CZ82" i="8"/>
  <c r="CZ83" i="8"/>
  <c r="CZ84" i="8"/>
  <c r="CZ85" i="8"/>
  <c r="CZ86" i="8"/>
  <c r="CZ87" i="8"/>
  <c r="CZ88" i="8"/>
  <c r="CZ89" i="8"/>
  <c r="CZ90" i="8"/>
  <c r="CZ91" i="8"/>
  <c r="CZ92" i="8"/>
  <c r="CZ93" i="8"/>
  <c r="CZ94" i="8"/>
  <c r="CZ95" i="8"/>
  <c r="CZ96" i="8"/>
  <c r="CZ97" i="8"/>
  <c r="CZ98" i="8"/>
  <c r="CZ99" i="8"/>
  <c r="CN28" i="8"/>
  <c r="CN29" i="8"/>
  <c r="CN30" i="8"/>
  <c r="CN31" i="8"/>
  <c r="CN32" i="8"/>
  <c r="CN33" i="8"/>
  <c r="CN34" i="8"/>
  <c r="CN35" i="8"/>
  <c r="CN36" i="8"/>
  <c r="CN37" i="8"/>
  <c r="CN38" i="8"/>
  <c r="CN39" i="8"/>
  <c r="CN40" i="8"/>
  <c r="CN41" i="8"/>
  <c r="CN42" i="8"/>
  <c r="CN43" i="8"/>
  <c r="CN44" i="8"/>
  <c r="CN45" i="8"/>
  <c r="CN46" i="8"/>
  <c r="CN47" i="8"/>
  <c r="CN48" i="8"/>
  <c r="CN49" i="8"/>
  <c r="CN50" i="8"/>
  <c r="CN51" i="8"/>
  <c r="CN52" i="8"/>
  <c r="CN53" i="8"/>
  <c r="CN54" i="8"/>
  <c r="CN55" i="8"/>
  <c r="CN56" i="8"/>
  <c r="CN57" i="8"/>
  <c r="CN58" i="8"/>
  <c r="CN59" i="8"/>
  <c r="CN60" i="8"/>
  <c r="CN61" i="8"/>
  <c r="CN62" i="8"/>
  <c r="CN63" i="8"/>
  <c r="CN64" i="8"/>
  <c r="CN65" i="8"/>
  <c r="CN66" i="8"/>
  <c r="CN67" i="8"/>
  <c r="CN68" i="8"/>
  <c r="CN69" i="8"/>
  <c r="CN70" i="8"/>
  <c r="CN71" i="8"/>
  <c r="CN72" i="8"/>
  <c r="CN73" i="8"/>
  <c r="CN74" i="8"/>
  <c r="CN75" i="8"/>
  <c r="CN76" i="8"/>
  <c r="CN77" i="8"/>
  <c r="CN78" i="8"/>
  <c r="CN79" i="8"/>
  <c r="CN80" i="8"/>
  <c r="CN81" i="8"/>
  <c r="CN82" i="8"/>
  <c r="CN83" i="8"/>
  <c r="CN84" i="8"/>
  <c r="CN85" i="8"/>
  <c r="CN86" i="8"/>
  <c r="CN87" i="8"/>
  <c r="CN88" i="8"/>
  <c r="CN89" i="8"/>
  <c r="CN90" i="8"/>
  <c r="CN91" i="8"/>
  <c r="CN92" i="8"/>
  <c r="CN93" i="8"/>
  <c r="CN94" i="8"/>
  <c r="CN95" i="8"/>
  <c r="CN96" i="8"/>
  <c r="CN97" i="8"/>
  <c r="CN98" i="8"/>
  <c r="CN99" i="8"/>
  <c r="CK28" i="8"/>
  <c r="CK29" i="8"/>
  <c r="CK30" i="8"/>
  <c r="CK31" i="8"/>
  <c r="CK32" i="8"/>
  <c r="CK33" i="8"/>
  <c r="CK34" i="8"/>
  <c r="CK35" i="8"/>
  <c r="CK36" i="8"/>
  <c r="CK37" i="8"/>
  <c r="CK38" i="8"/>
  <c r="CK39" i="8"/>
  <c r="CK40" i="8"/>
  <c r="CK41" i="8"/>
  <c r="CK42" i="8"/>
  <c r="CK43" i="8"/>
  <c r="CK44" i="8"/>
  <c r="CK45" i="8"/>
  <c r="CK46" i="8"/>
  <c r="CK47" i="8"/>
  <c r="CK48" i="8"/>
  <c r="CK49" i="8"/>
  <c r="CK50" i="8"/>
  <c r="CK51" i="8"/>
  <c r="CK52" i="8"/>
  <c r="CK53" i="8"/>
  <c r="CK54" i="8"/>
  <c r="CK55" i="8"/>
  <c r="CK56" i="8"/>
  <c r="CK57" i="8"/>
  <c r="CK58" i="8"/>
  <c r="CK59" i="8"/>
  <c r="CK60" i="8"/>
  <c r="CK61" i="8"/>
  <c r="CK62" i="8"/>
  <c r="CK63" i="8"/>
  <c r="CK64" i="8"/>
  <c r="CK65" i="8"/>
  <c r="CK66" i="8"/>
  <c r="CK67" i="8"/>
  <c r="CK68" i="8"/>
  <c r="CK69" i="8"/>
  <c r="CK70" i="8"/>
  <c r="CK71" i="8"/>
  <c r="CK72" i="8"/>
  <c r="CK73" i="8"/>
  <c r="CK74" i="8"/>
  <c r="CK75" i="8"/>
  <c r="CK76" i="8"/>
  <c r="CK77" i="8"/>
  <c r="CK78" i="8"/>
  <c r="CK79" i="8"/>
  <c r="CK80" i="8"/>
  <c r="CK81" i="8"/>
  <c r="CK82" i="8"/>
  <c r="CK83" i="8"/>
  <c r="CK84" i="8"/>
  <c r="CK85" i="8"/>
  <c r="CK86" i="8"/>
  <c r="CK87" i="8"/>
  <c r="CK88" i="8"/>
  <c r="CK89" i="8"/>
  <c r="CK90" i="8"/>
  <c r="CK91" i="8"/>
  <c r="CK92" i="8"/>
  <c r="CK93" i="8"/>
  <c r="CK94" i="8"/>
  <c r="CK95" i="8"/>
  <c r="CK96" i="8"/>
  <c r="CK97" i="8"/>
  <c r="CK98" i="8"/>
  <c r="CK99" i="8"/>
  <c r="CI28" i="8"/>
  <c r="CL28" i="8" s="1"/>
  <c r="CM28" i="8" s="1"/>
  <c r="CI29" i="8"/>
  <c r="CL29" i="8" s="1"/>
  <c r="CM29" i="8" s="1"/>
  <c r="CI30" i="8"/>
  <c r="CL30" i="8" s="1"/>
  <c r="CM30" i="8" s="1"/>
  <c r="CI31" i="8"/>
  <c r="CI32" i="8"/>
  <c r="CL32" i="8" s="1"/>
  <c r="CM32" i="8" s="1"/>
  <c r="CI33" i="8"/>
  <c r="CL33" i="8" s="1"/>
  <c r="CM33" i="8" s="1"/>
  <c r="CI34" i="8"/>
  <c r="CL34" i="8" s="1"/>
  <c r="CM34" i="8" s="1"/>
  <c r="CI35" i="8"/>
  <c r="CL35" i="8" s="1"/>
  <c r="CM35" i="8" s="1"/>
  <c r="CI36" i="8"/>
  <c r="CL36" i="8" s="1"/>
  <c r="CM36" i="8" s="1"/>
  <c r="CI37" i="8"/>
  <c r="CL37" i="8" s="1"/>
  <c r="CM37" i="8" s="1"/>
  <c r="CI38" i="8"/>
  <c r="CL38" i="8" s="1"/>
  <c r="CM38" i="8" s="1"/>
  <c r="CI39" i="8"/>
  <c r="CL39" i="8" s="1"/>
  <c r="CM39" i="8" s="1"/>
  <c r="CI40" i="8"/>
  <c r="CL40" i="8" s="1"/>
  <c r="CM40" i="8" s="1"/>
  <c r="CI41" i="8"/>
  <c r="CL41" i="8" s="1"/>
  <c r="CM41" i="8" s="1"/>
  <c r="CI42" i="8"/>
  <c r="CL42" i="8" s="1"/>
  <c r="CM42" i="8" s="1"/>
  <c r="CI43" i="8"/>
  <c r="CL43" i="8" s="1"/>
  <c r="CM43" i="8" s="1"/>
  <c r="CI44" i="8"/>
  <c r="CL44" i="8" s="1"/>
  <c r="CM44" i="8" s="1"/>
  <c r="CI45" i="8"/>
  <c r="CL45" i="8" s="1"/>
  <c r="CM45" i="8" s="1"/>
  <c r="CI46" i="8"/>
  <c r="CL46" i="8" s="1"/>
  <c r="CM46" i="8" s="1"/>
  <c r="CI47" i="8"/>
  <c r="CL47" i="8" s="1"/>
  <c r="CM47" i="8" s="1"/>
  <c r="CI48" i="8"/>
  <c r="CL48" i="8" s="1"/>
  <c r="CM48" i="8" s="1"/>
  <c r="CI49" i="8"/>
  <c r="CL49" i="8" s="1"/>
  <c r="CM49" i="8" s="1"/>
  <c r="CI50" i="8"/>
  <c r="CL50" i="8" s="1"/>
  <c r="CM50" i="8" s="1"/>
  <c r="CI51" i="8"/>
  <c r="CL51" i="8" s="1"/>
  <c r="CM51" i="8" s="1"/>
  <c r="CI52" i="8"/>
  <c r="CL52" i="8" s="1"/>
  <c r="CM52" i="8" s="1"/>
  <c r="CI53" i="8"/>
  <c r="CL53" i="8" s="1"/>
  <c r="CM53" i="8" s="1"/>
  <c r="CI54" i="8"/>
  <c r="CL54" i="8" s="1"/>
  <c r="CM54" i="8" s="1"/>
  <c r="CI55" i="8"/>
  <c r="CL55" i="8" s="1"/>
  <c r="CM55" i="8" s="1"/>
  <c r="CI56" i="8"/>
  <c r="CL56" i="8" s="1"/>
  <c r="CM56" i="8" s="1"/>
  <c r="CI57" i="8"/>
  <c r="CL57" i="8" s="1"/>
  <c r="CM57" i="8" s="1"/>
  <c r="CI58" i="8"/>
  <c r="CL58" i="8" s="1"/>
  <c r="CM58" i="8" s="1"/>
  <c r="CI59" i="8"/>
  <c r="CL59" i="8" s="1"/>
  <c r="CM59" i="8" s="1"/>
  <c r="CI60" i="8"/>
  <c r="CL60" i="8" s="1"/>
  <c r="CM60" i="8" s="1"/>
  <c r="CI61" i="8"/>
  <c r="CL61" i="8" s="1"/>
  <c r="CM61" i="8" s="1"/>
  <c r="CI62" i="8"/>
  <c r="CL62" i="8" s="1"/>
  <c r="CM62" i="8" s="1"/>
  <c r="CI63" i="8"/>
  <c r="CL63" i="8" s="1"/>
  <c r="CM63" i="8" s="1"/>
  <c r="CI64" i="8"/>
  <c r="CL64" i="8" s="1"/>
  <c r="CM64" i="8" s="1"/>
  <c r="CI65" i="8"/>
  <c r="CL65" i="8" s="1"/>
  <c r="CM65" i="8" s="1"/>
  <c r="CI66" i="8"/>
  <c r="CL66" i="8" s="1"/>
  <c r="CM66" i="8" s="1"/>
  <c r="CI67" i="8"/>
  <c r="CL67" i="8" s="1"/>
  <c r="CM67" i="8" s="1"/>
  <c r="CI68" i="8"/>
  <c r="CL68" i="8" s="1"/>
  <c r="CM68" i="8" s="1"/>
  <c r="CI69" i="8"/>
  <c r="CL69" i="8" s="1"/>
  <c r="CM69" i="8" s="1"/>
  <c r="CI70" i="8"/>
  <c r="CL70" i="8" s="1"/>
  <c r="CM70" i="8" s="1"/>
  <c r="CI71" i="8"/>
  <c r="CL71" i="8" s="1"/>
  <c r="CM71" i="8" s="1"/>
  <c r="CI72" i="8"/>
  <c r="CL72" i="8" s="1"/>
  <c r="CM72" i="8" s="1"/>
  <c r="CI73" i="8"/>
  <c r="CL73" i="8" s="1"/>
  <c r="CM73" i="8" s="1"/>
  <c r="CI74" i="8"/>
  <c r="CL74" i="8" s="1"/>
  <c r="CM74" i="8" s="1"/>
  <c r="CI75" i="8"/>
  <c r="CL75" i="8" s="1"/>
  <c r="CM75" i="8" s="1"/>
  <c r="CI76" i="8"/>
  <c r="CL76" i="8" s="1"/>
  <c r="CM76" i="8" s="1"/>
  <c r="CI77" i="8"/>
  <c r="CL77" i="8" s="1"/>
  <c r="CM77" i="8" s="1"/>
  <c r="CI78" i="8"/>
  <c r="CL78" i="8" s="1"/>
  <c r="CM78" i="8" s="1"/>
  <c r="CI79" i="8"/>
  <c r="CL79" i="8" s="1"/>
  <c r="CM79" i="8" s="1"/>
  <c r="CI80" i="8"/>
  <c r="CL80" i="8" s="1"/>
  <c r="CM80" i="8" s="1"/>
  <c r="CI81" i="8"/>
  <c r="CL81" i="8" s="1"/>
  <c r="CM81" i="8" s="1"/>
  <c r="CI82" i="8"/>
  <c r="CL82" i="8" s="1"/>
  <c r="CM82" i="8" s="1"/>
  <c r="CI83" i="8"/>
  <c r="CL83" i="8" s="1"/>
  <c r="CM83" i="8" s="1"/>
  <c r="CI84" i="8"/>
  <c r="CL84" i="8" s="1"/>
  <c r="CM84" i="8" s="1"/>
  <c r="CI85" i="8"/>
  <c r="CL85" i="8" s="1"/>
  <c r="CM85" i="8" s="1"/>
  <c r="CI86" i="8"/>
  <c r="CL86" i="8" s="1"/>
  <c r="CM86" i="8" s="1"/>
  <c r="CI87" i="8"/>
  <c r="CL87" i="8" s="1"/>
  <c r="CM87" i="8" s="1"/>
  <c r="CI88" i="8"/>
  <c r="CL88" i="8" s="1"/>
  <c r="CM88" i="8" s="1"/>
  <c r="CI89" i="8"/>
  <c r="CL89" i="8" s="1"/>
  <c r="CM89" i="8" s="1"/>
  <c r="CI90" i="8"/>
  <c r="CL90" i="8" s="1"/>
  <c r="CM90" i="8" s="1"/>
  <c r="CI91" i="8"/>
  <c r="CL91" i="8" s="1"/>
  <c r="CM91" i="8" s="1"/>
  <c r="CI92" i="8"/>
  <c r="CL92" i="8" s="1"/>
  <c r="CM92" i="8" s="1"/>
  <c r="CI93" i="8"/>
  <c r="CL93" i="8" s="1"/>
  <c r="CM93" i="8" s="1"/>
  <c r="CI94" i="8"/>
  <c r="CL94" i="8" s="1"/>
  <c r="CM94" i="8" s="1"/>
  <c r="CI95" i="8"/>
  <c r="CL95" i="8" s="1"/>
  <c r="CM95" i="8" s="1"/>
  <c r="CI96" i="8"/>
  <c r="CL96" i="8" s="1"/>
  <c r="CM96" i="8" s="1"/>
  <c r="CI97" i="8"/>
  <c r="CL97" i="8" s="1"/>
  <c r="CM97" i="8" s="1"/>
  <c r="CI98" i="8"/>
  <c r="CL98" i="8" s="1"/>
  <c r="CM98" i="8" s="1"/>
  <c r="CI99" i="8"/>
  <c r="CL99" i="8" s="1"/>
  <c r="CM99" i="8" s="1"/>
  <c r="AM16" i="8"/>
  <c r="AN16" i="8"/>
  <c r="AO16" i="8"/>
  <c r="AP16" i="8"/>
  <c r="AQ16" i="8"/>
  <c r="BG16" i="8" s="1"/>
  <c r="AR16" i="8"/>
  <c r="BH16" i="8" s="1"/>
  <c r="AS16" i="8"/>
  <c r="AT16" i="8"/>
  <c r="AU16" i="8"/>
  <c r="AM17" i="8"/>
  <c r="AN17" i="8"/>
  <c r="AO17" i="8"/>
  <c r="AP17" i="8"/>
  <c r="BF17" i="8" s="1"/>
  <c r="AQ17" i="8"/>
  <c r="BG17" i="8" s="1"/>
  <c r="AR17" i="8"/>
  <c r="AS17" i="8"/>
  <c r="AT17" i="8"/>
  <c r="AU17" i="8"/>
  <c r="AM18" i="8"/>
  <c r="AN18" i="8"/>
  <c r="AO18" i="8"/>
  <c r="BE18" i="8" s="1"/>
  <c r="AP18" i="8"/>
  <c r="BF18" i="8" s="1"/>
  <c r="AQ18" i="8"/>
  <c r="AR18" i="8"/>
  <c r="BH18" i="8" s="1"/>
  <c r="AS18" i="8"/>
  <c r="AT18" i="8"/>
  <c r="AU18" i="8"/>
  <c r="AM19" i="8"/>
  <c r="BC19" i="8" s="1"/>
  <c r="AN19" i="8"/>
  <c r="BD19" i="8" s="1"/>
  <c r="AO19" i="8"/>
  <c r="BE19" i="8" s="1"/>
  <c r="AP19" i="8"/>
  <c r="AQ19" i="8"/>
  <c r="AR19" i="8"/>
  <c r="AS19" i="8"/>
  <c r="AT19" i="8"/>
  <c r="AU19" i="8"/>
  <c r="AM20" i="8"/>
  <c r="BC20" i="8" s="1"/>
  <c r="AN20" i="8"/>
  <c r="BD20" i="8" s="1"/>
  <c r="AO20" i="8"/>
  <c r="AP20" i="8"/>
  <c r="AQ20" i="8"/>
  <c r="AR20" i="8"/>
  <c r="AS20" i="8"/>
  <c r="AT20" i="8"/>
  <c r="AU20" i="8"/>
  <c r="BK20" i="8" s="1"/>
  <c r="AM21" i="8"/>
  <c r="BC21" i="8" s="1"/>
  <c r="AN21" i="8"/>
  <c r="AO21" i="8"/>
  <c r="AP21" i="8"/>
  <c r="AQ21" i="8"/>
  <c r="AR21" i="8"/>
  <c r="AS21" i="8"/>
  <c r="AT21" i="8"/>
  <c r="BJ21" i="8" s="1"/>
  <c r="AU21" i="8"/>
  <c r="BK21" i="8" s="1"/>
  <c r="AM22" i="8"/>
  <c r="AN22" i="8"/>
  <c r="BD22" i="8" s="1"/>
  <c r="AO22" i="8"/>
  <c r="AP22" i="8"/>
  <c r="AQ22" i="8"/>
  <c r="AR22" i="8"/>
  <c r="BH22" i="8" s="1"/>
  <c r="AS22" i="8"/>
  <c r="BI22" i="8" s="1"/>
  <c r="AT22" i="8"/>
  <c r="BJ22" i="8" s="1"/>
  <c r="AU22" i="8"/>
  <c r="AM23" i="8"/>
  <c r="AN23" i="8"/>
  <c r="AO23" i="8"/>
  <c r="AP23" i="8"/>
  <c r="AQ23" i="8"/>
  <c r="AR23" i="8"/>
  <c r="BH23" i="8" s="1"/>
  <c r="AS23" i="8"/>
  <c r="BI23" i="8" s="1"/>
  <c r="AT23" i="8"/>
  <c r="AU23" i="8"/>
  <c r="AM24" i="8"/>
  <c r="AN24" i="8"/>
  <c r="AO24" i="8"/>
  <c r="AP24" i="8"/>
  <c r="AQ24" i="8"/>
  <c r="BG24" i="8" s="1"/>
  <c r="AR24" i="8"/>
  <c r="BH24" i="8" s="1"/>
  <c r="AS24" i="8"/>
  <c r="AT24" i="8"/>
  <c r="AU24" i="8"/>
  <c r="AM25" i="8"/>
  <c r="AN25" i="8"/>
  <c r="AO25" i="8"/>
  <c r="AP25" i="8"/>
  <c r="BF25" i="8" s="1"/>
  <c r="AQ25" i="8"/>
  <c r="BG25" i="8" s="1"/>
  <c r="AR25" i="8"/>
  <c r="AS25" i="8"/>
  <c r="BI25" i="8" s="1"/>
  <c r="AT25" i="8"/>
  <c r="AU25" i="8"/>
  <c r="AM26" i="8"/>
  <c r="AN26" i="8"/>
  <c r="BD26" i="8" s="1"/>
  <c r="AO26" i="8"/>
  <c r="BE26" i="8" s="1"/>
  <c r="AP26" i="8"/>
  <c r="BF26" i="8" s="1"/>
  <c r="AQ26" i="8"/>
  <c r="AR26" i="8"/>
  <c r="AS26" i="8"/>
  <c r="AT26" i="8"/>
  <c r="AU26" i="8"/>
  <c r="AM27" i="8"/>
  <c r="AN27" i="8"/>
  <c r="BD27" i="8" s="1"/>
  <c r="AO27" i="8"/>
  <c r="BE27" i="8" s="1"/>
  <c r="AP27" i="8"/>
  <c r="AQ27" i="8"/>
  <c r="AR27" i="8"/>
  <c r="AS27" i="8"/>
  <c r="AT27" i="8"/>
  <c r="AU27" i="8"/>
  <c r="AM28" i="8"/>
  <c r="BC28" i="8" s="1"/>
  <c r="AN28" i="8"/>
  <c r="BD28" i="8" s="1"/>
  <c r="AO28" i="8"/>
  <c r="AP28" i="8"/>
  <c r="AQ28" i="8"/>
  <c r="AR28" i="8"/>
  <c r="AS28" i="8"/>
  <c r="AT28" i="8"/>
  <c r="AU28" i="8"/>
  <c r="BK28" i="8" s="1"/>
  <c r="AM29" i="8"/>
  <c r="BC29" i="8" s="1"/>
  <c r="AN29" i="8"/>
  <c r="AO29" i="8"/>
  <c r="BE29" i="8" s="1"/>
  <c r="AP29" i="8"/>
  <c r="AQ29" i="8"/>
  <c r="AR29" i="8"/>
  <c r="AS29" i="8"/>
  <c r="BI29" i="8" s="1"/>
  <c r="AT29" i="8"/>
  <c r="BJ29" i="8" s="1"/>
  <c r="AU29" i="8"/>
  <c r="BK29" i="8" s="1"/>
  <c r="AM30" i="8"/>
  <c r="AN30" i="8"/>
  <c r="AO30" i="8"/>
  <c r="AP30" i="8"/>
  <c r="AQ30" i="8"/>
  <c r="AR30" i="8"/>
  <c r="AS30" i="8"/>
  <c r="BI30" i="8" s="1"/>
  <c r="AT30" i="8"/>
  <c r="BJ30" i="8" s="1"/>
  <c r="AU30" i="8"/>
  <c r="AM31" i="8"/>
  <c r="AN31" i="8"/>
  <c r="AO31" i="8"/>
  <c r="AP31" i="8"/>
  <c r="AQ31" i="8"/>
  <c r="AR31" i="8"/>
  <c r="BH31" i="8" s="1"/>
  <c r="AS31" i="8"/>
  <c r="BI31" i="8" s="1"/>
  <c r="AT31" i="8"/>
  <c r="AU31" i="8"/>
  <c r="AM32" i="8"/>
  <c r="AN32" i="8"/>
  <c r="AO32" i="8"/>
  <c r="AP32" i="8"/>
  <c r="AQ32" i="8"/>
  <c r="BG32" i="8" s="1"/>
  <c r="AR32" i="8"/>
  <c r="BH32" i="8" s="1"/>
  <c r="AS32" i="8"/>
  <c r="AT32" i="8"/>
  <c r="BJ32" i="8" s="1"/>
  <c r="AU32" i="8"/>
  <c r="AM33" i="8"/>
  <c r="AN33" i="8"/>
  <c r="AO33" i="8"/>
  <c r="BE33" i="8" s="1"/>
  <c r="AP33" i="8"/>
  <c r="BF33" i="8" s="1"/>
  <c r="AQ33" i="8"/>
  <c r="BG33" i="8" s="1"/>
  <c r="AR33" i="8"/>
  <c r="AS33" i="8"/>
  <c r="AT33" i="8"/>
  <c r="AU33" i="8"/>
  <c r="AM34" i="8"/>
  <c r="AN34" i="8"/>
  <c r="AO34" i="8"/>
  <c r="BE34" i="8" s="1"/>
  <c r="AP34" i="8"/>
  <c r="BF34" i="8" s="1"/>
  <c r="AQ34" i="8"/>
  <c r="AR34" i="8"/>
  <c r="AS34" i="8"/>
  <c r="AT34" i="8"/>
  <c r="AU34" i="8"/>
  <c r="AM35" i="8"/>
  <c r="AN35" i="8"/>
  <c r="BD35" i="8" s="1"/>
  <c r="AO35" i="8"/>
  <c r="BE35" i="8" s="1"/>
  <c r="AP35" i="8"/>
  <c r="AQ35" i="8"/>
  <c r="AR35" i="8"/>
  <c r="AS35" i="8"/>
  <c r="AT35" i="8"/>
  <c r="AU35" i="8"/>
  <c r="AM36" i="8"/>
  <c r="BC36" i="8" s="1"/>
  <c r="AN36" i="8"/>
  <c r="BD36" i="8" s="1"/>
  <c r="AO36" i="8"/>
  <c r="AP36" i="8"/>
  <c r="BF36" i="8" s="1"/>
  <c r="AQ36" i="8"/>
  <c r="AR36" i="8"/>
  <c r="AS36" i="8"/>
  <c r="AT36" i="8"/>
  <c r="BJ36" i="8" s="1"/>
  <c r="AU36" i="8"/>
  <c r="BK36" i="8" s="1"/>
  <c r="AM37" i="8"/>
  <c r="AN37" i="8"/>
  <c r="AO37" i="8"/>
  <c r="BE37" i="8" s="1"/>
  <c r="AP37" i="8"/>
  <c r="BF37" i="8" s="1"/>
  <c r="AQ37" i="8"/>
  <c r="AR37" i="8"/>
  <c r="AS37" i="8"/>
  <c r="AT37" i="8"/>
  <c r="BJ37" i="8" s="1"/>
  <c r="AU37" i="8"/>
  <c r="AM38" i="8"/>
  <c r="AN38" i="8"/>
  <c r="BD38" i="8" s="1"/>
  <c r="AO38" i="8"/>
  <c r="BE38" i="8" s="1"/>
  <c r="AP38" i="8"/>
  <c r="AQ38" i="8"/>
  <c r="AR38" i="8"/>
  <c r="AS38" i="8"/>
  <c r="BI38" i="8" s="1"/>
  <c r="AT38" i="8"/>
  <c r="AU38" i="8"/>
  <c r="AM39" i="8"/>
  <c r="BC39" i="8" s="1"/>
  <c r="AN39" i="8"/>
  <c r="BD39" i="8" s="1"/>
  <c r="AO39" i="8"/>
  <c r="AP39" i="8"/>
  <c r="AQ39" i="8"/>
  <c r="AR39" i="8"/>
  <c r="BH39" i="8" s="1"/>
  <c r="AS39" i="8"/>
  <c r="AT39" i="8"/>
  <c r="AU39" i="8"/>
  <c r="AM40" i="8"/>
  <c r="BC40" i="8" s="1"/>
  <c r="AN40" i="8"/>
  <c r="AO40" i="8"/>
  <c r="AP40" i="8"/>
  <c r="BF40" i="8" s="1"/>
  <c r="AQ40" i="8"/>
  <c r="BG40" i="8" s="1"/>
  <c r="AR40" i="8"/>
  <c r="AS40" i="8"/>
  <c r="AT40" i="8"/>
  <c r="BJ40" i="8" s="1"/>
  <c r="AU40" i="8"/>
  <c r="BK40" i="8" s="1"/>
  <c r="AM41" i="8"/>
  <c r="AN41" i="8"/>
  <c r="AO41" i="8"/>
  <c r="AP41" i="8"/>
  <c r="BF41" i="8" s="1"/>
  <c r="AQ41" i="8"/>
  <c r="AR41" i="8"/>
  <c r="AS41" i="8"/>
  <c r="BI41" i="8" s="1"/>
  <c r="AT41" i="8"/>
  <c r="BJ41" i="8" s="1"/>
  <c r="AU41" i="8"/>
  <c r="AM42" i="8"/>
  <c r="AN42" i="8"/>
  <c r="AO42" i="8"/>
  <c r="BE42" i="8" s="1"/>
  <c r="AP42" i="8"/>
  <c r="AQ42" i="8"/>
  <c r="AR42" i="8"/>
  <c r="BH42" i="8" s="1"/>
  <c r="AS42" i="8"/>
  <c r="BI42" i="8" s="1"/>
  <c r="AT42" i="8"/>
  <c r="AU42" i="8"/>
  <c r="AM43" i="8"/>
  <c r="AN43" i="8"/>
  <c r="BD43" i="8" s="1"/>
  <c r="AO43" i="8"/>
  <c r="AP43" i="8"/>
  <c r="AQ43" i="8"/>
  <c r="BG43" i="8" s="1"/>
  <c r="AR43" i="8"/>
  <c r="BH43" i="8" s="1"/>
  <c r="AS43" i="8"/>
  <c r="AT43" i="8"/>
  <c r="AU43" i="8"/>
  <c r="BK43" i="8" s="1"/>
  <c r="AM44" i="8"/>
  <c r="BC44" i="8" s="1"/>
  <c r="AN44" i="8"/>
  <c r="AO44" i="8"/>
  <c r="AP44" i="8"/>
  <c r="BF44" i="8" s="1"/>
  <c r="AQ44" i="8"/>
  <c r="BG44" i="8" s="1"/>
  <c r="AR44" i="8"/>
  <c r="AS44" i="8"/>
  <c r="AT44" i="8"/>
  <c r="AU44" i="8"/>
  <c r="BK44" i="8" s="1"/>
  <c r="AM45" i="8"/>
  <c r="AN45" i="8"/>
  <c r="AO45" i="8"/>
  <c r="BE45" i="8" s="1"/>
  <c r="AP45" i="8"/>
  <c r="BF45" i="8" s="1"/>
  <c r="AQ45" i="8"/>
  <c r="AR45" i="8"/>
  <c r="AS45" i="8"/>
  <c r="AT45" i="8"/>
  <c r="BJ45" i="8" s="1"/>
  <c r="AU45" i="8"/>
  <c r="AM46" i="8"/>
  <c r="AN46" i="8"/>
  <c r="BD46" i="8" s="1"/>
  <c r="AO46" i="8"/>
  <c r="BE46" i="8" s="1"/>
  <c r="AP46" i="8"/>
  <c r="AQ46" i="8"/>
  <c r="AR46" i="8"/>
  <c r="AS46" i="8"/>
  <c r="BI46" i="8" s="1"/>
  <c r="AT46" i="8"/>
  <c r="AU46" i="8"/>
  <c r="AM47" i="8"/>
  <c r="AN47" i="8"/>
  <c r="BD47" i="8" s="1"/>
  <c r="AO47" i="8"/>
  <c r="AP47" i="8"/>
  <c r="AQ47" i="8"/>
  <c r="BG47" i="8" s="1"/>
  <c r="AR47" i="8"/>
  <c r="BH47" i="8" s="1"/>
  <c r="AS47" i="8"/>
  <c r="AT47" i="8"/>
  <c r="AU47" i="8"/>
  <c r="BK47" i="8" s="1"/>
  <c r="AM48" i="8"/>
  <c r="BC48" i="8" s="1"/>
  <c r="AN48" i="8"/>
  <c r="AO48" i="8"/>
  <c r="AP48" i="8"/>
  <c r="AQ48" i="8"/>
  <c r="AR48" i="8"/>
  <c r="AS48" i="8"/>
  <c r="AT48" i="8"/>
  <c r="BJ48" i="8" s="1"/>
  <c r="AU48" i="8"/>
  <c r="AM49" i="8"/>
  <c r="AN49" i="8"/>
  <c r="AO49" i="8"/>
  <c r="AP49" i="8"/>
  <c r="AQ49" i="8"/>
  <c r="AR49" i="8"/>
  <c r="AS49" i="8"/>
  <c r="BI49" i="8" s="1"/>
  <c r="AT49" i="8"/>
  <c r="AU49" i="8"/>
  <c r="AM50" i="8"/>
  <c r="AN50" i="8"/>
  <c r="AO50" i="8"/>
  <c r="AP50" i="8"/>
  <c r="AQ50" i="8"/>
  <c r="AR50" i="8"/>
  <c r="BH50" i="8" s="1"/>
  <c r="AS50" i="8"/>
  <c r="AT50" i="8"/>
  <c r="AU50" i="8"/>
  <c r="AM51" i="8"/>
  <c r="BC51" i="8" s="1"/>
  <c r="AN51" i="8"/>
  <c r="AO51" i="8"/>
  <c r="AP51" i="8"/>
  <c r="AQ51" i="8"/>
  <c r="BG51" i="8" s="1"/>
  <c r="AR51" i="8"/>
  <c r="AS51" i="8"/>
  <c r="AT51" i="8"/>
  <c r="AU51" i="8"/>
  <c r="AM52" i="8"/>
  <c r="AN52" i="8"/>
  <c r="AO52" i="8"/>
  <c r="AP52" i="8"/>
  <c r="BF52" i="8" s="1"/>
  <c r="AQ52" i="8"/>
  <c r="AR52" i="8"/>
  <c r="AS52" i="8"/>
  <c r="AT52" i="8"/>
  <c r="AU52" i="8"/>
  <c r="AM53" i="8"/>
  <c r="AN53" i="8"/>
  <c r="AO53" i="8"/>
  <c r="BE53" i="8" s="1"/>
  <c r="AP53" i="8"/>
  <c r="AQ53" i="8"/>
  <c r="BG53" i="8" s="1"/>
  <c r="AR53" i="8"/>
  <c r="BH53" i="8" s="1"/>
  <c r="AS53" i="8"/>
  <c r="AT53" i="8"/>
  <c r="AU53" i="8"/>
  <c r="AM54" i="8"/>
  <c r="AN54" i="8"/>
  <c r="BD54" i="8" s="1"/>
  <c r="AO54" i="8"/>
  <c r="AP54" i="8"/>
  <c r="BF54" i="8" s="1"/>
  <c r="AQ54" i="8"/>
  <c r="BG54" i="8" s="1"/>
  <c r="AR54" i="8"/>
  <c r="AS54" i="8"/>
  <c r="AT54" i="8"/>
  <c r="AU54" i="8"/>
  <c r="AM55" i="8"/>
  <c r="BC55" i="8" s="1"/>
  <c r="AN55" i="8"/>
  <c r="AO55" i="8"/>
  <c r="BE55" i="8" s="1"/>
  <c r="AP55" i="8"/>
  <c r="BF55" i="8" s="1"/>
  <c r="AQ55" i="8"/>
  <c r="AR55" i="8"/>
  <c r="AS55" i="8"/>
  <c r="AT55" i="8"/>
  <c r="AU55" i="8"/>
  <c r="BK55" i="8" s="1"/>
  <c r="AM56" i="8"/>
  <c r="AN56" i="8"/>
  <c r="BD56" i="8" s="1"/>
  <c r="AO56" i="8"/>
  <c r="BE56" i="8" s="1"/>
  <c r="AP56" i="8"/>
  <c r="AQ56" i="8"/>
  <c r="AR56" i="8"/>
  <c r="AS56" i="8"/>
  <c r="AT56" i="8"/>
  <c r="BJ56" i="8" s="1"/>
  <c r="AU56" i="8"/>
  <c r="AM57" i="8"/>
  <c r="BC57" i="8" s="1"/>
  <c r="AN57" i="8"/>
  <c r="BD57" i="8" s="1"/>
  <c r="AO57" i="8"/>
  <c r="AP57" i="8"/>
  <c r="AQ57" i="8"/>
  <c r="AR57" i="8"/>
  <c r="AS57" i="8"/>
  <c r="BI57" i="8" s="1"/>
  <c r="AT57" i="8"/>
  <c r="AU57" i="8"/>
  <c r="BK57" i="8" s="1"/>
  <c r="AM58" i="8"/>
  <c r="BC58" i="8" s="1"/>
  <c r="AN58" i="8"/>
  <c r="AO58" i="8"/>
  <c r="AP58" i="8"/>
  <c r="AQ58" i="8"/>
  <c r="AR58" i="8"/>
  <c r="BH58" i="8" s="1"/>
  <c r="AS58" i="8"/>
  <c r="AT58" i="8"/>
  <c r="BJ58" i="8" s="1"/>
  <c r="AU58" i="8"/>
  <c r="BK58" i="8" s="1"/>
  <c r="AM59" i="8"/>
  <c r="AN59" i="8"/>
  <c r="AO59" i="8"/>
  <c r="AP59" i="8"/>
  <c r="AQ59" i="8"/>
  <c r="BG59" i="8" s="1"/>
  <c r="AR59" i="8"/>
  <c r="AS59" i="8"/>
  <c r="BI59" i="8" s="1"/>
  <c r="AT59" i="8"/>
  <c r="BJ59" i="8" s="1"/>
  <c r="AU59" i="8"/>
  <c r="AM60" i="8"/>
  <c r="AN60" i="8"/>
  <c r="AO60" i="8"/>
  <c r="AP60" i="8"/>
  <c r="BF60" i="8" s="1"/>
  <c r="AQ60" i="8"/>
  <c r="AR60" i="8"/>
  <c r="AS60" i="8"/>
  <c r="AT60" i="8"/>
  <c r="BJ60" i="8" s="1"/>
  <c r="AU60" i="8"/>
  <c r="AM61" i="8"/>
  <c r="AN61" i="8"/>
  <c r="AO61" i="8"/>
  <c r="AP61" i="8"/>
  <c r="AQ61" i="8"/>
  <c r="AR61" i="8"/>
  <c r="AS61" i="8"/>
  <c r="AT61" i="8"/>
  <c r="AU61" i="8"/>
  <c r="AM62" i="8"/>
  <c r="AN62" i="8"/>
  <c r="AO62" i="8"/>
  <c r="AP62" i="8"/>
  <c r="AQ62" i="8"/>
  <c r="AR62" i="8"/>
  <c r="AS62" i="8"/>
  <c r="AT62" i="8"/>
  <c r="AU62" i="8"/>
  <c r="AM63" i="8"/>
  <c r="AN63" i="8"/>
  <c r="AO63" i="8"/>
  <c r="AP63" i="8"/>
  <c r="AQ63" i="8"/>
  <c r="AR63" i="8"/>
  <c r="AS63" i="8"/>
  <c r="AT63" i="8"/>
  <c r="AU63" i="8"/>
  <c r="AM64" i="8"/>
  <c r="AN64" i="8"/>
  <c r="AO64" i="8"/>
  <c r="AP64" i="8"/>
  <c r="AQ64" i="8"/>
  <c r="AR64" i="8"/>
  <c r="AS64" i="8"/>
  <c r="AT64" i="8"/>
  <c r="AU64" i="8"/>
  <c r="AM65" i="8"/>
  <c r="AN65" i="8"/>
  <c r="AO65" i="8"/>
  <c r="AP65" i="8"/>
  <c r="AQ65" i="8"/>
  <c r="AR65" i="8"/>
  <c r="AS65" i="8"/>
  <c r="AT65" i="8"/>
  <c r="AU65" i="8"/>
  <c r="AM66" i="8"/>
  <c r="AN66" i="8"/>
  <c r="AO66" i="8"/>
  <c r="AP66" i="8"/>
  <c r="AQ66" i="8"/>
  <c r="AR66" i="8"/>
  <c r="AS66" i="8"/>
  <c r="AT66" i="8"/>
  <c r="AU66" i="8"/>
  <c r="AM67" i="8"/>
  <c r="AN67" i="8"/>
  <c r="AO67" i="8"/>
  <c r="AP67" i="8"/>
  <c r="AQ67" i="8"/>
  <c r="AR67" i="8"/>
  <c r="AS67" i="8"/>
  <c r="AT67" i="8"/>
  <c r="AU67" i="8"/>
  <c r="AM68" i="8"/>
  <c r="AN68" i="8"/>
  <c r="AO68" i="8"/>
  <c r="AP68" i="8"/>
  <c r="AQ68" i="8"/>
  <c r="AR68" i="8"/>
  <c r="AS68" i="8"/>
  <c r="AT68" i="8"/>
  <c r="AU68" i="8"/>
  <c r="AM69" i="8"/>
  <c r="AN69" i="8"/>
  <c r="AO69" i="8"/>
  <c r="AP69" i="8"/>
  <c r="AQ69" i="8"/>
  <c r="AR69" i="8"/>
  <c r="AS69" i="8"/>
  <c r="AT69" i="8"/>
  <c r="AU69" i="8"/>
  <c r="AM70" i="8"/>
  <c r="AN70" i="8"/>
  <c r="AO70" i="8"/>
  <c r="AP70" i="8"/>
  <c r="AQ70" i="8"/>
  <c r="AR70" i="8"/>
  <c r="AS70" i="8"/>
  <c r="AT70" i="8"/>
  <c r="AU70" i="8"/>
  <c r="AM71" i="8"/>
  <c r="AN71" i="8"/>
  <c r="AO71" i="8"/>
  <c r="AP71" i="8"/>
  <c r="AQ71" i="8"/>
  <c r="AR71" i="8"/>
  <c r="AS71" i="8"/>
  <c r="AT71" i="8"/>
  <c r="AU71" i="8"/>
  <c r="AM72" i="8"/>
  <c r="AN72" i="8"/>
  <c r="AO72" i="8"/>
  <c r="AP72" i="8"/>
  <c r="AQ72" i="8"/>
  <c r="AR72" i="8"/>
  <c r="AS72" i="8"/>
  <c r="AT72" i="8"/>
  <c r="AU72" i="8"/>
  <c r="AM73" i="8"/>
  <c r="AN73" i="8"/>
  <c r="AO73" i="8"/>
  <c r="AP73" i="8"/>
  <c r="AQ73" i="8"/>
  <c r="AR73" i="8"/>
  <c r="AS73" i="8"/>
  <c r="AT73" i="8"/>
  <c r="AU73" i="8"/>
  <c r="AM74" i="8"/>
  <c r="AN74" i="8"/>
  <c r="AO74" i="8"/>
  <c r="AP74" i="8"/>
  <c r="AQ74" i="8"/>
  <c r="AR74" i="8"/>
  <c r="AS74" i="8"/>
  <c r="AT74" i="8"/>
  <c r="AU74" i="8"/>
  <c r="AM75" i="8"/>
  <c r="AN75" i="8"/>
  <c r="AO75" i="8"/>
  <c r="AP75" i="8"/>
  <c r="AQ75" i="8"/>
  <c r="AR75" i="8"/>
  <c r="AS75" i="8"/>
  <c r="AT75" i="8"/>
  <c r="AU75" i="8"/>
  <c r="AM76" i="8"/>
  <c r="AN76" i="8"/>
  <c r="AO76" i="8"/>
  <c r="AP76" i="8"/>
  <c r="AQ76" i="8"/>
  <c r="AR76" i="8"/>
  <c r="AS76" i="8"/>
  <c r="AT76" i="8"/>
  <c r="AU76" i="8"/>
  <c r="AM77" i="8"/>
  <c r="AN77" i="8"/>
  <c r="AO77" i="8"/>
  <c r="AP77" i="8"/>
  <c r="AQ77" i="8"/>
  <c r="AR77" i="8"/>
  <c r="AS77" i="8"/>
  <c r="AT77" i="8"/>
  <c r="AU77" i="8"/>
  <c r="AM78" i="8"/>
  <c r="AN78" i="8"/>
  <c r="AO78" i="8"/>
  <c r="AP78" i="8"/>
  <c r="AQ78" i="8"/>
  <c r="AR78" i="8"/>
  <c r="AS78" i="8"/>
  <c r="AT78" i="8"/>
  <c r="AU78" i="8"/>
  <c r="AM79" i="8"/>
  <c r="AN79" i="8"/>
  <c r="AO79" i="8"/>
  <c r="AP79" i="8"/>
  <c r="AQ79" i="8"/>
  <c r="AR79" i="8"/>
  <c r="AS79" i="8"/>
  <c r="AT79" i="8"/>
  <c r="AU79" i="8"/>
  <c r="AM80" i="8"/>
  <c r="AN80" i="8"/>
  <c r="AO80" i="8"/>
  <c r="AP80" i="8"/>
  <c r="AQ80" i="8"/>
  <c r="AR80" i="8"/>
  <c r="AS80" i="8"/>
  <c r="AT80" i="8"/>
  <c r="AU80" i="8"/>
  <c r="AM81" i="8"/>
  <c r="AN81" i="8"/>
  <c r="AO81" i="8"/>
  <c r="AP81" i="8"/>
  <c r="AQ81" i="8"/>
  <c r="AR81" i="8"/>
  <c r="AS81" i="8"/>
  <c r="AT81" i="8"/>
  <c r="AU81" i="8"/>
  <c r="AM82" i="8"/>
  <c r="AN82" i="8"/>
  <c r="AO82" i="8"/>
  <c r="AP82" i="8"/>
  <c r="AQ82" i="8"/>
  <c r="AR82" i="8"/>
  <c r="AS82" i="8"/>
  <c r="AT82" i="8"/>
  <c r="AU82" i="8"/>
  <c r="AM83" i="8"/>
  <c r="AN83" i="8"/>
  <c r="AO83" i="8"/>
  <c r="AP83" i="8"/>
  <c r="AQ83" i="8"/>
  <c r="AR83" i="8"/>
  <c r="AS83" i="8"/>
  <c r="AT83" i="8"/>
  <c r="AU83" i="8"/>
  <c r="AM84" i="8"/>
  <c r="AN84" i="8"/>
  <c r="AO84" i="8"/>
  <c r="AP84" i="8"/>
  <c r="AQ84" i="8"/>
  <c r="AR84" i="8"/>
  <c r="AS84" i="8"/>
  <c r="AT84" i="8"/>
  <c r="AU84" i="8"/>
  <c r="AM85" i="8"/>
  <c r="AN85" i="8"/>
  <c r="AO85" i="8"/>
  <c r="AP85" i="8"/>
  <c r="AQ85" i="8"/>
  <c r="AR85" i="8"/>
  <c r="AS85" i="8"/>
  <c r="AT85" i="8"/>
  <c r="AU85" i="8"/>
  <c r="AM86" i="8"/>
  <c r="AN86" i="8"/>
  <c r="AO86" i="8"/>
  <c r="AP86" i="8"/>
  <c r="AQ86" i="8"/>
  <c r="AR86" i="8"/>
  <c r="AS86" i="8"/>
  <c r="AT86" i="8"/>
  <c r="AU86" i="8"/>
  <c r="AM87" i="8"/>
  <c r="AN87" i="8"/>
  <c r="AO87" i="8"/>
  <c r="AP87" i="8"/>
  <c r="AQ87" i="8"/>
  <c r="AR87" i="8"/>
  <c r="AS87" i="8"/>
  <c r="AT87" i="8"/>
  <c r="AU87" i="8"/>
  <c r="AM88" i="8"/>
  <c r="AN88" i="8"/>
  <c r="AO88" i="8"/>
  <c r="AP88" i="8"/>
  <c r="AQ88" i="8"/>
  <c r="AR88" i="8"/>
  <c r="AS88" i="8"/>
  <c r="AT88" i="8"/>
  <c r="AU88" i="8"/>
  <c r="AM89" i="8"/>
  <c r="AN89" i="8"/>
  <c r="AO89" i="8"/>
  <c r="AP89" i="8"/>
  <c r="AQ89" i="8"/>
  <c r="AR89" i="8"/>
  <c r="AS89" i="8"/>
  <c r="AT89" i="8"/>
  <c r="AU89" i="8"/>
  <c r="AM90" i="8"/>
  <c r="AN90" i="8"/>
  <c r="AO90" i="8"/>
  <c r="AP90" i="8"/>
  <c r="AQ90" i="8"/>
  <c r="AR90" i="8"/>
  <c r="AS90" i="8"/>
  <c r="AT90" i="8"/>
  <c r="AU90" i="8"/>
  <c r="AM91" i="8"/>
  <c r="AN91" i="8"/>
  <c r="AO91" i="8"/>
  <c r="AP91" i="8"/>
  <c r="AQ91" i="8"/>
  <c r="AR91" i="8"/>
  <c r="AS91" i="8"/>
  <c r="AT91" i="8"/>
  <c r="AU91" i="8"/>
  <c r="AM92" i="8"/>
  <c r="AN92" i="8"/>
  <c r="AO92" i="8"/>
  <c r="AP92" i="8"/>
  <c r="AQ92" i="8"/>
  <c r="AR92" i="8"/>
  <c r="AS92" i="8"/>
  <c r="AT92" i="8"/>
  <c r="AU92" i="8"/>
  <c r="AM93" i="8"/>
  <c r="AN93" i="8"/>
  <c r="AO93" i="8"/>
  <c r="AP93" i="8"/>
  <c r="AQ93" i="8"/>
  <c r="AR93" i="8"/>
  <c r="AS93" i="8"/>
  <c r="AT93" i="8"/>
  <c r="AU93" i="8"/>
  <c r="AM94" i="8"/>
  <c r="AN94" i="8"/>
  <c r="AO94" i="8"/>
  <c r="AP94" i="8"/>
  <c r="AQ94" i="8"/>
  <c r="AR94" i="8"/>
  <c r="AS94" i="8"/>
  <c r="AT94" i="8"/>
  <c r="AU94" i="8"/>
  <c r="AM95" i="8"/>
  <c r="AN95" i="8"/>
  <c r="AO95" i="8"/>
  <c r="AP95" i="8"/>
  <c r="AQ95" i="8"/>
  <c r="AR95" i="8"/>
  <c r="AS95" i="8"/>
  <c r="AT95" i="8"/>
  <c r="AU95" i="8"/>
  <c r="AM96" i="8"/>
  <c r="AN96" i="8"/>
  <c r="AO96" i="8"/>
  <c r="AP96" i="8"/>
  <c r="AQ96" i="8"/>
  <c r="AR96" i="8"/>
  <c r="AS96" i="8"/>
  <c r="AT96" i="8"/>
  <c r="AU96" i="8"/>
  <c r="AM97" i="8"/>
  <c r="AN97" i="8"/>
  <c r="AO97" i="8"/>
  <c r="AP97" i="8"/>
  <c r="AQ97" i="8"/>
  <c r="AR97" i="8"/>
  <c r="AS97" i="8"/>
  <c r="AT97" i="8"/>
  <c r="AU97" i="8"/>
  <c r="AM98" i="8"/>
  <c r="AN98" i="8"/>
  <c r="AO98" i="8"/>
  <c r="AP98" i="8"/>
  <c r="AQ98" i="8"/>
  <c r="AR98" i="8"/>
  <c r="AS98" i="8"/>
  <c r="AT98" i="8"/>
  <c r="AU98" i="8"/>
  <c r="AM99" i="8"/>
  <c r="AN99" i="8"/>
  <c r="AO99" i="8"/>
  <c r="AP99" i="8"/>
  <c r="AQ99" i="8"/>
  <c r="AR99" i="8"/>
  <c r="AS99" i="8"/>
  <c r="AT99" i="8"/>
  <c r="AU99" i="8"/>
  <c r="AU15" i="8"/>
  <c r="AT15" i="8"/>
  <c r="AS15" i="8"/>
  <c r="BI15" i="8" s="1"/>
  <c r="AR15" i="8"/>
  <c r="AQ15" i="8"/>
  <c r="BG15" i="8" s="1"/>
  <c r="AP15" i="8"/>
  <c r="AO15" i="8"/>
  <c r="AN15" i="8"/>
  <c r="AM15" i="8"/>
  <c r="BC15" i="8" s="1"/>
  <c r="AV60" i="8"/>
  <c r="AV61" i="8"/>
  <c r="AV62" i="8"/>
  <c r="AV63" i="8"/>
  <c r="AV64" i="8"/>
  <c r="AV65" i="8"/>
  <c r="AV66" i="8"/>
  <c r="AV67" i="8"/>
  <c r="AV68" i="8"/>
  <c r="AV69" i="8"/>
  <c r="AV70" i="8"/>
  <c r="AV71" i="8"/>
  <c r="AV72" i="8"/>
  <c r="AV73" i="8"/>
  <c r="AV74" i="8"/>
  <c r="AV75" i="8"/>
  <c r="AV76" i="8"/>
  <c r="AV77" i="8"/>
  <c r="AV78" i="8"/>
  <c r="AV79" i="8"/>
  <c r="AV80" i="8"/>
  <c r="AV81" i="8"/>
  <c r="AV82" i="8"/>
  <c r="AV83" i="8"/>
  <c r="AV84" i="8"/>
  <c r="AV85" i="8"/>
  <c r="AV86" i="8"/>
  <c r="AV87" i="8"/>
  <c r="AV88" i="8"/>
  <c r="AV89" i="8"/>
  <c r="AV90" i="8"/>
  <c r="AV91" i="8"/>
  <c r="AV92" i="8"/>
  <c r="AV93" i="8"/>
  <c r="AV94" i="8"/>
  <c r="AV95" i="8"/>
  <c r="AV96" i="8"/>
  <c r="AV97" i="8"/>
  <c r="AV98" i="8"/>
  <c r="AV99" i="8"/>
  <c r="W16" i="8"/>
  <c r="X16" i="8"/>
  <c r="Y16" i="8"/>
  <c r="Z16" i="8"/>
  <c r="AA16" i="8"/>
  <c r="AB16" i="8"/>
  <c r="AC16" i="8"/>
  <c r="AD16" i="8"/>
  <c r="AE16" i="8"/>
  <c r="W17" i="8"/>
  <c r="X17" i="8"/>
  <c r="Y17" i="8"/>
  <c r="Z17" i="8"/>
  <c r="AA17" i="8"/>
  <c r="AB17" i="8"/>
  <c r="AC17" i="8"/>
  <c r="AD17" i="8"/>
  <c r="AE17" i="8"/>
  <c r="W18" i="8"/>
  <c r="X18" i="8"/>
  <c r="Y18" i="8"/>
  <c r="Z18" i="8"/>
  <c r="AA18" i="8"/>
  <c r="AB18" i="8"/>
  <c r="AC18" i="8"/>
  <c r="AD18" i="8"/>
  <c r="AE18" i="8"/>
  <c r="W19" i="8"/>
  <c r="X19" i="8"/>
  <c r="Y19" i="8"/>
  <c r="Z19" i="8"/>
  <c r="AA19" i="8"/>
  <c r="AB19" i="8"/>
  <c r="AC19" i="8"/>
  <c r="AD19" i="8"/>
  <c r="AE19" i="8"/>
  <c r="W20" i="8"/>
  <c r="X20" i="8"/>
  <c r="Y20" i="8"/>
  <c r="Z20" i="8"/>
  <c r="AA20" i="8"/>
  <c r="AB20" i="8"/>
  <c r="AC20" i="8"/>
  <c r="AD20" i="8"/>
  <c r="AE20" i="8"/>
  <c r="W21" i="8"/>
  <c r="X21" i="8"/>
  <c r="Y21" i="8"/>
  <c r="Z21" i="8"/>
  <c r="AA21" i="8"/>
  <c r="AB21" i="8"/>
  <c r="AC21" i="8"/>
  <c r="AD21" i="8"/>
  <c r="AE21" i="8"/>
  <c r="W22" i="8"/>
  <c r="X22" i="8"/>
  <c r="Y22" i="8"/>
  <c r="Z22" i="8"/>
  <c r="AA22" i="8"/>
  <c r="AB22" i="8"/>
  <c r="AC22" i="8"/>
  <c r="AD22" i="8"/>
  <c r="AE22" i="8"/>
  <c r="W23" i="8"/>
  <c r="X23" i="8"/>
  <c r="Y23" i="8"/>
  <c r="Z23" i="8"/>
  <c r="AA23" i="8"/>
  <c r="AB23" i="8"/>
  <c r="AC23" i="8"/>
  <c r="AD23" i="8"/>
  <c r="AE23" i="8"/>
  <c r="W24" i="8"/>
  <c r="X24" i="8"/>
  <c r="Y24" i="8"/>
  <c r="Z24" i="8"/>
  <c r="AA24" i="8"/>
  <c r="AB24" i="8"/>
  <c r="AC24" i="8"/>
  <c r="AD24" i="8"/>
  <c r="AE24" i="8"/>
  <c r="W25" i="8"/>
  <c r="X25" i="8"/>
  <c r="Y25" i="8"/>
  <c r="Z25" i="8"/>
  <c r="AA25" i="8"/>
  <c r="AB25" i="8"/>
  <c r="AC25" i="8"/>
  <c r="AD25" i="8"/>
  <c r="AE25" i="8"/>
  <c r="W26" i="8"/>
  <c r="X26" i="8"/>
  <c r="Y26" i="8"/>
  <c r="Z26" i="8"/>
  <c r="AA26" i="8"/>
  <c r="AB26" i="8"/>
  <c r="AC26" i="8"/>
  <c r="AD26" i="8"/>
  <c r="AE26" i="8"/>
  <c r="W27" i="8"/>
  <c r="X27" i="8"/>
  <c r="Y27" i="8"/>
  <c r="Z27" i="8"/>
  <c r="AA27" i="8"/>
  <c r="AB27" i="8"/>
  <c r="AC27" i="8"/>
  <c r="AD27" i="8"/>
  <c r="AE27" i="8"/>
  <c r="W28" i="8"/>
  <c r="X28" i="8"/>
  <c r="Y28" i="8"/>
  <c r="Z28" i="8"/>
  <c r="AA28" i="8"/>
  <c r="AB28" i="8"/>
  <c r="AC28" i="8"/>
  <c r="AD28" i="8"/>
  <c r="AE28" i="8"/>
  <c r="W29" i="8"/>
  <c r="X29" i="8"/>
  <c r="Y29" i="8"/>
  <c r="Z29" i="8"/>
  <c r="AA29" i="8"/>
  <c r="AB29" i="8"/>
  <c r="AC29" i="8"/>
  <c r="AD29" i="8"/>
  <c r="AE29" i="8"/>
  <c r="W30" i="8"/>
  <c r="X30" i="8"/>
  <c r="Y30" i="8"/>
  <c r="Z30" i="8"/>
  <c r="AA30" i="8"/>
  <c r="AB30" i="8"/>
  <c r="AC30" i="8"/>
  <c r="AD30" i="8"/>
  <c r="AE30" i="8"/>
  <c r="W31" i="8"/>
  <c r="X31" i="8"/>
  <c r="Y31" i="8"/>
  <c r="Z31" i="8"/>
  <c r="AA31" i="8"/>
  <c r="AB31" i="8"/>
  <c r="AC31" i="8"/>
  <c r="AD31" i="8"/>
  <c r="AE31" i="8"/>
  <c r="W32" i="8"/>
  <c r="X32" i="8"/>
  <c r="Y32" i="8"/>
  <c r="Z32" i="8"/>
  <c r="AA32" i="8"/>
  <c r="AB32" i="8"/>
  <c r="AC32" i="8"/>
  <c r="AD32" i="8"/>
  <c r="AE32" i="8"/>
  <c r="W33" i="8"/>
  <c r="X33" i="8"/>
  <c r="Y33" i="8"/>
  <c r="Z33" i="8"/>
  <c r="AA33" i="8"/>
  <c r="AB33" i="8"/>
  <c r="AC33" i="8"/>
  <c r="AD33" i="8"/>
  <c r="AE33" i="8"/>
  <c r="W34" i="8"/>
  <c r="X34" i="8"/>
  <c r="Y34" i="8"/>
  <c r="Z34" i="8"/>
  <c r="AA34" i="8"/>
  <c r="AB34" i="8"/>
  <c r="AC34" i="8"/>
  <c r="AD34" i="8"/>
  <c r="AE34" i="8"/>
  <c r="W35" i="8"/>
  <c r="X35" i="8"/>
  <c r="Y35" i="8"/>
  <c r="Z35" i="8"/>
  <c r="AA35" i="8"/>
  <c r="AB35" i="8"/>
  <c r="AC35" i="8"/>
  <c r="AD35" i="8"/>
  <c r="AE35" i="8"/>
  <c r="W36" i="8"/>
  <c r="X36" i="8"/>
  <c r="Y36" i="8"/>
  <c r="Z36" i="8"/>
  <c r="AA36" i="8"/>
  <c r="AB36" i="8"/>
  <c r="AC36" i="8"/>
  <c r="AD36" i="8"/>
  <c r="AE36" i="8"/>
  <c r="W37" i="8"/>
  <c r="X37" i="8"/>
  <c r="Y37" i="8"/>
  <c r="Z37" i="8"/>
  <c r="AA37" i="8"/>
  <c r="AB37" i="8"/>
  <c r="AC37" i="8"/>
  <c r="AD37" i="8"/>
  <c r="AE37" i="8"/>
  <c r="W38" i="8"/>
  <c r="X38" i="8"/>
  <c r="Y38" i="8"/>
  <c r="Z38" i="8"/>
  <c r="AA38" i="8"/>
  <c r="AB38" i="8"/>
  <c r="AC38" i="8"/>
  <c r="AD38" i="8"/>
  <c r="AE38" i="8"/>
  <c r="W39" i="8"/>
  <c r="X39" i="8"/>
  <c r="Y39" i="8"/>
  <c r="Z39" i="8"/>
  <c r="AA39" i="8"/>
  <c r="AB39" i="8"/>
  <c r="AC39" i="8"/>
  <c r="AD39" i="8"/>
  <c r="AE39" i="8"/>
  <c r="W40" i="8"/>
  <c r="X40" i="8"/>
  <c r="Y40" i="8"/>
  <c r="Z40" i="8"/>
  <c r="AA40" i="8"/>
  <c r="AB40" i="8"/>
  <c r="AC40" i="8"/>
  <c r="AD40" i="8"/>
  <c r="AE40" i="8"/>
  <c r="W41" i="8"/>
  <c r="X41" i="8"/>
  <c r="Y41" i="8"/>
  <c r="Z41" i="8"/>
  <c r="AA41" i="8"/>
  <c r="AB41" i="8"/>
  <c r="AC41" i="8"/>
  <c r="AD41" i="8"/>
  <c r="AE41" i="8"/>
  <c r="W42" i="8"/>
  <c r="X42" i="8"/>
  <c r="Y42" i="8"/>
  <c r="Z42" i="8"/>
  <c r="AA42" i="8"/>
  <c r="AB42" i="8"/>
  <c r="AC42" i="8"/>
  <c r="AD42" i="8"/>
  <c r="AE42" i="8"/>
  <c r="W43" i="8"/>
  <c r="X43" i="8"/>
  <c r="Y43" i="8"/>
  <c r="Z43" i="8"/>
  <c r="AA43" i="8"/>
  <c r="AB43" i="8"/>
  <c r="AC43" i="8"/>
  <c r="AD43" i="8"/>
  <c r="AE43" i="8"/>
  <c r="W44" i="8"/>
  <c r="X44" i="8"/>
  <c r="Y44" i="8"/>
  <c r="Z44" i="8"/>
  <c r="AA44" i="8"/>
  <c r="AB44" i="8"/>
  <c r="AC44" i="8"/>
  <c r="AD44" i="8"/>
  <c r="AE44" i="8"/>
  <c r="W45" i="8"/>
  <c r="X45" i="8"/>
  <c r="Y45" i="8"/>
  <c r="Z45" i="8"/>
  <c r="AA45" i="8"/>
  <c r="AB45" i="8"/>
  <c r="AC45" i="8"/>
  <c r="AD45" i="8"/>
  <c r="AE45" i="8"/>
  <c r="W46" i="8"/>
  <c r="X46" i="8"/>
  <c r="Y46" i="8"/>
  <c r="Z46" i="8"/>
  <c r="AA46" i="8"/>
  <c r="AB46" i="8"/>
  <c r="AC46" i="8"/>
  <c r="AD46" i="8"/>
  <c r="AE46" i="8"/>
  <c r="W47" i="8"/>
  <c r="X47" i="8"/>
  <c r="Y47" i="8"/>
  <c r="Z47" i="8"/>
  <c r="AA47" i="8"/>
  <c r="AB47" i="8"/>
  <c r="AC47" i="8"/>
  <c r="AD47" i="8"/>
  <c r="AE47" i="8"/>
  <c r="W48" i="8"/>
  <c r="X48" i="8"/>
  <c r="Y48" i="8"/>
  <c r="Z48" i="8"/>
  <c r="AA48" i="8"/>
  <c r="AB48" i="8"/>
  <c r="AC48" i="8"/>
  <c r="AD48" i="8"/>
  <c r="AE48" i="8"/>
  <c r="W49" i="8"/>
  <c r="X49" i="8"/>
  <c r="Y49" i="8"/>
  <c r="Z49" i="8"/>
  <c r="AA49" i="8"/>
  <c r="AB49" i="8"/>
  <c r="AC49" i="8"/>
  <c r="AD49" i="8"/>
  <c r="AE49" i="8"/>
  <c r="W50" i="8"/>
  <c r="X50" i="8"/>
  <c r="Y50" i="8"/>
  <c r="Z50" i="8"/>
  <c r="AA50" i="8"/>
  <c r="AB50" i="8"/>
  <c r="AC50" i="8"/>
  <c r="AD50" i="8"/>
  <c r="AE50" i="8"/>
  <c r="W51" i="8"/>
  <c r="X51" i="8"/>
  <c r="Y51" i="8"/>
  <c r="Z51" i="8"/>
  <c r="AA51" i="8"/>
  <c r="AB51" i="8"/>
  <c r="AC51" i="8"/>
  <c r="AD51" i="8"/>
  <c r="AE51" i="8"/>
  <c r="W52" i="8"/>
  <c r="X52" i="8"/>
  <c r="Y52" i="8"/>
  <c r="Z52" i="8"/>
  <c r="AA52" i="8"/>
  <c r="AB52" i="8"/>
  <c r="AC52" i="8"/>
  <c r="AD52" i="8"/>
  <c r="AE52" i="8"/>
  <c r="W53" i="8"/>
  <c r="X53" i="8"/>
  <c r="Y53" i="8"/>
  <c r="Z53" i="8"/>
  <c r="AA53" i="8"/>
  <c r="AB53" i="8"/>
  <c r="AC53" i="8"/>
  <c r="AD53" i="8"/>
  <c r="AE53" i="8"/>
  <c r="W54" i="8"/>
  <c r="X54" i="8"/>
  <c r="Y54" i="8"/>
  <c r="Z54" i="8"/>
  <c r="AA54" i="8"/>
  <c r="AB54" i="8"/>
  <c r="AC54" i="8"/>
  <c r="AD54" i="8"/>
  <c r="AE54" i="8"/>
  <c r="W55" i="8"/>
  <c r="X55" i="8"/>
  <c r="Y55" i="8"/>
  <c r="Z55" i="8"/>
  <c r="AA55" i="8"/>
  <c r="AB55" i="8"/>
  <c r="AC55" i="8"/>
  <c r="AD55" i="8"/>
  <c r="AE55" i="8"/>
  <c r="W56" i="8"/>
  <c r="X56" i="8"/>
  <c r="Y56" i="8"/>
  <c r="Z56" i="8"/>
  <c r="AA56" i="8"/>
  <c r="AB56" i="8"/>
  <c r="AC56" i="8"/>
  <c r="AD56" i="8"/>
  <c r="AE56" i="8"/>
  <c r="W57" i="8"/>
  <c r="X57" i="8"/>
  <c r="Y57" i="8"/>
  <c r="Z57" i="8"/>
  <c r="AA57" i="8"/>
  <c r="AB57" i="8"/>
  <c r="AC57" i="8"/>
  <c r="AD57" i="8"/>
  <c r="AE57" i="8"/>
  <c r="W58" i="8"/>
  <c r="X58" i="8"/>
  <c r="Y58" i="8"/>
  <c r="Z58" i="8"/>
  <c r="AA58" i="8"/>
  <c r="AB58" i="8"/>
  <c r="AC58" i="8"/>
  <c r="AD58" i="8"/>
  <c r="AE58" i="8"/>
  <c r="W59" i="8"/>
  <c r="X59" i="8"/>
  <c r="Y59" i="8"/>
  <c r="Z59" i="8"/>
  <c r="AA59" i="8"/>
  <c r="AB59" i="8"/>
  <c r="AC59" i="8"/>
  <c r="AD59" i="8"/>
  <c r="AE59" i="8"/>
  <c r="W60" i="8"/>
  <c r="X60" i="8"/>
  <c r="Y60" i="8"/>
  <c r="Z60" i="8"/>
  <c r="AA60" i="8"/>
  <c r="AB60" i="8"/>
  <c r="AC60" i="8"/>
  <c r="AD60" i="8"/>
  <c r="AE60" i="8"/>
  <c r="W61" i="8"/>
  <c r="X61" i="8"/>
  <c r="Y61" i="8"/>
  <c r="Z61" i="8"/>
  <c r="AA61" i="8"/>
  <c r="AB61" i="8"/>
  <c r="AC61" i="8"/>
  <c r="AD61" i="8"/>
  <c r="AE61" i="8"/>
  <c r="W62" i="8"/>
  <c r="X62" i="8"/>
  <c r="Y62" i="8"/>
  <c r="Z62" i="8"/>
  <c r="AA62" i="8"/>
  <c r="AB62" i="8"/>
  <c r="AC62" i="8"/>
  <c r="AD62" i="8"/>
  <c r="AE62" i="8"/>
  <c r="W63" i="8"/>
  <c r="X63" i="8"/>
  <c r="Y63" i="8"/>
  <c r="Z63" i="8"/>
  <c r="AA63" i="8"/>
  <c r="AB63" i="8"/>
  <c r="AC63" i="8"/>
  <c r="AD63" i="8"/>
  <c r="AE63" i="8"/>
  <c r="W64" i="8"/>
  <c r="X64" i="8"/>
  <c r="Y64" i="8"/>
  <c r="Z64" i="8"/>
  <c r="AA64" i="8"/>
  <c r="AB64" i="8"/>
  <c r="AC64" i="8"/>
  <c r="AD64" i="8"/>
  <c r="AE64" i="8"/>
  <c r="W65" i="8"/>
  <c r="X65" i="8"/>
  <c r="Y65" i="8"/>
  <c r="Z65" i="8"/>
  <c r="AA65" i="8"/>
  <c r="AB65" i="8"/>
  <c r="AC65" i="8"/>
  <c r="AD65" i="8"/>
  <c r="AE65" i="8"/>
  <c r="W66" i="8"/>
  <c r="X66" i="8"/>
  <c r="Y66" i="8"/>
  <c r="Z66" i="8"/>
  <c r="AA66" i="8"/>
  <c r="AB66" i="8"/>
  <c r="AC66" i="8"/>
  <c r="AD66" i="8"/>
  <c r="AE66" i="8"/>
  <c r="W67" i="8"/>
  <c r="X67" i="8"/>
  <c r="Y67" i="8"/>
  <c r="Z67" i="8"/>
  <c r="AA67" i="8"/>
  <c r="AB67" i="8"/>
  <c r="AC67" i="8"/>
  <c r="AD67" i="8"/>
  <c r="AE67" i="8"/>
  <c r="W68" i="8"/>
  <c r="X68" i="8"/>
  <c r="Y68" i="8"/>
  <c r="Z68" i="8"/>
  <c r="AA68" i="8"/>
  <c r="AB68" i="8"/>
  <c r="AC68" i="8"/>
  <c r="AD68" i="8"/>
  <c r="AE68" i="8"/>
  <c r="W69" i="8"/>
  <c r="X69" i="8"/>
  <c r="Y69" i="8"/>
  <c r="Z69" i="8"/>
  <c r="AA69" i="8"/>
  <c r="AB69" i="8"/>
  <c r="AC69" i="8"/>
  <c r="AD69" i="8"/>
  <c r="AE69" i="8"/>
  <c r="W70" i="8"/>
  <c r="X70" i="8"/>
  <c r="Y70" i="8"/>
  <c r="Z70" i="8"/>
  <c r="AA70" i="8"/>
  <c r="AB70" i="8"/>
  <c r="AC70" i="8"/>
  <c r="AD70" i="8"/>
  <c r="AE70" i="8"/>
  <c r="W71" i="8"/>
  <c r="X71" i="8"/>
  <c r="Y71" i="8"/>
  <c r="Z71" i="8"/>
  <c r="AA71" i="8"/>
  <c r="AB71" i="8"/>
  <c r="AC71" i="8"/>
  <c r="AD71" i="8"/>
  <c r="AE71" i="8"/>
  <c r="W72" i="8"/>
  <c r="X72" i="8"/>
  <c r="Y72" i="8"/>
  <c r="Z72" i="8"/>
  <c r="AA72" i="8"/>
  <c r="AB72" i="8"/>
  <c r="AC72" i="8"/>
  <c r="AD72" i="8"/>
  <c r="AE72" i="8"/>
  <c r="W73" i="8"/>
  <c r="X73" i="8"/>
  <c r="Y73" i="8"/>
  <c r="Z73" i="8"/>
  <c r="AA73" i="8"/>
  <c r="AB73" i="8"/>
  <c r="AC73" i="8"/>
  <c r="AD73" i="8"/>
  <c r="AE73" i="8"/>
  <c r="W74" i="8"/>
  <c r="X74" i="8"/>
  <c r="Y74" i="8"/>
  <c r="Z74" i="8"/>
  <c r="AA74" i="8"/>
  <c r="AB74" i="8"/>
  <c r="AC74" i="8"/>
  <c r="AD74" i="8"/>
  <c r="AE74" i="8"/>
  <c r="W75" i="8"/>
  <c r="X75" i="8"/>
  <c r="Y75" i="8"/>
  <c r="Z75" i="8"/>
  <c r="AA75" i="8"/>
  <c r="AB75" i="8"/>
  <c r="AC75" i="8"/>
  <c r="AD75" i="8"/>
  <c r="AE75" i="8"/>
  <c r="W76" i="8"/>
  <c r="X76" i="8"/>
  <c r="Y76" i="8"/>
  <c r="Z76" i="8"/>
  <c r="AA76" i="8"/>
  <c r="AB76" i="8"/>
  <c r="AC76" i="8"/>
  <c r="AD76" i="8"/>
  <c r="AE76" i="8"/>
  <c r="W77" i="8"/>
  <c r="X77" i="8"/>
  <c r="Y77" i="8"/>
  <c r="Z77" i="8"/>
  <c r="AA77" i="8"/>
  <c r="AB77" i="8"/>
  <c r="AC77" i="8"/>
  <c r="AD77" i="8"/>
  <c r="AE77" i="8"/>
  <c r="W78" i="8"/>
  <c r="X78" i="8"/>
  <c r="Y78" i="8"/>
  <c r="Z78" i="8"/>
  <c r="AA78" i="8"/>
  <c r="AB78" i="8"/>
  <c r="AC78" i="8"/>
  <c r="AD78" i="8"/>
  <c r="AE78" i="8"/>
  <c r="W79" i="8"/>
  <c r="X79" i="8"/>
  <c r="Y79" i="8"/>
  <c r="Z79" i="8"/>
  <c r="AA79" i="8"/>
  <c r="AB79" i="8"/>
  <c r="AC79" i="8"/>
  <c r="AD79" i="8"/>
  <c r="AE79" i="8"/>
  <c r="W80" i="8"/>
  <c r="X80" i="8"/>
  <c r="Y80" i="8"/>
  <c r="Z80" i="8"/>
  <c r="AA80" i="8"/>
  <c r="AB80" i="8"/>
  <c r="AC80" i="8"/>
  <c r="AD80" i="8"/>
  <c r="AE80" i="8"/>
  <c r="W81" i="8"/>
  <c r="X81" i="8"/>
  <c r="Y81" i="8"/>
  <c r="Z81" i="8"/>
  <c r="AA81" i="8"/>
  <c r="AB81" i="8"/>
  <c r="AC81" i="8"/>
  <c r="AD81" i="8"/>
  <c r="AE81" i="8"/>
  <c r="W82" i="8"/>
  <c r="X82" i="8"/>
  <c r="Y82" i="8"/>
  <c r="Z82" i="8"/>
  <c r="AA82" i="8"/>
  <c r="AB82" i="8"/>
  <c r="AC82" i="8"/>
  <c r="AD82" i="8"/>
  <c r="AE82" i="8"/>
  <c r="W83" i="8"/>
  <c r="X83" i="8"/>
  <c r="Y83" i="8"/>
  <c r="Z83" i="8"/>
  <c r="AA83" i="8"/>
  <c r="AB83" i="8"/>
  <c r="AC83" i="8"/>
  <c r="AD83" i="8"/>
  <c r="AE83" i="8"/>
  <c r="W84" i="8"/>
  <c r="X84" i="8"/>
  <c r="Y84" i="8"/>
  <c r="Z84" i="8"/>
  <c r="AA84" i="8"/>
  <c r="AB84" i="8"/>
  <c r="AC84" i="8"/>
  <c r="AD84" i="8"/>
  <c r="AE84" i="8"/>
  <c r="W85" i="8"/>
  <c r="X85" i="8"/>
  <c r="Y85" i="8"/>
  <c r="Z85" i="8"/>
  <c r="AA85" i="8"/>
  <c r="AB85" i="8"/>
  <c r="AC85" i="8"/>
  <c r="AD85" i="8"/>
  <c r="AE85" i="8"/>
  <c r="W86" i="8"/>
  <c r="X86" i="8"/>
  <c r="Y86" i="8"/>
  <c r="Z86" i="8"/>
  <c r="AA86" i="8"/>
  <c r="AB86" i="8"/>
  <c r="AC86" i="8"/>
  <c r="AD86" i="8"/>
  <c r="AE86" i="8"/>
  <c r="W87" i="8"/>
  <c r="X87" i="8"/>
  <c r="Y87" i="8"/>
  <c r="Z87" i="8"/>
  <c r="AA87" i="8"/>
  <c r="AB87" i="8"/>
  <c r="AC87" i="8"/>
  <c r="AD87" i="8"/>
  <c r="AE87" i="8"/>
  <c r="W88" i="8"/>
  <c r="X88" i="8"/>
  <c r="Y88" i="8"/>
  <c r="Z88" i="8"/>
  <c r="AA88" i="8"/>
  <c r="AB88" i="8"/>
  <c r="AC88" i="8"/>
  <c r="AD88" i="8"/>
  <c r="AE88" i="8"/>
  <c r="W89" i="8"/>
  <c r="X89" i="8"/>
  <c r="Y89" i="8"/>
  <c r="Z89" i="8"/>
  <c r="AA89" i="8"/>
  <c r="AB89" i="8"/>
  <c r="AC89" i="8"/>
  <c r="AD89" i="8"/>
  <c r="AE89" i="8"/>
  <c r="W90" i="8"/>
  <c r="X90" i="8"/>
  <c r="Y90" i="8"/>
  <c r="Z90" i="8"/>
  <c r="AA90" i="8"/>
  <c r="AB90" i="8"/>
  <c r="AC90" i="8"/>
  <c r="AD90" i="8"/>
  <c r="AE90" i="8"/>
  <c r="W91" i="8"/>
  <c r="X91" i="8"/>
  <c r="Y91" i="8"/>
  <c r="Z91" i="8"/>
  <c r="AA91" i="8"/>
  <c r="AB91" i="8"/>
  <c r="AC91" i="8"/>
  <c r="AD91" i="8"/>
  <c r="AE91" i="8"/>
  <c r="W92" i="8"/>
  <c r="X92" i="8"/>
  <c r="Y92" i="8"/>
  <c r="Z92" i="8"/>
  <c r="AA92" i="8"/>
  <c r="AB92" i="8"/>
  <c r="AC92" i="8"/>
  <c r="AD92" i="8"/>
  <c r="AE92" i="8"/>
  <c r="W93" i="8"/>
  <c r="X93" i="8"/>
  <c r="Y93" i="8"/>
  <c r="Z93" i="8"/>
  <c r="AA93" i="8"/>
  <c r="AB93" i="8"/>
  <c r="AC93" i="8"/>
  <c r="AD93" i="8"/>
  <c r="AE93" i="8"/>
  <c r="W94" i="8"/>
  <c r="X94" i="8"/>
  <c r="Y94" i="8"/>
  <c r="Z94" i="8"/>
  <c r="AA94" i="8"/>
  <c r="AB94" i="8"/>
  <c r="AC94" i="8"/>
  <c r="AD94" i="8"/>
  <c r="AE94" i="8"/>
  <c r="W95" i="8"/>
  <c r="X95" i="8"/>
  <c r="Y95" i="8"/>
  <c r="Z95" i="8"/>
  <c r="AA95" i="8"/>
  <c r="AB95" i="8"/>
  <c r="AC95" i="8"/>
  <c r="AD95" i="8"/>
  <c r="AE95" i="8"/>
  <c r="W96" i="8"/>
  <c r="X96" i="8"/>
  <c r="Y96" i="8"/>
  <c r="Z96" i="8"/>
  <c r="AA96" i="8"/>
  <c r="AB96" i="8"/>
  <c r="AC96" i="8"/>
  <c r="AD96" i="8"/>
  <c r="AE96" i="8"/>
  <c r="W97" i="8"/>
  <c r="X97" i="8"/>
  <c r="Y97" i="8"/>
  <c r="Z97" i="8"/>
  <c r="AA97" i="8"/>
  <c r="AB97" i="8"/>
  <c r="AC97" i="8"/>
  <c r="AD97" i="8"/>
  <c r="AE97" i="8"/>
  <c r="W98" i="8"/>
  <c r="X98" i="8"/>
  <c r="Y98" i="8"/>
  <c r="Z98" i="8"/>
  <c r="AA98" i="8"/>
  <c r="AB98" i="8"/>
  <c r="AC98" i="8"/>
  <c r="AD98" i="8"/>
  <c r="AE98" i="8"/>
  <c r="W99" i="8"/>
  <c r="X99" i="8"/>
  <c r="Y99" i="8"/>
  <c r="Z99" i="8"/>
  <c r="AA99" i="8"/>
  <c r="AB99" i="8"/>
  <c r="AC99" i="8"/>
  <c r="AD99" i="8"/>
  <c r="AE99" i="8"/>
  <c r="AC15" i="8"/>
  <c r="AB15" i="8"/>
  <c r="AA15" i="8"/>
  <c r="Z15" i="8"/>
  <c r="Y15" i="8"/>
  <c r="X15" i="8"/>
  <c r="W15" i="8"/>
  <c r="LQ15" i="10"/>
  <c r="LP15" i="10"/>
  <c r="LI16" i="10"/>
  <c r="LK16" i="10"/>
  <c r="LL16" i="10"/>
  <c r="LM16" i="10"/>
  <c r="LN16" i="10"/>
  <c r="LO16" i="10"/>
  <c r="LP16" i="10"/>
  <c r="LQ16" i="10"/>
  <c r="LI17" i="10"/>
  <c r="LK17" i="10"/>
  <c r="LL17" i="10"/>
  <c r="LM17" i="10"/>
  <c r="LN17" i="10"/>
  <c r="LO17" i="10"/>
  <c r="LP17" i="10"/>
  <c r="LQ17" i="10"/>
  <c r="LI18" i="10"/>
  <c r="LK18" i="10"/>
  <c r="LL18" i="10"/>
  <c r="LM18" i="10"/>
  <c r="LN18" i="10"/>
  <c r="LO18" i="10"/>
  <c r="LP18" i="10"/>
  <c r="LQ18" i="10"/>
  <c r="LI19" i="10"/>
  <c r="LK19" i="10"/>
  <c r="LL19" i="10"/>
  <c r="LM19" i="10"/>
  <c r="LN19" i="10"/>
  <c r="LO19" i="10"/>
  <c r="LP19" i="10"/>
  <c r="LQ19" i="10"/>
  <c r="LI20" i="10"/>
  <c r="LK20" i="10"/>
  <c r="LL20" i="10"/>
  <c r="LM20" i="10"/>
  <c r="LN20" i="10"/>
  <c r="LO20" i="10"/>
  <c r="LP20" i="10"/>
  <c r="LQ20" i="10"/>
  <c r="LI21" i="10"/>
  <c r="LK21" i="10"/>
  <c r="LL21" i="10"/>
  <c r="LM21" i="10"/>
  <c r="LN21" i="10"/>
  <c r="LO21" i="10"/>
  <c r="LP21" i="10"/>
  <c r="LQ21" i="10"/>
  <c r="LI22" i="10"/>
  <c r="LK22" i="10"/>
  <c r="LL22" i="10"/>
  <c r="LM22" i="10"/>
  <c r="LN22" i="10"/>
  <c r="LO22" i="10"/>
  <c r="LP22" i="10"/>
  <c r="LQ22" i="10"/>
  <c r="LI23" i="10"/>
  <c r="LK23" i="10"/>
  <c r="LL23" i="10"/>
  <c r="LM23" i="10"/>
  <c r="LN23" i="10"/>
  <c r="LO23" i="10"/>
  <c r="LP23" i="10"/>
  <c r="LQ23" i="10"/>
  <c r="LI24" i="10"/>
  <c r="LK24" i="10"/>
  <c r="LL24" i="10"/>
  <c r="LM24" i="10"/>
  <c r="LN24" i="10"/>
  <c r="LO24" i="10"/>
  <c r="LP24" i="10"/>
  <c r="LQ24" i="10"/>
  <c r="LI25" i="10"/>
  <c r="LK25" i="10"/>
  <c r="LL25" i="10"/>
  <c r="LM25" i="10"/>
  <c r="LN25" i="10"/>
  <c r="LO25" i="10"/>
  <c r="LP25" i="10"/>
  <c r="LQ25" i="10"/>
  <c r="LO15" i="10"/>
  <c r="LN15" i="10"/>
  <c r="LK15" i="10"/>
  <c r="CK28" i="14"/>
  <c r="CK29" i="14"/>
  <c r="CK30" i="14"/>
  <c r="CK31" i="14"/>
  <c r="CK32" i="14"/>
  <c r="CK33" i="14"/>
  <c r="CK34" i="14"/>
  <c r="CK35" i="14"/>
  <c r="CK36" i="14"/>
  <c r="CK37" i="14"/>
  <c r="CK38" i="14"/>
  <c r="CK39" i="14"/>
  <c r="CK40" i="14"/>
  <c r="CK41" i="14"/>
  <c r="CK42" i="14"/>
  <c r="CK43" i="14"/>
  <c r="CK44" i="14"/>
  <c r="CK45" i="14"/>
  <c r="CK46" i="14"/>
  <c r="CK47" i="14"/>
  <c r="CK48" i="14"/>
  <c r="CK49" i="14"/>
  <c r="CK50" i="14"/>
  <c r="CK51" i="14"/>
  <c r="CK52" i="14"/>
  <c r="CK53" i="14"/>
  <c r="CK54" i="14"/>
  <c r="CK55" i="14"/>
  <c r="CK56" i="14"/>
  <c r="CK57" i="14"/>
  <c r="CK58" i="14"/>
  <c r="CK59" i="14"/>
  <c r="CK60" i="14"/>
  <c r="CK61" i="14"/>
  <c r="CK62" i="14"/>
  <c r="CK63" i="14"/>
  <c r="CK64" i="14"/>
  <c r="CK65" i="14"/>
  <c r="CK66" i="14"/>
  <c r="CK67" i="14"/>
  <c r="CK68" i="14"/>
  <c r="CK69" i="14"/>
  <c r="CK70" i="14"/>
  <c r="CK71" i="14"/>
  <c r="CK72" i="14"/>
  <c r="CK73" i="14"/>
  <c r="CK74" i="14"/>
  <c r="CK75" i="14"/>
  <c r="CK76" i="14"/>
  <c r="CK77" i="14"/>
  <c r="CK78" i="14"/>
  <c r="CK79" i="14"/>
  <c r="CK80" i="14"/>
  <c r="CK81" i="14"/>
  <c r="CK82" i="14"/>
  <c r="IS16" i="10"/>
  <c r="JI16" i="10" s="1"/>
  <c r="IT16" i="10"/>
  <c r="IU16" i="10"/>
  <c r="IV16" i="10"/>
  <c r="JL16" i="10" s="1"/>
  <c r="IW16" i="10"/>
  <c r="IX16" i="10"/>
  <c r="IY16" i="10"/>
  <c r="IZ16" i="10"/>
  <c r="JP16" i="10" s="1"/>
  <c r="JA16" i="10"/>
  <c r="IS17" i="10"/>
  <c r="IT17" i="10"/>
  <c r="IU17" i="10"/>
  <c r="JK17" i="10" s="1"/>
  <c r="IV17" i="10"/>
  <c r="IW17" i="10"/>
  <c r="IX17" i="10"/>
  <c r="IY17" i="10"/>
  <c r="IZ17" i="10"/>
  <c r="JP17" i="10" s="1"/>
  <c r="JA17" i="10"/>
  <c r="IS18" i="10"/>
  <c r="IT18" i="10"/>
  <c r="JJ18" i="10" s="1"/>
  <c r="IU18" i="10"/>
  <c r="IV18" i="10"/>
  <c r="IW18" i="10"/>
  <c r="IX18" i="10"/>
  <c r="JN18" i="10" s="1"/>
  <c r="IY18" i="10"/>
  <c r="JO18" i="10" s="1"/>
  <c r="IZ18" i="10"/>
  <c r="JA18" i="10"/>
  <c r="IS19" i="10"/>
  <c r="JI19" i="10" s="1"/>
  <c r="IT19" i="10"/>
  <c r="IU19" i="10"/>
  <c r="IV19" i="10"/>
  <c r="IW19" i="10"/>
  <c r="IX19" i="10"/>
  <c r="JN19" i="10" s="1"/>
  <c r="IY19" i="10"/>
  <c r="IZ19" i="10"/>
  <c r="JA19" i="10"/>
  <c r="IS20" i="10"/>
  <c r="IT20" i="10"/>
  <c r="IU20" i="10"/>
  <c r="IV20" i="10"/>
  <c r="JL20" i="10" s="1"/>
  <c r="IW20" i="10"/>
  <c r="JM20" i="10" s="1"/>
  <c r="IX20" i="10"/>
  <c r="IY20" i="10"/>
  <c r="IZ20" i="10"/>
  <c r="JP20" i="10" s="1"/>
  <c r="JA20" i="10"/>
  <c r="IS21" i="10"/>
  <c r="IT21" i="10"/>
  <c r="IU21" i="10"/>
  <c r="JK21" i="10" s="1"/>
  <c r="IV21" i="10"/>
  <c r="JL21" i="10" s="1"/>
  <c r="IW21" i="10"/>
  <c r="IX21" i="10"/>
  <c r="IY21" i="10"/>
  <c r="JO21" i="10" s="1"/>
  <c r="IZ21" i="10"/>
  <c r="JA21" i="10"/>
  <c r="IS22" i="10"/>
  <c r="IT22" i="10"/>
  <c r="JJ22" i="10" s="1"/>
  <c r="IU22" i="10"/>
  <c r="JK22" i="10" s="1"/>
  <c r="IV22" i="10"/>
  <c r="IW22" i="10"/>
  <c r="IX22" i="10"/>
  <c r="JN22" i="10" s="1"/>
  <c r="IY22" i="10"/>
  <c r="IZ22" i="10"/>
  <c r="JA22" i="10"/>
  <c r="IS23" i="10"/>
  <c r="IT23" i="10"/>
  <c r="JJ23" i="10" s="1"/>
  <c r="IU23" i="10"/>
  <c r="IV23" i="10"/>
  <c r="IW23" i="10"/>
  <c r="JM23" i="10" s="1"/>
  <c r="IX23" i="10"/>
  <c r="IY23" i="10"/>
  <c r="IZ23" i="10"/>
  <c r="JA23" i="10"/>
  <c r="IS24" i="10"/>
  <c r="JI24" i="10" s="1"/>
  <c r="IT24" i="10"/>
  <c r="IU24" i="10"/>
  <c r="IV24" i="10"/>
  <c r="JL24" i="10" s="1"/>
  <c r="IW24" i="10"/>
  <c r="IX24" i="10"/>
  <c r="IY24" i="10"/>
  <c r="IZ24" i="10"/>
  <c r="JA24" i="10"/>
  <c r="IS25" i="10"/>
  <c r="IT25" i="10"/>
  <c r="IU25" i="10"/>
  <c r="JK25" i="10" s="1"/>
  <c r="IV25" i="10"/>
  <c r="JL25" i="10" s="1"/>
  <c r="IW25" i="10"/>
  <c r="IX25" i="10"/>
  <c r="IY25" i="10"/>
  <c r="JO25" i="10" s="1"/>
  <c r="IZ25" i="10"/>
  <c r="JA25" i="10"/>
  <c r="JA15" i="10"/>
  <c r="IZ15" i="10"/>
  <c r="JP15" i="10" s="1"/>
  <c r="IY15" i="10"/>
  <c r="IX15" i="10"/>
  <c r="JN15" i="10" s="1"/>
  <c r="IW15" i="10"/>
  <c r="IV15" i="10"/>
  <c r="JL15" i="10" s="1"/>
  <c r="IU15" i="10"/>
  <c r="JK15" i="10" s="1"/>
  <c r="IT15" i="10"/>
  <c r="IS15" i="10"/>
  <c r="IC16" i="10"/>
  <c r="ID16" i="10"/>
  <c r="IE16" i="10"/>
  <c r="IF16" i="10"/>
  <c r="IG16" i="10"/>
  <c r="IH16" i="10"/>
  <c r="II16" i="10"/>
  <c r="IJ16" i="10"/>
  <c r="IK16" i="10"/>
  <c r="IC17" i="10"/>
  <c r="ID17" i="10"/>
  <c r="IE17" i="10"/>
  <c r="IF17" i="10"/>
  <c r="IG17" i="10"/>
  <c r="IH17" i="10"/>
  <c r="II17" i="10"/>
  <c r="IJ17" i="10"/>
  <c r="IK17" i="10"/>
  <c r="IC18" i="10"/>
  <c r="ID18" i="10"/>
  <c r="IE18" i="10"/>
  <c r="IF18" i="10"/>
  <c r="IG18" i="10"/>
  <c r="IH18" i="10"/>
  <c r="II18" i="10"/>
  <c r="IJ18" i="10"/>
  <c r="IK18" i="10"/>
  <c r="IC19" i="10"/>
  <c r="ID19" i="10"/>
  <c r="IE19" i="10"/>
  <c r="IF19" i="10"/>
  <c r="IG19" i="10"/>
  <c r="IH19" i="10"/>
  <c r="II19" i="10"/>
  <c r="IJ19" i="10"/>
  <c r="IK19" i="10"/>
  <c r="IC20" i="10"/>
  <c r="ID20" i="10"/>
  <c r="IE20" i="10"/>
  <c r="IF20" i="10"/>
  <c r="IG20" i="10"/>
  <c r="IH20" i="10"/>
  <c r="II20" i="10"/>
  <c r="IJ20" i="10"/>
  <c r="IK20" i="10"/>
  <c r="IC21" i="10"/>
  <c r="ID21" i="10"/>
  <c r="IE21" i="10"/>
  <c r="IF21" i="10"/>
  <c r="IG21" i="10"/>
  <c r="IH21" i="10"/>
  <c r="II21" i="10"/>
  <c r="IJ21" i="10"/>
  <c r="IK21" i="10"/>
  <c r="IC22" i="10"/>
  <c r="ID22" i="10"/>
  <c r="IE22" i="10"/>
  <c r="IF22" i="10"/>
  <c r="IG22" i="10"/>
  <c r="IH22" i="10"/>
  <c r="II22" i="10"/>
  <c r="IJ22" i="10"/>
  <c r="IK22" i="10"/>
  <c r="IC23" i="10"/>
  <c r="ID23" i="10"/>
  <c r="IE23" i="10"/>
  <c r="IF23" i="10"/>
  <c r="IG23" i="10"/>
  <c r="IH23" i="10"/>
  <c r="II23" i="10"/>
  <c r="IJ23" i="10"/>
  <c r="IK23" i="10"/>
  <c r="IC24" i="10"/>
  <c r="ID24" i="10"/>
  <c r="IE24" i="10"/>
  <c r="IF24" i="10"/>
  <c r="IG24" i="10"/>
  <c r="IH24" i="10"/>
  <c r="II24" i="10"/>
  <c r="IJ24" i="10"/>
  <c r="IK24" i="10"/>
  <c r="IC25" i="10"/>
  <c r="ID25" i="10"/>
  <c r="IE25" i="10"/>
  <c r="IF25" i="10"/>
  <c r="IG25" i="10"/>
  <c r="IH25" i="10"/>
  <c r="II25" i="10"/>
  <c r="IJ25" i="10"/>
  <c r="IK25" i="10"/>
  <c r="IK15" i="10"/>
  <c r="IJ15" i="10"/>
  <c r="II15" i="10"/>
  <c r="IH15" i="10"/>
  <c r="IG15" i="10"/>
  <c r="IF15" i="10"/>
  <c r="IE15" i="10"/>
  <c r="ID15" i="10"/>
  <c r="IC15" i="10"/>
  <c r="IL15" i="10"/>
  <c r="DK17" i="12" l="1"/>
  <c r="DQ27" i="12"/>
  <c r="EG27" i="12" s="1"/>
  <c r="DJ26" i="12"/>
  <c r="EP26" i="12" s="1"/>
  <c r="FF26" i="12" s="1"/>
  <c r="DK25" i="12"/>
  <c r="DM23" i="12"/>
  <c r="DN22" i="12"/>
  <c r="DP20" i="12"/>
  <c r="DQ19" i="12"/>
  <c r="DR22" i="12"/>
  <c r="ER27" i="12"/>
  <c r="EB27" i="12"/>
  <c r="FH27" i="12"/>
  <c r="EH25" i="12"/>
  <c r="EX25" i="12"/>
  <c r="EE24" i="12"/>
  <c r="EU24" i="12"/>
  <c r="FK24" i="12" s="1"/>
  <c r="EB23" i="12"/>
  <c r="ER23" i="12"/>
  <c r="FH23" i="12" s="1"/>
  <c r="EX21" i="12"/>
  <c r="FN21" i="12" s="1"/>
  <c r="EH21" i="12"/>
  <c r="EE20" i="12"/>
  <c r="FK20" i="12"/>
  <c r="EU20" i="12"/>
  <c r="Y19" i="11"/>
  <c r="DL19" i="12"/>
  <c r="EW17" i="12"/>
  <c r="GC17" i="12" s="1"/>
  <c r="EG17" i="12"/>
  <c r="ED16" i="12"/>
  <c r="ET16" i="12"/>
  <c r="FZ16" i="12" s="1"/>
  <c r="EA27" i="12"/>
  <c r="EQ27" i="12"/>
  <c r="FW27" i="12" s="1"/>
  <c r="EW25" i="12"/>
  <c r="FM25" i="12" s="1"/>
  <c r="EG25" i="12"/>
  <c r="ED24" i="12"/>
  <c r="ET24" i="12"/>
  <c r="EA23" i="12"/>
  <c r="EQ23" i="12"/>
  <c r="FW23" i="12" s="1"/>
  <c r="EW21" i="12"/>
  <c r="FM21" i="12" s="1"/>
  <c r="EG21" i="12"/>
  <c r="ED20" i="12"/>
  <c r="ET20" i="12"/>
  <c r="EA19" i="12"/>
  <c r="EQ19" i="12"/>
  <c r="FG19" i="12" s="1"/>
  <c r="EV17" i="12"/>
  <c r="EF17" i="12"/>
  <c r="EC16" i="12"/>
  <c r="ES16" i="12"/>
  <c r="DZ27" i="12"/>
  <c r="EP27" i="12"/>
  <c r="FF27" i="12" s="1"/>
  <c r="EV25" i="12"/>
  <c r="GB25" i="12" s="1"/>
  <c r="EF25" i="12"/>
  <c r="EC24" i="12"/>
  <c r="ES24" i="12"/>
  <c r="DZ23" i="12"/>
  <c r="EP23" i="12"/>
  <c r="FF23" i="12" s="1"/>
  <c r="EF21" i="12"/>
  <c r="EV21" i="12"/>
  <c r="FL21" i="12"/>
  <c r="ES20" i="12"/>
  <c r="EC20" i="12"/>
  <c r="DZ19" i="12"/>
  <c r="EP19" i="12"/>
  <c r="FF19" i="12" s="1"/>
  <c r="DO17" i="12"/>
  <c r="DL16" i="12"/>
  <c r="EW26" i="12"/>
  <c r="GC26" i="12" s="1"/>
  <c r="EG26" i="12"/>
  <c r="ET25" i="12"/>
  <c r="FZ25" i="12" s="1"/>
  <c r="ED25" i="12"/>
  <c r="EQ24" i="12"/>
  <c r="FG24" i="12" s="1"/>
  <c r="EA24" i="12"/>
  <c r="EW22" i="12"/>
  <c r="FM22" i="12" s="1"/>
  <c r="EG22" i="12"/>
  <c r="ED21" i="12"/>
  <c r="ET21" i="12"/>
  <c r="EQ20" i="12"/>
  <c r="FG20" i="12" s="1"/>
  <c r="EA20" i="12"/>
  <c r="EG18" i="12"/>
  <c r="EW18" i="12"/>
  <c r="DM17" i="12"/>
  <c r="DJ16" i="12"/>
  <c r="DO21" i="12"/>
  <c r="DP26" i="12"/>
  <c r="DM25" i="12"/>
  <c r="DJ24" i="12"/>
  <c r="DP22" i="12"/>
  <c r="DM21" i="12"/>
  <c r="DJ20" i="12"/>
  <c r="DP18" i="12"/>
  <c r="EB17" i="12"/>
  <c r="ER17" i="12"/>
  <c r="FX17" i="12" s="1"/>
  <c r="ET18" i="12"/>
  <c r="FJ18" i="12" s="1"/>
  <c r="ED18" i="12"/>
  <c r="ED17" i="12"/>
  <c r="FJ17" i="12"/>
  <c r="ET17" i="12"/>
  <c r="EH27" i="12"/>
  <c r="EX27" i="12"/>
  <c r="GD27" i="12" s="1"/>
  <c r="EU26" i="12"/>
  <c r="EE26" i="12"/>
  <c r="FK26" i="12"/>
  <c r="EB25" i="12"/>
  <c r="ER25" i="12"/>
  <c r="EX23" i="12"/>
  <c r="FN23" i="12"/>
  <c r="EH23" i="12"/>
  <c r="EE22" i="12"/>
  <c r="EU22" i="12"/>
  <c r="GA22" i="12" s="1"/>
  <c r="ER21" i="12"/>
  <c r="FH21" i="12" s="1"/>
  <c r="EB21" i="12"/>
  <c r="EX19" i="12"/>
  <c r="FN19" i="12" s="1"/>
  <c r="EH19" i="12"/>
  <c r="EU18" i="12"/>
  <c r="FK18" i="12" s="1"/>
  <c r="EE18" i="12"/>
  <c r="EA17" i="12"/>
  <c r="EQ17" i="12"/>
  <c r="DR18" i="12"/>
  <c r="EW27" i="12"/>
  <c r="FM27" i="12" s="1"/>
  <c r="ED26" i="12"/>
  <c r="ET26" i="12"/>
  <c r="FG25" i="12"/>
  <c r="EA25" i="12"/>
  <c r="EQ25" i="12"/>
  <c r="EW23" i="12"/>
  <c r="GC23" i="12" s="1"/>
  <c r="EG23" i="12"/>
  <c r="ED22" i="12"/>
  <c r="ET22" i="12"/>
  <c r="EA21" i="12"/>
  <c r="EQ21" i="12"/>
  <c r="EG19" i="12"/>
  <c r="EW19" i="12"/>
  <c r="AP18" i="11"/>
  <c r="DM18" i="12"/>
  <c r="EP17" i="12"/>
  <c r="FF17" i="12" s="1"/>
  <c r="DZ17" i="12"/>
  <c r="DR26" i="12"/>
  <c r="EQ16" i="12"/>
  <c r="FG16" i="12" s="1"/>
  <c r="EA16" i="12"/>
  <c r="EF27" i="12"/>
  <c r="EV27" i="12"/>
  <c r="Z26" i="11"/>
  <c r="DM26" i="12"/>
  <c r="DZ25" i="12"/>
  <c r="EP25" i="12"/>
  <c r="FF25" i="12" s="1"/>
  <c r="EV23" i="12"/>
  <c r="FL23" i="12" s="1"/>
  <c r="EF23" i="12"/>
  <c r="EC22" i="12"/>
  <c r="ES22" i="12"/>
  <c r="DZ21" i="12"/>
  <c r="FF21" i="12"/>
  <c r="EP21" i="12"/>
  <c r="EV19" i="12"/>
  <c r="GB19" i="12" s="1"/>
  <c r="EF19" i="12"/>
  <c r="EB18" i="12"/>
  <c r="ER18" i="12"/>
  <c r="FH18" i="12" s="1"/>
  <c r="FN16" i="12"/>
  <c r="EH16" i="12"/>
  <c r="EX16" i="12"/>
  <c r="DL20" i="12"/>
  <c r="EE27" i="12"/>
  <c r="EU27" i="12"/>
  <c r="EB26" i="12"/>
  <c r="ER26" i="12"/>
  <c r="FN24" i="12"/>
  <c r="EH24" i="12"/>
  <c r="EX24" i="12"/>
  <c r="EU23" i="12"/>
  <c r="FK23" i="12" s="1"/>
  <c r="EE23" i="12"/>
  <c r="ER22" i="12"/>
  <c r="FH22" i="12" s="1"/>
  <c r="EB22" i="12"/>
  <c r="EX20" i="12"/>
  <c r="FN20" i="12" s="1"/>
  <c r="EH20" i="12"/>
  <c r="EU19" i="12"/>
  <c r="GA19" i="12" s="1"/>
  <c r="EE19" i="12"/>
  <c r="EQ18" i="12"/>
  <c r="EA18" i="12"/>
  <c r="EW16" i="12"/>
  <c r="FM16" i="12" s="1"/>
  <c r="EG16" i="12"/>
  <c r="DL24" i="12"/>
  <c r="ED27" i="12"/>
  <c r="ET27" i="12"/>
  <c r="FG26" i="12"/>
  <c r="EA26" i="12"/>
  <c r="EQ26" i="12"/>
  <c r="FW26" i="12" s="1"/>
  <c r="EG24" i="12"/>
  <c r="EW24" i="12"/>
  <c r="GC24" i="12" s="1"/>
  <c r="FJ23" i="12"/>
  <c r="ED23" i="12"/>
  <c r="ET23" i="12"/>
  <c r="FZ23" i="12" s="1"/>
  <c r="EQ22" i="12"/>
  <c r="FG22" i="12"/>
  <c r="EA22" i="12"/>
  <c r="EG20" i="12"/>
  <c r="EW20" i="12"/>
  <c r="FJ19" i="12"/>
  <c r="ET19" i="12"/>
  <c r="ED19" i="12"/>
  <c r="DJ18" i="12"/>
  <c r="DP16" i="12"/>
  <c r="DO25" i="12"/>
  <c r="EC27" i="12"/>
  <c r="ES27" i="12"/>
  <c r="FY27" i="12" s="1"/>
  <c r="DZ26" i="12"/>
  <c r="EF24" i="12"/>
  <c r="EV24" i="12"/>
  <c r="FL24" i="12" s="1"/>
  <c r="EC23" i="12"/>
  <c r="ES23" i="12"/>
  <c r="EP22" i="12"/>
  <c r="FF22" i="12"/>
  <c r="DZ22" i="12"/>
  <c r="EF20" i="12"/>
  <c r="EV20" i="12"/>
  <c r="ES19" i="12"/>
  <c r="EC19" i="12"/>
  <c r="FN17" i="12"/>
  <c r="EX17" i="12"/>
  <c r="EH17" i="12"/>
  <c r="EU16" i="12"/>
  <c r="FK16" i="12" s="1"/>
  <c r="EE16" i="12"/>
  <c r="N25" i="12"/>
  <c r="J25" i="12"/>
  <c r="H25" i="12"/>
  <c r="M25" i="12"/>
  <c r="I25" i="12"/>
  <c r="L25" i="12"/>
  <c r="G25" i="12"/>
  <c r="O25" i="12"/>
  <c r="K25" i="12"/>
  <c r="CI26" i="9"/>
  <c r="CI18" i="9"/>
  <c r="CL18" i="9" s="1"/>
  <c r="CM18" i="9" s="1"/>
  <c r="CI22" i="9"/>
  <c r="CI27" i="9"/>
  <c r="CL27" i="9" s="1"/>
  <c r="CM27" i="9" s="1"/>
  <c r="CI23" i="9"/>
  <c r="CI19" i="9"/>
  <c r="CL19" i="9" s="1"/>
  <c r="CM19" i="9" s="1"/>
  <c r="CI15" i="9"/>
  <c r="CL15" i="9" s="1"/>
  <c r="CM15" i="9" s="1"/>
  <c r="DL15" i="12"/>
  <c r="EB15" i="12" s="1"/>
  <c r="CI25" i="9"/>
  <c r="CI21" i="9"/>
  <c r="CI17" i="9"/>
  <c r="CL17" i="9" s="1"/>
  <c r="CM17" i="9" s="1"/>
  <c r="CI24" i="9"/>
  <c r="CI20" i="9"/>
  <c r="CI16" i="9"/>
  <c r="CL16" i="9" s="1"/>
  <c r="CM16" i="9" s="1"/>
  <c r="CI25" i="8"/>
  <c r="CI21" i="8"/>
  <c r="CI17" i="8"/>
  <c r="CI24" i="8"/>
  <c r="CI16" i="8"/>
  <c r="CI23" i="8"/>
  <c r="CI18" i="8"/>
  <c r="CI26" i="8"/>
  <c r="CI22" i="8"/>
  <c r="CI20" i="8"/>
  <c r="CI27" i="8"/>
  <c r="CI19" i="8"/>
  <c r="LY15" i="10"/>
  <c r="KD25" i="11"/>
  <c r="KB19" i="11"/>
  <c r="BS18" i="9"/>
  <c r="CL99" i="9"/>
  <c r="CM99" i="9" s="1"/>
  <c r="CL95" i="9"/>
  <c r="CM95" i="9" s="1"/>
  <c r="BS15" i="9"/>
  <c r="MG15" i="11"/>
  <c r="MA15" i="11"/>
  <c r="JL15" i="11"/>
  <c r="KB15" i="11"/>
  <c r="KA15" i="11"/>
  <c r="JK15" i="11"/>
  <c r="JZ15" i="11"/>
  <c r="JJ15" i="11"/>
  <c r="KD15" i="11"/>
  <c r="JP27" i="11"/>
  <c r="KF27" i="11"/>
  <c r="KB27" i="11"/>
  <c r="JL27" i="11"/>
  <c r="JQ26" i="11"/>
  <c r="KG26" i="11"/>
  <c r="KC26" i="11"/>
  <c r="JM26" i="11"/>
  <c r="JJ25" i="11"/>
  <c r="JZ25" i="11"/>
  <c r="KE24" i="11"/>
  <c r="JO24" i="11"/>
  <c r="JK24" i="11"/>
  <c r="KA24" i="11"/>
  <c r="JP23" i="11"/>
  <c r="KF23" i="11"/>
  <c r="JL23" i="11"/>
  <c r="KB23" i="11"/>
  <c r="KG22" i="11"/>
  <c r="JQ22" i="11"/>
  <c r="JM22" i="11"/>
  <c r="KC22" i="11"/>
  <c r="JN21" i="11"/>
  <c r="KD21" i="11"/>
  <c r="JZ21" i="11"/>
  <c r="JJ21" i="11"/>
  <c r="JO20" i="11"/>
  <c r="KE20" i="11"/>
  <c r="JK20" i="11"/>
  <c r="KA20" i="11"/>
  <c r="JP19" i="11"/>
  <c r="KF19" i="11"/>
  <c r="JQ18" i="11"/>
  <c r="KG18" i="11"/>
  <c r="JM18" i="11"/>
  <c r="KC18" i="11"/>
  <c r="JN17" i="11"/>
  <c r="KD17" i="11"/>
  <c r="JJ17" i="11"/>
  <c r="JZ17" i="11"/>
  <c r="JO16" i="11"/>
  <c r="KE16" i="11"/>
  <c r="JK16" i="11"/>
  <c r="KA16" i="11"/>
  <c r="JO15" i="11"/>
  <c r="KE15" i="11"/>
  <c r="JO27" i="11"/>
  <c r="KE27" i="11"/>
  <c r="JK27" i="11"/>
  <c r="KA27" i="11"/>
  <c r="JP26" i="11"/>
  <c r="KF26" i="11"/>
  <c r="JL26" i="11"/>
  <c r="KB26" i="11"/>
  <c r="JQ25" i="11"/>
  <c r="KG25" i="11"/>
  <c r="JM25" i="11"/>
  <c r="KC25" i="11"/>
  <c r="JN24" i="11"/>
  <c r="KD24" i="11"/>
  <c r="JJ24" i="11"/>
  <c r="JZ24" i="11"/>
  <c r="JO23" i="11"/>
  <c r="KE23" i="11"/>
  <c r="JK23" i="11"/>
  <c r="KA23" i="11"/>
  <c r="JP22" i="11"/>
  <c r="KF22" i="11"/>
  <c r="JL22" i="11"/>
  <c r="KB22" i="11"/>
  <c r="JQ21" i="11"/>
  <c r="KG21" i="11"/>
  <c r="JM21" i="11"/>
  <c r="KC21" i="11"/>
  <c r="JN20" i="11"/>
  <c r="KD20" i="11"/>
  <c r="JJ20" i="11"/>
  <c r="JZ20" i="11"/>
  <c r="JO19" i="11"/>
  <c r="KE19" i="11"/>
  <c r="JK19" i="11"/>
  <c r="KA19" i="11"/>
  <c r="JP18" i="11"/>
  <c r="KF18" i="11"/>
  <c r="JL18" i="11"/>
  <c r="KB18" i="11"/>
  <c r="JQ17" i="11"/>
  <c r="KG17" i="11"/>
  <c r="JM17" i="11"/>
  <c r="KC17" i="11"/>
  <c r="JN16" i="11"/>
  <c r="KD16" i="11"/>
  <c r="JJ16" i="11"/>
  <c r="JZ16" i="11"/>
  <c r="JP15" i="11"/>
  <c r="JN27" i="11"/>
  <c r="KD27" i="11"/>
  <c r="JJ27" i="11"/>
  <c r="JZ27" i="11"/>
  <c r="JO26" i="11"/>
  <c r="KE26" i="11"/>
  <c r="JK26" i="11"/>
  <c r="KA26" i="11"/>
  <c r="JP25" i="11"/>
  <c r="KF25" i="11"/>
  <c r="JL25" i="11"/>
  <c r="KB25" i="11"/>
  <c r="JQ24" i="11"/>
  <c r="KG24" i="11"/>
  <c r="JM24" i="11"/>
  <c r="KC24" i="11"/>
  <c r="JN23" i="11"/>
  <c r="KD23" i="11"/>
  <c r="JJ23" i="11"/>
  <c r="JZ23" i="11"/>
  <c r="JO22" i="11"/>
  <c r="KE22" i="11"/>
  <c r="JK22" i="11"/>
  <c r="KA22" i="11"/>
  <c r="JP21" i="11"/>
  <c r="KF21" i="11"/>
  <c r="JL21" i="11"/>
  <c r="KB21" i="11"/>
  <c r="JQ20" i="11"/>
  <c r="KG20" i="11"/>
  <c r="JM20" i="11"/>
  <c r="KC20" i="11"/>
  <c r="JN19" i="11"/>
  <c r="KD19" i="11"/>
  <c r="JJ19" i="11"/>
  <c r="JZ19" i="11"/>
  <c r="JO18" i="11"/>
  <c r="KE18" i="11"/>
  <c r="JK18" i="11"/>
  <c r="KA18" i="11"/>
  <c r="JP17" i="11"/>
  <c r="KF17" i="11"/>
  <c r="JL17" i="11"/>
  <c r="KB17" i="11"/>
  <c r="JQ16" i="11"/>
  <c r="KG16" i="11"/>
  <c r="JM16" i="11"/>
  <c r="KC16" i="11"/>
  <c r="JI16" i="11"/>
  <c r="JY16" i="11"/>
  <c r="JN25" i="11"/>
  <c r="KC15" i="11"/>
  <c r="JQ15" i="11"/>
  <c r="JQ27" i="11"/>
  <c r="KG27" i="11"/>
  <c r="JM27" i="11"/>
  <c r="KC27" i="11"/>
  <c r="JN26" i="11"/>
  <c r="KD26" i="11"/>
  <c r="JJ26" i="11"/>
  <c r="JZ26" i="11"/>
  <c r="JO25" i="11"/>
  <c r="KE25" i="11"/>
  <c r="JK25" i="11"/>
  <c r="KA25" i="11"/>
  <c r="JP24" i="11"/>
  <c r="KF24" i="11"/>
  <c r="JL24" i="11"/>
  <c r="KB24" i="11"/>
  <c r="JQ23" i="11"/>
  <c r="KG23" i="11"/>
  <c r="JM23" i="11"/>
  <c r="KC23" i="11"/>
  <c r="JN22" i="11"/>
  <c r="KD22" i="11"/>
  <c r="JJ22" i="11"/>
  <c r="JZ22" i="11"/>
  <c r="JO21" i="11"/>
  <c r="KE21" i="11"/>
  <c r="JK21" i="11"/>
  <c r="KA21" i="11"/>
  <c r="JP20" i="11"/>
  <c r="KF20" i="11"/>
  <c r="JL20" i="11"/>
  <c r="KB20" i="11"/>
  <c r="JQ19" i="11"/>
  <c r="KG19" i="11"/>
  <c r="JM19" i="11"/>
  <c r="KC19" i="11"/>
  <c r="JN18" i="11"/>
  <c r="KD18" i="11"/>
  <c r="JJ18" i="11"/>
  <c r="JZ18" i="11"/>
  <c r="JO17" i="11"/>
  <c r="KE17" i="11"/>
  <c r="JK17" i="11"/>
  <c r="KA17" i="11"/>
  <c r="JP16" i="11"/>
  <c r="KF16" i="11"/>
  <c r="JL16" i="11"/>
  <c r="KB16" i="11"/>
  <c r="JL19" i="11"/>
  <c r="JY25" i="11"/>
  <c r="JY21" i="11"/>
  <c r="JY17" i="11"/>
  <c r="JY24" i="11"/>
  <c r="JY20" i="11"/>
  <c r="JY27" i="11"/>
  <c r="JY23" i="11"/>
  <c r="JY19" i="11"/>
  <c r="JY26" i="11"/>
  <c r="JY22" i="11"/>
  <c r="JY18" i="11"/>
  <c r="CL100" i="9"/>
  <c r="CM100" i="9" s="1"/>
  <c r="CL96" i="9"/>
  <c r="CM96" i="9" s="1"/>
  <c r="CL92" i="9"/>
  <c r="CM92" i="9" s="1"/>
  <c r="CL88" i="9"/>
  <c r="CM88" i="9" s="1"/>
  <c r="CL84" i="9"/>
  <c r="CM84" i="9" s="1"/>
  <c r="CL80" i="9"/>
  <c r="CM80" i="9" s="1"/>
  <c r="CL76" i="9"/>
  <c r="CM76" i="9" s="1"/>
  <c r="CL72" i="9"/>
  <c r="CM72" i="9" s="1"/>
  <c r="CL68" i="9"/>
  <c r="CM68" i="9" s="1"/>
  <c r="CL64" i="9"/>
  <c r="CM64" i="9" s="1"/>
  <c r="CL60" i="9"/>
  <c r="CM60" i="9" s="1"/>
  <c r="CL56" i="9"/>
  <c r="CM56" i="9" s="1"/>
  <c r="CL52" i="9"/>
  <c r="CM52" i="9" s="1"/>
  <c r="CL48" i="9"/>
  <c r="CM48" i="9" s="1"/>
  <c r="CL44" i="9"/>
  <c r="CM44" i="9" s="1"/>
  <c r="CL40" i="9"/>
  <c r="CM40" i="9" s="1"/>
  <c r="CL36" i="9"/>
  <c r="CM36" i="9" s="1"/>
  <c r="CL32" i="9"/>
  <c r="CM32" i="9" s="1"/>
  <c r="CL28" i="9"/>
  <c r="CM28" i="9" s="1"/>
  <c r="CL24" i="9"/>
  <c r="CM24" i="9" s="1"/>
  <c r="CL20" i="9"/>
  <c r="CM20" i="9" s="1"/>
  <c r="CL91" i="9"/>
  <c r="CM91" i="9" s="1"/>
  <c r="CL87" i="9"/>
  <c r="CM87" i="9" s="1"/>
  <c r="CL83" i="9"/>
  <c r="CM83" i="9" s="1"/>
  <c r="CL79" i="9"/>
  <c r="CM79" i="9" s="1"/>
  <c r="CL75" i="9"/>
  <c r="CM75" i="9" s="1"/>
  <c r="CL71" i="9"/>
  <c r="CM71" i="9" s="1"/>
  <c r="CL67" i="9"/>
  <c r="CM67" i="9" s="1"/>
  <c r="CL63" i="9"/>
  <c r="CM63" i="9" s="1"/>
  <c r="CL59" i="9"/>
  <c r="CM59" i="9" s="1"/>
  <c r="CL55" i="9"/>
  <c r="CM55" i="9" s="1"/>
  <c r="CL51" i="9"/>
  <c r="CM51" i="9" s="1"/>
  <c r="CL47" i="9"/>
  <c r="CM47" i="9" s="1"/>
  <c r="CL43" i="9"/>
  <c r="CM43" i="9" s="1"/>
  <c r="CL39" i="9"/>
  <c r="CM39" i="9" s="1"/>
  <c r="CL35" i="9"/>
  <c r="CM35" i="9" s="1"/>
  <c r="CL31" i="9"/>
  <c r="CM31" i="9" s="1"/>
  <c r="CL23" i="9"/>
  <c r="CM23" i="9" s="1"/>
  <c r="CL97" i="9"/>
  <c r="CM97" i="9" s="1"/>
  <c r="CL93" i="9"/>
  <c r="CM93" i="9" s="1"/>
  <c r="BZ100" i="9"/>
  <c r="BV100" i="9"/>
  <c r="CA99" i="9"/>
  <c r="BW99" i="9"/>
  <c r="BS99" i="9"/>
  <c r="BX98" i="9"/>
  <c r="BT98" i="9"/>
  <c r="BY97" i="9"/>
  <c r="BU97" i="9"/>
  <c r="BZ96" i="9"/>
  <c r="BV96" i="9"/>
  <c r="CA95" i="9"/>
  <c r="BW95" i="9"/>
  <c r="BS95" i="9"/>
  <c r="BX94" i="9"/>
  <c r="BT94" i="9"/>
  <c r="BY93" i="9"/>
  <c r="BU93" i="9"/>
  <c r="BZ92" i="9"/>
  <c r="BV92" i="9"/>
  <c r="CA91" i="9"/>
  <c r="BW91" i="9"/>
  <c r="BS91" i="9"/>
  <c r="BX90" i="9"/>
  <c r="BT90" i="9"/>
  <c r="BJ100" i="9"/>
  <c r="BC99" i="9"/>
  <c r="BE97" i="9"/>
  <c r="BG95" i="9"/>
  <c r="BI93" i="9"/>
  <c r="BK91" i="9"/>
  <c r="BD90" i="9"/>
  <c r="BY100" i="9"/>
  <c r="BU100" i="9"/>
  <c r="BZ99" i="9"/>
  <c r="BV99" i="9"/>
  <c r="CA98" i="9"/>
  <c r="BW98" i="9"/>
  <c r="BS98" i="9"/>
  <c r="BX97" i="9"/>
  <c r="BT97" i="9"/>
  <c r="BY96" i="9"/>
  <c r="BU96" i="9"/>
  <c r="BZ95" i="9"/>
  <c r="BV95" i="9"/>
  <c r="CA94" i="9"/>
  <c r="BW94" i="9"/>
  <c r="BS94" i="9"/>
  <c r="BX93" i="9"/>
  <c r="BT93" i="9"/>
  <c r="BY92" i="9"/>
  <c r="BU92" i="9"/>
  <c r="BZ91" i="9"/>
  <c r="BV91" i="9"/>
  <c r="CA90" i="9"/>
  <c r="BW90" i="9"/>
  <c r="BS90" i="9"/>
  <c r="BF100" i="9"/>
  <c r="BH98" i="9"/>
  <c r="BJ96" i="9"/>
  <c r="BC95" i="9"/>
  <c r="BE93" i="9"/>
  <c r="BG91" i="9"/>
  <c r="BK99" i="9"/>
  <c r="BD98" i="9"/>
  <c r="BF96" i="9"/>
  <c r="BH94" i="9"/>
  <c r="BJ92" i="9"/>
  <c r="BC91" i="9"/>
  <c r="CL98" i="9"/>
  <c r="CM98" i="9" s="1"/>
  <c r="CL94" i="9"/>
  <c r="CM94" i="9" s="1"/>
  <c r="CL90" i="9"/>
  <c r="CM90" i="9" s="1"/>
  <c r="CL86" i="9"/>
  <c r="CM86" i="9" s="1"/>
  <c r="CL82" i="9"/>
  <c r="CM82" i="9" s="1"/>
  <c r="CL78" i="9"/>
  <c r="CM78" i="9" s="1"/>
  <c r="CL74" i="9"/>
  <c r="CM74" i="9" s="1"/>
  <c r="CL70" i="9"/>
  <c r="CM70" i="9" s="1"/>
  <c r="CL66" i="9"/>
  <c r="CM66" i="9" s="1"/>
  <c r="CL62" i="9"/>
  <c r="CM62" i="9" s="1"/>
  <c r="CL58" i="9"/>
  <c r="CM58" i="9" s="1"/>
  <c r="CL54" i="9"/>
  <c r="CM54" i="9" s="1"/>
  <c r="CL50" i="9"/>
  <c r="CM50" i="9" s="1"/>
  <c r="CL46" i="9"/>
  <c r="CM46" i="9" s="1"/>
  <c r="CL42" i="9"/>
  <c r="CM42" i="9" s="1"/>
  <c r="CL38" i="9"/>
  <c r="CM38" i="9" s="1"/>
  <c r="CL34" i="9"/>
  <c r="CM34" i="9" s="1"/>
  <c r="CL30" i="9"/>
  <c r="CM30" i="9" s="1"/>
  <c r="CL26" i="9"/>
  <c r="CM26" i="9" s="1"/>
  <c r="CL22" i="9"/>
  <c r="CM22" i="9" s="1"/>
  <c r="BI100" i="9"/>
  <c r="BE100" i="9"/>
  <c r="BJ99" i="9"/>
  <c r="BF99" i="9"/>
  <c r="BK98" i="9"/>
  <c r="BG98" i="9"/>
  <c r="BC98" i="9"/>
  <c r="BH97" i="9"/>
  <c r="BD97" i="9"/>
  <c r="BI96" i="9"/>
  <c r="BE96" i="9"/>
  <c r="BJ95" i="9"/>
  <c r="BF95" i="9"/>
  <c r="BK94" i="9"/>
  <c r="BG94" i="9"/>
  <c r="BC94" i="9"/>
  <c r="BH93" i="9"/>
  <c r="BD93" i="9"/>
  <c r="BI92" i="9"/>
  <c r="BE92" i="9"/>
  <c r="BJ91" i="9"/>
  <c r="BF91" i="9"/>
  <c r="BK90" i="9"/>
  <c r="BG90" i="9"/>
  <c r="BC90" i="9"/>
  <c r="BX100" i="9"/>
  <c r="BT100" i="9"/>
  <c r="BY99" i="9"/>
  <c r="BU99" i="9"/>
  <c r="BZ98" i="9"/>
  <c r="BV98" i="9"/>
  <c r="CA97" i="9"/>
  <c r="BW97" i="9"/>
  <c r="BS97" i="9"/>
  <c r="BX96" i="9"/>
  <c r="BT96" i="9"/>
  <c r="BY95" i="9"/>
  <c r="BU95" i="9"/>
  <c r="BZ94" i="9"/>
  <c r="BV94" i="9"/>
  <c r="CA93" i="9"/>
  <c r="BW93" i="9"/>
  <c r="BS93" i="9"/>
  <c r="BX92" i="9"/>
  <c r="BT92" i="9"/>
  <c r="BY91" i="9"/>
  <c r="BU91" i="9"/>
  <c r="BZ90" i="9"/>
  <c r="BV90" i="9"/>
  <c r="CA100" i="9"/>
  <c r="BW100" i="9"/>
  <c r="BS100" i="9"/>
  <c r="BX99" i="9"/>
  <c r="BT99" i="9"/>
  <c r="BY98" i="9"/>
  <c r="BU98" i="9"/>
  <c r="BZ97" i="9"/>
  <c r="BV97" i="9"/>
  <c r="CA96" i="9"/>
  <c r="BW96" i="9"/>
  <c r="BS96" i="9"/>
  <c r="BX95" i="9"/>
  <c r="BT95" i="9"/>
  <c r="BY94" i="9"/>
  <c r="BU94" i="9"/>
  <c r="BZ93" i="9"/>
  <c r="BV93" i="9"/>
  <c r="CA92" i="9"/>
  <c r="BW92" i="9"/>
  <c r="BS92" i="9"/>
  <c r="BX91" i="9"/>
  <c r="BT91" i="9"/>
  <c r="BY90" i="9"/>
  <c r="BU90" i="9"/>
  <c r="CL89" i="9"/>
  <c r="CM89" i="9" s="1"/>
  <c r="CL85" i="9"/>
  <c r="CM85" i="9" s="1"/>
  <c r="CL81" i="9"/>
  <c r="CM81" i="9" s="1"/>
  <c r="CL77" i="9"/>
  <c r="CM77" i="9" s="1"/>
  <c r="CL73" i="9"/>
  <c r="CM73" i="9" s="1"/>
  <c r="CL69" i="9"/>
  <c r="CM69" i="9" s="1"/>
  <c r="CL65" i="9"/>
  <c r="CM65" i="9" s="1"/>
  <c r="CL61" i="9"/>
  <c r="CM61" i="9" s="1"/>
  <c r="CL57" i="9"/>
  <c r="CM57" i="9" s="1"/>
  <c r="CL53" i="9"/>
  <c r="CM53" i="9" s="1"/>
  <c r="CL49" i="9"/>
  <c r="CM49" i="9" s="1"/>
  <c r="CL45" i="9"/>
  <c r="CM45" i="9" s="1"/>
  <c r="CL41" i="9"/>
  <c r="CM41" i="9" s="1"/>
  <c r="CL37" i="9"/>
  <c r="CM37" i="9" s="1"/>
  <c r="CL33" i="9"/>
  <c r="CM33" i="9" s="1"/>
  <c r="CL29" i="9"/>
  <c r="CM29" i="9" s="1"/>
  <c r="CL25" i="9"/>
  <c r="CM25" i="9" s="1"/>
  <c r="CL21" i="9"/>
  <c r="CM21" i="9" s="1"/>
  <c r="BC15" i="9"/>
  <c r="BW15" i="9"/>
  <c r="BG15" i="9"/>
  <c r="CA15" i="9"/>
  <c r="BK15" i="9"/>
  <c r="CA89" i="9"/>
  <c r="BK89" i="9"/>
  <c r="BW89" i="9"/>
  <c r="BG89" i="9"/>
  <c r="BS89" i="9"/>
  <c r="BC89" i="9"/>
  <c r="BX88" i="9"/>
  <c r="BH88" i="9"/>
  <c r="BT88" i="9"/>
  <c r="BD88" i="9"/>
  <c r="BY87" i="9"/>
  <c r="BI87" i="9"/>
  <c r="BU87" i="9"/>
  <c r="BE87" i="9"/>
  <c r="BZ86" i="9"/>
  <c r="BJ86" i="9"/>
  <c r="BV86" i="9"/>
  <c r="BF86" i="9"/>
  <c r="CA85" i="9"/>
  <c r="BK85" i="9"/>
  <c r="BW85" i="9"/>
  <c r="BG85" i="9"/>
  <c r="BS85" i="9"/>
  <c r="BC85" i="9"/>
  <c r="BX84" i="9"/>
  <c r="BH84" i="9"/>
  <c r="BT84" i="9"/>
  <c r="BD84" i="9"/>
  <c r="BY83" i="9"/>
  <c r="BI83" i="9"/>
  <c r="BU83" i="9"/>
  <c r="BE83" i="9"/>
  <c r="BZ82" i="9"/>
  <c r="BJ82" i="9"/>
  <c r="BV82" i="9"/>
  <c r="BF82" i="9"/>
  <c r="CA81" i="9"/>
  <c r="BK81" i="9"/>
  <c r="BW81" i="9"/>
  <c r="BG81" i="9"/>
  <c r="BS81" i="9"/>
  <c r="BC81" i="9"/>
  <c r="BX80" i="9"/>
  <c r="BH80" i="9"/>
  <c r="BT80" i="9"/>
  <c r="BD80" i="9"/>
  <c r="BY79" i="9"/>
  <c r="BI79" i="9"/>
  <c r="BU79" i="9"/>
  <c r="BE79" i="9"/>
  <c r="BZ78" i="9"/>
  <c r="BJ78" i="9"/>
  <c r="BV78" i="9"/>
  <c r="BF78" i="9"/>
  <c r="CA77" i="9"/>
  <c r="BK77" i="9"/>
  <c r="BW77" i="9"/>
  <c r="BG77" i="9"/>
  <c r="BS77" i="9"/>
  <c r="BC77" i="9"/>
  <c r="BX76" i="9"/>
  <c r="BH76" i="9"/>
  <c r="BT76" i="9"/>
  <c r="BD76" i="9"/>
  <c r="BY75" i="9"/>
  <c r="BI75" i="9"/>
  <c r="BU75" i="9"/>
  <c r="BE75" i="9"/>
  <c r="BZ74" i="9"/>
  <c r="BJ74" i="9"/>
  <c r="BV74" i="9"/>
  <c r="BF74" i="9"/>
  <c r="CA73" i="9"/>
  <c r="BK73" i="9"/>
  <c r="BW73" i="9"/>
  <c r="BG73" i="9"/>
  <c r="BS73" i="9"/>
  <c r="BC73" i="9"/>
  <c r="BX72" i="9"/>
  <c r="BH72" i="9"/>
  <c r="BT72" i="9"/>
  <c r="BD72" i="9"/>
  <c r="BY71" i="9"/>
  <c r="BI71" i="9"/>
  <c r="BU71" i="9"/>
  <c r="BE71" i="9"/>
  <c r="BZ70" i="9"/>
  <c r="BJ70" i="9"/>
  <c r="BV70" i="9"/>
  <c r="BF70" i="9"/>
  <c r="CA69" i="9"/>
  <c r="BK69" i="9"/>
  <c r="BW69" i="9"/>
  <c r="BG69" i="9"/>
  <c r="BS69" i="9"/>
  <c r="BC69" i="9"/>
  <c r="BX68" i="9"/>
  <c r="BH68" i="9"/>
  <c r="BT68" i="9"/>
  <c r="BD68" i="9"/>
  <c r="BY67" i="9"/>
  <c r="BI67" i="9"/>
  <c r="BU67" i="9"/>
  <c r="BE67" i="9"/>
  <c r="BZ66" i="9"/>
  <c r="BJ66" i="9"/>
  <c r="BV66" i="9"/>
  <c r="BF66" i="9"/>
  <c r="CA65" i="9"/>
  <c r="BK65" i="9"/>
  <c r="BW65" i="9"/>
  <c r="BG65" i="9"/>
  <c r="BS65" i="9"/>
  <c r="BC65" i="9"/>
  <c r="BX64" i="9"/>
  <c r="BH64" i="9"/>
  <c r="BT64" i="9"/>
  <c r="BD64" i="9"/>
  <c r="BY63" i="9"/>
  <c r="BI63" i="9"/>
  <c r="BU63" i="9"/>
  <c r="BE63" i="9"/>
  <c r="BZ62" i="9"/>
  <c r="BJ62" i="9"/>
  <c r="BV62" i="9"/>
  <c r="BF62" i="9"/>
  <c r="CA61" i="9"/>
  <c r="BK61" i="9"/>
  <c r="BW61" i="9"/>
  <c r="BG61" i="9"/>
  <c r="BS61" i="9"/>
  <c r="BC61" i="9"/>
  <c r="BX60" i="9"/>
  <c r="BH60" i="9"/>
  <c r="BT60" i="9"/>
  <c r="BD60" i="9"/>
  <c r="BY59" i="9"/>
  <c r="BI59" i="9"/>
  <c r="BU59" i="9"/>
  <c r="BE59" i="9"/>
  <c r="BZ58" i="9"/>
  <c r="BJ58" i="9"/>
  <c r="BV58" i="9"/>
  <c r="BF58" i="9"/>
  <c r="CA57" i="9"/>
  <c r="BK57" i="9"/>
  <c r="BW57" i="9"/>
  <c r="BG57" i="9"/>
  <c r="BS57" i="9"/>
  <c r="BC57" i="9"/>
  <c r="BX56" i="9"/>
  <c r="BH56" i="9"/>
  <c r="BT56" i="9"/>
  <c r="BD56" i="9"/>
  <c r="BY55" i="9"/>
  <c r="BI55" i="9"/>
  <c r="BU55" i="9"/>
  <c r="BE55" i="9"/>
  <c r="BZ54" i="9"/>
  <c r="BJ54" i="9"/>
  <c r="BV54" i="9"/>
  <c r="BF54" i="9"/>
  <c r="CA53" i="9"/>
  <c r="BK53" i="9"/>
  <c r="BW53" i="9"/>
  <c r="BG53" i="9"/>
  <c r="BS53" i="9"/>
  <c r="BC53" i="9"/>
  <c r="BX52" i="9"/>
  <c r="BH52" i="9"/>
  <c r="BT52" i="9"/>
  <c r="BD52" i="9"/>
  <c r="BY51" i="9"/>
  <c r="BI51" i="9"/>
  <c r="BU51" i="9"/>
  <c r="BE51" i="9"/>
  <c r="BZ50" i="9"/>
  <c r="BJ50" i="9"/>
  <c r="BV50" i="9"/>
  <c r="BF50" i="9"/>
  <c r="CA49" i="9"/>
  <c r="BT15" i="9"/>
  <c r="BD15" i="9"/>
  <c r="BX15" i="9"/>
  <c r="BH15" i="9"/>
  <c r="BZ89" i="9"/>
  <c r="BJ89" i="9"/>
  <c r="BV89" i="9"/>
  <c r="BF89" i="9"/>
  <c r="CA88" i="9"/>
  <c r="BK88" i="9"/>
  <c r="BW88" i="9"/>
  <c r="BG88" i="9"/>
  <c r="BS88" i="9"/>
  <c r="BC88" i="9"/>
  <c r="BX87" i="9"/>
  <c r="BH87" i="9"/>
  <c r="BT87" i="9"/>
  <c r="BD87" i="9"/>
  <c r="BY86" i="9"/>
  <c r="BI86" i="9"/>
  <c r="BU86" i="9"/>
  <c r="BE86" i="9"/>
  <c r="BZ85" i="9"/>
  <c r="BJ85" i="9"/>
  <c r="BV85" i="9"/>
  <c r="BF85" i="9"/>
  <c r="CA84" i="9"/>
  <c r="BK84" i="9"/>
  <c r="BW84" i="9"/>
  <c r="BG84" i="9"/>
  <c r="BS84" i="9"/>
  <c r="BC84" i="9"/>
  <c r="BX83" i="9"/>
  <c r="BH83" i="9"/>
  <c r="BT83" i="9"/>
  <c r="BD83" i="9"/>
  <c r="BY82" i="9"/>
  <c r="BI82" i="9"/>
  <c r="BU82" i="9"/>
  <c r="BE82" i="9"/>
  <c r="BZ81" i="9"/>
  <c r="BJ81" i="9"/>
  <c r="BV81" i="9"/>
  <c r="BF81" i="9"/>
  <c r="CA80" i="9"/>
  <c r="BK80" i="9"/>
  <c r="BW80" i="9"/>
  <c r="BG80" i="9"/>
  <c r="BS80" i="9"/>
  <c r="BC80" i="9"/>
  <c r="BX79" i="9"/>
  <c r="BH79" i="9"/>
  <c r="BT79" i="9"/>
  <c r="BD79" i="9"/>
  <c r="BY78" i="9"/>
  <c r="BI78" i="9"/>
  <c r="BU78" i="9"/>
  <c r="BE78" i="9"/>
  <c r="BZ77" i="9"/>
  <c r="BJ77" i="9"/>
  <c r="BV77" i="9"/>
  <c r="BF77" i="9"/>
  <c r="CA76" i="9"/>
  <c r="BK76" i="9"/>
  <c r="BW76" i="9"/>
  <c r="BG76" i="9"/>
  <c r="BS76" i="9"/>
  <c r="BC76" i="9"/>
  <c r="BX75" i="9"/>
  <c r="BH75" i="9"/>
  <c r="BT75" i="9"/>
  <c r="BD75" i="9"/>
  <c r="BY74" i="9"/>
  <c r="BI74" i="9"/>
  <c r="BU74" i="9"/>
  <c r="BE74" i="9"/>
  <c r="BZ73" i="9"/>
  <c r="BJ73" i="9"/>
  <c r="BV73" i="9"/>
  <c r="BF73" i="9"/>
  <c r="CA72" i="9"/>
  <c r="BK72" i="9"/>
  <c r="BW72" i="9"/>
  <c r="BG72" i="9"/>
  <c r="BS72" i="9"/>
  <c r="BC72" i="9"/>
  <c r="BX71" i="9"/>
  <c r="BH71" i="9"/>
  <c r="BT71" i="9"/>
  <c r="BD71" i="9"/>
  <c r="BY70" i="9"/>
  <c r="BI70" i="9"/>
  <c r="BU70" i="9"/>
  <c r="BE70" i="9"/>
  <c r="BZ69" i="9"/>
  <c r="BJ69" i="9"/>
  <c r="BV69" i="9"/>
  <c r="BF69" i="9"/>
  <c r="CA68" i="9"/>
  <c r="BK68" i="9"/>
  <c r="BW68" i="9"/>
  <c r="BG68" i="9"/>
  <c r="BS68" i="9"/>
  <c r="BC68" i="9"/>
  <c r="BX67" i="9"/>
  <c r="BH67" i="9"/>
  <c r="BT67" i="9"/>
  <c r="BD67" i="9"/>
  <c r="BY66" i="9"/>
  <c r="BI66" i="9"/>
  <c r="BU66" i="9"/>
  <c r="BE66" i="9"/>
  <c r="BZ65" i="9"/>
  <c r="BJ65" i="9"/>
  <c r="BV65" i="9"/>
  <c r="BF65" i="9"/>
  <c r="CA64" i="9"/>
  <c r="BK64" i="9"/>
  <c r="BW64" i="9"/>
  <c r="BG64" i="9"/>
  <c r="BS64" i="9"/>
  <c r="BC64" i="9"/>
  <c r="BX63" i="9"/>
  <c r="BH63" i="9"/>
  <c r="BT63" i="9"/>
  <c r="BD63" i="9"/>
  <c r="BY62" i="9"/>
  <c r="BI62" i="9"/>
  <c r="BU62" i="9"/>
  <c r="BE62" i="9"/>
  <c r="BZ61" i="9"/>
  <c r="BJ61" i="9"/>
  <c r="BV61" i="9"/>
  <c r="BF61" i="9"/>
  <c r="CA60" i="9"/>
  <c r="BK60" i="9"/>
  <c r="BU15" i="9"/>
  <c r="BE15" i="9"/>
  <c r="BY15" i="9"/>
  <c r="BI15" i="9"/>
  <c r="BY89" i="9"/>
  <c r="BI89" i="9"/>
  <c r="BU89" i="9"/>
  <c r="BE89" i="9"/>
  <c r="BZ88" i="9"/>
  <c r="BJ88" i="9"/>
  <c r="BV88" i="9"/>
  <c r="BF88" i="9"/>
  <c r="CA87" i="9"/>
  <c r="BK87" i="9"/>
  <c r="BW87" i="9"/>
  <c r="BG87" i="9"/>
  <c r="BS87" i="9"/>
  <c r="BC87" i="9"/>
  <c r="BX86" i="9"/>
  <c r="BH86" i="9"/>
  <c r="BT86" i="9"/>
  <c r="BD86" i="9"/>
  <c r="BY85" i="9"/>
  <c r="BI85" i="9"/>
  <c r="BU85" i="9"/>
  <c r="BE85" i="9"/>
  <c r="BZ84" i="9"/>
  <c r="BJ84" i="9"/>
  <c r="BV84" i="9"/>
  <c r="BF84" i="9"/>
  <c r="CA83" i="9"/>
  <c r="BK83" i="9"/>
  <c r="BW83" i="9"/>
  <c r="BG83" i="9"/>
  <c r="BS83" i="9"/>
  <c r="BC83" i="9"/>
  <c r="BX82" i="9"/>
  <c r="BH82" i="9"/>
  <c r="BT82" i="9"/>
  <c r="BD82" i="9"/>
  <c r="BY81" i="9"/>
  <c r="BI81" i="9"/>
  <c r="BU81" i="9"/>
  <c r="BE81" i="9"/>
  <c r="BZ80" i="9"/>
  <c r="BJ80" i="9"/>
  <c r="BV80" i="9"/>
  <c r="BF80" i="9"/>
  <c r="CA79" i="9"/>
  <c r="BK79" i="9"/>
  <c r="BW79" i="9"/>
  <c r="BG79" i="9"/>
  <c r="BS79" i="9"/>
  <c r="BC79" i="9"/>
  <c r="BX78" i="9"/>
  <c r="BH78" i="9"/>
  <c r="BT78" i="9"/>
  <c r="BD78" i="9"/>
  <c r="BY77" i="9"/>
  <c r="BI77" i="9"/>
  <c r="BU77" i="9"/>
  <c r="BE77" i="9"/>
  <c r="BZ76" i="9"/>
  <c r="BJ76" i="9"/>
  <c r="BV76" i="9"/>
  <c r="BF76" i="9"/>
  <c r="CA75" i="9"/>
  <c r="BK75" i="9"/>
  <c r="BW75" i="9"/>
  <c r="BG75" i="9"/>
  <c r="BS75" i="9"/>
  <c r="BC75" i="9"/>
  <c r="BX74" i="9"/>
  <c r="BH74" i="9"/>
  <c r="BT74" i="9"/>
  <c r="BD74" i="9"/>
  <c r="BY73" i="9"/>
  <c r="BI73" i="9"/>
  <c r="BU73" i="9"/>
  <c r="BE73" i="9"/>
  <c r="BZ72" i="9"/>
  <c r="BJ72" i="9"/>
  <c r="BV72" i="9"/>
  <c r="BF72" i="9"/>
  <c r="CA71" i="9"/>
  <c r="BK71" i="9"/>
  <c r="BW71" i="9"/>
  <c r="BG71" i="9"/>
  <c r="BS71" i="9"/>
  <c r="BC71" i="9"/>
  <c r="BX70" i="9"/>
  <c r="BH70" i="9"/>
  <c r="BT70" i="9"/>
  <c r="BD70" i="9"/>
  <c r="BY69" i="9"/>
  <c r="BI69" i="9"/>
  <c r="BU69" i="9"/>
  <c r="BE69" i="9"/>
  <c r="BZ68" i="9"/>
  <c r="BJ68" i="9"/>
  <c r="BV68" i="9"/>
  <c r="BF68" i="9"/>
  <c r="CA67" i="9"/>
  <c r="BK67" i="9"/>
  <c r="BW67" i="9"/>
  <c r="BG67" i="9"/>
  <c r="BS67" i="9"/>
  <c r="BC67" i="9"/>
  <c r="BX66" i="9"/>
  <c r="BH66" i="9"/>
  <c r="BT66" i="9"/>
  <c r="BD66" i="9"/>
  <c r="BY65" i="9"/>
  <c r="BI65" i="9"/>
  <c r="BU65" i="9"/>
  <c r="BE65" i="9"/>
  <c r="BZ64" i="9"/>
  <c r="BJ64" i="9"/>
  <c r="BV64" i="9"/>
  <c r="BF64" i="9"/>
  <c r="BV15" i="9"/>
  <c r="BF15" i="9"/>
  <c r="BZ15" i="9"/>
  <c r="BJ15" i="9"/>
  <c r="BX89" i="9"/>
  <c r="BH89" i="9"/>
  <c r="BT89" i="9"/>
  <c r="BD89" i="9"/>
  <c r="BY88" i="9"/>
  <c r="BI88" i="9"/>
  <c r="BU88" i="9"/>
  <c r="BE88" i="9"/>
  <c r="BZ87" i="9"/>
  <c r="BJ87" i="9"/>
  <c r="BV87" i="9"/>
  <c r="BF87" i="9"/>
  <c r="CA86" i="9"/>
  <c r="BK86" i="9"/>
  <c r="BW86" i="9"/>
  <c r="BG86" i="9"/>
  <c r="BS86" i="9"/>
  <c r="BC86" i="9"/>
  <c r="BX85" i="9"/>
  <c r="BH85" i="9"/>
  <c r="BT85" i="9"/>
  <c r="BD85" i="9"/>
  <c r="BY84" i="9"/>
  <c r="BI84" i="9"/>
  <c r="BU84" i="9"/>
  <c r="BE84" i="9"/>
  <c r="BZ83" i="9"/>
  <c r="BJ83" i="9"/>
  <c r="BV83" i="9"/>
  <c r="BF83" i="9"/>
  <c r="CA82" i="9"/>
  <c r="BK82" i="9"/>
  <c r="BW82" i="9"/>
  <c r="BG82" i="9"/>
  <c r="BS82" i="9"/>
  <c r="BC82" i="9"/>
  <c r="BX81" i="9"/>
  <c r="BH81" i="9"/>
  <c r="BT81" i="9"/>
  <c r="BD81" i="9"/>
  <c r="BY80" i="9"/>
  <c r="BI80" i="9"/>
  <c r="BU80" i="9"/>
  <c r="BE80" i="9"/>
  <c r="BZ79" i="9"/>
  <c r="BJ79" i="9"/>
  <c r="BV79" i="9"/>
  <c r="BF79" i="9"/>
  <c r="CA78" i="9"/>
  <c r="BK78" i="9"/>
  <c r="BW78" i="9"/>
  <c r="BG78" i="9"/>
  <c r="BS78" i="9"/>
  <c r="BC78" i="9"/>
  <c r="BX77" i="9"/>
  <c r="BH77" i="9"/>
  <c r="BT77" i="9"/>
  <c r="BD77" i="9"/>
  <c r="BY76" i="9"/>
  <c r="BI76" i="9"/>
  <c r="BU76" i="9"/>
  <c r="BE76" i="9"/>
  <c r="BZ75" i="9"/>
  <c r="BJ75" i="9"/>
  <c r="BV75" i="9"/>
  <c r="BF75" i="9"/>
  <c r="CA74" i="9"/>
  <c r="BK74" i="9"/>
  <c r="BW74" i="9"/>
  <c r="BG74" i="9"/>
  <c r="BS74" i="9"/>
  <c r="BC74" i="9"/>
  <c r="BX73" i="9"/>
  <c r="BH73" i="9"/>
  <c r="BT73" i="9"/>
  <c r="BD73" i="9"/>
  <c r="BY72" i="9"/>
  <c r="BI72" i="9"/>
  <c r="BU72" i="9"/>
  <c r="BE72" i="9"/>
  <c r="BZ71" i="9"/>
  <c r="BJ71" i="9"/>
  <c r="BV71" i="9"/>
  <c r="BF71" i="9"/>
  <c r="CA70" i="9"/>
  <c r="BK70" i="9"/>
  <c r="BW70" i="9"/>
  <c r="BG70" i="9"/>
  <c r="BS70" i="9"/>
  <c r="BC70" i="9"/>
  <c r="BW60" i="9"/>
  <c r="BS60" i="9"/>
  <c r="BX59" i="9"/>
  <c r="BT59" i="9"/>
  <c r="BY58" i="9"/>
  <c r="BU58" i="9"/>
  <c r="BZ57" i="9"/>
  <c r="BV57" i="9"/>
  <c r="CA56" i="9"/>
  <c r="BW56" i="9"/>
  <c r="BS56" i="9"/>
  <c r="BX55" i="9"/>
  <c r="BT55" i="9"/>
  <c r="BY54" i="9"/>
  <c r="BU54" i="9"/>
  <c r="BZ53" i="9"/>
  <c r="BV53" i="9"/>
  <c r="CA52" i="9"/>
  <c r="BW52" i="9"/>
  <c r="BS52" i="9"/>
  <c r="BX51" i="9"/>
  <c r="BT51" i="9"/>
  <c r="BY50" i="9"/>
  <c r="BU50" i="9"/>
  <c r="BZ49" i="9"/>
  <c r="BV49" i="9"/>
  <c r="CA48" i="9"/>
  <c r="BW48" i="9"/>
  <c r="BS48" i="9"/>
  <c r="BX47" i="9"/>
  <c r="BH47" i="9"/>
  <c r="BT47" i="9"/>
  <c r="BD47" i="9"/>
  <c r="BY46" i="9"/>
  <c r="BI46" i="9"/>
  <c r="BU46" i="9"/>
  <c r="BE46" i="9"/>
  <c r="BZ45" i="9"/>
  <c r="BJ45" i="9"/>
  <c r="BV45" i="9"/>
  <c r="BF45" i="9"/>
  <c r="CA44" i="9"/>
  <c r="BK44" i="9"/>
  <c r="BW44" i="9"/>
  <c r="BG44" i="9"/>
  <c r="BS44" i="9"/>
  <c r="BC44" i="9"/>
  <c r="BX43" i="9"/>
  <c r="BH43" i="9"/>
  <c r="BT43" i="9"/>
  <c r="BD43" i="9"/>
  <c r="BY42" i="9"/>
  <c r="BI42" i="9"/>
  <c r="BU42" i="9"/>
  <c r="BE42" i="9"/>
  <c r="BZ41" i="9"/>
  <c r="BJ41" i="9"/>
  <c r="BV41" i="9"/>
  <c r="BF41" i="9"/>
  <c r="CA40" i="9"/>
  <c r="BK40" i="9"/>
  <c r="BW40" i="9"/>
  <c r="BG40" i="9"/>
  <c r="BS40" i="9"/>
  <c r="BC40" i="9"/>
  <c r="BX39" i="9"/>
  <c r="BH39" i="9"/>
  <c r="BT39" i="9"/>
  <c r="BD39" i="9"/>
  <c r="BY38" i="9"/>
  <c r="BI38" i="9"/>
  <c r="BU38" i="9"/>
  <c r="BE38" i="9"/>
  <c r="BZ37" i="9"/>
  <c r="BJ37" i="9"/>
  <c r="BV37" i="9"/>
  <c r="BF37" i="9"/>
  <c r="CA36" i="9"/>
  <c r="BK36" i="9"/>
  <c r="BW36" i="9"/>
  <c r="BG36" i="9"/>
  <c r="BS36" i="9"/>
  <c r="BC36" i="9"/>
  <c r="BX35" i="9"/>
  <c r="BH35" i="9"/>
  <c r="BT35" i="9"/>
  <c r="BD35" i="9"/>
  <c r="BY34" i="9"/>
  <c r="BI34" i="9"/>
  <c r="BU34" i="9"/>
  <c r="BE34" i="9"/>
  <c r="BZ33" i="9"/>
  <c r="BJ33" i="9"/>
  <c r="BV33" i="9"/>
  <c r="BF33" i="9"/>
  <c r="CA32" i="9"/>
  <c r="BK32" i="9"/>
  <c r="BW32" i="9"/>
  <c r="BG32" i="9"/>
  <c r="BS32" i="9"/>
  <c r="BC32" i="9"/>
  <c r="BX31" i="9"/>
  <c r="BH31" i="9"/>
  <c r="BT31" i="9"/>
  <c r="BD31" i="9"/>
  <c r="BY30" i="9"/>
  <c r="BI30" i="9"/>
  <c r="BU30" i="9"/>
  <c r="BE30" i="9"/>
  <c r="BZ29" i="9"/>
  <c r="BJ29" i="9"/>
  <c r="BV29" i="9"/>
  <c r="BF29" i="9"/>
  <c r="CA28" i="9"/>
  <c r="BK28" i="9"/>
  <c r="BW28" i="9"/>
  <c r="BG28" i="9"/>
  <c r="BS28" i="9"/>
  <c r="BC28" i="9"/>
  <c r="BX27" i="9"/>
  <c r="BH27" i="9"/>
  <c r="BT27" i="9"/>
  <c r="BD27" i="9"/>
  <c r="BY26" i="9"/>
  <c r="BI26" i="9"/>
  <c r="BU26" i="9"/>
  <c r="BE26" i="9"/>
  <c r="BZ25" i="9"/>
  <c r="BJ25" i="9"/>
  <c r="BV25" i="9"/>
  <c r="BF25" i="9"/>
  <c r="CA24" i="9"/>
  <c r="BK24" i="9"/>
  <c r="BW24" i="9"/>
  <c r="BG24" i="9"/>
  <c r="BS24" i="9"/>
  <c r="BC24" i="9"/>
  <c r="BX23" i="9"/>
  <c r="BH23" i="9"/>
  <c r="BT23" i="9"/>
  <c r="BD23" i="9"/>
  <c r="BY22" i="9"/>
  <c r="BI22" i="9"/>
  <c r="BU22" i="9"/>
  <c r="BE22" i="9"/>
  <c r="BZ21" i="9"/>
  <c r="BJ21" i="9"/>
  <c r="BV21" i="9"/>
  <c r="BF21" i="9"/>
  <c r="CA20" i="9"/>
  <c r="BK20" i="9"/>
  <c r="BW20" i="9"/>
  <c r="BG20" i="9"/>
  <c r="BS20" i="9"/>
  <c r="BC20" i="9"/>
  <c r="BX19" i="9"/>
  <c r="BH19" i="9"/>
  <c r="BT19" i="9"/>
  <c r="BD19" i="9"/>
  <c r="BY18" i="9"/>
  <c r="BI18" i="9"/>
  <c r="BU18" i="9"/>
  <c r="BE18" i="9"/>
  <c r="BZ17" i="9"/>
  <c r="BJ17" i="9"/>
  <c r="BV17" i="9"/>
  <c r="BF17" i="9"/>
  <c r="CA16" i="9"/>
  <c r="BK16" i="9"/>
  <c r="BW16" i="9"/>
  <c r="BG16" i="9"/>
  <c r="BS16" i="9"/>
  <c r="BC16" i="9"/>
  <c r="BK49" i="9"/>
  <c r="CA63" i="9"/>
  <c r="BW63" i="9"/>
  <c r="BS63" i="9"/>
  <c r="BX62" i="9"/>
  <c r="BT62" i="9"/>
  <c r="BY61" i="9"/>
  <c r="BU61" i="9"/>
  <c r="BZ60" i="9"/>
  <c r="BV60" i="9"/>
  <c r="CA59" i="9"/>
  <c r="BW59" i="9"/>
  <c r="BS59" i="9"/>
  <c r="BX58" i="9"/>
  <c r="BT58" i="9"/>
  <c r="BY57" i="9"/>
  <c r="BU57" i="9"/>
  <c r="BZ56" i="9"/>
  <c r="BV56" i="9"/>
  <c r="CA55" i="9"/>
  <c r="BW55" i="9"/>
  <c r="BS55" i="9"/>
  <c r="BX54" i="9"/>
  <c r="BT54" i="9"/>
  <c r="BY53" i="9"/>
  <c r="BU53" i="9"/>
  <c r="BZ52" i="9"/>
  <c r="BV52" i="9"/>
  <c r="CA51" i="9"/>
  <c r="BW51" i="9"/>
  <c r="BS51" i="9"/>
  <c r="BX50" i="9"/>
  <c r="BT50" i="9"/>
  <c r="BY49" i="9"/>
  <c r="BU49" i="9"/>
  <c r="BZ48" i="9"/>
  <c r="BV48" i="9"/>
  <c r="CA47" i="9"/>
  <c r="BW47" i="9"/>
  <c r="BG47" i="9"/>
  <c r="BS47" i="9"/>
  <c r="BC47" i="9"/>
  <c r="BX46" i="9"/>
  <c r="BH46" i="9"/>
  <c r="BT46" i="9"/>
  <c r="BD46" i="9"/>
  <c r="BY45" i="9"/>
  <c r="BI45" i="9"/>
  <c r="BU45" i="9"/>
  <c r="BE45" i="9"/>
  <c r="BZ44" i="9"/>
  <c r="BJ44" i="9"/>
  <c r="BV44" i="9"/>
  <c r="BF44" i="9"/>
  <c r="CA43" i="9"/>
  <c r="BK43" i="9"/>
  <c r="BW43" i="9"/>
  <c r="BG43" i="9"/>
  <c r="BS43" i="9"/>
  <c r="BC43" i="9"/>
  <c r="BX42" i="9"/>
  <c r="BH42" i="9"/>
  <c r="BT42" i="9"/>
  <c r="BD42" i="9"/>
  <c r="BY41" i="9"/>
  <c r="BI41" i="9"/>
  <c r="BU41" i="9"/>
  <c r="BE41" i="9"/>
  <c r="BZ40" i="9"/>
  <c r="BJ40" i="9"/>
  <c r="BV40" i="9"/>
  <c r="BF40" i="9"/>
  <c r="CA39" i="9"/>
  <c r="BK39" i="9"/>
  <c r="BW39" i="9"/>
  <c r="BG39" i="9"/>
  <c r="BS39" i="9"/>
  <c r="BC39" i="9"/>
  <c r="BX38" i="9"/>
  <c r="BH38" i="9"/>
  <c r="BT38" i="9"/>
  <c r="BD38" i="9"/>
  <c r="BY37" i="9"/>
  <c r="BI37" i="9"/>
  <c r="BU37" i="9"/>
  <c r="BE37" i="9"/>
  <c r="BZ36" i="9"/>
  <c r="BJ36" i="9"/>
  <c r="BV36" i="9"/>
  <c r="BF36" i="9"/>
  <c r="CA35" i="9"/>
  <c r="BK35" i="9"/>
  <c r="BW35" i="9"/>
  <c r="BG35" i="9"/>
  <c r="BS35" i="9"/>
  <c r="BC35" i="9"/>
  <c r="BX34" i="9"/>
  <c r="BH34" i="9"/>
  <c r="BT34" i="9"/>
  <c r="BD34" i="9"/>
  <c r="BY33" i="9"/>
  <c r="BI33" i="9"/>
  <c r="BU33" i="9"/>
  <c r="BE33" i="9"/>
  <c r="BZ32" i="9"/>
  <c r="BJ32" i="9"/>
  <c r="BV32" i="9"/>
  <c r="BF32" i="9"/>
  <c r="CA31" i="9"/>
  <c r="BK31" i="9"/>
  <c r="BW31" i="9"/>
  <c r="BG31" i="9"/>
  <c r="BS31" i="9"/>
  <c r="BC31" i="9"/>
  <c r="BX30" i="9"/>
  <c r="BH30" i="9"/>
  <c r="BT30" i="9"/>
  <c r="BD30" i="9"/>
  <c r="BY29" i="9"/>
  <c r="BI29" i="9"/>
  <c r="BU29" i="9"/>
  <c r="BE29" i="9"/>
  <c r="BZ28" i="9"/>
  <c r="BJ28" i="9"/>
  <c r="BV28" i="9"/>
  <c r="BF28" i="9"/>
  <c r="CA27" i="9"/>
  <c r="BK27" i="9"/>
  <c r="BW27" i="9"/>
  <c r="BG27" i="9"/>
  <c r="BS27" i="9"/>
  <c r="BC27" i="9"/>
  <c r="BX26" i="9"/>
  <c r="BH26" i="9"/>
  <c r="BT26" i="9"/>
  <c r="BD26" i="9"/>
  <c r="BY25" i="9"/>
  <c r="BI25" i="9"/>
  <c r="BU25" i="9"/>
  <c r="BE25" i="9"/>
  <c r="BZ24" i="9"/>
  <c r="BJ24" i="9"/>
  <c r="BV24" i="9"/>
  <c r="BF24" i="9"/>
  <c r="CA23" i="9"/>
  <c r="BK23" i="9"/>
  <c r="BW23" i="9"/>
  <c r="BG23" i="9"/>
  <c r="BS23" i="9"/>
  <c r="BC23" i="9"/>
  <c r="BX22" i="9"/>
  <c r="BH22" i="9"/>
  <c r="BT22" i="9"/>
  <c r="BD22" i="9"/>
  <c r="BY21" i="9"/>
  <c r="BI21" i="9"/>
  <c r="BU21" i="9"/>
  <c r="BE21" i="9"/>
  <c r="BZ20" i="9"/>
  <c r="BJ20" i="9"/>
  <c r="BV20" i="9"/>
  <c r="BF20" i="9"/>
  <c r="CA19" i="9"/>
  <c r="BK19" i="9"/>
  <c r="BW19" i="9"/>
  <c r="BG19" i="9"/>
  <c r="BS19" i="9"/>
  <c r="BC19" i="9"/>
  <c r="BX18" i="9"/>
  <c r="BH18" i="9"/>
  <c r="BT18" i="9"/>
  <c r="BD18" i="9"/>
  <c r="BY17" i="9"/>
  <c r="BI17" i="9"/>
  <c r="BU17" i="9"/>
  <c r="BE17" i="9"/>
  <c r="BZ16" i="9"/>
  <c r="BJ16" i="9"/>
  <c r="BV16" i="9"/>
  <c r="BF16" i="9"/>
  <c r="BG60" i="9"/>
  <c r="BC60" i="9"/>
  <c r="BH59" i="9"/>
  <c r="BD59" i="9"/>
  <c r="BI58" i="9"/>
  <c r="BE58" i="9"/>
  <c r="BJ57" i="9"/>
  <c r="BF57" i="9"/>
  <c r="BK56" i="9"/>
  <c r="BG56" i="9"/>
  <c r="BC56" i="9"/>
  <c r="BH55" i="9"/>
  <c r="BD55" i="9"/>
  <c r="BI54" i="9"/>
  <c r="BE54" i="9"/>
  <c r="BJ53" i="9"/>
  <c r="BF53" i="9"/>
  <c r="BK52" i="9"/>
  <c r="BG52" i="9"/>
  <c r="BC52" i="9"/>
  <c r="BH51" i="9"/>
  <c r="BD51" i="9"/>
  <c r="BI50" i="9"/>
  <c r="BE50" i="9"/>
  <c r="BJ49" i="9"/>
  <c r="BF49" i="9"/>
  <c r="BK48" i="9"/>
  <c r="BG48" i="9"/>
  <c r="BC48" i="9"/>
  <c r="BX69" i="9"/>
  <c r="BT69" i="9"/>
  <c r="BY68" i="9"/>
  <c r="BU68" i="9"/>
  <c r="BZ67" i="9"/>
  <c r="BV67" i="9"/>
  <c r="CA66" i="9"/>
  <c r="BW66" i="9"/>
  <c r="BS66" i="9"/>
  <c r="BX65" i="9"/>
  <c r="BT65" i="9"/>
  <c r="BY64" i="9"/>
  <c r="BU64" i="9"/>
  <c r="BZ63" i="9"/>
  <c r="BV63" i="9"/>
  <c r="CA62" i="9"/>
  <c r="BW62" i="9"/>
  <c r="BS62" i="9"/>
  <c r="BX61" i="9"/>
  <c r="BT61" i="9"/>
  <c r="BY60" i="9"/>
  <c r="BU60" i="9"/>
  <c r="BZ59" i="9"/>
  <c r="BV59" i="9"/>
  <c r="CA58" i="9"/>
  <c r="BW58" i="9"/>
  <c r="BS58" i="9"/>
  <c r="BX57" i="9"/>
  <c r="BT57" i="9"/>
  <c r="BY56" i="9"/>
  <c r="BU56" i="9"/>
  <c r="BZ55" i="9"/>
  <c r="BV55" i="9"/>
  <c r="CA54" i="9"/>
  <c r="BW54" i="9"/>
  <c r="BS54" i="9"/>
  <c r="BX53" i="9"/>
  <c r="BT53" i="9"/>
  <c r="BY52" i="9"/>
  <c r="BU52" i="9"/>
  <c r="BZ51" i="9"/>
  <c r="BV51" i="9"/>
  <c r="CA50" i="9"/>
  <c r="BW50" i="9"/>
  <c r="BS50" i="9"/>
  <c r="BX49" i="9"/>
  <c r="BT49" i="9"/>
  <c r="BY48" i="9"/>
  <c r="BU48" i="9"/>
  <c r="BZ47" i="9"/>
  <c r="BV47" i="9"/>
  <c r="BF47" i="9"/>
  <c r="CA46" i="9"/>
  <c r="BK46" i="9"/>
  <c r="BW46" i="9"/>
  <c r="BG46" i="9"/>
  <c r="BS46" i="9"/>
  <c r="BC46" i="9"/>
  <c r="BX45" i="9"/>
  <c r="BH45" i="9"/>
  <c r="BT45" i="9"/>
  <c r="BD45" i="9"/>
  <c r="BY44" i="9"/>
  <c r="BI44" i="9"/>
  <c r="BU44" i="9"/>
  <c r="BE44" i="9"/>
  <c r="BZ43" i="9"/>
  <c r="BJ43" i="9"/>
  <c r="BV43" i="9"/>
  <c r="BF43" i="9"/>
  <c r="CA42" i="9"/>
  <c r="BK42" i="9"/>
  <c r="BW42" i="9"/>
  <c r="BG42" i="9"/>
  <c r="BS42" i="9"/>
  <c r="BC42" i="9"/>
  <c r="BX41" i="9"/>
  <c r="BH41" i="9"/>
  <c r="BT41" i="9"/>
  <c r="BD41" i="9"/>
  <c r="BY40" i="9"/>
  <c r="BI40" i="9"/>
  <c r="BU40" i="9"/>
  <c r="BE40" i="9"/>
  <c r="BZ39" i="9"/>
  <c r="BJ39" i="9"/>
  <c r="BV39" i="9"/>
  <c r="BF39" i="9"/>
  <c r="CA38" i="9"/>
  <c r="BK38" i="9"/>
  <c r="BW38" i="9"/>
  <c r="BG38" i="9"/>
  <c r="BS38" i="9"/>
  <c r="BC38" i="9"/>
  <c r="BX37" i="9"/>
  <c r="BH37" i="9"/>
  <c r="BT37" i="9"/>
  <c r="BD37" i="9"/>
  <c r="BY36" i="9"/>
  <c r="BI36" i="9"/>
  <c r="BU36" i="9"/>
  <c r="BE36" i="9"/>
  <c r="BZ35" i="9"/>
  <c r="BJ35" i="9"/>
  <c r="BV35" i="9"/>
  <c r="BF35" i="9"/>
  <c r="CA34" i="9"/>
  <c r="BK34" i="9"/>
  <c r="BW34" i="9"/>
  <c r="BG34" i="9"/>
  <c r="BS34" i="9"/>
  <c r="BC34" i="9"/>
  <c r="BX33" i="9"/>
  <c r="BH33" i="9"/>
  <c r="BT33" i="9"/>
  <c r="BD33" i="9"/>
  <c r="BY32" i="9"/>
  <c r="BI32" i="9"/>
  <c r="BU32" i="9"/>
  <c r="BE32" i="9"/>
  <c r="BZ31" i="9"/>
  <c r="BJ31" i="9"/>
  <c r="BV31" i="9"/>
  <c r="BF31" i="9"/>
  <c r="CA30" i="9"/>
  <c r="BK30" i="9"/>
  <c r="BW30" i="9"/>
  <c r="BG30" i="9"/>
  <c r="BS30" i="9"/>
  <c r="BC30" i="9"/>
  <c r="BX29" i="9"/>
  <c r="BH29" i="9"/>
  <c r="BT29" i="9"/>
  <c r="BD29" i="9"/>
  <c r="BY28" i="9"/>
  <c r="BI28" i="9"/>
  <c r="BU28" i="9"/>
  <c r="BE28" i="9"/>
  <c r="BZ27" i="9"/>
  <c r="BJ27" i="9"/>
  <c r="BV27" i="9"/>
  <c r="BF27" i="9"/>
  <c r="CA26" i="9"/>
  <c r="BK26" i="9"/>
  <c r="BW26" i="9"/>
  <c r="BG26" i="9"/>
  <c r="BS26" i="9"/>
  <c r="BC26" i="9"/>
  <c r="BX25" i="9"/>
  <c r="BH25" i="9"/>
  <c r="BT25" i="9"/>
  <c r="BD25" i="9"/>
  <c r="BY24" i="9"/>
  <c r="BI24" i="9"/>
  <c r="BU24" i="9"/>
  <c r="BE24" i="9"/>
  <c r="BZ23" i="9"/>
  <c r="BJ23" i="9"/>
  <c r="BV23" i="9"/>
  <c r="BF23" i="9"/>
  <c r="CA22" i="9"/>
  <c r="BK22" i="9"/>
  <c r="BW22" i="9"/>
  <c r="BG22" i="9"/>
  <c r="BS22" i="9"/>
  <c r="BC22" i="9"/>
  <c r="BX21" i="9"/>
  <c r="BH21" i="9"/>
  <c r="BT21" i="9"/>
  <c r="BD21" i="9"/>
  <c r="BY20" i="9"/>
  <c r="BI20" i="9"/>
  <c r="BU20" i="9"/>
  <c r="BE20" i="9"/>
  <c r="BZ19" i="9"/>
  <c r="BJ19" i="9"/>
  <c r="BV19" i="9"/>
  <c r="BF19" i="9"/>
  <c r="CA18" i="9"/>
  <c r="BK18" i="9"/>
  <c r="BW18" i="9"/>
  <c r="BG18" i="9"/>
  <c r="BC18" i="9"/>
  <c r="BX17" i="9"/>
  <c r="BH17" i="9"/>
  <c r="BT17" i="9"/>
  <c r="BD17" i="9"/>
  <c r="BY16" i="9"/>
  <c r="BI16" i="9"/>
  <c r="BU16" i="9"/>
  <c r="BE16" i="9"/>
  <c r="BK63" i="9"/>
  <c r="BG63" i="9"/>
  <c r="BC63" i="9"/>
  <c r="BH62" i="9"/>
  <c r="BD62" i="9"/>
  <c r="BI61" i="9"/>
  <c r="BE61" i="9"/>
  <c r="BJ60" i="9"/>
  <c r="BF60" i="9"/>
  <c r="BK59" i="9"/>
  <c r="BG59" i="9"/>
  <c r="BC59" i="9"/>
  <c r="BH58" i="9"/>
  <c r="BD58" i="9"/>
  <c r="BI57" i="9"/>
  <c r="BE57" i="9"/>
  <c r="BJ56" i="9"/>
  <c r="BF56" i="9"/>
  <c r="BK55" i="9"/>
  <c r="BG55" i="9"/>
  <c r="BC55" i="9"/>
  <c r="BH54" i="9"/>
  <c r="BD54" i="9"/>
  <c r="BI53" i="9"/>
  <c r="BE53" i="9"/>
  <c r="BJ52" i="9"/>
  <c r="BF52" i="9"/>
  <c r="BK51" i="9"/>
  <c r="BG51" i="9"/>
  <c r="BC51" i="9"/>
  <c r="BH50" i="9"/>
  <c r="BD50" i="9"/>
  <c r="BI49" i="9"/>
  <c r="BE49" i="9"/>
  <c r="BJ48" i="9"/>
  <c r="BF48" i="9"/>
  <c r="BK47" i="9"/>
  <c r="BW49" i="9"/>
  <c r="BS49" i="9"/>
  <c r="BX48" i="9"/>
  <c r="BT48" i="9"/>
  <c r="BY47" i="9"/>
  <c r="BU47" i="9"/>
  <c r="BE47" i="9"/>
  <c r="BZ46" i="9"/>
  <c r="BJ46" i="9"/>
  <c r="BV46" i="9"/>
  <c r="BF46" i="9"/>
  <c r="CA45" i="9"/>
  <c r="BK45" i="9"/>
  <c r="BW45" i="9"/>
  <c r="BG45" i="9"/>
  <c r="BS45" i="9"/>
  <c r="BC45" i="9"/>
  <c r="BX44" i="9"/>
  <c r="BH44" i="9"/>
  <c r="BT44" i="9"/>
  <c r="BD44" i="9"/>
  <c r="BY43" i="9"/>
  <c r="BI43" i="9"/>
  <c r="BU43" i="9"/>
  <c r="BE43" i="9"/>
  <c r="BZ42" i="9"/>
  <c r="BJ42" i="9"/>
  <c r="BV42" i="9"/>
  <c r="BF42" i="9"/>
  <c r="CA41" i="9"/>
  <c r="BK41" i="9"/>
  <c r="BW41" i="9"/>
  <c r="BG41" i="9"/>
  <c r="BS41" i="9"/>
  <c r="BC41" i="9"/>
  <c r="BX40" i="9"/>
  <c r="BH40" i="9"/>
  <c r="BT40" i="9"/>
  <c r="BD40" i="9"/>
  <c r="BY39" i="9"/>
  <c r="BI39" i="9"/>
  <c r="BU39" i="9"/>
  <c r="BE39" i="9"/>
  <c r="BZ38" i="9"/>
  <c r="BJ38" i="9"/>
  <c r="BV38" i="9"/>
  <c r="BF38" i="9"/>
  <c r="CA37" i="9"/>
  <c r="BK37" i="9"/>
  <c r="BW37" i="9"/>
  <c r="BG37" i="9"/>
  <c r="BS37" i="9"/>
  <c r="BC37" i="9"/>
  <c r="BX36" i="9"/>
  <c r="BH36" i="9"/>
  <c r="BT36" i="9"/>
  <c r="BD36" i="9"/>
  <c r="BY35" i="9"/>
  <c r="BI35" i="9"/>
  <c r="BU35" i="9"/>
  <c r="BE35" i="9"/>
  <c r="BZ34" i="9"/>
  <c r="BJ34" i="9"/>
  <c r="BV34" i="9"/>
  <c r="BF34" i="9"/>
  <c r="CA33" i="9"/>
  <c r="BK33" i="9"/>
  <c r="BW33" i="9"/>
  <c r="BG33" i="9"/>
  <c r="BS33" i="9"/>
  <c r="BC33" i="9"/>
  <c r="BX32" i="9"/>
  <c r="BH32" i="9"/>
  <c r="BT32" i="9"/>
  <c r="BD32" i="9"/>
  <c r="BY31" i="9"/>
  <c r="BI31" i="9"/>
  <c r="BU31" i="9"/>
  <c r="BE31" i="9"/>
  <c r="BZ30" i="9"/>
  <c r="BJ30" i="9"/>
  <c r="BV30" i="9"/>
  <c r="BF30" i="9"/>
  <c r="CA29" i="9"/>
  <c r="BK29" i="9"/>
  <c r="BW29" i="9"/>
  <c r="BG29" i="9"/>
  <c r="BS29" i="9"/>
  <c r="BC29" i="9"/>
  <c r="BX28" i="9"/>
  <c r="BH28" i="9"/>
  <c r="BT28" i="9"/>
  <c r="BD28" i="9"/>
  <c r="BY27" i="9"/>
  <c r="BI27" i="9"/>
  <c r="BU27" i="9"/>
  <c r="BE27" i="9"/>
  <c r="BZ26" i="9"/>
  <c r="BJ26" i="9"/>
  <c r="BV26" i="9"/>
  <c r="BF26" i="9"/>
  <c r="CA25" i="9"/>
  <c r="BK25" i="9"/>
  <c r="BW25" i="9"/>
  <c r="BG25" i="9"/>
  <c r="BS25" i="9"/>
  <c r="BC25" i="9"/>
  <c r="BX24" i="9"/>
  <c r="BH24" i="9"/>
  <c r="BT24" i="9"/>
  <c r="BD24" i="9"/>
  <c r="BY23" i="9"/>
  <c r="BI23" i="9"/>
  <c r="BU23" i="9"/>
  <c r="BE23" i="9"/>
  <c r="BZ22" i="9"/>
  <c r="BJ22" i="9"/>
  <c r="BV22" i="9"/>
  <c r="BF22" i="9"/>
  <c r="CA21" i="9"/>
  <c r="BK21" i="9"/>
  <c r="BW21" i="9"/>
  <c r="BG21" i="9"/>
  <c r="BS21" i="9"/>
  <c r="BC21" i="9"/>
  <c r="BX20" i="9"/>
  <c r="BH20" i="9"/>
  <c r="BT20" i="9"/>
  <c r="BD20" i="9"/>
  <c r="BY19" i="9"/>
  <c r="BI19" i="9"/>
  <c r="BU19" i="9"/>
  <c r="BE19" i="9"/>
  <c r="BZ18" i="9"/>
  <c r="BJ18" i="9"/>
  <c r="BV18" i="9"/>
  <c r="BF18" i="9"/>
  <c r="CA17" i="9"/>
  <c r="BK17" i="9"/>
  <c r="BW17" i="9"/>
  <c r="BG17" i="9"/>
  <c r="BS17" i="9"/>
  <c r="BC17" i="9"/>
  <c r="BX16" i="9"/>
  <c r="BH16" i="9"/>
  <c r="BT16" i="9"/>
  <c r="BD16" i="9"/>
  <c r="BH69" i="9"/>
  <c r="BD69" i="9"/>
  <c r="BI68" i="9"/>
  <c r="BE68" i="9"/>
  <c r="BJ67" i="9"/>
  <c r="BF67" i="9"/>
  <c r="BK66" i="9"/>
  <c r="BG66" i="9"/>
  <c r="BC66" i="9"/>
  <c r="BH65" i="9"/>
  <c r="BD65" i="9"/>
  <c r="BI64" i="9"/>
  <c r="BE64" i="9"/>
  <c r="BJ63" i="9"/>
  <c r="BF63" i="9"/>
  <c r="BK62" i="9"/>
  <c r="BG62" i="9"/>
  <c r="BC62" i="9"/>
  <c r="BH61" i="9"/>
  <c r="BD61" i="9"/>
  <c r="BI60" i="9"/>
  <c r="BE60" i="9"/>
  <c r="BJ59" i="9"/>
  <c r="BF59" i="9"/>
  <c r="BK58" i="9"/>
  <c r="BG58" i="9"/>
  <c r="BC58" i="9"/>
  <c r="BH57" i="9"/>
  <c r="BD57" i="9"/>
  <c r="BI56" i="9"/>
  <c r="BE56" i="9"/>
  <c r="BJ55" i="9"/>
  <c r="BF55" i="9"/>
  <c r="BK54" i="9"/>
  <c r="BG54" i="9"/>
  <c r="BC54" i="9"/>
  <c r="BH53" i="9"/>
  <c r="BD53" i="9"/>
  <c r="BI52" i="9"/>
  <c r="BE52" i="9"/>
  <c r="BJ51" i="9"/>
  <c r="BF51" i="9"/>
  <c r="BK50" i="9"/>
  <c r="BG50" i="9"/>
  <c r="BC50" i="9"/>
  <c r="BH49" i="9"/>
  <c r="BD49" i="9"/>
  <c r="BI48" i="9"/>
  <c r="BE48" i="9"/>
  <c r="BJ47" i="9"/>
  <c r="BS51" i="8"/>
  <c r="BX50" i="8"/>
  <c r="CA43" i="8"/>
  <c r="BW43" i="8"/>
  <c r="BZ36" i="8"/>
  <c r="BV36" i="8"/>
  <c r="BY29" i="8"/>
  <c r="BU29" i="8"/>
  <c r="BX22" i="8"/>
  <c r="BT22" i="8"/>
  <c r="CL31" i="8"/>
  <c r="CM31" i="8" s="1"/>
  <c r="BC94" i="8"/>
  <c r="BS94" i="8"/>
  <c r="BI92" i="8"/>
  <c r="BY92" i="8"/>
  <c r="BF91" i="8"/>
  <c r="BV91" i="8"/>
  <c r="BH89" i="8"/>
  <c r="BX89" i="8"/>
  <c r="BE88" i="8"/>
  <c r="BU88" i="8"/>
  <c r="BH85" i="8"/>
  <c r="BX85" i="8"/>
  <c r="CA82" i="8"/>
  <c r="BK82" i="8"/>
  <c r="BV79" i="8"/>
  <c r="BF79" i="8"/>
  <c r="BX77" i="8"/>
  <c r="BH77" i="8"/>
  <c r="BZ75" i="8"/>
  <c r="BJ75" i="8"/>
  <c r="BT73" i="8"/>
  <c r="BD73" i="8"/>
  <c r="BV71" i="8"/>
  <c r="BF71" i="8"/>
  <c r="BX69" i="8"/>
  <c r="BH69" i="8"/>
  <c r="BV67" i="8"/>
  <c r="BF67" i="8"/>
  <c r="BT65" i="8"/>
  <c r="BD65" i="8"/>
  <c r="BZ63" i="8"/>
  <c r="BJ63" i="8"/>
  <c r="BS62" i="8"/>
  <c r="BC62" i="8"/>
  <c r="BX61" i="8"/>
  <c r="BH61" i="8"/>
  <c r="CA98" i="8"/>
  <c r="BK98" i="8"/>
  <c r="BS98" i="8"/>
  <c r="BC98" i="8"/>
  <c r="BD97" i="8"/>
  <c r="BT97" i="8"/>
  <c r="BE96" i="8"/>
  <c r="BU96" i="8"/>
  <c r="BF95" i="8"/>
  <c r="BV95" i="8"/>
  <c r="BG94" i="8"/>
  <c r="BW94" i="8"/>
  <c r="BD93" i="8"/>
  <c r="BT93" i="8"/>
  <c r="BJ91" i="8"/>
  <c r="BZ91" i="8"/>
  <c r="BG90" i="8"/>
  <c r="BW90" i="8"/>
  <c r="BI88" i="8"/>
  <c r="BY88" i="8"/>
  <c r="BK86" i="8"/>
  <c r="CA86" i="8"/>
  <c r="BG86" i="8"/>
  <c r="BW86" i="8"/>
  <c r="BD85" i="8"/>
  <c r="BT85" i="8"/>
  <c r="BZ83" i="8"/>
  <c r="BJ83" i="8"/>
  <c r="BX81" i="8"/>
  <c r="BH81" i="8"/>
  <c r="BZ79" i="8"/>
  <c r="BJ79" i="8"/>
  <c r="BS78" i="8"/>
  <c r="BC78" i="8"/>
  <c r="BU76" i="8"/>
  <c r="BE76" i="8"/>
  <c r="BS74" i="8"/>
  <c r="BC74" i="8"/>
  <c r="BU72" i="8"/>
  <c r="BE72" i="8"/>
  <c r="CA70" i="8"/>
  <c r="BK70" i="8"/>
  <c r="BT69" i="8"/>
  <c r="BD69" i="8"/>
  <c r="BZ67" i="8"/>
  <c r="BJ67" i="8"/>
  <c r="BW66" i="8"/>
  <c r="BG66" i="8"/>
  <c r="BY64" i="8"/>
  <c r="BI64" i="8"/>
  <c r="CA62" i="8"/>
  <c r="BK62" i="8"/>
  <c r="BT61" i="8"/>
  <c r="BD61" i="8"/>
  <c r="BY99" i="8"/>
  <c r="BI99" i="8"/>
  <c r="BU99" i="8"/>
  <c r="BE99" i="8"/>
  <c r="BZ98" i="8"/>
  <c r="BJ98" i="8"/>
  <c r="BV98" i="8"/>
  <c r="BF98" i="8"/>
  <c r="CA97" i="8"/>
  <c r="BK97" i="8"/>
  <c r="BW97" i="8"/>
  <c r="BG97" i="8"/>
  <c r="BS97" i="8"/>
  <c r="BC97" i="8"/>
  <c r="BX96" i="8"/>
  <c r="BH96" i="8"/>
  <c r="BT96" i="8"/>
  <c r="BD96" i="8"/>
  <c r="BY95" i="8"/>
  <c r="BI95" i="8"/>
  <c r="BU95" i="8"/>
  <c r="BE95" i="8"/>
  <c r="BZ94" i="8"/>
  <c r="BJ94" i="8"/>
  <c r="BV94" i="8"/>
  <c r="BF94" i="8"/>
  <c r="CA93" i="8"/>
  <c r="BK93" i="8"/>
  <c r="BW93" i="8"/>
  <c r="BG93" i="8"/>
  <c r="BS93" i="8"/>
  <c r="BC93" i="8"/>
  <c r="BX92" i="8"/>
  <c r="BH92" i="8"/>
  <c r="BT92" i="8"/>
  <c r="BD92" i="8"/>
  <c r="BY91" i="8"/>
  <c r="BI91" i="8"/>
  <c r="BU91" i="8"/>
  <c r="BE91" i="8"/>
  <c r="BZ90" i="8"/>
  <c r="BJ90" i="8"/>
  <c r="BV90" i="8"/>
  <c r="BF90" i="8"/>
  <c r="CA89" i="8"/>
  <c r="BK89" i="8"/>
  <c r="BW89" i="8"/>
  <c r="BG89" i="8"/>
  <c r="BS89" i="8"/>
  <c r="BC89" i="8"/>
  <c r="BX88" i="8"/>
  <c r="BH88" i="8"/>
  <c r="BT88" i="8"/>
  <c r="BD88" i="8"/>
  <c r="BY87" i="8"/>
  <c r="BI87" i="8"/>
  <c r="BU87" i="8"/>
  <c r="BE87" i="8"/>
  <c r="BZ86" i="8"/>
  <c r="BJ86" i="8"/>
  <c r="BV86" i="8"/>
  <c r="BF86" i="8"/>
  <c r="CA85" i="8"/>
  <c r="BK85" i="8"/>
  <c r="BW85" i="8"/>
  <c r="BG85" i="8"/>
  <c r="BS85" i="8"/>
  <c r="BC85" i="8"/>
  <c r="BX84" i="8"/>
  <c r="BH84" i="8"/>
  <c r="BT84" i="8"/>
  <c r="BD84" i="8"/>
  <c r="BY83" i="8"/>
  <c r="BI83" i="8"/>
  <c r="BU83" i="8"/>
  <c r="BE83" i="8"/>
  <c r="BZ82" i="8"/>
  <c r="BJ82" i="8"/>
  <c r="BV82" i="8"/>
  <c r="BF82" i="8"/>
  <c r="CA81" i="8"/>
  <c r="BK81" i="8"/>
  <c r="BW81" i="8"/>
  <c r="BG81" i="8"/>
  <c r="BS81" i="8"/>
  <c r="BC81" i="8"/>
  <c r="BX80" i="8"/>
  <c r="BH80" i="8"/>
  <c r="BT80" i="8"/>
  <c r="BD80" i="8"/>
  <c r="BY79" i="8"/>
  <c r="BI79" i="8"/>
  <c r="BU79" i="8"/>
  <c r="BE79" i="8"/>
  <c r="BZ78" i="8"/>
  <c r="BJ78" i="8"/>
  <c r="BV78" i="8"/>
  <c r="BF78" i="8"/>
  <c r="CA77" i="8"/>
  <c r="BK77" i="8"/>
  <c r="BW77" i="8"/>
  <c r="BG77" i="8"/>
  <c r="BS77" i="8"/>
  <c r="BC77" i="8"/>
  <c r="BX76" i="8"/>
  <c r="BH76" i="8"/>
  <c r="BT76" i="8"/>
  <c r="BD76" i="8"/>
  <c r="BY75" i="8"/>
  <c r="BI75" i="8"/>
  <c r="BU75" i="8"/>
  <c r="BE75" i="8"/>
  <c r="BZ74" i="8"/>
  <c r="BJ74" i="8"/>
  <c r="BV74" i="8"/>
  <c r="BF74" i="8"/>
  <c r="CA73" i="8"/>
  <c r="BK73" i="8"/>
  <c r="BW73" i="8"/>
  <c r="BG73" i="8"/>
  <c r="BS73" i="8"/>
  <c r="BC73" i="8"/>
  <c r="BX72" i="8"/>
  <c r="BH72" i="8"/>
  <c r="BT72" i="8"/>
  <c r="BD72" i="8"/>
  <c r="BY71" i="8"/>
  <c r="BI71" i="8"/>
  <c r="BU71" i="8"/>
  <c r="BE71" i="8"/>
  <c r="BZ70" i="8"/>
  <c r="BJ70" i="8"/>
  <c r="BV70" i="8"/>
  <c r="BF70" i="8"/>
  <c r="CA69" i="8"/>
  <c r="BK69" i="8"/>
  <c r="BW69" i="8"/>
  <c r="BG69" i="8"/>
  <c r="BS69" i="8"/>
  <c r="BC69" i="8"/>
  <c r="BX68" i="8"/>
  <c r="BH68" i="8"/>
  <c r="BT68" i="8"/>
  <c r="BD68" i="8"/>
  <c r="BY67" i="8"/>
  <c r="BI67" i="8"/>
  <c r="BU67" i="8"/>
  <c r="BE67" i="8"/>
  <c r="BZ66" i="8"/>
  <c r="BJ66" i="8"/>
  <c r="BV66" i="8"/>
  <c r="BF66" i="8"/>
  <c r="CA65" i="8"/>
  <c r="BK65" i="8"/>
  <c r="BW65" i="8"/>
  <c r="BG65" i="8"/>
  <c r="BS65" i="8"/>
  <c r="BC65" i="8"/>
  <c r="BX64" i="8"/>
  <c r="BH64" i="8"/>
  <c r="BT64" i="8"/>
  <c r="BD64" i="8"/>
  <c r="BY63" i="8"/>
  <c r="BI63" i="8"/>
  <c r="BU63" i="8"/>
  <c r="BE63" i="8"/>
  <c r="BZ62" i="8"/>
  <c r="BJ62" i="8"/>
  <c r="BV62" i="8"/>
  <c r="BF62" i="8"/>
  <c r="CA61" i="8"/>
  <c r="BK61" i="8"/>
  <c r="BW61" i="8"/>
  <c r="BG61" i="8"/>
  <c r="BS61" i="8"/>
  <c r="BC61" i="8"/>
  <c r="BX60" i="8"/>
  <c r="BH60" i="8"/>
  <c r="BT60" i="8"/>
  <c r="BD60" i="8"/>
  <c r="BV99" i="8"/>
  <c r="BF99" i="8"/>
  <c r="BC90" i="8"/>
  <c r="BS90" i="8"/>
  <c r="BJ87" i="8"/>
  <c r="BZ87" i="8"/>
  <c r="BU84" i="8"/>
  <c r="BE84" i="8"/>
  <c r="BW82" i="8"/>
  <c r="BG82" i="8"/>
  <c r="BT81" i="8"/>
  <c r="BD81" i="8"/>
  <c r="BU80" i="8"/>
  <c r="BE80" i="8"/>
  <c r="BW78" i="8"/>
  <c r="BG78" i="8"/>
  <c r="BT77" i="8"/>
  <c r="BD77" i="8"/>
  <c r="BV75" i="8"/>
  <c r="BF75" i="8"/>
  <c r="BX73" i="8"/>
  <c r="BH73" i="8"/>
  <c r="BZ71" i="8"/>
  <c r="BJ71" i="8"/>
  <c r="BS70" i="8"/>
  <c r="BC70" i="8"/>
  <c r="BU68" i="8"/>
  <c r="BE68" i="8"/>
  <c r="CA66" i="8"/>
  <c r="BK66" i="8"/>
  <c r="BX65" i="8"/>
  <c r="BH65" i="8"/>
  <c r="BV63" i="8"/>
  <c r="BF63" i="8"/>
  <c r="BY60" i="8"/>
  <c r="BI60" i="8"/>
  <c r="BH99" i="8"/>
  <c r="BX99" i="8"/>
  <c r="BT99" i="8"/>
  <c r="BD99" i="8"/>
  <c r="BY98" i="8"/>
  <c r="BI98" i="8"/>
  <c r="BE98" i="8"/>
  <c r="BU98" i="8"/>
  <c r="BJ97" i="8"/>
  <c r="BZ97" i="8"/>
  <c r="BV97" i="8"/>
  <c r="BF97" i="8"/>
  <c r="CA96" i="8"/>
  <c r="BK96" i="8"/>
  <c r="BG96" i="8"/>
  <c r="BW96" i="8"/>
  <c r="BC96" i="8"/>
  <c r="BS96" i="8"/>
  <c r="BX95" i="8"/>
  <c r="BH95" i="8"/>
  <c r="BT95" i="8"/>
  <c r="BD95" i="8"/>
  <c r="BI94" i="8"/>
  <c r="BY94" i="8"/>
  <c r="BE94" i="8"/>
  <c r="BU94" i="8"/>
  <c r="BZ93" i="8"/>
  <c r="BJ93" i="8"/>
  <c r="BV93" i="8"/>
  <c r="BF93" i="8"/>
  <c r="BK92" i="8"/>
  <c r="CA92" i="8"/>
  <c r="BG92" i="8"/>
  <c r="BW92" i="8"/>
  <c r="BS92" i="8"/>
  <c r="BC92" i="8"/>
  <c r="BX91" i="8"/>
  <c r="BH91" i="8"/>
  <c r="BD91" i="8"/>
  <c r="BT91" i="8"/>
  <c r="BI90" i="8"/>
  <c r="BY90" i="8"/>
  <c r="BU90" i="8"/>
  <c r="BE90" i="8"/>
  <c r="BZ89" i="8"/>
  <c r="BJ89" i="8"/>
  <c r="BF89" i="8"/>
  <c r="BV89" i="8"/>
  <c r="BK88" i="8"/>
  <c r="CA88" i="8"/>
  <c r="BW88" i="8"/>
  <c r="BG88" i="8"/>
  <c r="BS88" i="8"/>
  <c r="BC88" i="8"/>
  <c r="BH87" i="8"/>
  <c r="BX87" i="8"/>
  <c r="BD87" i="8"/>
  <c r="BT87" i="8"/>
  <c r="BY86" i="8"/>
  <c r="BI86" i="8"/>
  <c r="BU86" i="8"/>
  <c r="BE86" i="8"/>
  <c r="BJ85" i="8"/>
  <c r="BZ85" i="8"/>
  <c r="BF85" i="8"/>
  <c r="BV85" i="8"/>
  <c r="CA84" i="8"/>
  <c r="BK84" i="8"/>
  <c r="BW84" i="8"/>
  <c r="BG84" i="8"/>
  <c r="BS84" i="8"/>
  <c r="BC84" i="8"/>
  <c r="BX83" i="8"/>
  <c r="BH83" i="8"/>
  <c r="BT83" i="8"/>
  <c r="BD83" i="8"/>
  <c r="BY82" i="8"/>
  <c r="BI82" i="8"/>
  <c r="BU82" i="8"/>
  <c r="BE82" i="8"/>
  <c r="BZ81" i="8"/>
  <c r="BJ81" i="8"/>
  <c r="BV81" i="8"/>
  <c r="BF81" i="8"/>
  <c r="CA80" i="8"/>
  <c r="BK80" i="8"/>
  <c r="BW80" i="8"/>
  <c r="BG80" i="8"/>
  <c r="BS80" i="8"/>
  <c r="BC80" i="8"/>
  <c r="BX79" i="8"/>
  <c r="BH79" i="8"/>
  <c r="BT79" i="8"/>
  <c r="BD79" i="8"/>
  <c r="BY78" i="8"/>
  <c r="BI78" i="8"/>
  <c r="BU78" i="8"/>
  <c r="BE78" i="8"/>
  <c r="BZ77" i="8"/>
  <c r="BJ77" i="8"/>
  <c r="BV77" i="8"/>
  <c r="BF77" i="8"/>
  <c r="CA76" i="8"/>
  <c r="BK76" i="8"/>
  <c r="BW76" i="8"/>
  <c r="BG76" i="8"/>
  <c r="BS76" i="8"/>
  <c r="BC76" i="8"/>
  <c r="BX75" i="8"/>
  <c r="BH75" i="8"/>
  <c r="BT75" i="8"/>
  <c r="BD75" i="8"/>
  <c r="BY74" i="8"/>
  <c r="BI74" i="8"/>
  <c r="BU74" i="8"/>
  <c r="BE74" i="8"/>
  <c r="BZ73" i="8"/>
  <c r="BJ73" i="8"/>
  <c r="BV73" i="8"/>
  <c r="BF73" i="8"/>
  <c r="CA72" i="8"/>
  <c r="BK72" i="8"/>
  <c r="BW72" i="8"/>
  <c r="BG72" i="8"/>
  <c r="BS72" i="8"/>
  <c r="BC72" i="8"/>
  <c r="BX71" i="8"/>
  <c r="BH71" i="8"/>
  <c r="BT71" i="8"/>
  <c r="BD71" i="8"/>
  <c r="BY70" i="8"/>
  <c r="BI70" i="8"/>
  <c r="BU70" i="8"/>
  <c r="BE70" i="8"/>
  <c r="BZ69" i="8"/>
  <c r="BJ69" i="8"/>
  <c r="BV69" i="8"/>
  <c r="BF69" i="8"/>
  <c r="CA68" i="8"/>
  <c r="BK68" i="8"/>
  <c r="BW68" i="8"/>
  <c r="BG68" i="8"/>
  <c r="BS68" i="8"/>
  <c r="BC68" i="8"/>
  <c r="BX67" i="8"/>
  <c r="BH67" i="8"/>
  <c r="BT67" i="8"/>
  <c r="BD67" i="8"/>
  <c r="BY66" i="8"/>
  <c r="BI66" i="8"/>
  <c r="BU66" i="8"/>
  <c r="BE66" i="8"/>
  <c r="BZ65" i="8"/>
  <c r="BJ65" i="8"/>
  <c r="BV65" i="8"/>
  <c r="BF65" i="8"/>
  <c r="CA64" i="8"/>
  <c r="BK64" i="8"/>
  <c r="BW64" i="8"/>
  <c r="BG64" i="8"/>
  <c r="BS64" i="8"/>
  <c r="BC64" i="8"/>
  <c r="BX63" i="8"/>
  <c r="BH63" i="8"/>
  <c r="BT63" i="8"/>
  <c r="BD63" i="8"/>
  <c r="BY62" i="8"/>
  <c r="BI62" i="8"/>
  <c r="BU62" i="8"/>
  <c r="BE62" i="8"/>
  <c r="BZ61" i="8"/>
  <c r="BJ61" i="8"/>
  <c r="BV61" i="8"/>
  <c r="BF61" i="8"/>
  <c r="CA60" i="8"/>
  <c r="BK60" i="8"/>
  <c r="BW60" i="8"/>
  <c r="BG60" i="8"/>
  <c r="BS60" i="8"/>
  <c r="BC60" i="8"/>
  <c r="BX59" i="8"/>
  <c r="BT59" i="8"/>
  <c r="BY58" i="8"/>
  <c r="BU58" i="8"/>
  <c r="BZ57" i="8"/>
  <c r="BZ99" i="8"/>
  <c r="BJ99" i="8"/>
  <c r="BW98" i="8"/>
  <c r="BG98" i="8"/>
  <c r="BX97" i="8"/>
  <c r="BH97" i="8"/>
  <c r="BI96" i="8"/>
  <c r="BY96" i="8"/>
  <c r="BJ95" i="8"/>
  <c r="BZ95" i="8"/>
  <c r="BK94" i="8"/>
  <c r="CA94" i="8"/>
  <c r="BH93" i="8"/>
  <c r="BX93" i="8"/>
  <c r="BE92" i="8"/>
  <c r="BU92" i="8"/>
  <c r="BK90" i="8"/>
  <c r="CA90" i="8"/>
  <c r="BD89" i="8"/>
  <c r="BT89" i="8"/>
  <c r="BF87" i="8"/>
  <c r="BV87" i="8"/>
  <c r="BC86" i="8"/>
  <c r="BS86" i="8"/>
  <c r="BI84" i="8"/>
  <c r="BY84" i="8"/>
  <c r="BV83" i="8"/>
  <c r="BF83" i="8"/>
  <c r="BS82" i="8"/>
  <c r="BC82" i="8"/>
  <c r="BY80" i="8"/>
  <c r="BI80" i="8"/>
  <c r="CA78" i="8"/>
  <c r="BK78" i="8"/>
  <c r="BY76" i="8"/>
  <c r="BI76" i="8"/>
  <c r="CA74" i="8"/>
  <c r="BK74" i="8"/>
  <c r="BW74" i="8"/>
  <c r="BG74" i="8"/>
  <c r="BY72" i="8"/>
  <c r="BI72" i="8"/>
  <c r="BW70" i="8"/>
  <c r="BG70" i="8"/>
  <c r="BY68" i="8"/>
  <c r="BI68" i="8"/>
  <c r="BS66" i="8"/>
  <c r="BC66" i="8"/>
  <c r="BU64" i="8"/>
  <c r="BE64" i="8"/>
  <c r="BW62" i="8"/>
  <c r="BG62" i="8"/>
  <c r="BU60" i="8"/>
  <c r="BE60" i="8"/>
  <c r="CA99" i="8"/>
  <c r="BK99" i="8"/>
  <c r="BW99" i="8"/>
  <c r="BG99" i="8"/>
  <c r="BS99" i="8"/>
  <c r="BC99" i="8"/>
  <c r="BX98" i="8"/>
  <c r="BH98" i="8"/>
  <c r="BT98" i="8"/>
  <c r="BD98" i="8"/>
  <c r="BY97" i="8"/>
  <c r="BI97" i="8"/>
  <c r="BU97" i="8"/>
  <c r="BE97" i="8"/>
  <c r="BZ96" i="8"/>
  <c r="BJ96" i="8"/>
  <c r="BV96" i="8"/>
  <c r="BF96" i="8"/>
  <c r="CA95" i="8"/>
  <c r="BK95" i="8"/>
  <c r="BW95" i="8"/>
  <c r="BG95" i="8"/>
  <c r="BS95" i="8"/>
  <c r="BC95" i="8"/>
  <c r="BX94" i="8"/>
  <c r="BH94" i="8"/>
  <c r="BT94" i="8"/>
  <c r="BD94" i="8"/>
  <c r="BY93" i="8"/>
  <c r="BI93" i="8"/>
  <c r="BU93" i="8"/>
  <c r="BE93" i="8"/>
  <c r="BZ92" i="8"/>
  <c r="BJ92" i="8"/>
  <c r="BV92" i="8"/>
  <c r="BF92" i="8"/>
  <c r="CA91" i="8"/>
  <c r="BK91" i="8"/>
  <c r="BW91" i="8"/>
  <c r="BG91" i="8"/>
  <c r="BS91" i="8"/>
  <c r="BC91" i="8"/>
  <c r="BX90" i="8"/>
  <c r="BH90" i="8"/>
  <c r="BT90" i="8"/>
  <c r="BD90" i="8"/>
  <c r="BY89" i="8"/>
  <c r="BI89" i="8"/>
  <c r="BU89" i="8"/>
  <c r="BE89" i="8"/>
  <c r="BZ88" i="8"/>
  <c r="BJ88" i="8"/>
  <c r="BV88" i="8"/>
  <c r="BF88" i="8"/>
  <c r="CA87" i="8"/>
  <c r="BK87" i="8"/>
  <c r="BW87" i="8"/>
  <c r="BG87" i="8"/>
  <c r="BS87" i="8"/>
  <c r="BC87" i="8"/>
  <c r="BX86" i="8"/>
  <c r="BH86" i="8"/>
  <c r="BT86" i="8"/>
  <c r="BD86" i="8"/>
  <c r="BY85" i="8"/>
  <c r="BI85" i="8"/>
  <c r="BU85" i="8"/>
  <c r="BE85" i="8"/>
  <c r="BZ84" i="8"/>
  <c r="BJ84" i="8"/>
  <c r="BV84" i="8"/>
  <c r="BF84" i="8"/>
  <c r="CA83" i="8"/>
  <c r="BK83" i="8"/>
  <c r="BW83" i="8"/>
  <c r="BG83" i="8"/>
  <c r="BS83" i="8"/>
  <c r="BC83" i="8"/>
  <c r="BX82" i="8"/>
  <c r="BH82" i="8"/>
  <c r="BT82" i="8"/>
  <c r="BD82" i="8"/>
  <c r="BY81" i="8"/>
  <c r="BI81" i="8"/>
  <c r="BU81" i="8"/>
  <c r="BE81" i="8"/>
  <c r="BZ80" i="8"/>
  <c r="BJ80" i="8"/>
  <c r="BV80" i="8"/>
  <c r="BF80" i="8"/>
  <c r="CA79" i="8"/>
  <c r="BK79" i="8"/>
  <c r="BW79" i="8"/>
  <c r="BG79" i="8"/>
  <c r="BS79" i="8"/>
  <c r="BC79" i="8"/>
  <c r="BX78" i="8"/>
  <c r="BH78" i="8"/>
  <c r="BT78" i="8"/>
  <c r="BD78" i="8"/>
  <c r="BY77" i="8"/>
  <c r="BI77" i="8"/>
  <c r="BU77" i="8"/>
  <c r="BE77" i="8"/>
  <c r="BZ76" i="8"/>
  <c r="BJ76" i="8"/>
  <c r="BV76" i="8"/>
  <c r="BF76" i="8"/>
  <c r="CA75" i="8"/>
  <c r="BK75" i="8"/>
  <c r="BW75" i="8"/>
  <c r="BG75" i="8"/>
  <c r="BS75" i="8"/>
  <c r="BC75" i="8"/>
  <c r="BX74" i="8"/>
  <c r="BH74" i="8"/>
  <c r="BT74" i="8"/>
  <c r="BD74" i="8"/>
  <c r="BY73" i="8"/>
  <c r="BI73" i="8"/>
  <c r="BU73" i="8"/>
  <c r="BE73" i="8"/>
  <c r="BZ72" i="8"/>
  <c r="BJ72" i="8"/>
  <c r="BV72" i="8"/>
  <c r="BF72" i="8"/>
  <c r="CA71" i="8"/>
  <c r="BK71" i="8"/>
  <c r="BW71" i="8"/>
  <c r="BG71" i="8"/>
  <c r="BS71" i="8"/>
  <c r="BC71" i="8"/>
  <c r="BX70" i="8"/>
  <c r="BH70" i="8"/>
  <c r="BT70" i="8"/>
  <c r="BD70" i="8"/>
  <c r="BY69" i="8"/>
  <c r="BI69" i="8"/>
  <c r="BU69" i="8"/>
  <c r="BE69" i="8"/>
  <c r="BZ68" i="8"/>
  <c r="BJ68" i="8"/>
  <c r="BV68" i="8"/>
  <c r="BF68" i="8"/>
  <c r="CA67" i="8"/>
  <c r="BK67" i="8"/>
  <c r="BW67" i="8"/>
  <c r="BG67" i="8"/>
  <c r="BS67" i="8"/>
  <c r="BC67" i="8"/>
  <c r="BX66" i="8"/>
  <c r="BH66" i="8"/>
  <c r="BT66" i="8"/>
  <c r="BD66" i="8"/>
  <c r="BI65" i="8"/>
  <c r="BY65" i="8"/>
  <c r="BU65" i="8"/>
  <c r="BE65" i="8"/>
  <c r="BZ64" i="8"/>
  <c r="BJ64" i="8"/>
  <c r="BV64" i="8"/>
  <c r="BF64" i="8"/>
  <c r="BK63" i="8"/>
  <c r="CA63" i="8"/>
  <c r="BW63" i="8"/>
  <c r="BG63" i="8"/>
  <c r="BS63" i="8"/>
  <c r="BC63" i="8"/>
  <c r="BX62" i="8"/>
  <c r="BH62" i="8"/>
  <c r="BD62" i="8"/>
  <c r="BT62" i="8"/>
  <c r="BY61" i="8"/>
  <c r="BU61" i="8"/>
  <c r="BI61" i="8"/>
  <c r="BE61" i="8"/>
  <c r="BV57" i="8"/>
  <c r="CA56" i="8"/>
  <c r="BW56" i="8"/>
  <c r="BS56" i="8"/>
  <c r="BX55" i="8"/>
  <c r="BT55" i="8"/>
  <c r="BY54" i="8"/>
  <c r="BU54" i="8"/>
  <c r="BZ53" i="8"/>
  <c r="BV53" i="8"/>
  <c r="CA52" i="8"/>
  <c r="BW52" i="8"/>
  <c r="BS52" i="8"/>
  <c r="BX51" i="8"/>
  <c r="BT51" i="8"/>
  <c r="BY50" i="8"/>
  <c r="BU50" i="8"/>
  <c r="BZ49" i="8"/>
  <c r="BV49" i="8"/>
  <c r="CA48" i="8"/>
  <c r="BW48" i="8"/>
  <c r="BV60" i="8"/>
  <c r="BZ60" i="8"/>
  <c r="AS23" i="11"/>
  <c r="BI23" i="11" s="1"/>
  <c r="AC26" i="11"/>
  <c r="AQ20" i="11"/>
  <c r="BG20" i="11" s="1"/>
  <c r="AD16" i="11"/>
  <c r="BZ59" i="8"/>
  <c r="BH59" i="8"/>
  <c r="BJ57" i="8"/>
  <c r="BC56" i="8"/>
  <c r="BE54" i="8"/>
  <c r="BG52" i="8"/>
  <c r="BI50" i="8"/>
  <c r="BK48" i="8"/>
  <c r="BS58" i="8"/>
  <c r="Z15" i="11"/>
  <c r="DM15" i="12"/>
  <c r="AN22" i="11"/>
  <c r="BD22" i="11" s="1"/>
  <c r="BU56" i="8"/>
  <c r="AE15" i="11"/>
  <c r="DR15" i="12"/>
  <c r="AE22" i="11"/>
  <c r="AD19" i="11"/>
  <c r="AM15" i="11"/>
  <c r="BC15" i="11" s="1"/>
  <c r="DJ15" i="12"/>
  <c r="MB25" i="11"/>
  <c r="MH23" i="11"/>
  <c r="MV21" i="11"/>
  <c r="NL21" i="11" s="1"/>
  <c r="MP15" i="11"/>
  <c r="DK15" i="12"/>
  <c r="BX15" i="8"/>
  <c r="BS47" i="8"/>
  <c r="CA39" i="8"/>
  <c r="BH15" i="8"/>
  <c r="BI58" i="8"/>
  <c r="BK56" i="8"/>
  <c r="BD55" i="8"/>
  <c r="BF53" i="8"/>
  <c r="BH51" i="8"/>
  <c r="BJ49" i="8"/>
  <c r="BC47" i="8"/>
  <c r="BK39" i="8"/>
  <c r="BW54" i="8"/>
  <c r="AC27" i="11"/>
  <c r="Z22" i="11"/>
  <c r="MH22" i="11"/>
  <c r="MD18" i="11"/>
  <c r="ME17" i="11"/>
  <c r="MF16" i="11"/>
  <c r="KA15" i="10"/>
  <c r="KD25" i="10"/>
  <c r="KF23" i="10"/>
  <c r="JY22" i="10"/>
  <c r="KA20" i="10"/>
  <c r="KC18" i="10"/>
  <c r="KE16" i="10"/>
  <c r="JX23" i="10"/>
  <c r="MD15" i="10"/>
  <c r="EE15" i="12"/>
  <c r="ET15" i="12"/>
  <c r="EV15" i="12"/>
  <c r="EW15" i="12"/>
  <c r="EU15" i="12"/>
  <c r="MX15" i="11"/>
  <c r="OD15" i="11" s="1"/>
  <c r="MW15" i="11"/>
  <c r="NM15" i="11" s="1"/>
  <c r="MD15" i="11"/>
  <c r="MD27" i="11"/>
  <c r="MT27" i="11"/>
  <c r="MB21" i="11"/>
  <c r="MD19" i="11"/>
  <c r="MT19" i="11"/>
  <c r="MF17" i="11"/>
  <c r="MF27" i="11"/>
  <c r="MA24" i="11"/>
  <c r="MG22" i="11"/>
  <c r="MF21" i="11"/>
  <c r="MR25" i="11"/>
  <c r="MU17" i="11"/>
  <c r="MS18" i="11"/>
  <c r="MF15" i="11"/>
  <c r="MV15" i="11"/>
  <c r="MC15" i="11"/>
  <c r="MS15" i="11"/>
  <c r="MV27" i="11"/>
  <c r="MB15" i="11"/>
  <c r="MR15" i="11"/>
  <c r="MG27" i="11"/>
  <c r="MW27" i="11"/>
  <c r="MC27" i="11"/>
  <c r="MS27" i="11"/>
  <c r="MH26" i="11"/>
  <c r="MX26" i="11"/>
  <c r="MD26" i="11"/>
  <c r="MT26" i="11"/>
  <c r="LZ26" i="11"/>
  <c r="MP26" i="11"/>
  <c r="ME25" i="11"/>
  <c r="MU25" i="11"/>
  <c r="MA25" i="11"/>
  <c r="MQ25" i="11"/>
  <c r="MF24" i="11"/>
  <c r="MV24" i="11"/>
  <c r="MB24" i="11"/>
  <c r="MR24" i="11"/>
  <c r="MG23" i="11"/>
  <c r="MW23" i="11"/>
  <c r="MC23" i="11"/>
  <c r="MS23" i="11"/>
  <c r="MD22" i="11"/>
  <c r="MT22" i="11"/>
  <c r="LZ22" i="11"/>
  <c r="MP22" i="11"/>
  <c r="ME21" i="11"/>
  <c r="MU21" i="11"/>
  <c r="MA21" i="11"/>
  <c r="MQ21" i="11"/>
  <c r="MF20" i="11"/>
  <c r="MV20" i="11"/>
  <c r="MB20" i="11"/>
  <c r="MR20" i="11"/>
  <c r="MG19" i="11"/>
  <c r="MW19" i="11"/>
  <c r="MC19" i="11"/>
  <c r="MS19" i="11"/>
  <c r="MH18" i="11"/>
  <c r="MX18" i="11"/>
  <c r="MB27" i="11"/>
  <c r="MR27" i="11"/>
  <c r="MG26" i="11"/>
  <c r="MW26" i="11"/>
  <c r="MC26" i="11"/>
  <c r="MS26" i="11"/>
  <c r="MH25" i="11"/>
  <c r="MX25" i="11"/>
  <c r="MT25" i="11"/>
  <c r="MD25" i="11"/>
  <c r="MX22" i="11"/>
  <c r="LZ25" i="11"/>
  <c r="MP25" i="11"/>
  <c r="ME24" i="11"/>
  <c r="MU24" i="11"/>
  <c r="MF23" i="11"/>
  <c r="MV23" i="11"/>
  <c r="MB23" i="11"/>
  <c r="MR23" i="11"/>
  <c r="MC22" i="11"/>
  <c r="MS22" i="11"/>
  <c r="MD21" i="11"/>
  <c r="MT21" i="11"/>
  <c r="ME20" i="11"/>
  <c r="MU20" i="11"/>
  <c r="ME27" i="11"/>
  <c r="MU27" i="11"/>
  <c r="MA27" i="11"/>
  <c r="MQ27" i="11"/>
  <c r="MF26" i="11"/>
  <c r="MV26" i="11"/>
  <c r="MB26" i="11"/>
  <c r="MR26" i="11"/>
  <c r="MG25" i="11"/>
  <c r="MW25" i="11"/>
  <c r="MC25" i="11"/>
  <c r="MS25" i="11"/>
  <c r="MH24" i="11"/>
  <c r="MX24" i="11"/>
  <c r="MD24" i="11"/>
  <c r="MT24" i="11"/>
  <c r="LZ24" i="11"/>
  <c r="MP24" i="11"/>
  <c r="ME23" i="11"/>
  <c r="MU23" i="11"/>
  <c r="MA23" i="11"/>
  <c r="MQ23" i="11"/>
  <c r="MF22" i="11"/>
  <c r="MV22" i="11"/>
  <c r="MB22" i="11"/>
  <c r="MR22" i="11"/>
  <c r="MG21" i="11"/>
  <c r="MW21" i="11"/>
  <c r="NM21" i="11" s="1"/>
  <c r="MC21" i="11"/>
  <c r="MS21" i="11"/>
  <c r="MH20" i="11"/>
  <c r="MX20" i="11"/>
  <c r="MD20" i="11"/>
  <c r="MT20" i="11"/>
  <c r="LZ20" i="11"/>
  <c r="MP20" i="11"/>
  <c r="ME19" i="11"/>
  <c r="MU19" i="11"/>
  <c r="MA19" i="11"/>
  <c r="MQ19" i="11"/>
  <c r="MF18" i="11"/>
  <c r="MV18" i="11"/>
  <c r="MB18" i="11"/>
  <c r="MR18" i="11"/>
  <c r="MG17" i="11"/>
  <c r="MW17" i="11"/>
  <c r="MC17" i="11"/>
  <c r="MS17" i="11"/>
  <c r="MH16" i="11"/>
  <c r="MX16" i="11"/>
  <c r="MD16" i="11"/>
  <c r="MT16" i="11"/>
  <c r="LZ16" i="11"/>
  <c r="MP16" i="11"/>
  <c r="MQ24" i="11"/>
  <c r="MR21" i="11"/>
  <c r="MV17" i="11"/>
  <c r="MX21" i="11"/>
  <c r="MH21" i="11"/>
  <c r="LZ21" i="11"/>
  <c r="MP21" i="11"/>
  <c r="MW22" i="11"/>
  <c r="MQ15" i="11"/>
  <c r="ME15" i="11"/>
  <c r="MU15" i="11"/>
  <c r="MH27" i="11"/>
  <c r="MX27" i="11"/>
  <c r="LZ27" i="11"/>
  <c r="MP27" i="11"/>
  <c r="MU26" i="11"/>
  <c r="ME26" i="11"/>
  <c r="MA26" i="11"/>
  <c r="MQ26" i="11"/>
  <c r="MF25" i="11"/>
  <c r="MV25" i="11"/>
  <c r="MG24" i="11"/>
  <c r="MW24" i="11"/>
  <c r="MC24" i="11"/>
  <c r="MS24" i="11"/>
  <c r="MD23" i="11"/>
  <c r="MT23" i="11"/>
  <c r="MP23" i="11"/>
  <c r="LZ23" i="11"/>
  <c r="ME22" i="11"/>
  <c r="MU22" i="11"/>
  <c r="MA22" i="11"/>
  <c r="MQ22" i="11"/>
  <c r="MG20" i="11"/>
  <c r="MW20" i="11"/>
  <c r="MC20" i="11"/>
  <c r="MS20" i="11"/>
  <c r="MH19" i="11"/>
  <c r="MX19" i="11"/>
  <c r="LZ19" i="11"/>
  <c r="MP19" i="11"/>
  <c r="ME18" i="11"/>
  <c r="MU18" i="11"/>
  <c r="MQ18" i="11"/>
  <c r="MA18" i="11"/>
  <c r="MB17" i="11"/>
  <c r="MR17" i="11"/>
  <c r="MG16" i="11"/>
  <c r="MW16" i="11"/>
  <c r="MC16" i="11"/>
  <c r="MS16" i="11"/>
  <c r="MT15" i="11"/>
  <c r="MX23" i="11"/>
  <c r="LZ18" i="11"/>
  <c r="MP18" i="11"/>
  <c r="MA17" i="11"/>
  <c r="MQ17" i="11"/>
  <c r="MB16" i="11"/>
  <c r="MR16" i="11"/>
  <c r="MC18" i="11"/>
  <c r="MA20" i="11"/>
  <c r="MQ20" i="11"/>
  <c r="MF19" i="11"/>
  <c r="MV19" i="11"/>
  <c r="MB19" i="11"/>
  <c r="MR19" i="11"/>
  <c r="MG18" i="11"/>
  <c r="MW18" i="11"/>
  <c r="MH17" i="11"/>
  <c r="MX17" i="11"/>
  <c r="MD17" i="11"/>
  <c r="MT17" i="11"/>
  <c r="LZ17" i="11"/>
  <c r="MP17" i="11"/>
  <c r="ME16" i="11"/>
  <c r="MU16" i="11"/>
  <c r="MA16" i="11"/>
  <c r="MQ16" i="11"/>
  <c r="MT18" i="11"/>
  <c r="MV16" i="11"/>
  <c r="DZ15" i="11"/>
  <c r="EE15" i="11"/>
  <c r="EF27" i="11"/>
  <c r="EB27" i="11"/>
  <c r="EG26" i="11"/>
  <c r="EC26" i="11"/>
  <c r="EH25" i="11"/>
  <c r="ED25" i="11"/>
  <c r="DZ25" i="11"/>
  <c r="EE24" i="11"/>
  <c r="EA24" i="11"/>
  <c r="EF23" i="11"/>
  <c r="EB23" i="11"/>
  <c r="EG22" i="11"/>
  <c r="EC22" i="11"/>
  <c r="EH21" i="11"/>
  <c r="ED21" i="11"/>
  <c r="DZ21" i="11"/>
  <c r="EE20" i="11"/>
  <c r="EA20" i="11"/>
  <c r="EF19" i="11"/>
  <c r="EB19" i="11"/>
  <c r="EG18" i="11"/>
  <c r="EC18" i="11"/>
  <c r="EH17" i="11"/>
  <c r="ED17" i="11"/>
  <c r="DZ17" i="11"/>
  <c r="EE16" i="11"/>
  <c r="EA16" i="11"/>
  <c r="EE27" i="11"/>
  <c r="EA27" i="11"/>
  <c r="EF26" i="11"/>
  <c r="EB26" i="11"/>
  <c r="EG25" i="11"/>
  <c r="EC25" i="11"/>
  <c r="EH24" i="11"/>
  <c r="ED24" i="11"/>
  <c r="DZ24" i="11"/>
  <c r="EE23" i="11"/>
  <c r="EA23" i="11"/>
  <c r="EF22" i="11"/>
  <c r="EB22" i="11"/>
  <c r="EG21" i="11"/>
  <c r="EC21" i="11"/>
  <c r="EH20" i="11"/>
  <c r="ED20" i="11"/>
  <c r="DZ20" i="11"/>
  <c r="EE19" i="11"/>
  <c r="EA19" i="11"/>
  <c r="EF18" i="11"/>
  <c r="EB18" i="11"/>
  <c r="EG17" i="11"/>
  <c r="EC17" i="11"/>
  <c r="EH16" i="11"/>
  <c r="ED16" i="11"/>
  <c r="DZ16" i="11"/>
  <c r="EG27" i="11"/>
  <c r="EC27" i="11"/>
  <c r="EH26" i="11"/>
  <c r="ED26" i="11"/>
  <c r="DZ26" i="11"/>
  <c r="EE25" i="11"/>
  <c r="EA25" i="11"/>
  <c r="EF24" i="11"/>
  <c r="EB24" i="11"/>
  <c r="EG23" i="11"/>
  <c r="EC23" i="11"/>
  <c r="EH22" i="11"/>
  <c r="ED22" i="11"/>
  <c r="DZ22" i="11"/>
  <c r="EE21" i="11"/>
  <c r="EA21" i="11"/>
  <c r="EF20" i="11"/>
  <c r="EB20" i="11"/>
  <c r="EG19" i="11"/>
  <c r="EC19" i="11"/>
  <c r="EH18" i="11"/>
  <c r="ED18" i="11"/>
  <c r="DZ18" i="11"/>
  <c r="EE17" i="11"/>
  <c r="EA17" i="11"/>
  <c r="EF16" i="11"/>
  <c r="EB16" i="11"/>
  <c r="AP26" i="11"/>
  <c r="BV26" i="11" s="1"/>
  <c r="BD15" i="11"/>
  <c r="AS27" i="11"/>
  <c r="AC15" i="11"/>
  <c r="AR27" i="11"/>
  <c r="AB27" i="11"/>
  <c r="AS26" i="11"/>
  <c r="AO26" i="11"/>
  <c r="Y26" i="11"/>
  <c r="AT25" i="11"/>
  <c r="BJ25" i="11" s="1"/>
  <c r="AU24" i="11"/>
  <c r="BK24" i="11" s="1"/>
  <c r="AE24" i="11"/>
  <c r="AQ24" i="11"/>
  <c r="AM24" i="11"/>
  <c r="W24" i="11"/>
  <c r="AN23" i="11"/>
  <c r="BD23" i="11" s="1"/>
  <c r="X23" i="11"/>
  <c r="AS22" i="11"/>
  <c r="AO22" i="11"/>
  <c r="Y22" i="11"/>
  <c r="AP21" i="11"/>
  <c r="BF21" i="11" s="1"/>
  <c r="Z21" i="11"/>
  <c r="AU20" i="11"/>
  <c r="AR19" i="11"/>
  <c r="BH19" i="11" s="1"/>
  <c r="AB19" i="11"/>
  <c r="AN19" i="11"/>
  <c r="X19" i="11"/>
  <c r="X18" i="11"/>
  <c r="AN18" i="11"/>
  <c r="AC17" i="11"/>
  <c r="AT16" i="11"/>
  <c r="Z16" i="11"/>
  <c r="AP16" i="11"/>
  <c r="AA24" i="11"/>
  <c r="AT15" i="11"/>
  <c r="BJ15" i="11" s="1"/>
  <c r="W27" i="11"/>
  <c r="AN26" i="11"/>
  <c r="BD26" i="11" s="1"/>
  <c r="AE20" i="11"/>
  <c r="Y25" i="11"/>
  <c r="AO25" i="11"/>
  <c r="AE23" i="11"/>
  <c r="AQ23" i="11"/>
  <c r="BG23" i="11" s="1"/>
  <c r="W23" i="11"/>
  <c r="X22" i="11"/>
  <c r="Y21" i="11"/>
  <c r="AE19" i="11"/>
  <c r="AM19" i="11"/>
  <c r="AB17" i="11"/>
  <c r="AQ15" i="11"/>
  <c r="AA15" i="11"/>
  <c r="AD27" i="11"/>
  <c r="AT27" i="11"/>
  <c r="AE26" i="11"/>
  <c r="AU26" i="11"/>
  <c r="W26" i="11"/>
  <c r="AC24" i="11"/>
  <c r="AS24" i="11"/>
  <c r="AB21" i="11"/>
  <c r="AR21" i="11"/>
  <c r="AC20" i="11"/>
  <c r="AE18" i="11"/>
  <c r="AU18" i="11"/>
  <c r="Z18" i="11"/>
  <c r="BV18" i="11" s="1"/>
  <c r="BF18" i="11"/>
  <c r="AU17" i="11"/>
  <c r="AA17" i="11"/>
  <c r="AQ17" i="11"/>
  <c r="AB16" i="11"/>
  <c r="W15" i="11"/>
  <c r="AA25" i="11"/>
  <c r="AB24" i="11"/>
  <c r="AR24" i="11"/>
  <c r="AC23" i="11"/>
  <c r="AB20" i="11"/>
  <c r="AR20" i="11"/>
  <c r="Y15" i="11"/>
  <c r="AO15" i="11"/>
  <c r="BE15" i="11" s="1"/>
  <c r="AS15" i="11"/>
  <c r="AB26" i="11"/>
  <c r="AR26" i="11"/>
  <c r="AC25" i="11"/>
  <c r="AS25" i="11"/>
  <c r="AD24" i="11"/>
  <c r="AT24" i="11"/>
  <c r="AP24" i="11"/>
  <c r="BF24" i="11" s="1"/>
  <c r="Z24" i="11"/>
  <c r="AB22" i="11"/>
  <c r="AR22" i="11"/>
  <c r="Z20" i="11"/>
  <c r="AP20" i="11"/>
  <c r="AC16" i="11"/>
  <c r="AS16" i="11"/>
  <c r="Y16" i="11"/>
  <c r="AO16" i="11"/>
  <c r="Z27" i="11"/>
  <c r="AP27" i="11"/>
  <c r="AA26" i="11"/>
  <c r="AQ26" i="11"/>
  <c r="AB25" i="11"/>
  <c r="AR25" i="11"/>
  <c r="X25" i="11"/>
  <c r="AN25" i="11"/>
  <c r="Y24" i="11"/>
  <c r="AO24" i="11"/>
  <c r="AD23" i="11"/>
  <c r="AT23" i="11"/>
  <c r="Z23" i="11"/>
  <c r="AP23" i="11"/>
  <c r="AA22" i="11"/>
  <c r="AQ22" i="11"/>
  <c r="W22" i="11"/>
  <c r="AM22" i="11"/>
  <c r="X21" i="11"/>
  <c r="AN21" i="11"/>
  <c r="Y20" i="11"/>
  <c r="AO20" i="11"/>
  <c r="Z19" i="11"/>
  <c r="AP19" i="11"/>
  <c r="W17" i="11"/>
  <c r="AM17" i="11"/>
  <c r="X16" i="11"/>
  <c r="AN16" i="11"/>
  <c r="AA23" i="11"/>
  <c r="AE17" i="11"/>
  <c r="AU15" i="11"/>
  <c r="AM26" i="11"/>
  <c r="AU22" i="11"/>
  <c r="AO21" i="11"/>
  <c r="AT19" i="11"/>
  <c r="AR16" i="11"/>
  <c r="AE27" i="11"/>
  <c r="AU27" i="11"/>
  <c r="AA27" i="11"/>
  <c r="AQ27" i="11"/>
  <c r="AC21" i="11"/>
  <c r="AS21" i="11"/>
  <c r="AD20" i="11"/>
  <c r="AT20" i="11"/>
  <c r="AA19" i="11"/>
  <c r="AQ19" i="11"/>
  <c r="AB18" i="11"/>
  <c r="AR18" i="11"/>
  <c r="W18" i="11"/>
  <c r="AM18" i="11"/>
  <c r="X17" i="11"/>
  <c r="AN17" i="11"/>
  <c r="AD15" i="11"/>
  <c r="X26" i="11"/>
  <c r="W19" i="11"/>
  <c r="AM23" i="11"/>
  <c r="AU19" i="11"/>
  <c r="AB15" i="11"/>
  <c r="AR15" i="11"/>
  <c r="Y27" i="11"/>
  <c r="AO27" i="11"/>
  <c r="AD26" i="11"/>
  <c r="AT26" i="11"/>
  <c r="AE25" i="11"/>
  <c r="AU25" i="11"/>
  <c r="W25" i="11"/>
  <c r="AM25" i="11"/>
  <c r="X24" i="11"/>
  <c r="AN24" i="11"/>
  <c r="Y23" i="11"/>
  <c r="AO23" i="11"/>
  <c r="AD22" i="11"/>
  <c r="AT22" i="11"/>
  <c r="AE21" i="11"/>
  <c r="AU21" i="11"/>
  <c r="AA21" i="11"/>
  <c r="AQ21" i="11"/>
  <c r="W21" i="11"/>
  <c r="AM21" i="11"/>
  <c r="X20" i="11"/>
  <c r="AN20" i="11"/>
  <c r="AC19" i="11"/>
  <c r="AS19" i="11"/>
  <c r="AD18" i="11"/>
  <c r="AT18" i="11"/>
  <c r="Y18" i="11"/>
  <c r="AO18" i="11"/>
  <c r="AD17" i="11"/>
  <c r="AT17" i="11"/>
  <c r="Z17" i="11"/>
  <c r="AP17" i="11"/>
  <c r="AE16" i="11"/>
  <c r="AU16" i="11"/>
  <c r="AA16" i="11"/>
  <c r="AQ16" i="11"/>
  <c r="W16" i="11"/>
  <c r="AM16" i="11"/>
  <c r="X15" i="11"/>
  <c r="BT15" i="11" s="1"/>
  <c r="AP15" i="11"/>
  <c r="AM27" i="11"/>
  <c r="AQ25" i="11"/>
  <c r="AU23" i="11"/>
  <c r="AP22" i="11"/>
  <c r="AS20" i="11"/>
  <c r="AO19" i="11"/>
  <c r="AR17" i="11"/>
  <c r="X27" i="11"/>
  <c r="AN27" i="11"/>
  <c r="Z25" i="11"/>
  <c r="AP25" i="11"/>
  <c r="AB23" i="11"/>
  <c r="AR23" i="11"/>
  <c r="AD21" i="11"/>
  <c r="AT21" i="11"/>
  <c r="W20" i="11"/>
  <c r="AM20" i="11"/>
  <c r="AS18" i="11"/>
  <c r="AC18" i="11"/>
  <c r="AO17" i="11"/>
  <c r="Y17" i="11"/>
  <c r="AA18" i="11"/>
  <c r="AQ18" i="11"/>
  <c r="BG18" i="11" s="1"/>
  <c r="AD25" i="11"/>
  <c r="AC22" i="11"/>
  <c r="AA20" i="11"/>
  <c r="AS17" i="11"/>
  <c r="BT15" i="8"/>
  <c r="CA59" i="8"/>
  <c r="BW59" i="8"/>
  <c r="BS59" i="8"/>
  <c r="BX58" i="8"/>
  <c r="BT58" i="8"/>
  <c r="BY57" i="8"/>
  <c r="BU57" i="8"/>
  <c r="BZ56" i="8"/>
  <c r="BV56" i="8"/>
  <c r="CA55" i="8"/>
  <c r="BW55" i="8"/>
  <c r="BS55" i="8"/>
  <c r="BX54" i="8"/>
  <c r="BT54" i="8"/>
  <c r="BY53" i="8"/>
  <c r="BU53" i="8"/>
  <c r="BZ52" i="8"/>
  <c r="BV52" i="8"/>
  <c r="CA51" i="8"/>
  <c r="BW51" i="8"/>
  <c r="BT50" i="8"/>
  <c r="BY49" i="8"/>
  <c r="BU49" i="8"/>
  <c r="BZ48" i="8"/>
  <c r="BV48" i="8"/>
  <c r="CA47" i="8"/>
  <c r="BX46" i="8"/>
  <c r="BT46" i="8"/>
  <c r="BY45" i="8"/>
  <c r="BU45" i="8"/>
  <c r="BZ44" i="8"/>
  <c r="BV44" i="8"/>
  <c r="BS43" i="8"/>
  <c r="BX42" i="8"/>
  <c r="BT42" i="8"/>
  <c r="BY41" i="8"/>
  <c r="BU41" i="8"/>
  <c r="BZ40" i="8"/>
  <c r="BW39" i="8"/>
  <c r="BS39" i="8"/>
  <c r="BX38" i="8"/>
  <c r="BT38" i="8"/>
  <c r="BY37" i="8"/>
  <c r="BU37" i="8"/>
  <c r="CA35" i="8"/>
  <c r="BK35" i="8"/>
  <c r="BW35" i="8"/>
  <c r="BG35" i="8"/>
  <c r="BC35" i="8"/>
  <c r="BS35" i="8"/>
  <c r="BH34" i="8"/>
  <c r="BX34" i="8"/>
  <c r="BT34" i="8"/>
  <c r="BD34" i="8"/>
  <c r="BY33" i="8"/>
  <c r="BI33" i="8"/>
  <c r="BV32" i="8"/>
  <c r="BF32" i="8"/>
  <c r="CA31" i="8"/>
  <c r="BK31" i="8"/>
  <c r="BG31" i="8"/>
  <c r="BW31" i="8"/>
  <c r="BC31" i="8"/>
  <c r="BS31" i="8"/>
  <c r="BX30" i="8"/>
  <c r="BH30" i="8"/>
  <c r="BT30" i="8"/>
  <c r="BD30" i="8"/>
  <c r="BZ28" i="8"/>
  <c r="BJ28" i="8"/>
  <c r="BV28" i="8"/>
  <c r="BF28" i="8"/>
  <c r="BK27" i="8"/>
  <c r="CA27" i="8"/>
  <c r="BG27" i="8"/>
  <c r="BW27" i="8"/>
  <c r="BS27" i="8"/>
  <c r="BC27" i="8"/>
  <c r="BX26" i="8"/>
  <c r="BH26" i="8"/>
  <c r="BU25" i="8"/>
  <c r="BE25" i="8"/>
  <c r="BZ24" i="8"/>
  <c r="BJ24" i="8"/>
  <c r="BF24" i="8"/>
  <c r="BV24" i="8"/>
  <c r="BK23" i="8"/>
  <c r="CA23" i="8"/>
  <c r="BW23" i="8"/>
  <c r="BG23" i="8"/>
  <c r="BS23" i="8"/>
  <c r="BC23" i="8"/>
  <c r="BY21" i="8"/>
  <c r="BI21" i="8"/>
  <c r="BU21" i="8"/>
  <c r="BE21" i="8"/>
  <c r="BJ20" i="8"/>
  <c r="BZ20" i="8"/>
  <c r="BF20" i="8"/>
  <c r="BV20" i="8"/>
  <c r="CA19" i="8"/>
  <c r="BK19" i="8"/>
  <c r="BW19" i="8"/>
  <c r="BG19" i="8"/>
  <c r="BT18" i="8"/>
  <c r="BD18" i="8"/>
  <c r="BY17" i="8"/>
  <c r="BI17" i="8"/>
  <c r="BE17" i="8"/>
  <c r="BU17" i="8"/>
  <c r="BJ16" i="8"/>
  <c r="BZ16" i="8"/>
  <c r="BV16" i="8"/>
  <c r="BF16" i="8"/>
  <c r="BD15" i="8"/>
  <c r="BD59" i="8"/>
  <c r="BE58" i="8"/>
  <c r="BF57" i="8"/>
  <c r="BG56" i="8"/>
  <c r="BH55" i="8"/>
  <c r="BI54" i="8"/>
  <c r="BJ53" i="8"/>
  <c r="BK52" i="8"/>
  <c r="BC52" i="8"/>
  <c r="BD51" i="8"/>
  <c r="BE50" i="8"/>
  <c r="BF49" i="8"/>
  <c r="BG48" i="8"/>
  <c r="BW15" i="8"/>
  <c r="CA58" i="8"/>
  <c r="BT57" i="8"/>
  <c r="BV55" i="8"/>
  <c r="BX53" i="8"/>
  <c r="BW47" i="8"/>
  <c r="BV40" i="8"/>
  <c r="BU33" i="8"/>
  <c r="BT26" i="8"/>
  <c r="BS19" i="8"/>
  <c r="BV15" i="8"/>
  <c r="BF15" i="8"/>
  <c r="BZ15" i="8"/>
  <c r="BJ15" i="8"/>
  <c r="BU59" i="8"/>
  <c r="BE59" i="8"/>
  <c r="BV58" i="8"/>
  <c r="BF58" i="8"/>
  <c r="BW57" i="8"/>
  <c r="BG57" i="8"/>
  <c r="BX56" i="8"/>
  <c r="BH56" i="8"/>
  <c r="BY55" i="8"/>
  <c r="BI55" i="8"/>
  <c r="BZ54" i="8"/>
  <c r="BJ54" i="8"/>
  <c r="CA53" i="8"/>
  <c r="BK53" i="8"/>
  <c r="BS53" i="8"/>
  <c r="BC53" i="8"/>
  <c r="BX52" i="8"/>
  <c r="BH52" i="8"/>
  <c r="BT52" i="8"/>
  <c r="BD52" i="8"/>
  <c r="BY51" i="8"/>
  <c r="BI51" i="8"/>
  <c r="BU51" i="8"/>
  <c r="BE51" i="8"/>
  <c r="BZ50" i="8"/>
  <c r="BJ50" i="8"/>
  <c r="BV50" i="8"/>
  <c r="BF50" i="8"/>
  <c r="CA49" i="8"/>
  <c r="BK49" i="8"/>
  <c r="BW49" i="8"/>
  <c r="BG49" i="8"/>
  <c r="BS49" i="8"/>
  <c r="BC49" i="8"/>
  <c r="BX48" i="8"/>
  <c r="BH48" i="8"/>
  <c r="CI15" i="8"/>
  <c r="BS15" i="8"/>
  <c r="BK15" i="8"/>
  <c r="CA15" i="8"/>
  <c r="BY59" i="8"/>
  <c r="CA57" i="8"/>
  <c r="BT56" i="8"/>
  <c r="BV54" i="8"/>
  <c r="BU15" i="8"/>
  <c r="BY15" i="8"/>
  <c r="BV59" i="8"/>
  <c r="BF59" i="8"/>
  <c r="BW58" i="8"/>
  <c r="BG58" i="8"/>
  <c r="BX57" i="8"/>
  <c r="BH57" i="8"/>
  <c r="BY56" i="8"/>
  <c r="BI56" i="8"/>
  <c r="BZ55" i="8"/>
  <c r="BJ55" i="8"/>
  <c r="CA54" i="8"/>
  <c r="BK54" i="8"/>
  <c r="BS54" i="8"/>
  <c r="BC54" i="8"/>
  <c r="BT53" i="8"/>
  <c r="BD53" i="8"/>
  <c r="BY52" i="8"/>
  <c r="BI52" i="8"/>
  <c r="BU52" i="8"/>
  <c r="BE52" i="8"/>
  <c r="BZ51" i="8"/>
  <c r="BJ51" i="8"/>
  <c r="BV51" i="8"/>
  <c r="BF51" i="8"/>
  <c r="CA50" i="8"/>
  <c r="BK50" i="8"/>
  <c r="BW50" i="8"/>
  <c r="BG50" i="8"/>
  <c r="BS50" i="8"/>
  <c r="BC50" i="8"/>
  <c r="BX49" i="8"/>
  <c r="BH49" i="8"/>
  <c r="BT49" i="8"/>
  <c r="BD49" i="8"/>
  <c r="BY48" i="8"/>
  <c r="BI48" i="8"/>
  <c r="BU48" i="8"/>
  <c r="BE48" i="8"/>
  <c r="BZ47" i="8"/>
  <c r="BJ47" i="8"/>
  <c r="BV47" i="8"/>
  <c r="BF47" i="8"/>
  <c r="CA46" i="8"/>
  <c r="BK46" i="8"/>
  <c r="BW46" i="8"/>
  <c r="BG46" i="8"/>
  <c r="BS46" i="8"/>
  <c r="BC46" i="8"/>
  <c r="BX45" i="8"/>
  <c r="BH45" i="8"/>
  <c r="BT45" i="8"/>
  <c r="BD45" i="8"/>
  <c r="BY44" i="8"/>
  <c r="BI44" i="8"/>
  <c r="BU44" i="8"/>
  <c r="BE44" i="8"/>
  <c r="BZ43" i="8"/>
  <c r="BJ43" i="8"/>
  <c r="BV43" i="8"/>
  <c r="BF43" i="8"/>
  <c r="CA42" i="8"/>
  <c r="BK42" i="8"/>
  <c r="BW42" i="8"/>
  <c r="BG42" i="8"/>
  <c r="BS42" i="8"/>
  <c r="BC42" i="8"/>
  <c r="BX41" i="8"/>
  <c r="BH41" i="8"/>
  <c r="BT41" i="8"/>
  <c r="BD41" i="8"/>
  <c r="BY40" i="8"/>
  <c r="BI40" i="8"/>
  <c r="BU40" i="8"/>
  <c r="BE40" i="8"/>
  <c r="BZ39" i="8"/>
  <c r="BJ39" i="8"/>
  <c r="BV39" i="8"/>
  <c r="BF39" i="8"/>
  <c r="CA38" i="8"/>
  <c r="BK38" i="8"/>
  <c r="BW38" i="8"/>
  <c r="BG38" i="8"/>
  <c r="BS38" i="8"/>
  <c r="BC38" i="8"/>
  <c r="BX37" i="8"/>
  <c r="BH37" i="8"/>
  <c r="BT37" i="8"/>
  <c r="BD37" i="8"/>
  <c r="BY36" i="8"/>
  <c r="BI36" i="8"/>
  <c r="BU36" i="8"/>
  <c r="BE36" i="8"/>
  <c r="BZ35" i="8"/>
  <c r="BJ35" i="8"/>
  <c r="BV35" i="8"/>
  <c r="BF35" i="8"/>
  <c r="CA34" i="8"/>
  <c r="BK34" i="8"/>
  <c r="BW34" i="8"/>
  <c r="BG34" i="8"/>
  <c r="BS34" i="8"/>
  <c r="BC34" i="8"/>
  <c r="BX33" i="8"/>
  <c r="BH33" i="8"/>
  <c r="BT33" i="8"/>
  <c r="BD33" i="8"/>
  <c r="BY32" i="8"/>
  <c r="BI32" i="8"/>
  <c r="BU32" i="8"/>
  <c r="BE32" i="8"/>
  <c r="BZ31" i="8"/>
  <c r="BJ31" i="8"/>
  <c r="BV31" i="8"/>
  <c r="BF31" i="8"/>
  <c r="CA30" i="8"/>
  <c r="BK30" i="8"/>
  <c r="BW30" i="8"/>
  <c r="BG30" i="8"/>
  <c r="BS30" i="8"/>
  <c r="BC30" i="8"/>
  <c r="BX29" i="8"/>
  <c r="BH29" i="8"/>
  <c r="BT29" i="8"/>
  <c r="BD29" i="8"/>
  <c r="BY28" i="8"/>
  <c r="BI28" i="8"/>
  <c r="BU28" i="8"/>
  <c r="BE28" i="8"/>
  <c r="BZ27" i="8"/>
  <c r="BJ27" i="8"/>
  <c r="BV27" i="8"/>
  <c r="BF27" i="8"/>
  <c r="CA26" i="8"/>
  <c r="BK26" i="8"/>
  <c r="BW26" i="8"/>
  <c r="BG26" i="8"/>
  <c r="BS26" i="8"/>
  <c r="BC26" i="8"/>
  <c r="BX25" i="8"/>
  <c r="BH25" i="8"/>
  <c r="BT25" i="8"/>
  <c r="BD25" i="8"/>
  <c r="BY24" i="8"/>
  <c r="BI24" i="8"/>
  <c r="BU24" i="8"/>
  <c r="BE24" i="8"/>
  <c r="BZ23" i="8"/>
  <c r="BJ23" i="8"/>
  <c r="BV23" i="8"/>
  <c r="BF23" i="8"/>
  <c r="CA22" i="8"/>
  <c r="BK22" i="8"/>
  <c r="BW22" i="8"/>
  <c r="BG22" i="8"/>
  <c r="BS22" i="8"/>
  <c r="BC22" i="8"/>
  <c r="BX21" i="8"/>
  <c r="BH21" i="8"/>
  <c r="BT21" i="8"/>
  <c r="BD21" i="8"/>
  <c r="BY20" i="8"/>
  <c r="BI20" i="8"/>
  <c r="BU20" i="8"/>
  <c r="BE20" i="8"/>
  <c r="BZ19" i="8"/>
  <c r="BJ19" i="8"/>
  <c r="BV19" i="8"/>
  <c r="BF19" i="8"/>
  <c r="CA18" i="8"/>
  <c r="BK18" i="8"/>
  <c r="BW18" i="8"/>
  <c r="BG18" i="8"/>
  <c r="BS18" i="8"/>
  <c r="BC18" i="8"/>
  <c r="BX17" i="8"/>
  <c r="BH17" i="8"/>
  <c r="BT17" i="8"/>
  <c r="BD17" i="8"/>
  <c r="BY16" i="8"/>
  <c r="BI16" i="8"/>
  <c r="BU16" i="8"/>
  <c r="BE16" i="8"/>
  <c r="BE15" i="8"/>
  <c r="BK59" i="8"/>
  <c r="BC59" i="8"/>
  <c r="BD58" i="8"/>
  <c r="BE57" i="8"/>
  <c r="BF56" i="8"/>
  <c r="BG55" i="8"/>
  <c r="BH54" i="8"/>
  <c r="BI53" i="8"/>
  <c r="BJ52" i="8"/>
  <c r="BK51" i="8"/>
  <c r="BD50" i="8"/>
  <c r="BE49" i="8"/>
  <c r="BF48" i="8"/>
  <c r="BH46" i="8"/>
  <c r="BI45" i="8"/>
  <c r="BJ44" i="8"/>
  <c r="BC43" i="8"/>
  <c r="BD42" i="8"/>
  <c r="BE41" i="8"/>
  <c r="BG39" i="8"/>
  <c r="BH38" i="8"/>
  <c r="BI37" i="8"/>
  <c r="BZ58" i="8"/>
  <c r="BS57" i="8"/>
  <c r="BU55" i="8"/>
  <c r="BW53" i="8"/>
  <c r="BZ32" i="8"/>
  <c r="BY25" i="8"/>
  <c r="BX18" i="8"/>
  <c r="BT48" i="8"/>
  <c r="BY47" i="8"/>
  <c r="BU47" i="8"/>
  <c r="BZ46" i="8"/>
  <c r="BV46" i="8"/>
  <c r="CA45" i="8"/>
  <c r="BW45" i="8"/>
  <c r="BS45" i="8"/>
  <c r="BX44" i="8"/>
  <c r="BT44" i="8"/>
  <c r="BY43" i="8"/>
  <c r="BU43" i="8"/>
  <c r="BZ42" i="8"/>
  <c r="BV42" i="8"/>
  <c r="CA41" i="8"/>
  <c r="BW41" i="8"/>
  <c r="BS41" i="8"/>
  <c r="BX40" i="8"/>
  <c r="BT40" i="8"/>
  <c r="BY39" i="8"/>
  <c r="BU39" i="8"/>
  <c r="BZ38" i="8"/>
  <c r="BV38" i="8"/>
  <c r="CA37" i="8"/>
  <c r="BW37" i="8"/>
  <c r="BS37" i="8"/>
  <c r="BX36" i="8"/>
  <c r="BT36" i="8"/>
  <c r="BY35" i="8"/>
  <c r="BU35" i="8"/>
  <c r="BZ34" i="8"/>
  <c r="BV34" i="8"/>
  <c r="CA33" i="8"/>
  <c r="BW33" i="8"/>
  <c r="BS33" i="8"/>
  <c r="BX32" i="8"/>
  <c r="BT32" i="8"/>
  <c r="BY31" i="8"/>
  <c r="BU31" i="8"/>
  <c r="BZ30" i="8"/>
  <c r="BV30" i="8"/>
  <c r="CA29" i="8"/>
  <c r="BW29" i="8"/>
  <c r="BS29" i="8"/>
  <c r="BX28" i="8"/>
  <c r="BT28" i="8"/>
  <c r="BY27" i="8"/>
  <c r="BU27" i="8"/>
  <c r="BZ26" i="8"/>
  <c r="BV26" i="8"/>
  <c r="CA25" i="8"/>
  <c r="BW25" i="8"/>
  <c r="BS25" i="8"/>
  <c r="BX24" i="8"/>
  <c r="BT24" i="8"/>
  <c r="BY23" i="8"/>
  <c r="BU23" i="8"/>
  <c r="BZ22" i="8"/>
  <c r="BV22" i="8"/>
  <c r="CA21" i="8"/>
  <c r="BW21" i="8"/>
  <c r="BS21" i="8"/>
  <c r="BX20" i="8"/>
  <c r="BT20" i="8"/>
  <c r="BY19" i="8"/>
  <c r="BU19" i="8"/>
  <c r="BZ18" i="8"/>
  <c r="BV18" i="8"/>
  <c r="CA17" i="8"/>
  <c r="BW17" i="8"/>
  <c r="BS17" i="8"/>
  <c r="BX16" i="8"/>
  <c r="BT16" i="8"/>
  <c r="BH36" i="8"/>
  <c r="BI35" i="8"/>
  <c r="BJ34" i="8"/>
  <c r="BK33" i="8"/>
  <c r="BC33" i="8"/>
  <c r="BD32" i="8"/>
  <c r="BE31" i="8"/>
  <c r="BF30" i="8"/>
  <c r="BG29" i="8"/>
  <c r="BH28" i="8"/>
  <c r="BI27" i="8"/>
  <c r="BJ26" i="8"/>
  <c r="BK25" i="8"/>
  <c r="BC25" i="8"/>
  <c r="BD24" i="8"/>
  <c r="BE23" i="8"/>
  <c r="BF22" i="8"/>
  <c r="BG21" i="8"/>
  <c r="BH20" i="8"/>
  <c r="BI19" i="8"/>
  <c r="BJ18" i="8"/>
  <c r="BK17" i="8"/>
  <c r="BC17" i="8"/>
  <c r="BD16" i="8"/>
  <c r="BS48" i="8"/>
  <c r="BX47" i="8"/>
  <c r="BT47" i="8"/>
  <c r="BY46" i="8"/>
  <c r="BU46" i="8"/>
  <c r="BZ45" i="8"/>
  <c r="BV45" i="8"/>
  <c r="CA44" i="8"/>
  <c r="BW44" i="8"/>
  <c r="BS44" i="8"/>
  <c r="BX43" i="8"/>
  <c r="BT43" i="8"/>
  <c r="BY42" i="8"/>
  <c r="BU42" i="8"/>
  <c r="BZ41" i="8"/>
  <c r="BV41" i="8"/>
  <c r="CA40" i="8"/>
  <c r="BW40" i="8"/>
  <c r="BS40" i="8"/>
  <c r="BX39" i="8"/>
  <c r="BT39" i="8"/>
  <c r="BY38" i="8"/>
  <c r="BU38" i="8"/>
  <c r="BZ37" i="8"/>
  <c r="BV37" i="8"/>
  <c r="CA36" i="8"/>
  <c r="BW36" i="8"/>
  <c r="BS36" i="8"/>
  <c r="BX35" i="8"/>
  <c r="BT35" i="8"/>
  <c r="BY34" i="8"/>
  <c r="BU34" i="8"/>
  <c r="BZ33" i="8"/>
  <c r="BV33" i="8"/>
  <c r="CA32" i="8"/>
  <c r="BW32" i="8"/>
  <c r="BS32" i="8"/>
  <c r="BX31" i="8"/>
  <c r="BT31" i="8"/>
  <c r="BY30" i="8"/>
  <c r="BU30" i="8"/>
  <c r="BZ29" i="8"/>
  <c r="BV29" i="8"/>
  <c r="CA28" i="8"/>
  <c r="BW28" i="8"/>
  <c r="BS28" i="8"/>
  <c r="BX27" i="8"/>
  <c r="BT27" i="8"/>
  <c r="BY26" i="8"/>
  <c r="BU26" i="8"/>
  <c r="BZ25" i="8"/>
  <c r="BV25" i="8"/>
  <c r="CA24" i="8"/>
  <c r="BW24" i="8"/>
  <c r="BS24" i="8"/>
  <c r="BX23" i="8"/>
  <c r="BT23" i="8"/>
  <c r="BY22" i="8"/>
  <c r="BU22" i="8"/>
  <c r="BZ21" i="8"/>
  <c r="BV21" i="8"/>
  <c r="CA20" i="8"/>
  <c r="BW20" i="8"/>
  <c r="BS20" i="8"/>
  <c r="BX19" i="8"/>
  <c r="BT19" i="8"/>
  <c r="BY18" i="8"/>
  <c r="BU18" i="8"/>
  <c r="BZ17" i="8"/>
  <c r="BV17" i="8"/>
  <c r="CA16" i="8"/>
  <c r="BW16" i="8"/>
  <c r="BS16" i="8"/>
  <c r="BD48" i="8"/>
  <c r="BI47" i="8"/>
  <c r="BE47" i="8"/>
  <c r="BJ46" i="8"/>
  <c r="BF46" i="8"/>
  <c r="BK45" i="8"/>
  <c r="BG45" i="8"/>
  <c r="BC45" i="8"/>
  <c r="BH44" i="8"/>
  <c r="BD44" i="8"/>
  <c r="BI43" i="8"/>
  <c r="BE43" i="8"/>
  <c r="BJ42" i="8"/>
  <c r="BF42" i="8"/>
  <c r="BK41" i="8"/>
  <c r="BG41" i="8"/>
  <c r="BC41" i="8"/>
  <c r="BH40" i="8"/>
  <c r="BD40" i="8"/>
  <c r="BI39" i="8"/>
  <c r="BE39" i="8"/>
  <c r="BJ38" i="8"/>
  <c r="BF38" i="8"/>
  <c r="BK37" i="8"/>
  <c r="BG37" i="8"/>
  <c r="BC37" i="8"/>
  <c r="BG36" i="8"/>
  <c r="BH35" i="8"/>
  <c r="BI34" i="8"/>
  <c r="BJ33" i="8"/>
  <c r="BK32" i="8"/>
  <c r="BC32" i="8"/>
  <c r="BD31" i="8"/>
  <c r="BE30" i="8"/>
  <c r="BF29" i="8"/>
  <c r="BG28" i="8"/>
  <c r="BH27" i="8"/>
  <c r="BI26" i="8"/>
  <c r="BJ25" i="8"/>
  <c r="BK24" i="8"/>
  <c r="BC24" i="8"/>
  <c r="BD23" i="8"/>
  <c r="BE22" i="8"/>
  <c r="BF21" i="8"/>
  <c r="BG20" i="8"/>
  <c r="BH19" i="8"/>
  <c r="BI18" i="8"/>
  <c r="BJ17" i="8"/>
  <c r="BK16" i="8"/>
  <c r="BC16" i="8"/>
  <c r="LZ15" i="10"/>
  <c r="MF15" i="10"/>
  <c r="MA15" i="10"/>
  <c r="ME15" i="10"/>
  <c r="MG15" i="10"/>
  <c r="MW15" i="10"/>
  <c r="MC15" i="10"/>
  <c r="MS15" i="10"/>
  <c r="MB15" i="10"/>
  <c r="MR15" i="10"/>
  <c r="MG25" i="10"/>
  <c r="MW25" i="10"/>
  <c r="NM25" i="10" s="1"/>
  <c r="MC25" i="10"/>
  <c r="MS25" i="10"/>
  <c r="LY25" i="10"/>
  <c r="MO25" i="10"/>
  <c r="MD24" i="10"/>
  <c r="MT24" i="10"/>
  <c r="LZ24" i="10"/>
  <c r="MP24" i="10"/>
  <c r="NF24" i="10" s="1"/>
  <c r="ME23" i="10"/>
  <c r="MU23" i="10"/>
  <c r="MA23" i="10"/>
  <c r="MQ23" i="10"/>
  <c r="MF22" i="10"/>
  <c r="MV22" i="10"/>
  <c r="MB22" i="10"/>
  <c r="MR22" i="10"/>
  <c r="MG21" i="10"/>
  <c r="MW21" i="10"/>
  <c r="MC21" i="10"/>
  <c r="MS21" i="10"/>
  <c r="LY21" i="10"/>
  <c r="MO21" i="10"/>
  <c r="MD20" i="10"/>
  <c r="MT20" i="10"/>
  <c r="LZ20" i="10"/>
  <c r="MP20" i="10"/>
  <c r="ME19" i="10"/>
  <c r="MU19" i="10"/>
  <c r="MA19" i="10"/>
  <c r="MQ19" i="10"/>
  <c r="MF18" i="10"/>
  <c r="MV18" i="10"/>
  <c r="NL18" i="10" s="1"/>
  <c r="MB18" i="10"/>
  <c r="MR18" i="10"/>
  <c r="MG17" i="10"/>
  <c r="MW17" i="10"/>
  <c r="MC17" i="10"/>
  <c r="MS17" i="10"/>
  <c r="LY17" i="10"/>
  <c r="MO17" i="10"/>
  <c r="MD16" i="10"/>
  <c r="MT16" i="10"/>
  <c r="LZ16" i="10"/>
  <c r="MP16" i="10"/>
  <c r="MO15" i="10"/>
  <c r="MF25" i="10"/>
  <c r="MV25" i="10"/>
  <c r="MB25" i="10"/>
  <c r="MR25" i="10"/>
  <c r="MG24" i="10"/>
  <c r="MW24" i="10"/>
  <c r="MC24" i="10"/>
  <c r="MS24" i="10"/>
  <c r="LY24" i="10"/>
  <c r="MO24" i="10"/>
  <c r="MD23" i="10"/>
  <c r="MT23" i="10"/>
  <c r="LZ23" i="10"/>
  <c r="MP23" i="10"/>
  <c r="NF23" i="10" s="1"/>
  <c r="ME22" i="10"/>
  <c r="MU22" i="10"/>
  <c r="MA22" i="10"/>
  <c r="MQ22" i="10"/>
  <c r="MF21" i="10"/>
  <c r="MV21" i="10"/>
  <c r="MB21" i="10"/>
  <c r="MR21" i="10"/>
  <c r="NH21" i="10" s="1"/>
  <c r="MG20" i="10"/>
  <c r="MW20" i="10"/>
  <c r="MC20" i="10"/>
  <c r="MS20" i="10"/>
  <c r="LY20" i="10"/>
  <c r="MO20" i="10"/>
  <c r="MD19" i="10"/>
  <c r="MT19" i="10"/>
  <c r="LZ19" i="10"/>
  <c r="MP19" i="10"/>
  <c r="ME18" i="10"/>
  <c r="MU18" i="10"/>
  <c r="MA18" i="10"/>
  <c r="MQ18" i="10"/>
  <c r="MF17" i="10"/>
  <c r="MV17" i="10"/>
  <c r="MB17" i="10"/>
  <c r="MR17" i="10"/>
  <c r="MG16" i="10"/>
  <c r="MW16" i="10"/>
  <c r="MC16" i="10"/>
  <c r="MS16" i="10"/>
  <c r="LY16" i="10"/>
  <c r="MO16" i="10"/>
  <c r="MP15" i="10"/>
  <c r="MT15" i="10"/>
  <c r="ME25" i="10"/>
  <c r="MU25" i="10"/>
  <c r="MA25" i="10"/>
  <c r="MQ25" i="10"/>
  <c r="MF24" i="10"/>
  <c r="MV24" i="10"/>
  <c r="MB24" i="10"/>
  <c r="MR24" i="10"/>
  <c r="MG23" i="10"/>
  <c r="MW23" i="10"/>
  <c r="MC23" i="10"/>
  <c r="MS23" i="10"/>
  <c r="LY23" i="10"/>
  <c r="MO23" i="10"/>
  <c r="MD22" i="10"/>
  <c r="MT22" i="10"/>
  <c r="LZ22" i="10"/>
  <c r="MP22" i="10"/>
  <c r="ME21" i="10"/>
  <c r="MU21" i="10"/>
  <c r="MA21" i="10"/>
  <c r="MQ21" i="10"/>
  <c r="MF20" i="10"/>
  <c r="MV20" i="10"/>
  <c r="NL20" i="10" s="1"/>
  <c r="MB20" i="10"/>
  <c r="MR20" i="10"/>
  <c r="MG19" i="10"/>
  <c r="MW19" i="10"/>
  <c r="MC19" i="10"/>
  <c r="MS19" i="10"/>
  <c r="LY19" i="10"/>
  <c r="MO19" i="10"/>
  <c r="MD18" i="10"/>
  <c r="MT18" i="10"/>
  <c r="LZ18" i="10"/>
  <c r="MP18" i="10"/>
  <c r="NF18" i="10" s="1"/>
  <c r="ME17" i="10"/>
  <c r="MU17" i="10"/>
  <c r="MA17" i="10"/>
  <c r="MQ17" i="10"/>
  <c r="MF16" i="10"/>
  <c r="MV16" i="10"/>
  <c r="MB16" i="10"/>
  <c r="MR16" i="10"/>
  <c r="MQ15" i="10"/>
  <c r="MU15" i="10"/>
  <c r="MD25" i="10"/>
  <c r="MT25" i="10"/>
  <c r="LZ25" i="10"/>
  <c r="MP25" i="10"/>
  <c r="NF25" i="10" s="1"/>
  <c r="ME24" i="10"/>
  <c r="MU24" i="10"/>
  <c r="MA24" i="10"/>
  <c r="MQ24" i="10"/>
  <c r="MF23" i="10"/>
  <c r="MV23" i="10"/>
  <c r="MB23" i="10"/>
  <c r="MR23" i="10"/>
  <c r="NH23" i="10" s="1"/>
  <c r="MG22" i="10"/>
  <c r="MW22" i="10"/>
  <c r="MC22" i="10"/>
  <c r="MS22" i="10"/>
  <c r="LY22" i="10"/>
  <c r="MO22" i="10"/>
  <c r="MD21" i="10"/>
  <c r="MT21" i="10"/>
  <c r="NJ21" i="10" s="1"/>
  <c r="LZ21" i="10"/>
  <c r="MP21" i="10"/>
  <c r="ME20" i="10"/>
  <c r="MU20" i="10"/>
  <c r="MA20" i="10"/>
  <c r="MQ20" i="10"/>
  <c r="MF19" i="10"/>
  <c r="MV19" i="10"/>
  <c r="MB19" i="10"/>
  <c r="MR19" i="10"/>
  <c r="MG18" i="10"/>
  <c r="MW18" i="10"/>
  <c r="NM18" i="10" s="1"/>
  <c r="MC18" i="10"/>
  <c r="MS18" i="10"/>
  <c r="LY18" i="10"/>
  <c r="MO18" i="10"/>
  <c r="MD17" i="10"/>
  <c r="MT17" i="10"/>
  <c r="LZ17" i="10"/>
  <c r="MP17" i="10"/>
  <c r="NF17" i="10" s="1"/>
  <c r="ME16" i="10"/>
  <c r="MU16" i="10"/>
  <c r="NK16" i="10" s="1"/>
  <c r="MA16" i="10"/>
  <c r="MQ16" i="10"/>
  <c r="MV15" i="10"/>
  <c r="KE24" i="10"/>
  <c r="KB19" i="10"/>
  <c r="JI23" i="10"/>
  <c r="JM19" i="10"/>
  <c r="KE15" i="10"/>
  <c r="KD17" i="10"/>
  <c r="JZ21" i="10"/>
  <c r="JP24" i="10"/>
  <c r="JO17" i="10"/>
  <c r="JX15" i="10"/>
  <c r="JI15" i="10"/>
  <c r="KB15" i="10"/>
  <c r="JM15" i="10"/>
  <c r="KF15" i="10"/>
  <c r="KC25" i="10"/>
  <c r="JN25" i="10"/>
  <c r="JY25" i="10"/>
  <c r="JJ25" i="10"/>
  <c r="JO24" i="10"/>
  <c r="KD24" i="10"/>
  <c r="JZ24" i="10"/>
  <c r="JK24" i="10"/>
  <c r="JP23" i="10"/>
  <c r="KE23" i="10"/>
  <c r="KA23" i="10"/>
  <c r="JL23" i="10"/>
  <c r="KF22" i="10"/>
  <c r="KB22" i="10"/>
  <c r="JM22" i="10"/>
  <c r="JI22" i="10"/>
  <c r="JX22" i="10"/>
  <c r="KC21" i="10"/>
  <c r="JN21" i="10"/>
  <c r="JJ21" i="10"/>
  <c r="JY21" i="10"/>
  <c r="KD20" i="10"/>
  <c r="JO20" i="10"/>
  <c r="JK20" i="10"/>
  <c r="JZ20" i="10"/>
  <c r="KE19" i="10"/>
  <c r="JP19" i="10"/>
  <c r="JL19" i="10"/>
  <c r="KA19" i="10"/>
  <c r="KF18" i="10"/>
  <c r="JM18" i="10"/>
  <c r="KB18" i="10"/>
  <c r="JX18" i="10"/>
  <c r="JI18" i="10"/>
  <c r="JN17" i="10"/>
  <c r="KC17" i="10"/>
  <c r="JY17" i="10"/>
  <c r="JJ17" i="10"/>
  <c r="JO16" i="10"/>
  <c r="KD16" i="10"/>
  <c r="JZ16" i="10"/>
  <c r="JK16" i="10"/>
  <c r="JY15" i="10"/>
  <c r="JJ15" i="10"/>
  <c r="KC15" i="10"/>
  <c r="KF25" i="10"/>
  <c r="KB25" i="10"/>
  <c r="JM25" i="10"/>
  <c r="JX25" i="10"/>
  <c r="JI25" i="10"/>
  <c r="KC24" i="10"/>
  <c r="JN24" i="10"/>
  <c r="KD23" i="10"/>
  <c r="JO23" i="10"/>
  <c r="JZ23" i="10"/>
  <c r="JK23" i="10"/>
  <c r="KE22" i="10"/>
  <c r="JP22" i="10"/>
  <c r="KA22" i="10"/>
  <c r="JL22" i="10"/>
  <c r="KF21" i="10"/>
  <c r="KB21" i="10"/>
  <c r="JM21" i="10"/>
  <c r="JX21" i="10"/>
  <c r="JI21" i="10"/>
  <c r="KC20" i="10"/>
  <c r="JN20" i="10"/>
  <c r="JY20" i="10"/>
  <c r="JJ20" i="10"/>
  <c r="KD19" i="10"/>
  <c r="JO19" i="10"/>
  <c r="JZ19" i="10"/>
  <c r="JK19" i="10"/>
  <c r="KE18" i="10"/>
  <c r="JP18" i="10"/>
  <c r="KA18" i="10"/>
  <c r="JL18" i="10"/>
  <c r="KF17" i="10"/>
  <c r="KB17" i="10"/>
  <c r="JM17" i="10"/>
  <c r="JX17" i="10"/>
  <c r="JI17" i="10"/>
  <c r="KC16" i="10"/>
  <c r="JN16" i="10"/>
  <c r="JY16" i="10"/>
  <c r="JJ16" i="10"/>
  <c r="KD15" i="10"/>
  <c r="JO15" i="10"/>
  <c r="JY24" i="10"/>
  <c r="JJ24" i="10"/>
  <c r="JZ15" i="10"/>
  <c r="KE25" i="10"/>
  <c r="KA25" i="10"/>
  <c r="KF24" i="10"/>
  <c r="KB24" i="10"/>
  <c r="JX24" i="10"/>
  <c r="KC23" i="10"/>
  <c r="JY23" i="10"/>
  <c r="KD22" i="10"/>
  <c r="JZ22" i="10"/>
  <c r="KE21" i="10"/>
  <c r="KA21" i="10"/>
  <c r="KF20" i="10"/>
  <c r="KB20" i="10"/>
  <c r="JX20" i="10"/>
  <c r="KC19" i="10"/>
  <c r="JY19" i="10"/>
  <c r="KD18" i="10"/>
  <c r="JZ18" i="10"/>
  <c r="KE17" i="10"/>
  <c r="KA17" i="10"/>
  <c r="KF16" i="10"/>
  <c r="KB16" i="10"/>
  <c r="JX16" i="10"/>
  <c r="JP25" i="10"/>
  <c r="JZ25" i="10"/>
  <c r="KA24" i="10"/>
  <c r="KB23" i="10"/>
  <c r="KC22" i="10"/>
  <c r="KD21" i="10"/>
  <c r="KE20" i="10"/>
  <c r="KF19" i="10"/>
  <c r="JX19" i="10"/>
  <c r="JY18" i="10"/>
  <c r="JZ17" i="10"/>
  <c r="KA16" i="10"/>
  <c r="JM24" i="10"/>
  <c r="JN23" i="10"/>
  <c r="JO22" i="10"/>
  <c r="JP21" i="10"/>
  <c r="JI20" i="10"/>
  <c r="JJ19" i="10"/>
  <c r="JK18" i="10"/>
  <c r="JL17" i="10"/>
  <c r="JM16" i="10"/>
  <c r="FM24" i="12" l="1"/>
  <c r="FW21" i="12"/>
  <c r="FW17" i="12"/>
  <c r="FJ25" i="12"/>
  <c r="FY24" i="12"/>
  <c r="GD25" i="12"/>
  <c r="FX26" i="12"/>
  <c r="FZ22" i="12"/>
  <c r="FZ26" i="12"/>
  <c r="FK22" i="12"/>
  <c r="GC18" i="12"/>
  <c r="FY20" i="12"/>
  <c r="FG27" i="12"/>
  <c r="CJ16" i="8"/>
  <c r="CJ19" i="8"/>
  <c r="CJ21" i="8"/>
  <c r="CJ23" i="8"/>
  <c r="CJ15" i="8"/>
  <c r="FZ27" i="12"/>
  <c r="GA27" i="12"/>
  <c r="FY23" i="12"/>
  <c r="FM23" i="12"/>
  <c r="FN27" i="12"/>
  <c r="FZ24" i="12"/>
  <c r="FJ16" i="12"/>
  <c r="GC27" i="12"/>
  <c r="CJ20" i="8"/>
  <c r="CL20" i="8" s="1"/>
  <c r="CM20" i="8" s="1"/>
  <c r="CJ22" i="8"/>
  <c r="FY19" i="12"/>
  <c r="FI23" i="12"/>
  <c r="GD23" i="12"/>
  <c r="GD24" i="12"/>
  <c r="FY22" i="12"/>
  <c r="GC19" i="12"/>
  <c r="FZ17" i="12"/>
  <c r="EF22" i="12"/>
  <c r="EV22" i="12"/>
  <c r="FL22" i="12" s="1"/>
  <c r="FI20" i="12"/>
  <c r="FL25" i="12"/>
  <c r="FW19" i="12"/>
  <c r="FJ24" i="12"/>
  <c r="CJ18" i="8"/>
  <c r="CL18" i="8" s="1"/>
  <c r="CM18" i="8" s="1"/>
  <c r="CJ26" i="8"/>
  <c r="EP24" i="12"/>
  <c r="FF24" i="12" s="1"/>
  <c r="DZ24" i="12"/>
  <c r="FK19" i="12"/>
  <c r="GA18" i="12"/>
  <c r="EC25" i="12"/>
  <c r="ES25" i="12"/>
  <c r="FW20" i="12"/>
  <c r="FM17" i="12"/>
  <c r="GA16" i="12"/>
  <c r="FV22" i="12"/>
  <c r="FI27" i="12"/>
  <c r="FW22" i="12"/>
  <c r="FJ27" i="12"/>
  <c r="FH26" i="12"/>
  <c r="FX18" i="12"/>
  <c r="FW16" i="12"/>
  <c r="FG21" i="12"/>
  <c r="FJ26" i="12"/>
  <c r="FX25" i="12"/>
  <c r="EF26" i="12"/>
  <c r="EV26" i="12"/>
  <c r="FL26" i="12" s="1"/>
  <c r="FZ21" i="12"/>
  <c r="GB21" i="12"/>
  <c r="FV27" i="12"/>
  <c r="FZ20" i="12"/>
  <c r="EB19" i="12"/>
  <c r="ER19" i="12"/>
  <c r="FH19" i="12" s="1"/>
  <c r="GA24" i="12"/>
  <c r="CJ24" i="8"/>
  <c r="EU25" i="12"/>
  <c r="FK25" i="12"/>
  <c r="EE25" i="12"/>
  <c r="GB23" i="12"/>
  <c r="GD17" i="12"/>
  <c r="EV16" i="12"/>
  <c r="EF16" i="12"/>
  <c r="FL16" i="12"/>
  <c r="ER24" i="12"/>
  <c r="EB24" i="12"/>
  <c r="GD20" i="12"/>
  <c r="FV25" i="12"/>
  <c r="EH26" i="12"/>
  <c r="EX26" i="12"/>
  <c r="FJ22" i="12"/>
  <c r="GD19" i="12"/>
  <c r="FH25" i="12"/>
  <c r="FZ18" i="12"/>
  <c r="FJ21" i="12"/>
  <c r="FM26" i="12"/>
  <c r="FJ20" i="12"/>
  <c r="GC25" i="12"/>
  <c r="GA20" i="12"/>
  <c r="FN25" i="12"/>
  <c r="EP18" i="12"/>
  <c r="DZ18" i="12"/>
  <c r="FH17" i="12"/>
  <c r="FK21" i="12"/>
  <c r="EU21" i="12"/>
  <c r="EE21" i="12"/>
  <c r="ER16" i="12"/>
  <c r="EB16" i="12"/>
  <c r="FV23" i="12"/>
  <c r="FY16" i="12"/>
  <c r="FL19" i="12"/>
  <c r="EP16" i="12"/>
  <c r="FF16" i="12" s="1"/>
  <c r="DZ16" i="12"/>
  <c r="EU17" i="12"/>
  <c r="FK17" i="12" s="1"/>
  <c r="EE17" i="12"/>
  <c r="CJ25" i="8"/>
  <c r="CL25" i="8" s="1"/>
  <c r="CM25" i="8" s="1"/>
  <c r="FI19" i="12"/>
  <c r="GB24" i="12"/>
  <c r="FZ19" i="12"/>
  <c r="GC16" i="12"/>
  <c r="FX22" i="12"/>
  <c r="FK27" i="12"/>
  <c r="FV21" i="12"/>
  <c r="EC26" i="12"/>
  <c r="ES26" i="12"/>
  <c r="FV17" i="12"/>
  <c r="EH18" i="12"/>
  <c r="EX18" i="12"/>
  <c r="FX21" i="12"/>
  <c r="GA26" i="12"/>
  <c r="EC17" i="12"/>
  <c r="ES17" i="12"/>
  <c r="GC22" i="12"/>
  <c r="FV19" i="12"/>
  <c r="FI24" i="12"/>
  <c r="FI16" i="12"/>
  <c r="GC21" i="12"/>
  <c r="CJ27" i="8"/>
  <c r="ES18" i="12"/>
  <c r="FI18" i="12"/>
  <c r="EC18" i="12"/>
  <c r="EF18" i="12"/>
  <c r="EV18" i="12"/>
  <c r="GB20" i="12"/>
  <c r="GC20" i="12"/>
  <c r="FW18" i="12"/>
  <c r="ER20" i="12"/>
  <c r="FH20" i="12" s="1"/>
  <c r="EB20" i="12"/>
  <c r="GB27" i="12"/>
  <c r="DZ20" i="12"/>
  <c r="EP20" i="12"/>
  <c r="FM18" i="12"/>
  <c r="GB17" i="12"/>
  <c r="GD21" i="12"/>
  <c r="FX27" i="12"/>
  <c r="CJ17" i="8"/>
  <c r="CL17" i="8" s="1"/>
  <c r="CM17" i="8" s="1"/>
  <c r="FL20" i="12"/>
  <c r="FV26" i="12"/>
  <c r="FM20" i="12"/>
  <c r="FG18" i="12"/>
  <c r="GA23" i="12"/>
  <c r="GD16" i="12"/>
  <c r="FI22" i="12"/>
  <c r="FL27" i="12"/>
  <c r="FM19" i="12"/>
  <c r="FW25" i="12"/>
  <c r="FG17" i="12"/>
  <c r="EC21" i="12"/>
  <c r="ES21" i="12"/>
  <c r="FY21" i="12" s="1"/>
  <c r="FW24" i="12"/>
  <c r="FL17" i="12"/>
  <c r="FG23" i="12"/>
  <c r="FX23" i="12"/>
  <c r="EX22" i="12"/>
  <c r="GD22" i="12" s="1"/>
  <c r="EH22" i="12"/>
  <c r="AB25" i="12"/>
  <c r="AR25" i="12"/>
  <c r="BH25" i="12" s="1"/>
  <c r="AC25" i="12"/>
  <c r="AS25" i="12"/>
  <c r="AE25" i="12"/>
  <c r="AU25" i="12"/>
  <c r="BK25" i="12" s="1"/>
  <c r="W25" i="12"/>
  <c r="AM25" i="12"/>
  <c r="Y25" i="12"/>
  <c r="AO25" i="12"/>
  <c r="AD25" i="12"/>
  <c r="AT25" i="12"/>
  <c r="AA25" i="12"/>
  <c r="AQ25" i="12"/>
  <c r="BG25" i="12" s="1"/>
  <c r="X25" i="12"/>
  <c r="AN25" i="12"/>
  <c r="BD25" i="12" s="1"/>
  <c r="Z25" i="12"/>
  <c r="AP25" i="12"/>
  <c r="ER15" i="12"/>
  <c r="CK16" i="9"/>
  <c r="CN16" i="9" s="1"/>
  <c r="CK20" i="9"/>
  <c r="CN20" i="9" s="1"/>
  <c r="CK25" i="9"/>
  <c r="CN25" i="9" s="1"/>
  <c r="CK24" i="9"/>
  <c r="CN24" i="9" s="1"/>
  <c r="CK18" i="9"/>
  <c r="CN18" i="9" s="1"/>
  <c r="CK23" i="9"/>
  <c r="CN23" i="9" s="1"/>
  <c r="CK15" i="9"/>
  <c r="CN15" i="9" s="1"/>
  <c r="CK17" i="9"/>
  <c r="CN17" i="9" s="1"/>
  <c r="CK26" i="9"/>
  <c r="CN26" i="9" s="1"/>
  <c r="CK21" i="9"/>
  <c r="CN21" i="9" s="1"/>
  <c r="CK22" i="9"/>
  <c r="CN22" i="9" s="1"/>
  <c r="CK19" i="9"/>
  <c r="CN19" i="9" s="1"/>
  <c r="CK27" i="9"/>
  <c r="CN27" i="9" s="1"/>
  <c r="CK23" i="8"/>
  <c r="CN23" i="8" s="1"/>
  <c r="CL27" i="8"/>
  <c r="CM27" i="8" s="1"/>
  <c r="CK27" i="8"/>
  <c r="CN27" i="8" s="1"/>
  <c r="CL19" i="8"/>
  <c r="CM19" i="8" s="1"/>
  <c r="CK17" i="8"/>
  <c r="CN17" i="8" s="1"/>
  <c r="CL16" i="8"/>
  <c r="CM16" i="8" s="1"/>
  <c r="CL21" i="8"/>
  <c r="CM21" i="8" s="1"/>
  <c r="CL22" i="8"/>
  <c r="CM22" i="8" s="1"/>
  <c r="CL23" i="8"/>
  <c r="CM23" i="8" s="1"/>
  <c r="CL15" i="8"/>
  <c r="CM15" i="8" s="1"/>
  <c r="CK20" i="8"/>
  <c r="CN20" i="8" s="1"/>
  <c r="CL26" i="8"/>
  <c r="CM26" i="8" s="1"/>
  <c r="CK19" i="8"/>
  <c r="CN19" i="8" s="1"/>
  <c r="CK24" i="8"/>
  <c r="CN24" i="8" s="1"/>
  <c r="CK21" i="8"/>
  <c r="CN21" i="8" s="1"/>
  <c r="CK22" i="8"/>
  <c r="CN22" i="8" s="1"/>
  <c r="CL24" i="8"/>
  <c r="CM24" i="8" s="1"/>
  <c r="CK16" i="8"/>
  <c r="CN16" i="8" s="1"/>
  <c r="CK25" i="8"/>
  <c r="CN25" i="8" s="1"/>
  <c r="CK26" i="8"/>
  <c r="CN26" i="8" s="1"/>
  <c r="CK18" i="8"/>
  <c r="CN18" i="8" s="1"/>
  <c r="NW15" i="11"/>
  <c r="NX15" i="11"/>
  <c r="EP15" i="12"/>
  <c r="FF15" i="12" s="1"/>
  <c r="DZ15" i="12"/>
  <c r="EX15" i="12"/>
  <c r="FN15" i="12" s="1"/>
  <c r="EH15" i="12"/>
  <c r="ES15" i="12"/>
  <c r="EC15" i="12"/>
  <c r="EQ15" i="12"/>
  <c r="FG15" i="12" s="1"/>
  <c r="EA15" i="12"/>
  <c r="NF15" i="11"/>
  <c r="NV15" i="11"/>
  <c r="NY15" i="11"/>
  <c r="NN15" i="11"/>
  <c r="BS15" i="11"/>
  <c r="BT22" i="11"/>
  <c r="OB21" i="11"/>
  <c r="BY23" i="11"/>
  <c r="OD23" i="11"/>
  <c r="BW20" i="11"/>
  <c r="OA17" i="11"/>
  <c r="NZ19" i="11"/>
  <c r="NZ27" i="11"/>
  <c r="NW17" i="11"/>
  <c r="OC16" i="11"/>
  <c r="NV19" i="11"/>
  <c r="NY20" i="11"/>
  <c r="NW22" i="11"/>
  <c r="NY24" i="11"/>
  <c r="OB25" i="11"/>
  <c r="NK17" i="11"/>
  <c r="FX15" i="12"/>
  <c r="OD25" i="11"/>
  <c r="NV15" i="10"/>
  <c r="FK15" i="12"/>
  <c r="GA15" i="12"/>
  <c r="FM15" i="12"/>
  <c r="GC15" i="12"/>
  <c r="FH15" i="12"/>
  <c r="FL15" i="12"/>
  <c r="GB15" i="12"/>
  <c r="FJ15" i="12"/>
  <c r="FZ15" i="12"/>
  <c r="OD21" i="11"/>
  <c r="NX21" i="11"/>
  <c r="NJ27" i="11"/>
  <c r="NV18" i="11"/>
  <c r="NI20" i="11"/>
  <c r="NN23" i="11"/>
  <c r="NG22" i="11"/>
  <c r="NJ18" i="11"/>
  <c r="NZ18" i="11"/>
  <c r="NI16" i="11"/>
  <c r="NY16" i="11"/>
  <c r="NN19" i="11"/>
  <c r="OD19" i="11"/>
  <c r="NK22" i="11"/>
  <c r="OA22" i="11"/>
  <c r="NG26" i="11"/>
  <c r="NW26" i="11"/>
  <c r="NK15" i="11"/>
  <c r="OA15" i="11"/>
  <c r="NI26" i="11"/>
  <c r="NY26" i="11"/>
  <c r="NG16" i="11"/>
  <c r="NW16" i="11"/>
  <c r="NV17" i="11"/>
  <c r="NN17" i="11"/>
  <c r="OD17" i="11"/>
  <c r="NH19" i="11"/>
  <c r="NX19" i="11"/>
  <c r="NW20" i="11"/>
  <c r="NF21" i="11"/>
  <c r="NV21" i="11"/>
  <c r="NL17" i="11"/>
  <c r="OB17" i="11"/>
  <c r="NZ16" i="11"/>
  <c r="NI17" i="11"/>
  <c r="NY17" i="11"/>
  <c r="NX18" i="11"/>
  <c r="NG19" i="11"/>
  <c r="NW19" i="11"/>
  <c r="NF20" i="11"/>
  <c r="NV20" i="11"/>
  <c r="NN20" i="11"/>
  <c r="OD20" i="11"/>
  <c r="OC21" i="11"/>
  <c r="NL22" i="11"/>
  <c r="OB22" i="11"/>
  <c r="NK23" i="11"/>
  <c r="OA23" i="11"/>
  <c r="NJ24" i="11"/>
  <c r="NZ24" i="11"/>
  <c r="NY25" i="11"/>
  <c r="NX26" i="11"/>
  <c r="NG27" i="11"/>
  <c r="NW27" i="11"/>
  <c r="NJ21" i="11"/>
  <c r="NZ21" i="11"/>
  <c r="NH23" i="11"/>
  <c r="NX23" i="11"/>
  <c r="NK24" i="11"/>
  <c r="OA24" i="11"/>
  <c r="NZ25" i="11"/>
  <c r="NN18" i="11"/>
  <c r="OD18" i="11"/>
  <c r="NM19" i="11"/>
  <c r="OC19" i="11"/>
  <c r="OB20" i="11"/>
  <c r="OA21" i="11"/>
  <c r="NJ22" i="11"/>
  <c r="NZ22" i="11"/>
  <c r="NM23" i="11"/>
  <c r="OC23" i="11"/>
  <c r="NL24" i="11"/>
  <c r="OB24" i="11"/>
  <c r="NK25" i="11"/>
  <c r="OA25" i="11"/>
  <c r="NJ26" i="11"/>
  <c r="NZ26" i="11"/>
  <c r="NI27" i="11"/>
  <c r="NY27" i="11"/>
  <c r="OB27" i="11"/>
  <c r="NF17" i="11"/>
  <c r="NL20" i="11"/>
  <c r="NH25" i="11"/>
  <c r="NX25" i="11"/>
  <c r="NJ25" i="11"/>
  <c r="NJ19" i="11"/>
  <c r="NL25" i="11"/>
  <c r="NI25" i="11"/>
  <c r="NI24" i="11"/>
  <c r="OC15" i="11"/>
  <c r="NK18" i="11"/>
  <c r="OA18" i="11"/>
  <c r="NM20" i="11"/>
  <c r="OC20" i="11"/>
  <c r="NM24" i="11"/>
  <c r="OC24" i="11"/>
  <c r="NF27" i="11"/>
  <c r="NV27" i="11"/>
  <c r="NH27" i="11"/>
  <c r="NX27" i="11"/>
  <c r="NF18" i="11"/>
  <c r="NN27" i="11"/>
  <c r="OD27" i="11"/>
  <c r="NG15" i="11"/>
  <c r="NN22" i="11"/>
  <c r="OD22" i="11"/>
  <c r="NM26" i="11"/>
  <c r="OC26" i="11"/>
  <c r="NI15" i="11"/>
  <c r="NL15" i="11"/>
  <c r="OB15" i="11"/>
  <c r="NI18" i="11"/>
  <c r="NY18" i="11"/>
  <c r="NK21" i="11"/>
  <c r="NN25" i="11"/>
  <c r="NH21" i="11"/>
  <c r="NH26" i="11"/>
  <c r="NH18" i="11"/>
  <c r="NH16" i="11"/>
  <c r="NX16" i="11"/>
  <c r="NH17" i="11"/>
  <c r="NX17" i="11"/>
  <c r="NJ23" i="11"/>
  <c r="NZ23" i="11"/>
  <c r="NM22" i="11"/>
  <c r="OC22" i="11"/>
  <c r="NN21" i="11"/>
  <c r="NL16" i="11"/>
  <c r="OB16" i="11"/>
  <c r="NK16" i="11"/>
  <c r="OA16" i="11"/>
  <c r="NJ17" i="11"/>
  <c r="NZ17" i="11"/>
  <c r="NM18" i="11"/>
  <c r="OC18" i="11"/>
  <c r="NL19" i="11"/>
  <c r="OB19" i="11"/>
  <c r="NJ15" i="11"/>
  <c r="NZ15" i="11"/>
  <c r="NG18" i="11"/>
  <c r="NW18" i="11"/>
  <c r="NF23" i="11"/>
  <c r="NV23" i="11"/>
  <c r="NK26" i="11"/>
  <c r="OA26" i="11"/>
  <c r="NG24" i="11"/>
  <c r="NW24" i="11"/>
  <c r="NF16" i="11"/>
  <c r="NV16" i="11"/>
  <c r="NN16" i="11"/>
  <c r="OD16" i="11"/>
  <c r="NM17" i="11"/>
  <c r="OC17" i="11"/>
  <c r="NL18" i="11"/>
  <c r="OB18" i="11"/>
  <c r="NK19" i="11"/>
  <c r="OA19" i="11"/>
  <c r="NJ20" i="11"/>
  <c r="NZ20" i="11"/>
  <c r="NI21" i="11"/>
  <c r="NY21" i="11"/>
  <c r="NH22" i="11"/>
  <c r="NX22" i="11"/>
  <c r="NG23" i="11"/>
  <c r="NW23" i="11"/>
  <c r="NF24" i="11"/>
  <c r="NV24" i="11"/>
  <c r="NN24" i="11"/>
  <c r="OD24" i="11"/>
  <c r="NM25" i="11"/>
  <c r="OC25" i="11"/>
  <c r="NL26" i="11"/>
  <c r="OB26" i="11"/>
  <c r="NK27" i="11"/>
  <c r="OA27" i="11"/>
  <c r="NK20" i="11"/>
  <c r="OA20" i="11"/>
  <c r="NI22" i="11"/>
  <c r="NY22" i="11"/>
  <c r="NL23" i="11"/>
  <c r="OB23" i="11"/>
  <c r="NF25" i="11"/>
  <c r="NV25" i="11"/>
  <c r="NI19" i="11"/>
  <c r="NY19" i="11"/>
  <c r="NH20" i="11"/>
  <c r="NX20" i="11"/>
  <c r="NG21" i="11"/>
  <c r="NW21" i="11"/>
  <c r="NF22" i="11"/>
  <c r="NV22" i="11"/>
  <c r="NI23" i="11"/>
  <c r="NY23" i="11"/>
  <c r="NH24" i="11"/>
  <c r="NX24" i="11"/>
  <c r="NG25" i="11"/>
  <c r="NW25" i="11"/>
  <c r="NF26" i="11"/>
  <c r="NV26" i="11"/>
  <c r="NN26" i="11"/>
  <c r="OD26" i="11"/>
  <c r="NM27" i="11"/>
  <c r="OC27" i="11"/>
  <c r="NH15" i="11"/>
  <c r="NG20" i="11"/>
  <c r="NG17" i="11"/>
  <c r="NL27" i="11"/>
  <c r="NF19" i="11"/>
  <c r="NJ16" i="11"/>
  <c r="NM16" i="11"/>
  <c r="BF26" i="11"/>
  <c r="BS26" i="11"/>
  <c r="BY20" i="11"/>
  <c r="BX18" i="11"/>
  <c r="BU16" i="11"/>
  <c r="BY18" i="11"/>
  <c r="BI20" i="11"/>
  <c r="BU21" i="11"/>
  <c r="BU27" i="11"/>
  <c r="CA18" i="11"/>
  <c r="BV16" i="11"/>
  <c r="BT23" i="11"/>
  <c r="BD27" i="11"/>
  <c r="BT27" i="11"/>
  <c r="BG16" i="11"/>
  <c r="BW16" i="11"/>
  <c r="BI19" i="11"/>
  <c r="BY19" i="11"/>
  <c r="BE23" i="11"/>
  <c r="BU23" i="11"/>
  <c r="BI17" i="11"/>
  <c r="BY17" i="11"/>
  <c r="BE17" i="11"/>
  <c r="BU17" i="11"/>
  <c r="BC27" i="11"/>
  <c r="BS27" i="11"/>
  <c r="BD17" i="11"/>
  <c r="BT17" i="11"/>
  <c r="BJ20" i="11"/>
  <c r="BZ20" i="11"/>
  <c r="BG27" i="11"/>
  <c r="BW27" i="11"/>
  <c r="BD16" i="11"/>
  <c r="BT16" i="11"/>
  <c r="BF19" i="11"/>
  <c r="BV19" i="11"/>
  <c r="BD21" i="11"/>
  <c r="BT21" i="11"/>
  <c r="BG22" i="11"/>
  <c r="BW22" i="11"/>
  <c r="BJ23" i="11"/>
  <c r="BZ23" i="11"/>
  <c r="BD25" i="11"/>
  <c r="BT25" i="11"/>
  <c r="BG26" i="11"/>
  <c r="BW26" i="11"/>
  <c r="BF20" i="11"/>
  <c r="BV20" i="11"/>
  <c r="BI25" i="11"/>
  <c r="BY25" i="11"/>
  <c r="BH18" i="11"/>
  <c r="BE21" i="11"/>
  <c r="BT26" i="11"/>
  <c r="BI18" i="11"/>
  <c r="BE22" i="11"/>
  <c r="BU22" i="11"/>
  <c r="BZ25" i="11"/>
  <c r="BH23" i="11"/>
  <c r="BX23" i="11"/>
  <c r="BE19" i="11"/>
  <c r="BU19" i="11"/>
  <c r="BE18" i="11"/>
  <c r="BU18" i="11"/>
  <c r="BC21" i="11"/>
  <c r="BS21" i="11"/>
  <c r="BC25" i="11"/>
  <c r="BS25" i="11"/>
  <c r="BJ19" i="11"/>
  <c r="BZ19" i="11"/>
  <c r="BK15" i="11"/>
  <c r="CA15" i="11"/>
  <c r="BG17" i="11"/>
  <c r="BW17" i="11"/>
  <c r="BG24" i="11"/>
  <c r="BW24" i="11"/>
  <c r="BI26" i="11"/>
  <c r="BY26" i="11"/>
  <c r="BW18" i="11"/>
  <c r="BZ21" i="11"/>
  <c r="BF25" i="11"/>
  <c r="BV25" i="11"/>
  <c r="BF22" i="11"/>
  <c r="BV22" i="11"/>
  <c r="BS16" i="11"/>
  <c r="BK16" i="11"/>
  <c r="CA16" i="11"/>
  <c r="BJ17" i="11"/>
  <c r="BZ17" i="11"/>
  <c r="BJ18" i="11"/>
  <c r="BZ18" i="11"/>
  <c r="BD20" i="11"/>
  <c r="BT20" i="11"/>
  <c r="BG21" i="11"/>
  <c r="BW21" i="11"/>
  <c r="BJ22" i="11"/>
  <c r="BZ22" i="11"/>
  <c r="BD24" i="11"/>
  <c r="BT24" i="11"/>
  <c r="BK25" i="11"/>
  <c r="CA25" i="11"/>
  <c r="BH15" i="11"/>
  <c r="BX15" i="11"/>
  <c r="CA19" i="11"/>
  <c r="BK22" i="11"/>
  <c r="CA22" i="11"/>
  <c r="BV24" i="11"/>
  <c r="BC16" i="11"/>
  <c r="BE27" i="11"/>
  <c r="BK17" i="11"/>
  <c r="CA17" i="11"/>
  <c r="BK18" i="11"/>
  <c r="BH21" i="11"/>
  <c r="BX21" i="11"/>
  <c r="BC26" i="11"/>
  <c r="BJ27" i="11"/>
  <c r="BZ27" i="11"/>
  <c r="BG15" i="11"/>
  <c r="BW15" i="11"/>
  <c r="BC19" i="11"/>
  <c r="BS19" i="11"/>
  <c r="BE25" i="11"/>
  <c r="BU25" i="11"/>
  <c r="BF16" i="11"/>
  <c r="BT18" i="11"/>
  <c r="BX19" i="11"/>
  <c r="BV21" i="11"/>
  <c r="BI22" i="11"/>
  <c r="BY22" i="11"/>
  <c r="BH27" i="11"/>
  <c r="BX27" i="11"/>
  <c r="BI27" i="11"/>
  <c r="BY27" i="11"/>
  <c r="BC20" i="11"/>
  <c r="BS20" i="11"/>
  <c r="BG25" i="11"/>
  <c r="BW25" i="11"/>
  <c r="BF17" i="11"/>
  <c r="BV17" i="11"/>
  <c r="BK21" i="11"/>
  <c r="CA21" i="11"/>
  <c r="BJ26" i="11"/>
  <c r="BZ26" i="11"/>
  <c r="BI24" i="11"/>
  <c r="BY24" i="11"/>
  <c r="BK26" i="11"/>
  <c r="CA26" i="11"/>
  <c r="BJ16" i="11"/>
  <c r="BZ16" i="11"/>
  <c r="BH17" i="11"/>
  <c r="BX17" i="11"/>
  <c r="BK23" i="11"/>
  <c r="CA23" i="11"/>
  <c r="BF15" i="11"/>
  <c r="BV15" i="11"/>
  <c r="BC23" i="11"/>
  <c r="BS23" i="11"/>
  <c r="BC18" i="11"/>
  <c r="BS18" i="11"/>
  <c r="BG19" i="11"/>
  <c r="BW19" i="11"/>
  <c r="BI21" i="11"/>
  <c r="BY21" i="11"/>
  <c r="BK27" i="11"/>
  <c r="CA27" i="11"/>
  <c r="BH16" i="11"/>
  <c r="BX16" i="11"/>
  <c r="BS17" i="11"/>
  <c r="BE20" i="11"/>
  <c r="BU20" i="11"/>
  <c r="BC22" i="11"/>
  <c r="BS22" i="11"/>
  <c r="BF23" i="11"/>
  <c r="BV23" i="11"/>
  <c r="BE24" i="11"/>
  <c r="BU24" i="11"/>
  <c r="BH25" i="11"/>
  <c r="BX25" i="11"/>
  <c r="BF27" i="11"/>
  <c r="BV27" i="11"/>
  <c r="BI16" i="11"/>
  <c r="BY16" i="11"/>
  <c r="BH22" i="11"/>
  <c r="BX22" i="11"/>
  <c r="BJ24" i="11"/>
  <c r="BZ24" i="11"/>
  <c r="BH26" i="11"/>
  <c r="BX26" i="11"/>
  <c r="BI15" i="11"/>
  <c r="BY15" i="11"/>
  <c r="BU15" i="11"/>
  <c r="BH20" i="11"/>
  <c r="BX20" i="11"/>
  <c r="BH24" i="11"/>
  <c r="BX24" i="11"/>
  <c r="BC17" i="11"/>
  <c r="BE16" i="11"/>
  <c r="BK19" i="11"/>
  <c r="BW23" i="11"/>
  <c r="BZ15" i="11"/>
  <c r="BD18" i="11"/>
  <c r="BD19" i="11"/>
  <c r="BT19" i="11"/>
  <c r="BK20" i="11"/>
  <c r="CA20" i="11"/>
  <c r="BJ21" i="11"/>
  <c r="BC24" i="11"/>
  <c r="BS24" i="11"/>
  <c r="CA24" i="11"/>
  <c r="BE26" i="11"/>
  <c r="BU26" i="11"/>
  <c r="NE16" i="10"/>
  <c r="NU15" i="10"/>
  <c r="NE17" i="10"/>
  <c r="CK15" i="8"/>
  <c r="NE15" i="10"/>
  <c r="OA16" i="10"/>
  <c r="NY18" i="10"/>
  <c r="NG15" i="10"/>
  <c r="NW15" i="10"/>
  <c r="NL16" i="10"/>
  <c r="OB16" i="10"/>
  <c r="NJ18" i="10"/>
  <c r="NZ18" i="10"/>
  <c r="NH20" i="10"/>
  <c r="NX20" i="10"/>
  <c r="NF22" i="10"/>
  <c r="NV22" i="10"/>
  <c r="NM23" i="10"/>
  <c r="OC23" i="10"/>
  <c r="NL24" i="10"/>
  <c r="OB24" i="10"/>
  <c r="NK25" i="10"/>
  <c r="OA25" i="10"/>
  <c r="NH17" i="10"/>
  <c r="NX17" i="10"/>
  <c r="NF19" i="10"/>
  <c r="NV19" i="10"/>
  <c r="NM20" i="10"/>
  <c r="OC20" i="10"/>
  <c r="NK22" i="10"/>
  <c r="OA22" i="10"/>
  <c r="NH25" i="10"/>
  <c r="NX25" i="10"/>
  <c r="NJ16" i="10"/>
  <c r="NZ16" i="10"/>
  <c r="NH18" i="10"/>
  <c r="NX18" i="10"/>
  <c r="NF20" i="10"/>
  <c r="NV20" i="10"/>
  <c r="NM21" i="10"/>
  <c r="OC21" i="10"/>
  <c r="NJ24" i="10"/>
  <c r="NZ24" i="10"/>
  <c r="NH15" i="10"/>
  <c r="NX15" i="10"/>
  <c r="NG20" i="10"/>
  <c r="NW20" i="10"/>
  <c r="NE22" i="10"/>
  <c r="NU22" i="10"/>
  <c r="NL23" i="10"/>
  <c r="OB23" i="10"/>
  <c r="NJ25" i="10"/>
  <c r="NZ25" i="10"/>
  <c r="NF15" i="10"/>
  <c r="NX16" i="10"/>
  <c r="NG17" i="10"/>
  <c r="NW17" i="10"/>
  <c r="NV18" i="10"/>
  <c r="NE19" i="10"/>
  <c r="NU19" i="10"/>
  <c r="NM19" i="10"/>
  <c r="OC19" i="10"/>
  <c r="OB20" i="10"/>
  <c r="NK21" i="10"/>
  <c r="OA21" i="10"/>
  <c r="NZ22" i="10"/>
  <c r="NI23" i="10"/>
  <c r="NY23" i="10"/>
  <c r="NX24" i="10"/>
  <c r="NG25" i="10"/>
  <c r="NW25" i="10"/>
  <c r="NJ15" i="10"/>
  <c r="NZ15" i="10"/>
  <c r="NU16" i="10"/>
  <c r="NM16" i="10"/>
  <c r="OC16" i="10"/>
  <c r="OB17" i="10"/>
  <c r="NK18" i="10"/>
  <c r="OA18" i="10"/>
  <c r="NZ19" i="10"/>
  <c r="NI20" i="10"/>
  <c r="NY20" i="10"/>
  <c r="NX21" i="10"/>
  <c r="NG22" i="10"/>
  <c r="NW22" i="10"/>
  <c r="NV23" i="10"/>
  <c r="NE24" i="10"/>
  <c r="NU24" i="10"/>
  <c r="OC24" i="10"/>
  <c r="NL25" i="10"/>
  <c r="OB25" i="10"/>
  <c r="NF16" i="10"/>
  <c r="NV16" i="10"/>
  <c r="NU17" i="10"/>
  <c r="NM17" i="10"/>
  <c r="OC17" i="10"/>
  <c r="OB18" i="10"/>
  <c r="NK19" i="10"/>
  <c r="OA19" i="10"/>
  <c r="NZ20" i="10"/>
  <c r="NI21" i="10"/>
  <c r="NY21" i="10"/>
  <c r="NX22" i="10"/>
  <c r="NG23" i="10"/>
  <c r="NW23" i="10"/>
  <c r="NV24" i="10"/>
  <c r="NE25" i="10"/>
  <c r="NU25" i="10"/>
  <c r="OC25" i="10"/>
  <c r="NL17" i="10"/>
  <c r="NM24" i="10"/>
  <c r="NJ20" i="10"/>
  <c r="NI15" i="10"/>
  <c r="NY15" i="10"/>
  <c r="NM15" i="10"/>
  <c r="OC15" i="10"/>
  <c r="NI18" i="10"/>
  <c r="NJ22" i="10"/>
  <c r="NL15" i="10"/>
  <c r="OB15" i="10"/>
  <c r="NK17" i="10"/>
  <c r="OA17" i="10"/>
  <c r="NI19" i="10"/>
  <c r="NY19" i="10"/>
  <c r="NG21" i="10"/>
  <c r="NW21" i="10"/>
  <c r="NE23" i="10"/>
  <c r="NU23" i="10"/>
  <c r="NI16" i="10"/>
  <c r="NY16" i="10"/>
  <c r="NG18" i="10"/>
  <c r="NW18" i="10"/>
  <c r="NE20" i="10"/>
  <c r="NU20" i="10"/>
  <c r="NL21" i="10"/>
  <c r="OB21" i="10"/>
  <c r="NJ23" i="10"/>
  <c r="NZ23" i="10"/>
  <c r="NI24" i="10"/>
  <c r="NY24" i="10"/>
  <c r="NI17" i="10"/>
  <c r="NY17" i="10"/>
  <c r="NG19" i="10"/>
  <c r="NW19" i="10"/>
  <c r="NE21" i="10"/>
  <c r="NU21" i="10"/>
  <c r="NL22" i="10"/>
  <c r="OB22" i="10"/>
  <c r="NK23" i="10"/>
  <c r="OA23" i="10"/>
  <c r="NI25" i="10"/>
  <c r="NY25" i="10"/>
  <c r="NJ17" i="10"/>
  <c r="NZ17" i="10"/>
  <c r="NH19" i="10"/>
  <c r="NX19" i="10"/>
  <c r="NF21" i="10"/>
  <c r="NV21" i="10"/>
  <c r="NM22" i="10"/>
  <c r="OC22" i="10"/>
  <c r="NK24" i="10"/>
  <c r="OA24" i="10"/>
  <c r="NG16" i="10"/>
  <c r="NW16" i="10"/>
  <c r="NV17" i="10"/>
  <c r="NE18" i="10"/>
  <c r="NU18" i="10"/>
  <c r="OC18" i="10"/>
  <c r="OB19" i="10"/>
  <c r="NK20" i="10"/>
  <c r="OA20" i="10"/>
  <c r="NZ21" i="10"/>
  <c r="NI22" i="10"/>
  <c r="NY22" i="10"/>
  <c r="NX23" i="10"/>
  <c r="NG24" i="10"/>
  <c r="NW24" i="10"/>
  <c r="NV25" i="10"/>
  <c r="NK15" i="10"/>
  <c r="OA15" i="10"/>
  <c r="NJ19" i="10"/>
  <c r="NH22" i="10"/>
  <c r="NL19" i="10"/>
  <c r="NH16" i="10"/>
  <c r="NH24" i="10"/>
  <c r="FY26" i="12" l="1"/>
  <c r="FX24" i="12"/>
  <c r="FX16" i="12"/>
  <c r="GD26" i="12"/>
  <c r="BU25" i="12"/>
  <c r="FV20" i="12"/>
  <c r="FI17" i="12"/>
  <c r="FI26" i="12"/>
  <c r="FI21" i="12"/>
  <c r="FY18" i="12"/>
  <c r="FY25" i="12"/>
  <c r="GA17" i="12"/>
  <c r="FH16" i="12"/>
  <c r="GA25" i="12"/>
  <c r="FI25" i="12"/>
  <c r="FX20" i="12"/>
  <c r="FN22" i="12"/>
  <c r="GD18" i="12"/>
  <c r="GA21" i="12"/>
  <c r="GB22" i="12"/>
  <c r="FN18" i="12"/>
  <c r="FV16" i="12"/>
  <c r="FH24" i="12"/>
  <c r="GB26" i="12"/>
  <c r="BY25" i="12"/>
  <c r="GB18" i="12"/>
  <c r="FX19" i="12"/>
  <c r="FY17" i="12"/>
  <c r="FV18" i="12"/>
  <c r="FV24" i="12"/>
  <c r="FF20" i="12"/>
  <c r="FL18" i="12"/>
  <c r="FF18" i="12"/>
  <c r="FN26" i="12"/>
  <c r="GB16" i="12"/>
  <c r="BZ25" i="12"/>
  <c r="BE25" i="12"/>
  <c r="BV25" i="12"/>
  <c r="BS25" i="12"/>
  <c r="BF25" i="12"/>
  <c r="BT25" i="12"/>
  <c r="BW25" i="12"/>
  <c r="BJ25" i="12"/>
  <c r="BC25" i="12"/>
  <c r="CA25" i="12"/>
  <c r="BI25" i="12"/>
  <c r="BX25" i="12"/>
  <c r="FW15" i="12"/>
  <c r="GD15" i="12"/>
  <c r="FV15" i="12"/>
  <c r="FY15" i="12"/>
  <c r="FI15" i="12"/>
  <c r="CN15" i="8"/>
  <c r="DJ16" i="10" l="1"/>
  <c r="DK16" i="10"/>
  <c r="DL16" i="10"/>
  <c r="DM16" i="10"/>
  <c r="DN16" i="10"/>
  <c r="DO16" i="10"/>
  <c r="DP16" i="10"/>
  <c r="DQ16" i="10"/>
  <c r="DR16" i="10"/>
  <c r="DJ17" i="10"/>
  <c r="DK17" i="10"/>
  <c r="DL17" i="10"/>
  <c r="DM17" i="10"/>
  <c r="DN17" i="10"/>
  <c r="DO17" i="10"/>
  <c r="DP17" i="10"/>
  <c r="DQ17" i="10"/>
  <c r="DR17" i="10"/>
  <c r="DJ18" i="10"/>
  <c r="DK18" i="10"/>
  <c r="DL18" i="10"/>
  <c r="DM18" i="10"/>
  <c r="DN18" i="10"/>
  <c r="DO18" i="10"/>
  <c r="DP18" i="10"/>
  <c r="DQ18" i="10"/>
  <c r="DR18" i="10"/>
  <c r="DJ19" i="10"/>
  <c r="DK19" i="10"/>
  <c r="DL19" i="10"/>
  <c r="DM19" i="10"/>
  <c r="DN19" i="10"/>
  <c r="DO19" i="10"/>
  <c r="DP19" i="10"/>
  <c r="DQ19" i="10"/>
  <c r="DR19" i="10"/>
  <c r="DJ20" i="10"/>
  <c r="DK20" i="10"/>
  <c r="DL20" i="10"/>
  <c r="DM20" i="10"/>
  <c r="DN20" i="10"/>
  <c r="DO20" i="10"/>
  <c r="DP20" i="10"/>
  <c r="DQ20" i="10"/>
  <c r="DR20" i="10"/>
  <c r="DJ21" i="10"/>
  <c r="DK21" i="10"/>
  <c r="DL21" i="10"/>
  <c r="DM21" i="10"/>
  <c r="DN21" i="10"/>
  <c r="DO21" i="10"/>
  <c r="DP21" i="10"/>
  <c r="DQ21" i="10"/>
  <c r="DR21" i="10"/>
  <c r="DJ22" i="10"/>
  <c r="DK22" i="10"/>
  <c r="DL22" i="10"/>
  <c r="DM22" i="10"/>
  <c r="DN22" i="10"/>
  <c r="DO22" i="10"/>
  <c r="DP22" i="10"/>
  <c r="DQ22" i="10"/>
  <c r="DR22" i="10"/>
  <c r="DJ23" i="10"/>
  <c r="DK23" i="10"/>
  <c r="DL23" i="10"/>
  <c r="DM23" i="10"/>
  <c r="DN23" i="10"/>
  <c r="DO23" i="10"/>
  <c r="DP23" i="10"/>
  <c r="DQ23" i="10"/>
  <c r="DR23" i="10"/>
  <c r="DJ24" i="10"/>
  <c r="DK24" i="10"/>
  <c r="DL24" i="10"/>
  <c r="DM24" i="10"/>
  <c r="DN24" i="10"/>
  <c r="DO24" i="10"/>
  <c r="DP24" i="10"/>
  <c r="DQ24" i="10"/>
  <c r="DR24" i="10"/>
  <c r="DJ25" i="10"/>
  <c r="DK25" i="10"/>
  <c r="DL25" i="10"/>
  <c r="DM25" i="10"/>
  <c r="DN25" i="10"/>
  <c r="DO25" i="10"/>
  <c r="DP25" i="10"/>
  <c r="DQ25" i="10"/>
  <c r="DR25" i="10"/>
  <c r="DJ15" i="10"/>
  <c r="DR15" i="10"/>
  <c r="DQ15" i="10"/>
  <c r="DP15" i="10"/>
  <c r="DO15" i="10"/>
  <c r="DN15" i="10"/>
  <c r="DM15" i="10"/>
  <c r="DL15" i="10"/>
  <c r="DK15" i="10"/>
  <c r="DT15" i="10"/>
  <c r="DS17" i="10"/>
  <c r="DS16" i="10"/>
  <c r="DS15" i="10"/>
  <c r="EG25" i="10" l="1"/>
  <c r="EW25" i="10"/>
  <c r="EC25" i="10"/>
  <c r="ES25" i="10"/>
  <c r="EH24" i="10"/>
  <c r="EX24" i="10"/>
  <c r="ED24" i="10"/>
  <c r="ET24" i="10"/>
  <c r="DZ24" i="10"/>
  <c r="EP24" i="10"/>
  <c r="EE23" i="10"/>
  <c r="EU23" i="10"/>
  <c r="EA23" i="10"/>
  <c r="EQ23" i="10"/>
  <c r="EF22" i="10"/>
  <c r="EV22" i="10"/>
  <c r="EB22" i="10"/>
  <c r="ER22" i="10"/>
  <c r="EG21" i="10"/>
  <c r="EW21" i="10"/>
  <c r="EC21" i="10"/>
  <c r="ES21" i="10"/>
  <c r="EH20" i="10"/>
  <c r="EX20" i="10"/>
  <c r="ED20" i="10"/>
  <c r="ET20" i="10"/>
  <c r="DZ20" i="10"/>
  <c r="EP20" i="10"/>
  <c r="EE19" i="10"/>
  <c r="EU19" i="10"/>
  <c r="EA19" i="10"/>
  <c r="EQ19" i="10"/>
  <c r="EF18" i="10"/>
  <c r="EV18" i="10"/>
  <c r="EB18" i="10"/>
  <c r="ER18" i="10"/>
  <c r="EG17" i="10"/>
  <c r="EW17" i="10"/>
  <c r="EC17" i="10"/>
  <c r="ES17" i="10"/>
  <c r="EH16" i="10"/>
  <c r="EX16" i="10"/>
  <c r="ED16" i="10"/>
  <c r="ET16" i="10"/>
  <c r="DZ16" i="10"/>
  <c r="EP16" i="10"/>
  <c r="EB15" i="10"/>
  <c r="ER15" i="10"/>
  <c r="EF15" i="10"/>
  <c r="EV15" i="10"/>
  <c r="EG15" i="10"/>
  <c r="EW15" i="10"/>
  <c r="EB25" i="10"/>
  <c r="ER25" i="10"/>
  <c r="EC24" i="10"/>
  <c r="ES24" i="10"/>
  <c r="ED23" i="10"/>
  <c r="ET23" i="10"/>
  <c r="EE22" i="10"/>
  <c r="EU22" i="10"/>
  <c r="EA22" i="10"/>
  <c r="EQ22" i="10"/>
  <c r="EF21" i="10"/>
  <c r="EV21" i="10"/>
  <c r="EB21" i="10"/>
  <c r="ER21" i="10"/>
  <c r="EG20" i="10"/>
  <c r="EW20" i="10"/>
  <c r="EC20" i="10"/>
  <c r="ES20" i="10"/>
  <c r="EH19" i="10"/>
  <c r="EX19" i="10"/>
  <c r="ED19" i="10"/>
  <c r="ET19" i="10"/>
  <c r="DZ19" i="10"/>
  <c r="EP19" i="10"/>
  <c r="EE18" i="10"/>
  <c r="EU18" i="10"/>
  <c r="EA18" i="10"/>
  <c r="EQ18" i="10"/>
  <c r="EF17" i="10"/>
  <c r="EV17" i="10"/>
  <c r="EB17" i="10"/>
  <c r="ER17" i="10"/>
  <c r="EC16" i="10"/>
  <c r="ES16" i="10"/>
  <c r="EH15" i="10"/>
  <c r="EX15" i="10"/>
  <c r="EE25" i="10"/>
  <c r="EU25" i="10"/>
  <c r="EA25" i="10"/>
  <c r="EQ25" i="10"/>
  <c r="EF24" i="10"/>
  <c r="EV24" i="10"/>
  <c r="EB24" i="10"/>
  <c r="ER24" i="10"/>
  <c r="EG23" i="10"/>
  <c r="EW23" i="10"/>
  <c r="EC23" i="10"/>
  <c r="ES23" i="10"/>
  <c r="EH22" i="10"/>
  <c r="EX22" i="10"/>
  <c r="ED22" i="10"/>
  <c r="ET22" i="10"/>
  <c r="DZ22" i="10"/>
  <c r="EP22" i="10"/>
  <c r="EE21" i="10"/>
  <c r="EU21" i="10"/>
  <c r="EA21" i="10"/>
  <c r="EQ21" i="10"/>
  <c r="EF20" i="10"/>
  <c r="EV20" i="10"/>
  <c r="EB20" i="10"/>
  <c r="ER20" i="10"/>
  <c r="EG19" i="10"/>
  <c r="EW19" i="10"/>
  <c r="EC19" i="10"/>
  <c r="ES19" i="10"/>
  <c r="EH18" i="10"/>
  <c r="EX18" i="10"/>
  <c r="ED18" i="10"/>
  <c r="ET18" i="10"/>
  <c r="DZ18" i="10"/>
  <c r="EP18" i="10"/>
  <c r="EE17" i="10"/>
  <c r="EU17" i="10"/>
  <c r="EA17" i="10"/>
  <c r="EQ17" i="10"/>
  <c r="EF16" i="10"/>
  <c r="EV16" i="10"/>
  <c r="EB16" i="10"/>
  <c r="ER16" i="10"/>
  <c r="EC15" i="10"/>
  <c r="ES15" i="10"/>
  <c r="EF25" i="10"/>
  <c r="EV25" i="10"/>
  <c r="EG24" i="10"/>
  <c r="EW24" i="10"/>
  <c r="EH23" i="10"/>
  <c r="EX23" i="10"/>
  <c r="DZ23" i="10"/>
  <c r="EP23" i="10"/>
  <c r="EG16" i="10"/>
  <c r="EW16" i="10"/>
  <c r="ED15" i="10"/>
  <c r="ET15" i="10"/>
  <c r="EA15" i="10"/>
  <c r="EQ15" i="10"/>
  <c r="EE15" i="10"/>
  <c r="EU15" i="10"/>
  <c r="DZ15" i="10"/>
  <c r="EP15" i="10"/>
  <c r="EH25" i="10"/>
  <c r="EX25" i="10"/>
  <c r="ED25" i="10"/>
  <c r="ET25" i="10"/>
  <c r="DZ25" i="10"/>
  <c r="EP25" i="10"/>
  <c r="EE24" i="10"/>
  <c r="EU24" i="10"/>
  <c r="EA24" i="10"/>
  <c r="EQ24" i="10"/>
  <c r="EF23" i="10"/>
  <c r="EV23" i="10"/>
  <c r="EB23" i="10"/>
  <c r="ER23" i="10"/>
  <c r="EG22" i="10"/>
  <c r="EW22" i="10"/>
  <c r="EC22" i="10"/>
  <c r="ES22" i="10"/>
  <c r="EH21" i="10"/>
  <c r="EX21" i="10"/>
  <c r="ED21" i="10"/>
  <c r="ET21" i="10"/>
  <c r="DZ21" i="10"/>
  <c r="EP21" i="10"/>
  <c r="EE20" i="10"/>
  <c r="EU20" i="10"/>
  <c r="EA20" i="10"/>
  <c r="EQ20" i="10"/>
  <c r="EF19" i="10"/>
  <c r="EV19" i="10"/>
  <c r="EB19" i="10"/>
  <c r="ER19" i="10"/>
  <c r="EG18" i="10"/>
  <c r="EW18" i="10"/>
  <c r="EC18" i="10"/>
  <c r="ES18" i="10"/>
  <c r="EH17" i="10"/>
  <c r="EX17" i="10"/>
  <c r="ED17" i="10"/>
  <c r="ET17" i="10"/>
  <c r="DZ17" i="10"/>
  <c r="EP17" i="10"/>
  <c r="EE16" i="10"/>
  <c r="EU16" i="10"/>
  <c r="EA16" i="10"/>
  <c r="EQ16" i="10"/>
  <c r="U17" i="10"/>
  <c r="G16" i="10"/>
  <c r="G16" i="12" s="1"/>
  <c r="H16" i="10"/>
  <c r="H16" i="12" s="1"/>
  <c r="I16" i="10"/>
  <c r="I16" i="12" s="1"/>
  <c r="J16" i="10"/>
  <c r="J16" i="12" s="1"/>
  <c r="K16" i="10"/>
  <c r="K16" i="12" s="1"/>
  <c r="L16" i="10"/>
  <c r="L16" i="12" s="1"/>
  <c r="M16" i="10"/>
  <c r="M16" i="12" s="1"/>
  <c r="N16" i="10"/>
  <c r="N16" i="12" s="1"/>
  <c r="O16" i="10"/>
  <c r="O16" i="12" s="1"/>
  <c r="G17" i="10"/>
  <c r="G17" i="12" s="1"/>
  <c r="H17" i="10"/>
  <c r="H17" i="12" s="1"/>
  <c r="I17" i="10"/>
  <c r="I17" i="12" s="1"/>
  <c r="J17" i="10"/>
  <c r="J17" i="12" s="1"/>
  <c r="K17" i="10"/>
  <c r="K17" i="12" s="1"/>
  <c r="L17" i="10"/>
  <c r="L17" i="12" s="1"/>
  <c r="M17" i="10"/>
  <c r="M17" i="12" s="1"/>
  <c r="N17" i="10"/>
  <c r="N17" i="12" s="1"/>
  <c r="O17" i="10"/>
  <c r="O17" i="12" s="1"/>
  <c r="G18" i="10"/>
  <c r="G18" i="12" s="1"/>
  <c r="H18" i="10"/>
  <c r="H18" i="12" s="1"/>
  <c r="I18" i="10"/>
  <c r="I18" i="12" s="1"/>
  <c r="J18" i="10"/>
  <c r="J18" i="12" s="1"/>
  <c r="K18" i="10"/>
  <c r="K18" i="12" s="1"/>
  <c r="L18" i="10"/>
  <c r="L18" i="12" s="1"/>
  <c r="M18" i="10"/>
  <c r="M18" i="12" s="1"/>
  <c r="N18" i="10"/>
  <c r="N18" i="12" s="1"/>
  <c r="O18" i="10"/>
  <c r="O18" i="12" s="1"/>
  <c r="G19" i="10"/>
  <c r="G19" i="12" s="1"/>
  <c r="H19" i="10"/>
  <c r="H19" i="12" s="1"/>
  <c r="I19" i="10"/>
  <c r="I19" i="12" s="1"/>
  <c r="J19" i="10"/>
  <c r="J19" i="12" s="1"/>
  <c r="K19" i="10"/>
  <c r="K19" i="12" s="1"/>
  <c r="L19" i="10"/>
  <c r="L19" i="12" s="1"/>
  <c r="M19" i="10"/>
  <c r="M19" i="12" s="1"/>
  <c r="N19" i="10"/>
  <c r="N19" i="12" s="1"/>
  <c r="O19" i="10"/>
  <c r="O19" i="12" s="1"/>
  <c r="G20" i="10"/>
  <c r="G20" i="12" s="1"/>
  <c r="H20" i="10"/>
  <c r="H20" i="12" s="1"/>
  <c r="I20" i="10"/>
  <c r="I20" i="12" s="1"/>
  <c r="J20" i="10"/>
  <c r="J20" i="12" s="1"/>
  <c r="K20" i="10"/>
  <c r="K20" i="12" s="1"/>
  <c r="L20" i="10"/>
  <c r="L20" i="12" s="1"/>
  <c r="M20" i="10"/>
  <c r="M20" i="12" s="1"/>
  <c r="N20" i="10"/>
  <c r="N20" i="12" s="1"/>
  <c r="O20" i="10"/>
  <c r="O20" i="12" s="1"/>
  <c r="G21" i="10"/>
  <c r="G21" i="12" s="1"/>
  <c r="H21" i="10"/>
  <c r="H21" i="12" s="1"/>
  <c r="I21" i="10"/>
  <c r="I21" i="12" s="1"/>
  <c r="J21" i="10"/>
  <c r="J21" i="12" s="1"/>
  <c r="K21" i="10"/>
  <c r="K21" i="12" s="1"/>
  <c r="L21" i="10"/>
  <c r="L21" i="12" s="1"/>
  <c r="M21" i="10"/>
  <c r="M21" i="12" s="1"/>
  <c r="N21" i="10"/>
  <c r="N21" i="12" s="1"/>
  <c r="O21" i="10"/>
  <c r="O21" i="12" s="1"/>
  <c r="G22" i="10"/>
  <c r="G22" i="12" s="1"/>
  <c r="H22" i="10"/>
  <c r="H22" i="12" s="1"/>
  <c r="I22" i="10"/>
  <c r="I22" i="12" s="1"/>
  <c r="J22" i="10"/>
  <c r="J22" i="12" s="1"/>
  <c r="K22" i="10"/>
  <c r="K22" i="12" s="1"/>
  <c r="L22" i="10"/>
  <c r="L22" i="12" s="1"/>
  <c r="M22" i="10"/>
  <c r="M22" i="12" s="1"/>
  <c r="N22" i="10"/>
  <c r="N22" i="12" s="1"/>
  <c r="O22" i="10"/>
  <c r="O22" i="12" s="1"/>
  <c r="G23" i="10"/>
  <c r="G23" i="12" s="1"/>
  <c r="H23" i="10"/>
  <c r="H23" i="12" s="1"/>
  <c r="I23" i="10"/>
  <c r="I23" i="12" s="1"/>
  <c r="J23" i="10"/>
  <c r="J23" i="12" s="1"/>
  <c r="K23" i="10"/>
  <c r="K23" i="12" s="1"/>
  <c r="L23" i="10"/>
  <c r="L23" i="12" s="1"/>
  <c r="M23" i="10"/>
  <c r="M23" i="12" s="1"/>
  <c r="N23" i="10"/>
  <c r="N23" i="12" s="1"/>
  <c r="O23" i="10"/>
  <c r="O23" i="12" s="1"/>
  <c r="G24" i="10"/>
  <c r="G24" i="12" s="1"/>
  <c r="H24" i="10"/>
  <c r="H24" i="12" s="1"/>
  <c r="I24" i="10"/>
  <c r="I24" i="12" s="1"/>
  <c r="J24" i="10"/>
  <c r="J24" i="12" s="1"/>
  <c r="K24" i="10"/>
  <c r="K24" i="12" s="1"/>
  <c r="L24" i="10"/>
  <c r="L24" i="12" s="1"/>
  <c r="M24" i="10"/>
  <c r="M24" i="12" s="1"/>
  <c r="N24" i="10"/>
  <c r="N24" i="12" s="1"/>
  <c r="O24" i="10"/>
  <c r="O24" i="12" s="1"/>
  <c r="O15" i="10"/>
  <c r="O15" i="12" s="1"/>
  <c r="AE15" i="12" s="1"/>
  <c r="N15" i="10"/>
  <c r="N15" i="12" s="1"/>
  <c r="M15" i="10"/>
  <c r="M15" i="12" s="1"/>
  <c r="L15" i="10"/>
  <c r="K15" i="10"/>
  <c r="J15" i="10"/>
  <c r="J15" i="12" s="1"/>
  <c r="I15" i="10"/>
  <c r="I15" i="12" s="1"/>
  <c r="H15" i="10"/>
  <c r="H15" i="12" s="1"/>
  <c r="G15" i="10"/>
  <c r="G15" i="12" s="1"/>
  <c r="CZ44" i="14"/>
  <c r="CZ45" i="14"/>
  <c r="CZ46" i="14"/>
  <c r="CZ47" i="14"/>
  <c r="CZ48" i="14"/>
  <c r="CZ49" i="14"/>
  <c r="CZ50" i="14"/>
  <c r="CZ51" i="14"/>
  <c r="CZ52" i="14"/>
  <c r="CZ53" i="14"/>
  <c r="CZ54" i="14"/>
  <c r="CZ55" i="14"/>
  <c r="CZ56" i="14"/>
  <c r="CZ57" i="14"/>
  <c r="CZ58" i="14"/>
  <c r="CZ59" i="14"/>
  <c r="CZ60" i="14"/>
  <c r="CZ61" i="14"/>
  <c r="CZ62" i="14"/>
  <c r="CZ63" i="14"/>
  <c r="CZ64" i="14"/>
  <c r="CZ65" i="14"/>
  <c r="CZ66" i="14"/>
  <c r="CZ67" i="14"/>
  <c r="CZ68" i="14"/>
  <c r="CZ69" i="14"/>
  <c r="CZ70" i="14"/>
  <c r="CZ71" i="14"/>
  <c r="CZ72" i="14"/>
  <c r="CZ73" i="14"/>
  <c r="CI28" i="14"/>
  <c r="CJ28" i="14"/>
  <c r="CN28" i="14"/>
  <c r="CI29" i="14"/>
  <c r="CJ29" i="14"/>
  <c r="CN29" i="14"/>
  <c r="CI30" i="14"/>
  <c r="CJ30" i="14"/>
  <c r="CN30" i="14"/>
  <c r="CI31" i="14"/>
  <c r="CJ31" i="14"/>
  <c r="CN31" i="14"/>
  <c r="CI32" i="14"/>
  <c r="CJ32" i="14"/>
  <c r="CN32" i="14"/>
  <c r="CI33" i="14"/>
  <c r="CJ33" i="14"/>
  <c r="CN33" i="14"/>
  <c r="CI34" i="14"/>
  <c r="CJ34" i="14"/>
  <c r="CN34" i="14"/>
  <c r="CI35" i="14"/>
  <c r="CJ35" i="14"/>
  <c r="CN35" i="14"/>
  <c r="CI36" i="14"/>
  <c r="CJ36" i="14"/>
  <c r="CN36" i="14"/>
  <c r="CI37" i="14"/>
  <c r="CJ37" i="14"/>
  <c r="CN37" i="14"/>
  <c r="CI38" i="14"/>
  <c r="CJ38" i="14"/>
  <c r="CN38" i="14"/>
  <c r="CI39" i="14"/>
  <c r="CJ39" i="14"/>
  <c r="CN39" i="14"/>
  <c r="CI40" i="14"/>
  <c r="CJ40" i="14"/>
  <c r="CN40" i="14"/>
  <c r="CI41" i="14"/>
  <c r="CJ41" i="14"/>
  <c r="CN41" i="14"/>
  <c r="CI42" i="14"/>
  <c r="CJ42" i="14"/>
  <c r="CN42" i="14"/>
  <c r="CI43" i="14"/>
  <c r="CJ43" i="14"/>
  <c r="CN43" i="14"/>
  <c r="CI44" i="14"/>
  <c r="CJ44" i="14"/>
  <c r="CN44" i="14"/>
  <c r="CI45" i="14"/>
  <c r="CJ45" i="14"/>
  <c r="CN45" i="14"/>
  <c r="CI46" i="14"/>
  <c r="CJ46" i="14"/>
  <c r="CN46" i="14"/>
  <c r="CI47" i="14"/>
  <c r="CJ47" i="14"/>
  <c r="CN47" i="14"/>
  <c r="CI48" i="14"/>
  <c r="CJ48" i="14"/>
  <c r="CN48" i="14"/>
  <c r="CI49" i="14"/>
  <c r="CJ49" i="14"/>
  <c r="CN49" i="14"/>
  <c r="CI50" i="14"/>
  <c r="CJ50" i="14"/>
  <c r="CN50" i="14"/>
  <c r="CI51" i="14"/>
  <c r="CJ51" i="14"/>
  <c r="CN51" i="14"/>
  <c r="CI52" i="14"/>
  <c r="CJ52" i="14"/>
  <c r="CN52" i="14"/>
  <c r="CI53" i="14"/>
  <c r="CJ53" i="14"/>
  <c r="CN53" i="14"/>
  <c r="CI54" i="14"/>
  <c r="CJ54" i="14"/>
  <c r="CN54" i="14"/>
  <c r="CI55" i="14"/>
  <c r="CJ55" i="14"/>
  <c r="CN55" i="14"/>
  <c r="CI56" i="14"/>
  <c r="CJ56" i="14"/>
  <c r="CN56" i="14"/>
  <c r="CI57" i="14"/>
  <c r="CJ57" i="14"/>
  <c r="CN57" i="14"/>
  <c r="CI58" i="14"/>
  <c r="CJ58" i="14"/>
  <c r="CN58" i="14"/>
  <c r="CI59" i="14"/>
  <c r="CJ59" i="14"/>
  <c r="CN59" i="14"/>
  <c r="CI60" i="14"/>
  <c r="CJ60" i="14"/>
  <c r="CN60" i="14"/>
  <c r="CI61" i="14"/>
  <c r="CJ61" i="14"/>
  <c r="CN61" i="14"/>
  <c r="CI62" i="14"/>
  <c r="CJ62" i="14"/>
  <c r="CN62" i="14"/>
  <c r="CI63" i="14"/>
  <c r="CJ63" i="14"/>
  <c r="CN63" i="14"/>
  <c r="CI64" i="14"/>
  <c r="CJ64" i="14"/>
  <c r="CN64" i="14"/>
  <c r="CI65" i="14"/>
  <c r="CJ65" i="14"/>
  <c r="CN65" i="14"/>
  <c r="CI66" i="14"/>
  <c r="CJ66" i="14"/>
  <c r="CN66" i="14"/>
  <c r="CI67" i="14"/>
  <c r="CJ67" i="14"/>
  <c r="CN67" i="14"/>
  <c r="CI68" i="14"/>
  <c r="CJ68" i="14"/>
  <c r="CN68" i="14"/>
  <c r="CI69" i="14"/>
  <c r="CJ69" i="14"/>
  <c r="CN69" i="14"/>
  <c r="CI70" i="14"/>
  <c r="CJ70" i="14"/>
  <c r="CN70" i="14"/>
  <c r="CI71" i="14"/>
  <c r="CJ71" i="14"/>
  <c r="CN71" i="14"/>
  <c r="CI72" i="14"/>
  <c r="CJ72" i="14"/>
  <c r="CN72" i="14"/>
  <c r="CI73" i="14"/>
  <c r="CJ73" i="14"/>
  <c r="CN73" i="14"/>
  <c r="CI74" i="14"/>
  <c r="CJ74" i="14"/>
  <c r="CN74" i="14"/>
  <c r="CI75" i="14"/>
  <c r="CJ75" i="14"/>
  <c r="CN75" i="14"/>
  <c r="CI76" i="14"/>
  <c r="CJ76" i="14"/>
  <c r="CN76" i="14"/>
  <c r="CI77" i="14"/>
  <c r="CJ77" i="14"/>
  <c r="CN77" i="14"/>
  <c r="CI78" i="14"/>
  <c r="CJ78" i="14"/>
  <c r="CN78" i="14"/>
  <c r="CI79" i="14"/>
  <c r="CJ79" i="14"/>
  <c r="CN79" i="14"/>
  <c r="S15" i="10"/>
  <c r="R15" i="10"/>
  <c r="Q15" i="10"/>
  <c r="P15" i="10"/>
  <c r="DH15" i="14"/>
  <c r="DD15" i="14"/>
  <c r="DC15" i="14"/>
  <c r="CI80" i="14"/>
  <c r="CJ80" i="14"/>
  <c r="CN80" i="14"/>
  <c r="CI81" i="14"/>
  <c r="CJ81" i="14"/>
  <c r="CN81" i="14"/>
  <c r="CI82" i="14"/>
  <c r="CJ82" i="14"/>
  <c r="CN82" i="14"/>
  <c r="AO15" i="14"/>
  <c r="BE15" i="14" s="1"/>
  <c r="AP15" i="14"/>
  <c r="AQ15" i="14"/>
  <c r="BG15" i="14" s="1"/>
  <c r="AR15" i="14"/>
  <c r="AR16" i="14"/>
  <c r="AS16" i="14"/>
  <c r="AT16" i="14"/>
  <c r="AU16" i="14"/>
  <c r="AM16" i="14"/>
  <c r="AN16" i="14"/>
  <c r="AO16" i="14"/>
  <c r="AP16" i="14"/>
  <c r="AQ16" i="14"/>
  <c r="AM17" i="14"/>
  <c r="AN17" i="14"/>
  <c r="AO17" i="14"/>
  <c r="AP17" i="14"/>
  <c r="AQ17" i="14"/>
  <c r="AR17" i="14"/>
  <c r="AS17" i="14"/>
  <c r="AT17" i="14"/>
  <c r="AU17" i="14"/>
  <c r="AM18" i="14"/>
  <c r="AN18" i="14"/>
  <c r="AO18" i="14"/>
  <c r="AP18" i="14"/>
  <c r="AQ18" i="14"/>
  <c r="AR18" i="14"/>
  <c r="AS18" i="14"/>
  <c r="AT18" i="14"/>
  <c r="AU18" i="14"/>
  <c r="AM19" i="14"/>
  <c r="AN19" i="14"/>
  <c r="AO19" i="14"/>
  <c r="AP19" i="14"/>
  <c r="AQ19" i="14"/>
  <c r="AR19" i="14"/>
  <c r="AS19" i="14"/>
  <c r="AT19" i="14"/>
  <c r="AU19" i="14"/>
  <c r="AM20" i="14"/>
  <c r="AN20" i="14"/>
  <c r="AO20" i="14"/>
  <c r="AP20" i="14"/>
  <c r="AQ20" i="14"/>
  <c r="AR20" i="14"/>
  <c r="AS20" i="14"/>
  <c r="AT20" i="14"/>
  <c r="AU20" i="14"/>
  <c r="AM21" i="14"/>
  <c r="AN21" i="14"/>
  <c r="AO21" i="14"/>
  <c r="AP21" i="14"/>
  <c r="AQ21" i="14"/>
  <c r="AR21" i="14"/>
  <c r="AS21" i="14"/>
  <c r="AT21" i="14"/>
  <c r="AU21" i="14"/>
  <c r="AM22" i="14"/>
  <c r="AN22" i="14"/>
  <c r="AO22" i="14"/>
  <c r="AP22" i="14"/>
  <c r="AQ22" i="14"/>
  <c r="AR22" i="14"/>
  <c r="AS22" i="14"/>
  <c r="AT22" i="14"/>
  <c r="AU22" i="14"/>
  <c r="AM23" i="14"/>
  <c r="AN23" i="14"/>
  <c r="AO23" i="14"/>
  <c r="AP23" i="14"/>
  <c r="AQ23" i="14"/>
  <c r="AR23" i="14"/>
  <c r="AS23" i="14"/>
  <c r="AT23" i="14"/>
  <c r="AU23" i="14"/>
  <c r="AM24" i="14"/>
  <c r="AN24" i="14"/>
  <c r="AO24" i="14"/>
  <c r="AP24" i="14"/>
  <c r="AQ24" i="14"/>
  <c r="AR24" i="14"/>
  <c r="AS24" i="14"/>
  <c r="AT24" i="14"/>
  <c r="AU24" i="14"/>
  <c r="AM25" i="14"/>
  <c r="AN25" i="14"/>
  <c r="AO25" i="14"/>
  <c r="AP25" i="14"/>
  <c r="AQ25" i="14"/>
  <c r="AR25" i="14"/>
  <c r="AS25" i="14"/>
  <c r="AT25" i="14"/>
  <c r="AU25" i="14"/>
  <c r="AM28" i="14"/>
  <c r="AN28" i="14"/>
  <c r="AO28" i="14"/>
  <c r="AP28" i="14"/>
  <c r="AQ28" i="14"/>
  <c r="AR28" i="14"/>
  <c r="AS28" i="14"/>
  <c r="AT28" i="14"/>
  <c r="AU28" i="14"/>
  <c r="AM29" i="14"/>
  <c r="AN29" i="14"/>
  <c r="AO29" i="14"/>
  <c r="AP29" i="14"/>
  <c r="AQ29" i="14"/>
  <c r="AR29" i="14"/>
  <c r="AS29" i="14"/>
  <c r="AT29" i="14"/>
  <c r="AU29" i="14"/>
  <c r="AM30" i="14"/>
  <c r="AN30" i="14"/>
  <c r="AO30" i="14"/>
  <c r="AP30" i="14"/>
  <c r="AQ30" i="14"/>
  <c r="AR30" i="14"/>
  <c r="AS30" i="14"/>
  <c r="AT30" i="14"/>
  <c r="AU30" i="14"/>
  <c r="AM31" i="14"/>
  <c r="AN31" i="14"/>
  <c r="AO31" i="14"/>
  <c r="AP31" i="14"/>
  <c r="AQ31" i="14"/>
  <c r="AR31" i="14"/>
  <c r="AS31" i="14"/>
  <c r="AT31" i="14"/>
  <c r="AU31" i="14"/>
  <c r="AM32" i="14"/>
  <c r="AN32" i="14"/>
  <c r="AO32" i="14"/>
  <c r="AP32" i="14"/>
  <c r="AQ32" i="14"/>
  <c r="AR32" i="14"/>
  <c r="AS32" i="14"/>
  <c r="AT32" i="14"/>
  <c r="AU32" i="14"/>
  <c r="AM33" i="14"/>
  <c r="AN33" i="14"/>
  <c r="AO33" i="14"/>
  <c r="AP33" i="14"/>
  <c r="AQ33" i="14"/>
  <c r="AR33" i="14"/>
  <c r="AS33" i="14"/>
  <c r="AT33" i="14"/>
  <c r="AU33" i="14"/>
  <c r="AM34" i="14"/>
  <c r="AN34" i="14"/>
  <c r="AO34" i="14"/>
  <c r="AP34" i="14"/>
  <c r="AQ34" i="14"/>
  <c r="AR34" i="14"/>
  <c r="AS34" i="14"/>
  <c r="AT34" i="14"/>
  <c r="AU34" i="14"/>
  <c r="AM35" i="14"/>
  <c r="AN35" i="14"/>
  <c r="AO35" i="14"/>
  <c r="AP35" i="14"/>
  <c r="AQ35" i="14"/>
  <c r="AR35" i="14"/>
  <c r="AS35" i="14"/>
  <c r="AT35" i="14"/>
  <c r="AU35" i="14"/>
  <c r="AM36" i="14"/>
  <c r="AN36" i="14"/>
  <c r="AO36" i="14"/>
  <c r="AP36" i="14"/>
  <c r="AQ36" i="14"/>
  <c r="AR36" i="14"/>
  <c r="AS36" i="14"/>
  <c r="AT36" i="14"/>
  <c r="AU36" i="14"/>
  <c r="AM37" i="14"/>
  <c r="AN37" i="14"/>
  <c r="AO37" i="14"/>
  <c r="AP37" i="14"/>
  <c r="AQ37" i="14"/>
  <c r="AR37" i="14"/>
  <c r="AS37" i="14"/>
  <c r="AT37" i="14"/>
  <c r="AU37" i="14"/>
  <c r="AM38" i="14"/>
  <c r="AN38" i="14"/>
  <c r="AO38" i="14"/>
  <c r="AP38" i="14"/>
  <c r="AQ38" i="14"/>
  <c r="AR38" i="14"/>
  <c r="AS38" i="14"/>
  <c r="AT38" i="14"/>
  <c r="AU38" i="14"/>
  <c r="AM39" i="14"/>
  <c r="AN39" i="14"/>
  <c r="AO39" i="14"/>
  <c r="AP39" i="14"/>
  <c r="AQ39" i="14"/>
  <c r="AR39" i="14"/>
  <c r="AS39" i="14"/>
  <c r="AT39" i="14"/>
  <c r="AU39" i="14"/>
  <c r="AM40" i="14"/>
  <c r="AN40" i="14"/>
  <c r="AO40" i="14"/>
  <c r="AP40" i="14"/>
  <c r="AQ40" i="14"/>
  <c r="AR40" i="14"/>
  <c r="AS40" i="14"/>
  <c r="AT40" i="14"/>
  <c r="AU40" i="14"/>
  <c r="AM41" i="14"/>
  <c r="AN41" i="14"/>
  <c r="AO41" i="14"/>
  <c r="AP41" i="14"/>
  <c r="AQ41" i="14"/>
  <c r="AR41" i="14"/>
  <c r="AS41" i="14"/>
  <c r="AT41" i="14"/>
  <c r="AU41" i="14"/>
  <c r="AM42" i="14"/>
  <c r="AN42" i="14"/>
  <c r="AO42" i="14"/>
  <c r="AP42" i="14"/>
  <c r="AQ42" i="14"/>
  <c r="AR42" i="14"/>
  <c r="AS42" i="14"/>
  <c r="AT42" i="14"/>
  <c r="AU42" i="14"/>
  <c r="AM43" i="14"/>
  <c r="AN43" i="14"/>
  <c r="AO43" i="14"/>
  <c r="AP43" i="14"/>
  <c r="AQ43" i="14"/>
  <c r="AR43" i="14"/>
  <c r="AS43" i="14"/>
  <c r="AT43" i="14"/>
  <c r="AU43" i="14"/>
  <c r="AM44" i="14"/>
  <c r="AN44" i="14"/>
  <c r="AO44" i="14"/>
  <c r="AP44" i="14"/>
  <c r="AQ44" i="14"/>
  <c r="AR44" i="14"/>
  <c r="AS44" i="14"/>
  <c r="AT44" i="14"/>
  <c r="AU44" i="14"/>
  <c r="AM45" i="14"/>
  <c r="AN45" i="14"/>
  <c r="AO45" i="14"/>
  <c r="AP45" i="14"/>
  <c r="AQ45" i="14"/>
  <c r="AR45" i="14"/>
  <c r="AS45" i="14"/>
  <c r="AT45" i="14"/>
  <c r="AU45" i="14"/>
  <c r="AM46" i="14"/>
  <c r="AN46" i="14"/>
  <c r="AO46" i="14"/>
  <c r="AP46" i="14"/>
  <c r="AQ46" i="14"/>
  <c r="AR46" i="14"/>
  <c r="AS46" i="14"/>
  <c r="AT46" i="14"/>
  <c r="AU46" i="14"/>
  <c r="AM47" i="14"/>
  <c r="AN47" i="14"/>
  <c r="AO47" i="14"/>
  <c r="AP47" i="14"/>
  <c r="AQ47" i="14"/>
  <c r="AR47" i="14"/>
  <c r="AS47" i="14"/>
  <c r="AT47" i="14"/>
  <c r="AU47" i="14"/>
  <c r="AM48" i="14"/>
  <c r="AN48" i="14"/>
  <c r="AO48" i="14"/>
  <c r="AP48" i="14"/>
  <c r="AQ48" i="14"/>
  <c r="AR48" i="14"/>
  <c r="BH48" i="14" s="1"/>
  <c r="AS48" i="14"/>
  <c r="AT48" i="14"/>
  <c r="AU48" i="14"/>
  <c r="AM49" i="14"/>
  <c r="AN49" i="14"/>
  <c r="AO49" i="14"/>
  <c r="AP49" i="14"/>
  <c r="AQ49" i="14"/>
  <c r="AR49" i="14"/>
  <c r="AS49" i="14"/>
  <c r="AT49" i="14"/>
  <c r="AU49" i="14"/>
  <c r="BK49" i="14" s="1"/>
  <c r="AM50" i="14"/>
  <c r="AN50" i="14"/>
  <c r="AO50" i="14"/>
  <c r="AP50" i="14"/>
  <c r="AQ50" i="14"/>
  <c r="AR50" i="14"/>
  <c r="AS50" i="14"/>
  <c r="AT50" i="14"/>
  <c r="AU50" i="14"/>
  <c r="AM51" i="14"/>
  <c r="AN51" i="14"/>
  <c r="AO51" i="14"/>
  <c r="AP51" i="14"/>
  <c r="AQ51" i="14"/>
  <c r="AR51" i="14"/>
  <c r="AS51" i="14"/>
  <c r="AT51" i="14"/>
  <c r="AU51" i="14"/>
  <c r="AM52" i="14"/>
  <c r="AN52" i="14"/>
  <c r="AO52" i="14"/>
  <c r="AP52" i="14"/>
  <c r="AQ52" i="14"/>
  <c r="AR52" i="14"/>
  <c r="BH52" i="14" s="1"/>
  <c r="AS52" i="14"/>
  <c r="AT52" i="14"/>
  <c r="AU52" i="14"/>
  <c r="AM53" i="14"/>
  <c r="AN53" i="14"/>
  <c r="AO53" i="14"/>
  <c r="AP53" i="14"/>
  <c r="AQ53" i="14"/>
  <c r="AR53" i="14"/>
  <c r="AS53" i="14"/>
  <c r="AT53" i="14"/>
  <c r="AU53" i="14"/>
  <c r="BK53" i="14" s="1"/>
  <c r="AM54" i="14"/>
  <c r="AN54" i="14"/>
  <c r="AO54" i="14"/>
  <c r="AP54" i="14"/>
  <c r="AQ54" i="14"/>
  <c r="AR54" i="14"/>
  <c r="AS54" i="14"/>
  <c r="AT54" i="14"/>
  <c r="AU54" i="14"/>
  <c r="AM55" i="14"/>
  <c r="AN55" i="14"/>
  <c r="AO55" i="14"/>
  <c r="AP55" i="14"/>
  <c r="AQ55" i="14"/>
  <c r="AR55" i="14"/>
  <c r="AS55" i="14"/>
  <c r="AT55" i="14"/>
  <c r="AU55" i="14"/>
  <c r="AM56" i="14"/>
  <c r="AN56" i="14"/>
  <c r="AO56" i="14"/>
  <c r="AP56" i="14"/>
  <c r="AQ56" i="14"/>
  <c r="AR56" i="14"/>
  <c r="BH56" i="14" s="1"/>
  <c r="AS56" i="14"/>
  <c r="AT56" i="14"/>
  <c r="AU56" i="14"/>
  <c r="AM57" i="14"/>
  <c r="AN57" i="14"/>
  <c r="AO57" i="14"/>
  <c r="AP57" i="14"/>
  <c r="AQ57" i="14"/>
  <c r="AR57" i="14"/>
  <c r="AS57" i="14"/>
  <c r="AT57" i="14"/>
  <c r="AU57" i="14"/>
  <c r="BK57" i="14" s="1"/>
  <c r="AM58" i="14"/>
  <c r="AN58" i="14"/>
  <c r="AO58" i="14"/>
  <c r="AP58" i="14"/>
  <c r="AQ58" i="14"/>
  <c r="AR58" i="14"/>
  <c r="AS58" i="14"/>
  <c r="AT58" i="14"/>
  <c r="AU58" i="14"/>
  <c r="AM59" i="14"/>
  <c r="AN59" i="14"/>
  <c r="AO59" i="14"/>
  <c r="AP59" i="14"/>
  <c r="AQ59" i="14"/>
  <c r="BG59" i="14" s="1"/>
  <c r="AR59" i="14"/>
  <c r="AS59" i="14"/>
  <c r="AT59" i="14"/>
  <c r="AU59" i="14"/>
  <c r="AM60" i="14"/>
  <c r="AN60" i="14"/>
  <c r="AO60" i="14"/>
  <c r="AP60" i="14"/>
  <c r="AQ60" i="14"/>
  <c r="AR60" i="14"/>
  <c r="BH60" i="14" s="1"/>
  <c r="AS60" i="14"/>
  <c r="AT60" i="14"/>
  <c r="AU60" i="14"/>
  <c r="AM61" i="14"/>
  <c r="AN61" i="14"/>
  <c r="AO61" i="14"/>
  <c r="BE61" i="14" s="1"/>
  <c r="AP61" i="14"/>
  <c r="AQ61" i="14"/>
  <c r="AR61" i="14"/>
  <c r="AS61" i="14"/>
  <c r="AT61" i="14"/>
  <c r="AU61" i="14"/>
  <c r="BK61" i="14" s="1"/>
  <c r="AM62" i="14"/>
  <c r="AN62" i="14"/>
  <c r="AO62" i="14"/>
  <c r="AP62" i="14"/>
  <c r="AQ62" i="14"/>
  <c r="AR62" i="14"/>
  <c r="AS62" i="14"/>
  <c r="AT62" i="14"/>
  <c r="AU62" i="14"/>
  <c r="AM63" i="14"/>
  <c r="BC63" i="14" s="1"/>
  <c r="AN63" i="14"/>
  <c r="AO63" i="14"/>
  <c r="AP63" i="14"/>
  <c r="AQ63" i="14"/>
  <c r="AR63" i="14"/>
  <c r="AS63" i="14"/>
  <c r="AT63" i="14"/>
  <c r="AU63" i="14"/>
  <c r="AM64" i="14"/>
  <c r="AN64" i="14"/>
  <c r="AO64" i="14"/>
  <c r="AP64" i="14"/>
  <c r="BF64" i="14" s="1"/>
  <c r="AQ64" i="14"/>
  <c r="AR64" i="14"/>
  <c r="AS64" i="14"/>
  <c r="AT64" i="14"/>
  <c r="AU64" i="14"/>
  <c r="AM65" i="14"/>
  <c r="AN65" i="14"/>
  <c r="AO65" i="14"/>
  <c r="BE65" i="14" s="1"/>
  <c r="AP65" i="14"/>
  <c r="AQ65" i="14"/>
  <c r="AR65" i="14"/>
  <c r="AS65" i="14"/>
  <c r="AT65" i="14"/>
  <c r="AU65" i="14"/>
  <c r="AM66" i="14"/>
  <c r="AN66" i="14"/>
  <c r="AO66" i="14"/>
  <c r="AP66" i="14"/>
  <c r="AQ66" i="14"/>
  <c r="AR66" i="14"/>
  <c r="AS66" i="14"/>
  <c r="AT66" i="14"/>
  <c r="AU66" i="14"/>
  <c r="AM67" i="14"/>
  <c r="BC67" i="14" s="1"/>
  <c r="AN67" i="14"/>
  <c r="AO67" i="14"/>
  <c r="AP67" i="14"/>
  <c r="AQ67" i="14"/>
  <c r="AR67" i="14"/>
  <c r="AS67" i="14"/>
  <c r="AT67" i="14"/>
  <c r="AU67" i="14"/>
  <c r="AM68" i="14"/>
  <c r="AN68" i="14"/>
  <c r="AO68" i="14"/>
  <c r="AP68" i="14"/>
  <c r="AQ68" i="14"/>
  <c r="AR68" i="14"/>
  <c r="AS68" i="14"/>
  <c r="AT68" i="14"/>
  <c r="BJ68" i="14" s="1"/>
  <c r="AU68" i="14"/>
  <c r="AM69" i="14"/>
  <c r="AN69" i="14"/>
  <c r="AO69" i="14"/>
  <c r="AP69" i="14"/>
  <c r="AQ69" i="14"/>
  <c r="AR69" i="14"/>
  <c r="AS69" i="14"/>
  <c r="BI69" i="14" s="1"/>
  <c r="AT69" i="14"/>
  <c r="AU69" i="14"/>
  <c r="AM70" i="14"/>
  <c r="AN70" i="14"/>
  <c r="AO70" i="14"/>
  <c r="AP70" i="14"/>
  <c r="AQ70" i="14"/>
  <c r="AR70" i="14"/>
  <c r="BH70" i="14" s="1"/>
  <c r="AS70" i="14"/>
  <c r="AT70" i="14"/>
  <c r="AU70" i="14"/>
  <c r="BK70" i="14" s="1"/>
  <c r="AM71" i="14"/>
  <c r="BC71" i="14" s="1"/>
  <c r="AN71" i="14"/>
  <c r="AO71" i="14"/>
  <c r="BE71" i="14" s="1"/>
  <c r="AP71" i="14"/>
  <c r="BF71" i="14" s="1"/>
  <c r="AQ71" i="14"/>
  <c r="AR71" i="14"/>
  <c r="AS71" i="14"/>
  <c r="BI71" i="14" s="1"/>
  <c r="AT71" i="14"/>
  <c r="BJ71" i="14" s="1"/>
  <c r="AU71" i="14"/>
  <c r="AM72" i="14"/>
  <c r="AN72" i="14"/>
  <c r="BD72" i="14" s="1"/>
  <c r="AO72" i="14"/>
  <c r="BE72" i="14" s="1"/>
  <c r="AP72" i="14"/>
  <c r="BF72" i="14" s="1"/>
  <c r="AQ72" i="14"/>
  <c r="AR72" i="14"/>
  <c r="BH72" i="14" s="1"/>
  <c r="AS72" i="14"/>
  <c r="AT72" i="14"/>
  <c r="BJ72" i="14" s="1"/>
  <c r="AU72" i="14"/>
  <c r="AM73" i="14"/>
  <c r="BC73" i="14" s="1"/>
  <c r="AN73" i="14"/>
  <c r="AO73" i="14"/>
  <c r="AP73" i="14"/>
  <c r="AQ73" i="14"/>
  <c r="BG73" i="14" s="1"/>
  <c r="AR73" i="14"/>
  <c r="AS73" i="14"/>
  <c r="AT73" i="14"/>
  <c r="AU73" i="14"/>
  <c r="BK73" i="14" s="1"/>
  <c r="AM74" i="14"/>
  <c r="AN74" i="14"/>
  <c r="AO74" i="14"/>
  <c r="AP74" i="14"/>
  <c r="BF74" i="14" s="1"/>
  <c r="AQ74" i="14"/>
  <c r="AR74" i="14"/>
  <c r="BH74" i="14" s="1"/>
  <c r="AS74" i="14"/>
  <c r="AT74" i="14"/>
  <c r="BJ74" i="14" s="1"/>
  <c r="AU74" i="14"/>
  <c r="AM75" i="14"/>
  <c r="AN75" i="14"/>
  <c r="AO75" i="14"/>
  <c r="BE75" i="14" s="1"/>
  <c r="AP75" i="14"/>
  <c r="AQ75" i="14"/>
  <c r="AR75" i="14"/>
  <c r="AS75" i="14"/>
  <c r="BI75" i="14" s="1"/>
  <c r="AT75" i="14"/>
  <c r="AU75" i="14"/>
  <c r="AM76" i="14"/>
  <c r="AN76" i="14"/>
  <c r="BD76" i="14" s="1"/>
  <c r="AO76" i="14"/>
  <c r="AP76" i="14"/>
  <c r="BF76" i="14" s="1"/>
  <c r="AQ76" i="14"/>
  <c r="AR76" i="14"/>
  <c r="BH76" i="14" s="1"/>
  <c r="AS76" i="14"/>
  <c r="AT76" i="14"/>
  <c r="AU76" i="14"/>
  <c r="AM77" i="14"/>
  <c r="BC77" i="14" s="1"/>
  <c r="AN77" i="14"/>
  <c r="AO77" i="14"/>
  <c r="AP77" i="14"/>
  <c r="AQ77" i="14"/>
  <c r="BG77" i="14" s="1"/>
  <c r="AR77" i="14"/>
  <c r="AS77" i="14"/>
  <c r="AT77" i="14"/>
  <c r="AU77" i="14"/>
  <c r="BK77" i="14" s="1"/>
  <c r="AM78" i="14"/>
  <c r="AN78" i="14"/>
  <c r="BD78" i="14" s="1"/>
  <c r="AO78" i="14"/>
  <c r="AP78" i="14"/>
  <c r="BF78" i="14" s="1"/>
  <c r="AQ78" i="14"/>
  <c r="AR78" i="14"/>
  <c r="AS78" i="14"/>
  <c r="AT78" i="14"/>
  <c r="BJ78" i="14" s="1"/>
  <c r="AU78" i="14"/>
  <c r="AM79" i="14"/>
  <c r="AN79" i="14"/>
  <c r="AO79" i="14"/>
  <c r="BE79" i="14" s="1"/>
  <c r="AP79" i="14"/>
  <c r="AQ79" i="14"/>
  <c r="BG79" i="14" s="1"/>
  <c r="AR79" i="14"/>
  <c r="AS79" i="14"/>
  <c r="BI79" i="14" s="1"/>
  <c r="AT79" i="14"/>
  <c r="AU79" i="14"/>
  <c r="BK79" i="14" s="1"/>
  <c r="AM80" i="14"/>
  <c r="AN80" i="14"/>
  <c r="BD80" i="14" s="1"/>
  <c r="AO80" i="14"/>
  <c r="AP80" i="14"/>
  <c r="AQ80" i="14"/>
  <c r="AR80" i="14"/>
  <c r="AS80" i="14"/>
  <c r="AT80" i="14"/>
  <c r="AU80" i="14"/>
  <c r="AM81" i="14"/>
  <c r="AN81" i="14"/>
  <c r="AO81" i="14"/>
  <c r="BE81" i="14" s="1"/>
  <c r="AP81" i="14"/>
  <c r="BF81" i="14" s="1"/>
  <c r="AQ81" i="14"/>
  <c r="AR81" i="14"/>
  <c r="AS81" i="14"/>
  <c r="BI81" i="14" s="1"/>
  <c r="AT81" i="14"/>
  <c r="AU81" i="14"/>
  <c r="AM82" i="14"/>
  <c r="AN82" i="14"/>
  <c r="AO82" i="14"/>
  <c r="AP82" i="14"/>
  <c r="AQ82" i="14"/>
  <c r="AR82" i="14"/>
  <c r="AS82" i="14"/>
  <c r="AT82" i="14"/>
  <c r="AU82" i="14"/>
  <c r="AM15" i="14"/>
  <c r="AU15" i="14"/>
  <c r="AT15" i="14"/>
  <c r="AS15" i="14"/>
  <c r="AN15" i="14"/>
  <c r="AM15" i="1"/>
  <c r="BC15" i="1" s="1"/>
  <c r="AE16" i="14"/>
  <c r="AE17" i="14"/>
  <c r="AE18" i="14"/>
  <c r="AE19" i="14"/>
  <c r="AE20" i="14"/>
  <c r="AE21" i="14"/>
  <c r="AE22" i="14"/>
  <c r="AE23" i="14"/>
  <c r="AE24" i="14"/>
  <c r="AE25" i="14"/>
  <c r="AE28" i="14"/>
  <c r="AE29" i="14"/>
  <c r="AE30" i="14"/>
  <c r="AE31" i="14"/>
  <c r="AE32" i="14"/>
  <c r="AE33" i="14"/>
  <c r="AE34" i="14"/>
  <c r="AE35" i="14"/>
  <c r="AE36" i="14"/>
  <c r="AE37" i="14"/>
  <c r="AE38" i="14"/>
  <c r="AE39" i="14"/>
  <c r="AE40" i="14"/>
  <c r="AE41" i="14"/>
  <c r="AE42" i="14"/>
  <c r="AE43" i="14"/>
  <c r="AE44" i="14"/>
  <c r="AE45" i="14"/>
  <c r="AE46" i="14"/>
  <c r="AE47" i="14"/>
  <c r="AE48" i="14"/>
  <c r="AE49" i="14"/>
  <c r="AE50" i="14"/>
  <c r="AE51" i="14"/>
  <c r="AE52" i="14"/>
  <c r="AE53" i="14"/>
  <c r="AE54" i="14"/>
  <c r="AE55" i="14"/>
  <c r="AE56" i="14"/>
  <c r="AE57" i="14"/>
  <c r="AE58" i="14"/>
  <c r="AE59" i="14"/>
  <c r="AE60" i="14"/>
  <c r="AE61" i="14"/>
  <c r="AE62" i="14"/>
  <c r="AE63" i="14"/>
  <c r="AE64" i="14"/>
  <c r="AE65" i="14"/>
  <c r="AE66" i="14"/>
  <c r="AE67" i="14"/>
  <c r="AE68" i="14"/>
  <c r="AE69" i="14"/>
  <c r="AE70" i="14"/>
  <c r="AE71" i="14"/>
  <c r="AE72" i="14"/>
  <c r="AE73" i="14"/>
  <c r="AE74" i="14"/>
  <c r="AE75" i="14"/>
  <c r="AE76" i="14"/>
  <c r="AE77" i="14"/>
  <c r="AE78" i="14"/>
  <c r="AE79" i="14"/>
  <c r="AE80" i="14"/>
  <c r="AE81" i="14"/>
  <c r="AE82" i="14"/>
  <c r="AD16" i="14"/>
  <c r="AD17" i="14"/>
  <c r="AD18" i="14"/>
  <c r="AD19" i="14"/>
  <c r="AD20" i="14"/>
  <c r="AD21" i="14"/>
  <c r="AD22" i="14"/>
  <c r="AD23" i="14"/>
  <c r="AD24" i="14"/>
  <c r="AD25" i="14"/>
  <c r="AD28" i="14"/>
  <c r="AD29" i="14"/>
  <c r="AD30" i="14"/>
  <c r="AD31" i="14"/>
  <c r="AD32" i="14"/>
  <c r="AD33" i="14"/>
  <c r="AD34" i="14"/>
  <c r="AD35" i="14"/>
  <c r="AD36" i="14"/>
  <c r="AD37" i="14"/>
  <c r="AD38" i="14"/>
  <c r="AD39" i="14"/>
  <c r="AD40" i="14"/>
  <c r="AD41" i="14"/>
  <c r="AD42" i="14"/>
  <c r="AD43" i="14"/>
  <c r="AD44" i="14"/>
  <c r="AD45" i="14"/>
  <c r="AD46" i="14"/>
  <c r="AD47" i="14"/>
  <c r="AD48" i="14"/>
  <c r="AD49" i="14"/>
  <c r="AD50" i="14"/>
  <c r="AD51" i="14"/>
  <c r="AD52" i="14"/>
  <c r="AD53" i="14"/>
  <c r="AD54" i="14"/>
  <c r="AD55" i="14"/>
  <c r="AD56" i="14"/>
  <c r="AD57" i="14"/>
  <c r="AD58" i="14"/>
  <c r="AD59" i="14"/>
  <c r="AD60" i="14"/>
  <c r="AD61" i="14"/>
  <c r="AD62" i="14"/>
  <c r="AD63" i="14"/>
  <c r="AD64" i="14"/>
  <c r="AD65" i="14"/>
  <c r="AD66" i="14"/>
  <c r="AD67" i="14"/>
  <c r="AD68" i="14"/>
  <c r="AD69" i="14"/>
  <c r="AD70" i="14"/>
  <c r="AD71" i="14"/>
  <c r="AD72" i="14"/>
  <c r="AD73" i="14"/>
  <c r="AD74" i="14"/>
  <c r="AD75" i="14"/>
  <c r="AD76" i="14"/>
  <c r="AD77" i="14"/>
  <c r="AD78" i="14"/>
  <c r="AD79" i="14"/>
  <c r="AD80" i="14"/>
  <c r="AD81" i="14"/>
  <c r="AD82" i="14"/>
  <c r="AC16" i="14"/>
  <c r="AC17" i="14"/>
  <c r="AC18" i="14"/>
  <c r="AC19" i="14"/>
  <c r="AC20" i="14"/>
  <c r="AC21" i="14"/>
  <c r="AC22" i="14"/>
  <c r="AC23" i="14"/>
  <c r="AC24" i="14"/>
  <c r="AC25" i="14"/>
  <c r="AC28" i="14"/>
  <c r="AC29" i="14"/>
  <c r="AC30" i="14"/>
  <c r="AC31" i="14"/>
  <c r="AC32" i="14"/>
  <c r="AC33" i="14"/>
  <c r="AC34" i="14"/>
  <c r="AC35" i="14"/>
  <c r="AC36" i="14"/>
  <c r="AC37" i="14"/>
  <c r="AC38" i="14"/>
  <c r="AC39" i="14"/>
  <c r="AC40" i="14"/>
  <c r="AC41" i="14"/>
  <c r="AC42" i="14"/>
  <c r="AC43" i="14"/>
  <c r="AC44" i="14"/>
  <c r="AC45" i="14"/>
  <c r="AC46" i="14"/>
  <c r="AC47" i="14"/>
  <c r="AC48" i="14"/>
  <c r="AC49" i="14"/>
  <c r="AC50" i="14"/>
  <c r="AC51" i="14"/>
  <c r="AC52" i="14"/>
  <c r="AC53" i="14"/>
  <c r="AC54" i="14"/>
  <c r="AC55" i="14"/>
  <c r="AC56" i="14"/>
  <c r="AC57" i="14"/>
  <c r="AC58" i="14"/>
  <c r="AC59" i="14"/>
  <c r="AC60" i="14"/>
  <c r="AC61" i="14"/>
  <c r="AC62" i="14"/>
  <c r="AC63" i="14"/>
  <c r="AC64" i="14"/>
  <c r="AC65" i="14"/>
  <c r="AC66" i="14"/>
  <c r="AC67" i="14"/>
  <c r="AC68" i="14"/>
  <c r="AC69" i="14"/>
  <c r="AC70" i="14"/>
  <c r="AC71" i="14"/>
  <c r="AC72" i="14"/>
  <c r="AC73" i="14"/>
  <c r="AC74" i="14"/>
  <c r="AC75" i="14"/>
  <c r="AC76" i="14"/>
  <c r="AC77" i="14"/>
  <c r="AC78" i="14"/>
  <c r="AC79" i="14"/>
  <c r="AC80" i="14"/>
  <c r="AC81" i="14"/>
  <c r="AC82" i="14"/>
  <c r="AB16" i="14"/>
  <c r="AB17" i="14"/>
  <c r="AB18" i="14"/>
  <c r="AB19" i="14"/>
  <c r="AB20" i="14"/>
  <c r="AB21" i="14"/>
  <c r="AB22" i="14"/>
  <c r="AB23" i="14"/>
  <c r="AB24" i="14"/>
  <c r="AB25" i="14"/>
  <c r="AB28" i="14"/>
  <c r="AB29" i="14"/>
  <c r="AB30" i="14"/>
  <c r="AB31" i="14"/>
  <c r="AB32" i="14"/>
  <c r="AB33" i="14"/>
  <c r="AB34" i="14"/>
  <c r="AB35" i="14"/>
  <c r="AB36" i="14"/>
  <c r="AB37" i="14"/>
  <c r="AB38" i="14"/>
  <c r="AB39" i="14"/>
  <c r="AB40" i="14"/>
  <c r="AB41" i="14"/>
  <c r="AB42" i="14"/>
  <c r="AB43" i="14"/>
  <c r="AB44" i="14"/>
  <c r="AB45" i="14"/>
  <c r="AB46" i="14"/>
  <c r="AB47" i="14"/>
  <c r="AB48" i="14"/>
  <c r="AB49" i="14"/>
  <c r="AB50" i="14"/>
  <c r="AB51" i="14"/>
  <c r="AB52" i="14"/>
  <c r="AB53" i="14"/>
  <c r="AB54" i="14"/>
  <c r="AB55" i="14"/>
  <c r="AB56" i="14"/>
  <c r="AB57" i="14"/>
  <c r="AB58" i="14"/>
  <c r="AB59" i="14"/>
  <c r="AB60" i="14"/>
  <c r="AB61" i="14"/>
  <c r="AB62" i="14"/>
  <c r="AB63" i="14"/>
  <c r="AB64" i="14"/>
  <c r="AB65" i="14"/>
  <c r="AB66" i="14"/>
  <c r="AB67" i="14"/>
  <c r="AB68" i="14"/>
  <c r="AB69" i="14"/>
  <c r="AB70" i="14"/>
  <c r="AB71" i="14"/>
  <c r="AB72" i="14"/>
  <c r="AB73" i="14"/>
  <c r="AB74" i="14"/>
  <c r="AB75" i="14"/>
  <c r="AB76" i="14"/>
  <c r="AB77" i="14"/>
  <c r="AB78" i="14"/>
  <c r="AB79" i="14"/>
  <c r="AB80" i="14"/>
  <c r="AB81" i="14"/>
  <c r="AB82" i="14"/>
  <c r="AA16" i="14"/>
  <c r="AA17" i="14"/>
  <c r="AA18" i="14"/>
  <c r="AA19" i="14"/>
  <c r="AA20" i="14"/>
  <c r="AA21" i="14"/>
  <c r="AA22" i="14"/>
  <c r="AA23" i="14"/>
  <c r="AA24" i="14"/>
  <c r="AA25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43" i="14"/>
  <c r="AA44" i="14"/>
  <c r="AA45" i="14"/>
  <c r="AA46" i="14"/>
  <c r="AA47" i="14"/>
  <c r="AA48" i="14"/>
  <c r="AA49" i="14"/>
  <c r="AA50" i="14"/>
  <c r="AA51" i="14"/>
  <c r="AA52" i="14"/>
  <c r="AA53" i="14"/>
  <c r="AA54" i="14"/>
  <c r="AA55" i="14"/>
  <c r="AA56" i="14"/>
  <c r="AA57" i="14"/>
  <c r="AA58" i="14"/>
  <c r="AA59" i="14"/>
  <c r="AA60" i="14"/>
  <c r="AA61" i="14"/>
  <c r="AA62" i="14"/>
  <c r="AA63" i="14"/>
  <c r="AA64" i="14"/>
  <c r="AA65" i="14"/>
  <c r="AA66" i="14"/>
  <c r="AA67" i="14"/>
  <c r="AA68" i="14"/>
  <c r="AA69" i="14"/>
  <c r="AA70" i="14"/>
  <c r="AA71" i="14"/>
  <c r="AA72" i="14"/>
  <c r="AA73" i="14"/>
  <c r="AA74" i="14"/>
  <c r="AA75" i="14"/>
  <c r="AA76" i="14"/>
  <c r="AA77" i="14"/>
  <c r="AA78" i="14"/>
  <c r="AA79" i="14"/>
  <c r="AA80" i="14"/>
  <c r="AA81" i="14"/>
  <c r="AA82" i="14"/>
  <c r="Z16" i="14"/>
  <c r="Z17" i="14"/>
  <c r="Z18" i="14"/>
  <c r="Z19" i="14"/>
  <c r="Z20" i="14"/>
  <c r="Z21" i="14"/>
  <c r="Z22" i="14"/>
  <c r="Z23" i="14"/>
  <c r="Z24" i="14"/>
  <c r="Z25" i="14"/>
  <c r="Z28" i="14"/>
  <c r="Z29" i="14"/>
  <c r="Z30" i="14"/>
  <c r="Z31" i="14"/>
  <c r="Z32" i="14"/>
  <c r="Z33" i="14"/>
  <c r="Z34" i="14"/>
  <c r="Z35" i="14"/>
  <c r="Z36" i="14"/>
  <c r="Z37" i="14"/>
  <c r="Z38" i="14"/>
  <c r="Z39" i="14"/>
  <c r="Z40" i="14"/>
  <c r="Z41" i="14"/>
  <c r="Z42" i="14"/>
  <c r="Z43" i="14"/>
  <c r="Z44" i="14"/>
  <c r="Z45" i="14"/>
  <c r="Z46" i="14"/>
  <c r="Z47" i="14"/>
  <c r="Z48" i="14"/>
  <c r="Z49" i="14"/>
  <c r="Z50" i="14"/>
  <c r="Z51" i="14"/>
  <c r="Z52" i="14"/>
  <c r="Z53" i="14"/>
  <c r="Z54" i="14"/>
  <c r="Z55" i="14"/>
  <c r="Z56" i="14"/>
  <c r="Z57" i="14"/>
  <c r="Z58" i="14"/>
  <c r="Z59" i="14"/>
  <c r="Z60" i="14"/>
  <c r="Z61" i="14"/>
  <c r="Z62" i="14"/>
  <c r="Z63" i="14"/>
  <c r="Z64" i="14"/>
  <c r="Z65" i="14"/>
  <c r="Z66" i="14"/>
  <c r="Z67" i="14"/>
  <c r="Z68" i="14"/>
  <c r="Z69" i="14"/>
  <c r="Z70" i="14"/>
  <c r="Z71" i="14"/>
  <c r="Z72" i="14"/>
  <c r="Z73" i="14"/>
  <c r="Z74" i="14"/>
  <c r="Z75" i="14"/>
  <c r="Z76" i="14"/>
  <c r="Z77" i="14"/>
  <c r="Z78" i="14"/>
  <c r="Z79" i="14"/>
  <c r="Z80" i="14"/>
  <c r="Z81" i="14"/>
  <c r="Z82" i="14"/>
  <c r="Y16" i="14"/>
  <c r="Y17" i="14"/>
  <c r="Y18" i="14"/>
  <c r="Y19" i="14"/>
  <c r="Y20" i="14"/>
  <c r="Y21" i="14"/>
  <c r="Y22" i="14"/>
  <c r="Y23" i="14"/>
  <c r="Y24" i="14"/>
  <c r="Y25" i="14"/>
  <c r="Y28" i="14"/>
  <c r="Y29" i="14"/>
  <c r="Y30" i="14"/>
  <c r="Y31" i="14"/>
  <c r="Y32" i="14"/>
  <c r="Y33" i="14"/>
  <c r="Y34" i="14"/>
  <c r="Y35" i="14"/>
  <c r="Y36" i="14"/>
  <c r="Y37" i="14"/>
  <c r="Y38" i="14"/>
  <c r="Y39" i="14"/>
  <c r="Y40" i="14"/>
  <c r="Y41" i="14"/>
  <c r="Y42" i="14"/>
  <c r="Y43" i="14"/>
  <c r="Y44" i="14"/>
  <c r="Y45" i="14"/>
  <c r="Y46" i="14"/>
  <c r="Y47" i="14"/>
  <c r="Y48" i="14"/>
  <c r="Y49" i="14"/>
  <c r="Y50" i="14"/>
  <c r="Y51" i="14"/>
  <c r="Y52" i="14"/>
  <c r="Y53" i="14"/>
  <c r="Y54" i="14"/>
  <c r="Y55" i="14"/>
  <c r="Y56" i="14"/>
  <c r="Y57" i="14"/>
  <c r="Y58" i="14"/>
  <c r="Y59" i="14"/>
  <c r="Y60" i="14"/>
  <c r="Y61" i="14"/>
  <c r="Y62" i="14"/>
  <c r="Y63" i="14"/>
  <c r="Y64" i="14"/>
  <c r="Y65" i="14"/>
  <c r="Y66" i="14"/>
  <c r="Y67" i="14"/>
  <c r="Y68" i="14"/>
  <c r="Y69" i="14"/>
  <c r="Y70" i="14"/>
  <c r="Y71" i="14"/>
  <c r="Y72" i="14"/>
  <c r="Y73" i="14"/>
  <c r="Y74" i="14"/>
  <c r="Y75" i="14"/>
  <c r="Y76" i="14"/>
  <c r="Y77" i="14"/>
  <c r="Y78" i="14"/>
  <c r="Y79" i="14"/>
  <c r="Y80" i="14"/>
  <c r="Y81" i="14"/>
  <c r="Y82" i="14"/>
  <c r="X16" i="14"/>
  <c r="X17" i="14"/>
  <c r="X18" i="14"/>
  <c r="X19" i="14"/>
  <c r="X20" i="14"/>
  <c r="X21" i="14"/>
  <c r="X22" i="14"/>
  <c r="X23" i="14"/>
  <c r="X24" i="14"/>
  <c r="X25" i="14"/>
  <c r="X28" i="14"/>
  <c r="X29" i="14"/>
  <c r="X30" i="14"/>
  <c r="X31" i="14"/>
  <c r="X32" i="14"/>
  <c r="X33" i="14"/>
  <c r="X34" i="14"/>
  <c r="X35" i="14"/>
  <c r="X36" i="14"/>
  <c r="X37" i="14"/>
  <c r="X38" i="14"/>
  <c r="X39" i="14"/>
  <c r="X40" i="14"/>
  <c r="X41" i="14"/>
  <c r="X42" i="14"/>
  <c r="X43" i="14"/>
  <c r="X44" i="14"/>
  <c r="X45" i="14"/>
  <c r="X46" i="14"/>
  <c r="X47" i="14"/>
  <c r="X48" i="14"/>
  <c r="X49" i="14"/>
  <c r="X50" i="14"/>
  <c r="X51" i="14"/>
  <c r="X52" i="14"/>
  <c r="X53" i="14"/>
  <c r="X54" i="14"/>
  <c r="X55" i="14"/>
  <c r="X56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W16" i="14"/>
  <c r="W17" i="14"/>
  <c r="W18" i="14"/>
  <c r="W19" i="14"/>
  <c r="W20" i="14"/>
  <c r="W21" i="14"/>
  <c r="W22" i="14"/>
  <c r="W23" i="14"/>
  <c r="W24" i="14"/>
  <c r="W25" i="14"/>
  <c r="W28" i="14"/>
  <c r="W29" i="14"/>
  <c r="W30" i="14"/>
  <c r="W31" i="14"/>
  <c r="W32" i="14"/>
  <c r="W33" i="14"/>
  <c r="W34" i="14"/>
  <c r="W35" i="14"/>
  <c r="W36" i="14"/>
  <c r="W37" i="14"/>
  <c r="W38" i="14"/>
  <c r="W39" i="14"/>
  <c r="W40" i="14"/>
  <c r="W41" i="14"/>
  <c r="W42" i="14"/>
  <c r="W43" i="14"/>
  <c r="W44" i="14"/>
  <c r="W45" i="14"/>
  <c r="W46" i="14"/>
  <c r="W47" i="14"/>
  <c r="W48" i="14"/>
  <c r="W49" i="14"/>
  <c r="W50" i="14"/>
  <c r="W51" i="14"/>
  <c r="W52" i="14"/>
  <c r="W53" i="14"/>
  <c r="W54" i="14"/>
  <c r="W55" i="14"/>
  <c r="W56" i="14"/>
  <c r="W57" i="14"/>
  <c r="W58" i="14"/>
  <c r="W59" i="14"/>
  <c r="W60" i="14"/>
  <c r="W61" i="14"/>
  <c r="W62" i="14"/>
  <c r="W63" i="14"/>
  <c r="W64" i="14"/>
  <c r="W65" i="14"/>
  <c r="W66" i="14"/>
  <c r="W67" i="14"/>
  <c r="W68" i="14"/>
  <c r="W69" i="14"/>
  <c r="W70" i="14"/>
  <c r="W71" i="14"/>
  <c r="W72" i="14"/>
  <c r="W73" i="14"/>
  <c r="W74" i="14"/>
  <c r="W75" i="14"/>
  <c r="W76" i="14"/>
  <c r="W77" i="14"/>
  <c r="W78" i="14"/>
  <c r="W79" i="14"/>
  <c r="W80" i="14"/>
  <c r="W81" i="14"/>
  <c r="W82" i="14"/>
  <c r="AE15" i="14"/>
  <c r="AD15" i="14"/>
  <c r="W15" i="1"/>
  <c r="X23" i="12" l="1"/>
  <c r="AN23" i="12"/>
  <c r="BD23" i="12" s="1"/>
  <c r="AA24" i="12"/>
  <c r="AQ24" i="12"/>
  <c r="AB23" i="12"/>
  <c r="AR23" i="12"/>
  <c r="BH23" i="12" s="1"/>
  <c r="AC22" i="12"/>
  <c r="AS22" i="12"/>
  <c r="BI22" i="12" s="1"/>
  <c r="AD21" i="12"/>
  <c r="AT21" i="12"/>
  <c r="AE20" i="12"/>
  <c r="AU20" i="12"/>
  <c r="BK20" i="12" s="1"/>
  <c r="W20" i="12"/>
  <c r="AM20" i="12"/>
  <c r="BC20" i="12" s="1"/>
  <c r="AC18" i="12"/>
  <c r="AS18" i="12"/>
  <c r="BI18" i="12" s="1"/>
  <c r="AD17" i="12"/>
  <c r="AT17" i="12"/>
  <c r="Z17" i="12"/>
  <c r="AP17" i="12"/>
  <c r="W16" i="12"/>
  <c r="AM16" i="12"/>
  <c r="BC16" i="12" s="1"/>
  <c r="AD24" i="12"/>
  <c r="AT24" i="12"/>
  <c r="BJ24" i="12" s="1"/>
  <c r="Z24" i="12"/>
  <c r="AP24" i="12"/>
  <c r="AE23" i="12"/>
  <c r="AU23" i="12"/>
  <c r="AA23" i="12"/>
  <c r="AQ23" i="12"/>
  <c r="BG23" i="12" s="1"/>
  <c r="W23" i="12"/>
  <c r="AM23" i="12"/>
  <c r="BC23" i="12" s="1"/>
  <c r="AR22" i="12"/>
  <c r="AB22" i="12"/>
  <c r="X22" i="12"/>
  <c r="AN22" i="12"/>
  <c r="BD22" i="12" s="1"/>
  <c r="AC21" i="12"/>
  <c r="AS21" i="12"/>
  <c r="BI21" i="12" s="1"/>
  <c r="Y21" i="12"/>
  <c r="AO21" i="12"/>
  <c r="BE21" i="12" s="1"/>
  <c r="AD20" i="12"/>
  <c r="AT20" i="12"/>
  <c r="Z20" i="12"/>
  <c r="AP20" i="12"/>
  <c r="AE19" i="12"/>
  <c r="AU19" i="12"/>
  <c r="BK19" i="12" s="1"/>
  <c r="AA19" i="12"/>
  <c r="AQ19" i="12"/>
  <c r="BG19" i="12" s="1"/>
  <c r="W19" i="12"/>
  <c r="AM19" i="12"/>
  <c r="BC19" i="12" s="1"/>
  <c r="AR18" i="12"/>
  <c r="BH18" i="12" s="1"/>
  <c r="AB18" i="12"/>
  <c r="X18" i="12"/>
  <c r="AN18" i="12"/>
  <c r="BD18" i="12" s="1"/>
  <c r="AC17" i="12"/>
  <c r="AS17" i="12"/>
  <c r="BI17" i="12" s="1"/>
  <c r="Y17" i="12"/>
  <c r="AO17" i="12"/>
  <c r="AD16" i="12"/>
  <c r="AT16" i="12"/>
  <c r="Z16" i="12"/>
  <c r="AP16" i="12"/>
  <c r="BF16" i="12" s="1"/>
  <c r="AE24" i="12"/>
  <c r="AU24" i="12"/>
  <c r="W24" i="12"/>
  <c r="AM24" i="12"/>
  <c r="BC24" i="12" s="1"/>
  <c r="Y22" i="12"/>
  <c r="AO22" i="12"/>
  <c r="Z21" i="12"/>
  <c r="AP21" i="12"/>
  <c r="AA20" i="12"/>
  <c r="AQ20" i="12"/>
  <c r="BG20" i="12" s="1"/>
  <c r="AB19" i="12"/>
  <c r="AR19" i="12"/>
  <c r="BH19" i="12" s="1"/>
  <c r="X19" i="12"/>
  <c r="AN19" i="12"/>
  <c r="Y18" i="12"/>
  <c r="AO18" i="12"/>
  <c r="BE18" i="12" s="1"/>
  <c r="AE16" i="12"/>
  <c r="AU16" i="12"/>
  <c r="BK16" i="12" s="1"/>
  <c r="AA16" i="12"/>
  <c r="AQ16" i="12"/>
  <c r="BG16" i="12" s="1"/>
  <c r="AC24" i="12"/>
  <c r="AS24" i="12"/>
  <c r="AO24" i="12"/>
  <c r="BE24" i="12" s="1"/>
  <c r="Y24" i="12"/>
  <c r="AD23" i="12"/>
  <c r="AT23" i="12"/>
  <c r="Z23" i="12"/>
  <c r="AP23" i="12"/>
  <c r="BF23" i="12" s="1"/>
  <c r="AE22" i="12"/>
  <c r="AU22" i="12"/>
  <c r="AA22" i="12"/>
  <c r="AQ22" i="12"/>
  <c r="BG22" i="12" s="1"/>
  <c r="AM22" i="12"/>
  <c r="BC22" i="12" s="1"/>
  <c r="W22" i="12"/>
  <c r="AB21" i="12"/>
  <c r="AR21" i="12"/>
  <c r="BH21" i="12" s="1"/>
  <c r="X21" i="12"/>
  <c r="AN21" i="12"/>
  <c r="AC20" i="12"/>
  <c r="AS20" i="12"/>
  <c r="BI20" i="12" s="1"/>
  <c r="Y20" i="12"/>
  <c r="AO20" i="12"/>
  <c r="BE20" i="12" s="1"/>
  <c r="AD19" i="12"/>
  <c r="AT19" i="12"/>
  <c r="BJ19" i="12" s="1"/>
  <c r="AP19" i="12"/>
  <c r="Z19" i="12"/>
  <c r="AU18" i="12"/>
  <c r="BK18" i="12" s="1"/>
  <c r="AE18" i="12"/>
  <c r="AQ18" i="12"/>
  <c r="BG18" i="12" s="1"/>
  <c r="AA18" i="12"/>
  <c r="AM18" i="12"/>
  <c r="BC18" i="12" s="1"/>
  <c r="W18" i="12"/>
  <c r="AR17" i="12"/>
  <c r="AB17" i="12"/>
  <c r="X17" i="12"/>
  <c r="AN17" i="12"/>
  <c r="BD17" i="12" s="1"/>
  <c r="AC16" i="12"/>
  <c r="AS16" i="12"/>
  <c r="BI16" i="12" s="1"/>
  <c r="Y16" i="12"/>
  <c r="AO16" i="12"/>
  <c r="BE16" i="12" s="1"/>
  <c r="AB24" i="12"/>
  <c r="AR24" i="12"/>
  <c r="X24" i="12"/>
  <c r="AN24" i="12"/>
  <c r="BD24" i="12" s="1"/>
  <c r="AC23" i="12"/>
  <c r="AS23" i="12"/>
  <c r="BI23" i="12" s="1"/>
  <c r="AO23" i="12"/>
  <c r="BE23" i="12" s="1"/>
  <c r="Y23" i="12"/>
  <c r="AD22" i="12"/>
  <c r="AT22" i="12"/>
  <c r="Z22" i="12"/>
  <c r="AP22" i="12"/>
  <c r="AU21" i="12"/>
  <c r="AE21" i="12"/>
  <c r="AA21" i="12"/>
  <c r="AQ21" i="12"/>
  <c r="BG21" i="12" s="1"/>
  <c r="AM21" i="12"/>
  <c r="BC21" i="12" s="1"/>
  <c r="W21" i="12"/>
  <c r="AB20" i="12"/>
  <c r="AR20" i="12"/>
  <c r="X20" i="12"/>
  <c r="AN20" i="12"/>
  <c r="BD20" i="12" s="1"/>
  <c r="AC19" i="12"/>
  <c r="AS19" i="12"/>
  <c r="BI19" i="12" s="1"/>
  <c r="AO19" i="12"/>
  <c r="BE19" i="12" s="1"/>
  <c r="Y19" i="12"/>
  <c r="AD18" i="12"/>
  <c r="AT18" i="12"/>
  <c r="Z18" i="12"/>
  <c r="AP18" i="12"/>
  <c r="BF18" i="12"/>
  <c r="AE17" i="12"/>
  <c r="AU17" i="12"/>
  <c r="BK17" i="12" s="1"/>
  <c r="AA17" i="12"/>
  <c r="AQ17" i="12"/>
  <c r="BW17" i="12" s="1"/>
  <c r="AM17" i="12"/>
  <c r="BC17" i="12" s="1"/>
  <c r="W17" i="12"/>
  <c r="AB16" i="12"/>
  <c r="AR16" i="12"/>
  <c r="BH16" i="12" s="1"/>
  <c r="AN16" i="12"/>
  <c r="X16" i="12"/>
  <c r="CI15" i="14"/>
  <c r="CI18" i="14"/>
  <c r="CI23" i="14"/>
  <c r="CI19" i="14"/>
  <c r="CI25" i="14"/>
  <c r="CI21" i="14"/>
  <c r="CI22" i="14"/>
  <c r="CI17" i="14"/>
  <c r="CI24" i="14"/>
  <c r="CI20" i="14"/>
  <c r="CI16" i="14"/>
  <c r="DI15" i="14"/>
  <c r="BF15" i="14"/>
  <c r="BV15" i="14"/>
  <c r="CL81" i="14"/>
  <c r="CM81" i="14" s="1"/>
  <c r="CL46" i="14"/>
  <c r="CM46" i="14" s="1"/>
  <c r="FV15" i="10"/>
  <c r="W15" i="12"/>
  <c r="AM15" i="12"/>
  <c r="BC15" i="12" s="1"/>
  <c r="CL61" i="14"/>
  <c r="CM61" i="14" s="1"/>
  <c r="CL49" i="14"/>
  <c r="CM49" i="14" s="1"/>
  <c r="CL64" i="14"/>
  <c r="CM64" i="14" s="1"/>
  <c r="CL66" i="14"/>
  <c r="CM66" i="14" s="1"/>
  <c r="CL30" i="14"/>
  <c r="CM30" i="14" s="1"/>
  <c r="CL76" i="14"/>
  <c r="CM76" i="14" s="1"/>
  <c r="CL65" i="14"/>
  <c r="CM65" i="14" s="1"/>
  <c r="CL78" i="14"/>
  <c r="CM78" i="14" s="1"/>
  <c r="CL36" i="14"/>
  <c r="CM36" i="14" s="1"/>
  <c r="CL32" i="14"/>
  <c r="CM32" i="14" s="1"/>
  <c r="CL34" i="14"/>
  <c r="CM34" i="14" s="1"/>
  <c r="CL72" i="14"/>
  <c r="CM72" i="14" s="1"/>
  <c r="CL58" i="14"/>
  <c r="CM58" i="14" s="1"/>
  <c r="CL54" i="14"/>
  <c r="CM54" i="14" s="1"/>
  <c r="BV72" i="14"/>
  <c r="BU65" i="14"/>
  <c r="CL77" i="14"/>
  <c r="CM77" i="14" s="1"/>
  <c r="CL68" i="14"/>
  <c r="CM68" i="14" s="1"/>
  <c r="CL42" i="14"/>
  <c r="CM42" i="14" s="1"/>
  <c r="CL38" i="14"/>
  <c r="CM38" i="14" s="1"/>
  <c r="CL74" i="14"/>
  <c r="CM74" i="14" s="1"/>
  <c r="CL70" i="14"/>
  <c r="CM70" i="14" s="1"/>
  <c r="CL69" i="14"/>
  <c r="CM69" i="14" s="1"/>
  <c r="CL60" i="14"/>
  <c r="CM60" i="14" s="1"/>
  <c r="CL52" i="14"/>
  <c r="CM52" i="14" s="1"/>
  <c r="CL48" i="14"/>
  <c r="CM48" i="14" s="1"/>
  <c r="CL44" i="14"/>
  <c r="CM44" i="14" s="1"/>
  <c r="BY77" i="14"/>
  <c r="CA75" i="14"/>
  <c r="BT74" i="14"/>
  <c r="BW79" i="14"/>
  <c r="CL82" i="14"/>
  <c r="CM82" i="14" s="1"/>
  <c r="CL62" i="14"/>
  <c r="CM62" i="14" s="1"/>
  <c r="BV82" i="14"/>
  <c r="BF82" i="14"/>
  <c r="BW81" i="14"/>
  <c r="BG81" i="14"/>
  <c r="BX80" i="14"/>
  <c r="BH80" i="14"/>
  <c r="BI82" i="14"/>
  <c r="BY82" i="14"/>
  <c r="BE82" i="14"/>
  <c r="BU82" i="14"/>
  <c r="BZ81" i="14"/>
  <c r="BJ81" i="14"/>
  <c r="BK80" i="14"/>
  <c r="CA80" i="14"/>
  <c r="BG80" i="14"/>
  <c r="BW80" i="14"/>
  <c r="BS80" i="14"/>
  <c r="BC80" i="14"/>
  <c r="BX79" i="14"/>
  <c r="BH79" i="14"/>
  <c r="BT79" i="14"/>
  <c r="BD79" i="14"/>
  <c r="BY78" i="14"/>
  <c r="BI78" i="14"/>
  <c r="BU78" i="14"/>
  <c r="BE78" i="14"/>
  <c r="BZ77" i="14"/>
  <c r="BJ77" i="14"/>
  <c r="BV77" i="14"/>
  <c r="BF77" i="14"/>
  <c r="CA76" i="14"/>
  <c r="BK76" i="14"/>
  <c r="BW76" i="14"/>
  <c r="BG76" i="14"/>
  <c r="BS76" i="14"/>
  <c r="BC76" i="14"/>
  <c r="BX75" i="14"/>
  <c r="BH75" i="14"/>
  <c r="BT75" i="14"/>
  <c r="BD75" i="14"/>
  <c r="BY74" i="14"/>
  <c r="BI74" i="14"/>
  <c r="BU74" i="14"/>
  <c r="BE74" i="14"/>
  <c r="BZ73" i="14"/>
  <c r="BJ73" i="14"/>
  <c r="BV73" i="14"/>
  <c r="BF73" i="14"/>
  <c r="CA72" i="14"/>
  <c r="BK72" i="14"/>
  <c r="BW72" i="14"/>
  <c r="BG72" i="14"/>
  <c r="BS72" i="14"/>
  <c r="BC72" i="14"/>
  <c r="BX71" i="14"/>
  <c r="BH71" i="14"/>
  <c r="BT71" i="14"/>
  <c r="BD71" i="14"/>
  <c r="BY70" i="14"/>
  <c r="BI70" i="14"/>
  <c r="BU70" i="14"/>
  <c r="BE70" i="14"/>
  <c r="BZ69" i="14"/>
  <c r="BJ69" i="14"/>
  <c r="BV69" i="14"/>
  <c r="BF69" i="14"/>
  <c r="CA68" i="14"/>
  <c r="BK68" i="14"/>
  <c r="BW68" i="14"/>
  <c r="BG68" i="14"/>
  <c r="BS68" i="14"/>
  <c r="BC68" i="14"/>
  <c r="BX67" i="14"/>
  <c r="BH67" i="14"/>
  <c r="BT67" i="14"/>
  <c r="BD67" i="14"/>
  <c r="BY66" i="14"/>
  <c r="BI66" i="14"/>
  <c r="BU66" i="14"/>
  <c r="BE66" i="14"/>
  <c r="BZ65" i="14"/>
  <c r="BJ65" i="14"/>
  <c r="BV65" i="14"/>
  <c r="BF65" i="14"/>
  <c r="CA64" i="14"/>
  <c r="BK64" i="14"/>
  <c r="BW64" i="14"/>
  <c r="BG64" i="14"/>
  <c r="BS64" i="14"/>
  <c r="BC64" i="14"/>
  <c r="BX63" i="14"/>
  <c r="BT63" i="14"/>
  <c r="BD63" i="14"/>
  <c r="BY62" i="14"/>
  <c r="BU62" i="14"/>
  <c r="BE62" i="14"/>
  <c r="BZ61" i="14"/>
  <c r="BV61" i="14"/>
  <c r="BF61" i="14"/>
  <c r="CA60" i="14"/>
  <c r="BW60" i="14"/>
  <c r="BG60" i="14"/>
  <c r="BS60" i="14"/>
  <c r="BC60" i="14"/>
  <c r="BX59" i="14"/>
  <c r="BT59" i="14"/>
  <c r="BD59" i="14"/>
  <c r="BY58" i="14"/>
  <c r="BU58" i="14"/>
  <c r="BE58" i="14"/>
  <c r="BI77" i="14"/>
  <c r="BK75" i="14"/>
  <c r="BD74" i="14"/>
  <c r="BX70" i="14"/>
  <c r="BS63" i="14"/>
  <c r="BZ82" i="14"/>
  <c r="BJ82" i="14"/>
  <c r="CA81" i="14"/>
  <c r="BK81" i="14"/>
  <c r="BS81" i="14"/>
  <c r="BC81" i="14"/>
  <c r="BX82" i="14"/>
  <c r="BT82" i="14"/>
  <c r="BY81" i="14"/>
  <c r="BU81" i="14"/>
  <c r="BZ80" i="14"/>
  <c r="BV80" i="14"/>
  <c r="CA79" i="14"/>
  <c r="BS79" i="14"/>
  <c r="BX78" i="14"/>
  <c r="BT78" i="14"/>
  <c r="BU77" i="14"/>
  <c r="BZ76" i="14"/>
  <c r="BV76" i="14"/>
  <c r="BW75" i="14"/>
  <c r="BS75" i="14"/>
  <c r="BX74" i="14"/>
  <c r="BY73" i="14"/>
  <c r="BU73" i="14"/>
  <c r="BZ72" i="14"/>
  <c r="CA71" i="14"/>
  <c r="BW71" i="14"/>
  <c r="BS71" i="14"/>
  <c r="BD70" i="14"/>
  <c r="BT70" i="14"/>
  <c r="BY69" i="14"/>
  <c r="BU69" i="14"/>
  <c r="BE69" i="14"/>
  <c r="BF68" i="14"/>
  <c r="BV68" i="14"/>
  <c r="CA67" i="14"/>
  <c r="BW67" i="14"/>
  <c r="BG67" i="14"/>
  <c r="BH66" i="14"/>
  <c r="BX66" i="14"/>
  <c r="BT66" i="14"/>
  <c r="BY65" i="14"/>
  <c r="BI65" i="14"/>
  <c r="BJ64" i="14"/>
  <c r="BZ64" i="14"/>
  <c r="BV64" i="14"/>
  <c r="CA63" i="14"/>
  <c r="BW63" i="14"/>
  <c r="BG63" i="14"/>
  <c r="BX62" i="14"/>
  <c r="BD62" i="14"/>
  <c r="BT62" i="14"/>
  <c r="BY61" i="14"/>
  <c r="BU61" i="14"/>
  <c r="BZ60" i="14"/>
  <c r="BV60" i="14"/>
  <c r="BF60" i="14"/>
  <c r="CA59" i="14"/>
  <c r="BC59" i="14"/>
  <c r="BS59" i="14"/>
  <c r="BX58" i="14"/>
  <c r="BT58" i="14"/>
  <c r="CA55" i="14"/>
  <c r="BH82" i="14"/>
  <c r="BJ80" i="14"/>
  <c r="BC79" i="14"/>
  <c r="BE77" i="14"/>
  <c r="BG75" i="14"/>
  <c r="BI73" i="14"/>
  <c r="BK71" i="14"/>
  <c r="BK67" i="14"/>
  <c r="BD58" i="14"/>
  <c r="BZ68" i="14"/>
  <c r="BW59" i="14"/>
  <c r="CA82" i="14"/>
  <c r="BK82" i="14"/>
  <c r="BW82" i="14"/>
  <c r="BG82" i="14"/>
  <c r="BS82" i="14"/>
  <c r="BC82" i="14"/>
  <c r="BX81" i="14"/>
  <c r="BH81" i="14"/>
  <c r="BT81" i="14"/>
  <c r="BD81" i="14"/>
  <c r="BY80" i="14"/>
  <c r="BI80" i="14"/>
  <c r="BU80" i="14"/>
  <c r="BE80" i="14"/>
  <c r="BZ79" i="14"/>
  <c r="BJ79" i="14"/>
  <c r="BV79" i="14"/>
  <c r="BF79" i="14"/>
  <c r="CA78" i="14"/>
  <c r="BK78" i="14"/>
  <c r="BW78" i="14"/>
  <c r="BG78" i="14"/>
  <c r="BS78" i="14"/>
  <c r="BC78" i="14"/>
  <c r="BX77" i="14"/>
  <c r="BH77" i="14"/>
  <c r="BT77" i="14"/>
  <c r="BD77" i="14"/>
  <c r="BY76" i="14"/>
  <c r="BI76" i="14"/>
  <c r="BU76" i="14"/>
  <c r="BE76" i="14"/>
  <c r="BZ75" i="14"/>
  <c r="BJ75" i="14"/>
  <c r="BV75" i="14"/>
  <c r="BF75" i="14"/>
  <c r="CA74" i="14"/>
  <c r="BK74" i="14"/>
  <c r="BW74" i="14"/>
  <c r="BG74" i="14"/>
  <c r="BS74" i="14"/>
  <c r="BC74" i="14"/>
  <c r="BX73" i="14"/>
  <c r="BH73" i="14"/>
  <c r="BT73" i="14"/>
  <c r="BD73" i="14"/>
  <c r="BY72" i="14"/>
  <c r="BD82" i="14"/>
  <c r="BF80" i="14"/>
  <c r="BH78" i="14"/>
  <c r="BJ76" i="14"/>
  <c r="BC75" i="14"/>
  <c r="BE73" i="14"/>
  <c r="BG71" i="14"/>
  <c r="BD66" i="14"/>
  <c r="BV81" i="14"/>
  <c r="BS67" i="14"/>
  <c r="BI72" i="14"/>
  <c r="BU72" i="14"/>
  <c r="BZ71" i="14"/>
  <c r="BV71" i="14"/>
  <c r="CA70" i="14"/>
  <c r="BW70" i="14"/>
  <c r="BG70" i="14"/>
  <c r="BS70" i="14"/>
  <c r="BC70" i="14"/>
  <c r="BX69" i="14"/>
  <c r="BH69" i="14"/>
  <c r="BT69" i="14"/>
  <c r="BD69" i="14"/>
  <c r="BY68" i="14"/>
  <c r="BI68" i="14"/>
  <c r="BU68" i="14"/>
  <c r="BE68" i="14"/>
  <c r="BZ67" i="14"/>
  <c r="BJ67" i="14"/>
  <c r="BV67" i="14"/>
  <c r="BF67" i="14"/>
  <c r="CA66" i="14"/>
  <c r="BK66" i="14"/>
  <c r="BW66" i="14"/>
  <c r="BG66" i="14"/>
  <c r="BS66" i="14"/>
  <c r="BC66" i="14"/>
  <c r="BX65" i="14"/>
  <c r="BH65" i="14"/>
  <c r="BT65" i="14"/>
  <c r="BD65" i="14"/>
  <c r="BY64" i="14"/>
  <c r="BI64" i="14"/>
  <c r="BU64" i="14"/>
  <c r="BE64" i="14"/>
  <c r="BV63" i="14"/>
  <c r="BF63" i="14"/>
  <c r="BW62" i="14"/>
  <c r="BG62" i="14"/>
  <c r="BS62" i="14"/>
  <c r="BC62" i="14"/>
  <c r="BT61" i="14"/>
  <c r="BD61" i="14"/>
  <c r="BU60" i="14"/>
  <c r="BE60" i="14"/>
  <c r="BV59" i="14"/>
  <c r="BF59" i="14"/>
  <c r="BW58" i="14"/>
  <c r="BG58" i="14"/>
  <c r="BS58" i="14"/>
  <c r="BC58" i="14"/>
  <c r="CL28" i="14"/>
  <c r="CM28" i="14" s="1"/>
  <c r="BT80" i="14"/>
  <c r="BY79" i="14"/>
  <c r="BU79" i="14"/>
  <c r="BZ78" i="14"/>
  <c r="BV78" i="14"/>
  <c r="CA77" i="14"/>
  <c r="BW77" i="14"/>
  <c r="BS77" i="14"/>
  <c r="BX76" i="14"/>
  <c r="BT76" i="14"/>
  <c r="BY75" i="14"/>
  <c r="BU75" i="14"/>
  <c r="BZ74" i="14"/>
  <c r="BV74" i="14"/>
  <c r="CA73" i="14"/>
  <c r="BW73" i="14"/>
  <c r="BS73" i="14"/>
  <c r="BX72" i="14"/>
  <c r="BT72" i="14"/>
  <c r="BY71" i="14"/>
  <c r="BU71" i="14"/>
  <c r="BZ70" i="14"/>
  <c r="BJ70" i="14"/>
  <c r="BV70" i="14"/>
  <c r="BF70" i="14"/>
  <c r="CA69" i="14"/>
  <c r="BK69" i="14"/>
  <c r="BW69" i="14"/>
  <c r="BG69" i="14"/>
  <c r="BS69" i="14"/>
  <c r="BC69" i="14"/>
  <c r="BX68" i="14"/>
  <c r="BH68" i="14"/>
  <c r="BT68" i="14"/>
  <c r="BD68" i="14"/>
  <c r="BY67" i="14"/>
  <c r="BI67" i="14"/>
  <c r="BU67" i="14"/>
  <c r="BE67" i="14"/>
  <c r="BZ66" i="14"/>
  <c r="BJ66" i="14"/>
  <c r="BV66" i="14"/>
  <c r="BF66" i="14"/>
  <c r="CA65" i="14"/>
  <c r="BK65" i="14"/>
  <c r="BW65" i="14"/>
  <c r="BG65" i="14"/>
  <c r="BS65" i="14"/>
  <c r="BC65" i="14"/>
  <c r="BX64" i="14"/>
  <c r="BH64" i="14"/>
  <c r="BT64" i="14"/>
  <c r="BD64" i="14"/>
  <c r="BU63" i="14"/>
  <c r="BE63" i="14"/>
  <c r="BV62" i="14"/>
  <c r="BF62" i="14"/>
  <c r="BW61" i="14"/>
  <c r="BG61" i="14"/>
  <c r="BS61" i="14"/>
  <c r="BC61" i="14"/>
  <c r="BT60" i="14"/>
  <c r="BD60" i="14"/>
  <c r="BU59" i="14"/>
  <c r="BE59" i="14"/>
  <c r="BV58" i="14"/>
  <c r="BF58" i="14"/>
  <c r="CA45" i="14"/>
  <c r="BX44" i="14"/>
  <c r="BY43" i="14"/>
  <c r="BZ42" i="14"/>
  <c r="CA41" i="14"/>
  <c r="BY39" i="14"/>
  <c r="BZ38" i="14"/>
  <c r="CA37" i="14"/>
  <c r="BZ34" i="14"/>
  <c r="CA33" i="14"/>
  <c r="CA29" i="14"/>
  <c r="CL79" i="14"/>
  <c r="CM79" i="14" s="1"/>
  <c r="CL56" i="14"/>
  <c r="CM56" i="14" s="1"/>
  <c r="CL50" i="14"/>
  <c r="CM50" i="14" s="1"/>
  <c r="CL40" i="14"/>
  <c r="CM40" i="14" s="1"/>
  <c r="CL80" i="14"/>
  <c r="CM80" i="14" s="1"/>
  <c r="CL73" i="14"/>
  <c r="CM73" i="14" s="1"/>
  <c r="CL57" i="14"/>
  <c r="CM57" i="14" s="1"/>
  <c r="BK15" i="14"/>
  <c r="CA15" i="14"/>
  <c r="BZ57" i="14"/>
  <c r="BV57" i="14"/>
  <c r="BF57" i="14"/>
  <c r="CA56" i="14"/>
  <c r="BW56" i="14"/>
  <c r="BG56" i="14"/>
  <c r="BS56" i="14"/>
  <c r="BC56" i="14"/>
  <c r="BX55" i="14"/>
  <c r="BT55" i="14"/>
  <c r="BD55" i="14"/>
  <c r="BY54" i="14"/>
  <c r="BU54" i="14"/>
  <c r="BE54" i="14"/>
  <c r="BZ53" i="14"/>
  <c r="BV53" i="14"/>
  <c r="BF53" i="14"/>
  <c r="CA52" i="14"/>
  <c r="BW52" i="14"/>
  <c r="BG52" i="14"/>
  <c r="BS52" i="14"/>
  <c r="BC52" i="14"/>
  <c r="BX51" i="14"/>
  <c r="BT51" i="14"/>
  <c r="BD51" i="14"/>
  <c r="BY50" i="14"/>
  <c r="BU50" i="14"/>
  <c r="BE50" i="14"/>
  <c r="BZ49" i="14"/>
  <c r="BV49" i="14"/>
  <c r="BF49" i="14"/>
  <c r="CA48" i="14"/>
  <c r="BW48" i="14"/>
  <c r="BG48" i="14"/>
  <c r="BS48" i="14"/>
  <c r="BC48" i="14"/>
  <c r="BX47" i="14"/>
  <c r="BT47" i="14"/>
  <c r="BD47" i="14"/>
  <c r="BU46" i="14"/>
  <c r="BE46" i="14"/>
  <c r="BV45" i="14"/>
  <c r="BF45" i="14"/>
  <c r="BW44" i="14"/>
  <c r="BG44" i="14"/>
  <c r="BS44" i="14"/>
  <c r="BC44" i="14"/>
  <c r="BX43" i="14"/>
  <c r="BD43" i="14"/>
  <c r="BT43" i="14"/>
  <c r="BY42" i="14"/>
  <c r="BE42" i="14"/>
  <c r="BU42" i="14"/>
  <c r="BZ41" i="14"/>
  <c r="BV41" i="14"/>
  <c r="CA40" i="14"/>
  <c r="BW40" i="14"/>
  <c r="BS40" i="14"/>
  <c r="BX39" i="14"/>
  <c r="BT39" i="14"/>
  <c r="BY38" i="14"/>
  <c r="BU38" i="14"/>
  <c r="BZ37" i="14"/>
  <c r="BV37" i="14"/>
  <c r="CA36" i="14"/>
  <c r="BG36" i="14"/>
  <c r="BW36" i="14"/>
  <c r="BS36" i="14"/>
  <c r="BX35" i="14"/>
  <c r="BT35" i="14"/>
  <c r="BY34" i="14"/>
  <c r="BU34" i="14"/>
  <c r="BZ33" i="14"/>
  <c r="BF33" i="14"/>
  <c r="BV33" i="14"/>
  <c r="CA32" i="14"/>
  <c r="BW32" i="14"/>
  <c r="BS32" i="14"/>
  <c r="BX31" i="14"/>
  <c r="BT31" i="14"/>
  <c r="BY30" i="14"/>
  <c r="BU30" i="14"/>
  <c r="BZ29" i="14"/>
  <c r="BV29" i="14"/>
  <c r="BK28" i="14"/>
  <c r="CA28" i="14"/>
  <c r="BW28" i="14"/>
  <c r="BS28" i="14"/>
  <c r="BJ25" i="14"/>
  <c r="BZ25" i="14"/>
  <c r="BF25" i="14"/>
  <c r="BV25" i="14"/>
  <c r="BK24" i="14"/>
  <c r="CA24" i="14"/>
  <c r="BG24" i="14"/>
  <c r="BW24" i="14"/>
  <c r="BC24" i="14"/>
  <c r="BS24" i="14"/>
  <c r="BH23" i="14"/>
  <c r="BX23" i="14"/>
  <c r="BD23" i="14"/>
  <c r="BT23" i="14"/>
  <c r="BI22" i="14"/>
  <c r="BY22" i="14"/>
  <c r="BE22" i="14"/>
  <c r="BU22" i="14"/>
  <c r="BJ21" i="14"/>
  <c r="BZ21" i="14"/>
  <c r="BF21" i="14"/>
  <c r="BV21" i="14"/>
  <c r="BK20" i="14"/>
  <c r="CA20" i="14"/>
  <c r="BG20" i="14"/>
  <c r="BW20" i="14"/>
  <c r="BC20" i="14"/>
  <c r="BS20" i="14"/>
  <c r="BH19" i="14"/>
  <c r="BX19" i="14"/>
  <c r="BD19" i="14"/>
  <c r="BT19" i="14"/>
  <c r="BD15" i="14"/>
  <c r="BT15" i="14"/>
  <c r="BC15" i="14"/>
  <c r="BS15" i="14"/>
  <c r="BY57" i="14"/>
  <c r="BU57" i="14"/>
  <c r="BE57" i="14"/>
  <c r="BZ56" i="14"/>
  <c r="BV56" i="14"/>
  <c r="BF56" i="14"/>
  <c r="BW55" i="14"/>
  <c r="BG55" i="14"/>
  <c r="BS55" i="14"/>
  <c r="BC55" i="14"/>
  <c r="BX54" i="14"/>
  <c r="BT54" i="14"/>
  <c r="BD54" i="14"/>
  <c r="BY53" i="14"/>
  <c r="BU53" i="14"/>
  <c r="BE53" i="14"/>
  <c r="BZ52" i="14"/>
  <c r="BV52" i="14"/>
  <c r="BF52" i="14"/>
  <c r="CA51" i="14"/>
  <c r="BW51" i="14"/>
  <c r="BG51" i="14"/>
  <c r="BS51" i="14"/>
  <c r="BC51" i="14"/>
  <c r="BX50" i="14"/>
  <c r="BT50" i="14"/>
  <c r="BD50" i="14"/>
  <c r="BY49" i="14"/>
  <c r="BU49" i="14"/>
  <c r="BE49" i="14"/>
  <c r="BZ48" i="14"/>
  <c r="BV48" i="14"/>
  <c r="BF48" i="14"/>
  <c r="CA47" i="14"/>
  <c r="BW47" i="14"/>
  <c r="BG47" i="14"/>
  <c r="BS47" i="14"/>
  <c r="BC47" i="14"/>
  <c r="BT46" i="14"/>
  <c r="BD46" i="14"/>
  <c r="BU45" i="14"/>
  <c r="BE45" i="14"/>
  <c r="BV44" i="14"/>
  <c r="BF44" i="14"/>
  <c r="CA43" i="14"/>
  <c r="BW43" i="14"/>
  <c r="BC43" i="14"/>
  <c r="BS43" i="14"/>
  <c r="BX42" i="14"/>
  <c r="BD42" i="14"/>
  <c r="BT42" i="14"/>
  <c r="BY41" i="14"/>
  <c r="BE41" i="14"/>
  <c r="BU41" i="14"/>
  <c r="BZ40" i="14"/>
  <c r="BF40" i="14"/>
  <c r="BV40" i="14"/>
  <c r="CA39" i="14"/>
  <c r="BW39" i="14"/>
  <c r="BG39" i="14"/>
  <c r="BC39" i="14"/>
  <c r="BS39" i="14"/>
  <c r="BX38" i="14"/>
  <c r="BT38" i="14"/>
  <c r="BD38" i="14"/>
  <c r="BY37" i="14"/>
  <c r="BE37" i="14"/>
  <c r="BU37" i="14"/>
  <c r="BZ36" i="14"/>
  <c r="BF36" i="14"/>
  <c r="BV36" i="14"/>
  <c r="CA35" i="14"/>
  <c r="BG35" i="14"/>
  <c r="BW35" i="14"/>
  <c r="BC35" i="14"/>
  <c r="BS35" i="14"/>
  <c r="BX34" i="14"/>
  <c r="BD34" i="14"/>
  <c r="BT34" i="14"/>
  <c r="BY33" i="14"/>
  <c r="BE33" i="14"/>
  <c r="BU33" i="14"/>
  <c r="BZ32" i="14"/>
  <c r="BF32" i="14"/>
  <c r="BV32" i="14"/>
  <c r="CA31" i="14"/>
  <c r="BG31" i="14"/>
  <c r="BW31" i="14"/>
  <c r="BC31" i="14"/>
  <c r="BS31" i="14"/>
  <c r="BX30" i="14"/>
  <c r="BD30" i="14"/>
  <c r="BT30" i="14"/>
  <c r="BY29" i="14"/>
  <c r="BE29" i="14"/>
  <c r="BU29" i="14"/>
  <c r="BJ28" i="14"/>
  <c r="BZ28" i="14"/>
  <c r="BV28" i="14"/>
  <c r="BF28" i="14"/>
  <c r="BI25" i="14"/>
  <c r="BY25" i="14"/>
  <c r="BU25" i="14"/>
  <c r="BE25" i="14"/>
  <c r="BJ24" i="14"/>
  <c r="BZ24" i="14"/>
  <c r="BV24" i="14"/>
  <c r="BF24" i="14"/>
  <c r="BK23" i="14"/>
  <c r="CA23" i="14"/>
  <c r="BG23" i="14"/>
  <c r="BW23" i="14"/>
  <c r="BC23" i="14"/>
  <c r="BS23" i="14"/>
  <c r="BH22" i="14"/>
  <c r="BX22" i="14"/>
  <c r="BT22" i="14"/>
  <c r="BD22" i="14"/>
  <c r="BI21" i="14"/>
  <c r="BY21" i="14"/>
  <c r="BU21" i="14"/>
  <c r="BE21" i="14"/>
  <c r="BJ20" i="14"/>
  <c r="BZ20" i="14"/>
  <c r="BV20" i="14"/>
  <c r="BF20" i="14"/>
  <c r="BK19" i="14"/>
  <c r="CA19" i="14"/>
  <c r="BG19" i="14"/>
  <c r="BW19" i="14"/>
  <c r="BC19" i="14"/>
  <c r="BS19" i="14"/>
  <c r="BX15" i="14"/>
  <c r="BY15" i="14"/>
  <c r="BI15" i="14"/>
  <c r="BT57" i="14"/>
  <c r="BD57" i="14"/>
  <c r="BU56" i="14"/>
  <c r="BE56" i="14"/>
  <c r="BV55" i="14"/>
  <c r="BF55" i="14"/>
  <c r="BW54" i="14"/>
  <c r="BG54" i="14"/>
  <c r="BS54" i="14"/>
  <c r="BC54" i="14"/>
  <c r="BT53" i="14"/>
  <c r="BD53" i="14"/>
  <c r="BU52" i="14"/>
  <c r="BE52" i="14"/>
  <c r="BV51" i="14"/>
  <c r="BF51" i="14"/>
  <c r="BW50" i="14"/>
  <c r="BG50" i="14"/>
  <c r="BS50" i="14"/>
  <c r="BC50" i="14"/>
  <c r="BT49" i="14"/>
  <c r="BD49" i="14"/>
  <c r="BU48" i="14"/>
  <c r="BE48" i="14"/>
  <c r="BV47" i="14"/>
  <c r="BF47" i="14"/>
  <c r="BW46" i="14"/>
  <c r="BG46" i="14"/>
  <c r="BS46" i="14"/>
  <c r="BC46" i="14"/>
  <c r="BT45" i="14"/>
  <c r="BD45" i="14"/>
  <c r="BY44" i="14"/>
  <c r="BI44" i="14"/>
  <c r="BU44" i="14"/>
  <c r="BE44" i="14"/>
  <c r="BZ43" i="14"/>
  <c r="BV43" i="14"/>
  <c r="BF43" i="14"/>
  <c r="CA42" i="14"/>
  <c r="BW42" i="14"/>
  <c r="BG42" i="14"/>
  <c r="BS42" i="14"/>
  <c r="BC42" i="14"/>
  <c r="BX41" i="14"/>
  <c r="BT41" i="14"/>
  <c r="BD41" i="14"/>
  <c r="BY40" i="14"/>
  <c r="BI40" i="14"/>
  <c r="BU40" i="14"/>
  <c r="BE40" i="14"/>
  <c r="BZ39" i="14"/>
  <c r="BV39" i="14"/>
  <c r="BF39" i="14"/>
  <c r="CA38" i="14"/>
  <c r="BW38" i="14"/>
  <c r="BG38" i="14"/>
  <c r="BS38" i="14"/>
  <c r="BC38" i="14"/>
  <c r="BX37" i="14"/>
  <c r="BD37" i="14"/>
  <c r="BT37" i="14"/>
  <c r="BY36" i="14"/>
  <c r="BU36" i="14"/>
  <c r="BZ35" i="14"/>
  <c r="BV35" i="14"/>
  <c r="BF35" i="14"/>
  <c r="CA34" i="14"/>
  <c r="BW34" i="14"/>
  <c r="BG34" i="14"/>
  <c r="BC34" i="14"/>
  <c r="BS34" i="14"/>
  <c r="BX33" i="14"/>
  <c r="BT33" i="14"/>
  <c r="BY32" i="14"/>
  <c r="BU32" i="14"/>
  <c r="BE32" i="14"/>
  <c r="BZ31" i="14"/>
  <c r="BV31" i="14"/>
  <c r="BF31" i="14"/>
  <c r="CA30" i="14"/>
  <c r="BW30" i="14"/>
  <c r="BG30" i="14"/>
  <c r="BS30" i="14"/>
  <c r="BX29" i="14"/>
  <c r="BT29" i="14"/>
  <c r="BD29" i="14"/>
  <c r="BY28" i="14"/>
  <c r="BI28" i="14"/>
  <c r="BU28" i="14"/>
  <c r="BE28" i="14"/>
  <c r="BH25" i="14"/>
  <c r="BX25" i="14"/>
  <c r="BT25" i="14"/>
  <c r="BD25" i="14"/>
  <c r="BI24" i="14"/>
  <c r="BY24" i="14"/>
  <c r="BU24" i="14"/>
  <c r="BE24" i="14"/>
  <c r="BJ23" i="14"/>
  <c r="BZ23" i="14"/>
  <c r="BV23" i="14"/>
  <c r="BF23" i="14"/>
  <c r="BK22" i="14"/>
  <c r="CA22" i="14"/>
  <c r="BG22" i="14"/>
  <c r="BW22" i="14"/>
  <c r="BS22" i="14"/>
  <c r="BC22" i="14"/>
  <c r="BH21" i="14"/>
  <c r="BX21" i="14"/>
  <c r="BT21" i="14"/>
  <c r="BD21" i="14"/>
  <c r="BI20" i="14"/>
  <c r="BY20" i="14"/>
  <c r="BU20" i="14"/>
  <c r="BE20" i="14"/>
  <c r="BJ19" i="14"/>
  <c r="BZ19" i="14"/>
  <c r="BV19" i="14"/>
  <c r="BF19" i="14"/>
  <c r="BK18" i="14"/>
  <c r="CA18" i="14"/>
  <c r="BJ15" i="14"/>
  <c r="BZ15" i="14"/>
  <c r="BG57" i="14"/>
  <c r="BW57" i="14"/>
  <c r="BC57" i="14"/>
  <c r="BS57" i="14"/>
  <c r="BD56" i="14"/>
  <c r="BT56" i="14"/>
  <c r="BE55" i="14"/>
  <c r="BU55" i="14"/>
  <c r="BF54" i="14"/>
  <c r="BV54" i="14"/>
  <c r="BG53" i="14"/>
  <c r="BW53" i="14"/>
  <c r="BC53" i="14"/>
  <c r="BS53" i="14"/>
  <c r="BD52" i="14"/>
  <c r="BT52" i="14"/>
  <c r="BE51" i="14"/>
  <c r="BU51" i="14"/>
  <c r="BF50" i="14"/>
  <c r="BV50" i="14"/>
  <c r="BG49" i="14"/>
  <c r="BW49" i="14"/>
  <c r="BC49" i="14"/>
  <c r="BS49" i="14"/>
  <c r="BD48" i="14"/>
  <c r="BT48" i="14"/>
  <c r="BE47" i="14"/>
  <c r="BU47" i="14"/>
  <c r="BF46" i="14"/>
  <c r="BV46" i="14"/>
  <c r="BG45" i="14"/>
  <c r="BW45" i="14"/>
  <c r="BC45" i="14"/>
  <c r="BS45" i="14"/>
  <c r="BT44" i="14"/>
  <c r="BD44" i="14"/>
  <c r="BU43" i="14"/>
  <c r="BE43" i="14"/>
  <c r="BV42" i="14"/>
  <c r="BF42" i="14"/>
  <c r="BW41" i="14"/>
  <c r="BG41" i="14"/>
  <c r="BS41" i="14"/>
  <c r="BC41" i="14"/>
  <c r="BH40" i="14"/>
  <c r="BX40" i="14"/>
  <c r="BD40" i="14"/>
  <c r="BT40" i="14"/>
  <c r="BU39" i="14"/>
  <c r="BV38" i="14"/>
  <c r="BG37" i="14"/>
  <c r="BW37" i="14"/>
  <c r="BS37" i="14"/>
  <c r="BX36" i="14"/>
  <c r="BT36" i="14"/>
  <c r="BD36" i="14"/>
  <c r="BY35" i="14"/>
  <c r="BU35" i="14"/>
  <c r="BF34" i="14"/>
  <c r="BV34" i="14"/>
  <c r="BW33" i="14"/>
  <c r="BG33" i="14"/>
  <c r="BS33" i="14"/>
  <c r="BH32" i="14"/>
  <c r="BX32" i="14"/>
  <c r="BT32" i="14"/>
  <c r="BY31" i="14"/>
  <c r="BE31" i="14"/>
  <c r="BU31" i="14"/>
  <c r="BZ30" i="14"/>
  <c r="BV30" i="14"/>
  <c r="BF30" i="14"/>
  <c r="BW29" i="14"/>
  <c r="BG29" i="14"/>
  <c r="BS29" i="14"/>
  <c r="BX28" i="14"/>
  <c r="BD28" i="14"/>
  <c r="BT28" i="14"/>
  <c r="BK25" i="14"/>
  <c r="CA25" i="14"/>
  <c r="BW25" i="14"/>
  <c r="BG25" i="14"/>
  <c r="BC25" i="14"/>
  <c r="BS25" i="14"/>
  <c r="BH24" i="14"/>
  <c r="BX24" i="14"/>
  <c r="BD24" i="14"/>
  <c r="BT24" i="14"/>
  <c r="BI23" i="14"/>
  <c r="BY23" i="14"/>
  <c r="BE23" i="14"/>
  <c r="BU23" i="14"/>
  <c r="BJ22" i="14"/>
  <c r="BZ22" i="14"/>
  <c r="BV22" i="14"/>
  <c r="BF22" i="14"/>
  <c r="BK21" i="14"/>
  <c r="CA21" i="14"/>
  <c r="BG21" i="14"/>
  <c r="BW21" i="14"/>
  <c r="BC21" i="14"/>
  <c r="BS21" i="14"/>
  <c r="BH20" i="14"/>
  <c r="BX20" i="14"/>
  <c r="BD20" i="14"/>
  <c r="BT20" i="14"/>
  <c r="BI19" i="14"/>
  <c r="BY19" i="14"/>
  <c r="BE19" i="14"/>
  <c r="BU19" i="14"/>
  <c r="BH18" i="14"/>
  <c r="BX18" i="14"/>
  <c r="BD18" i="14"/>
  <c r="BT18" i="14"/>
  <c r="BI17" i="14"/>
  <c r="BY17" i="14"/>
  <c r="BU17" i="14"/>
  <c r="BF16" i="14"/>
  <c r="BV16" i="14"/>
  <c r="BK16" i="14"/>
  <c r="CA16" i="14"/>
  <c r="BH15" i="14"/>
  <c r="BE17" i="14"/>
  <c r="BW15" i="14"/>
  <c r="BG18" i="14"/>
  <c r="BW18" i="14"/>
  <c r="BC18" i="14"/>
  <c r="BS18" i="14"/>
  <c r="BH17" i="14"/>
  <c r="BX17" i="14"/>
  <c r="BD17" i="14"/>
  <c r="BT17" i="14"/>
  <c r="BE16" i="14"/>
  <c r="BU16" i="14"/>
  <c r="BZ16" i="14"/>
  <c r="BJ16" i="14"/>
  <c r="BJ18" i="14"/>
  <c r="BZ18" i="14"/>
  <c r="BV18" i="14"/>
  <c r="BK17" i="14"/>
  <c r="CA17" i="14"/>
  <c r="BG17" i="14"/>
  <c r="BW17" i="14"/>
  <c r="BC17" i="14"/>
  <c r="BS17" i="14"/>
  <c r="BT16" i="14"/>
  <c r="BI16" i="14"/>
  <c r="BY16" i="14"/>
  <c r="BD16" i="14"/>
  <c r="BU15" i="14"/>
  <c r="BI18" i="14"/>
  <c r="BY18" i="14"/>
  <c r="BE18" i="14"/>
  <c r="BU18" i="14"/>
  <c r="BJ17" i="14"/>
  <c r="BZ17" i="14"/>
  <c r="BF17" i="14"/>
  <c r="BV17" i="14"/>
  <c r="BG16" i="14"/>
  <c r="BW16" i="14"/>
  <c r="BC16" i="14"/>
  <c r="BS16" i="14"/>
  <c r="BH16" i="14"/>
  <c r="BX16" i="14"/>
  <c r="BF18" i="14"/>
  <c r="CL53" i="14"/>
  <c r="CM53" i="14" s="1"/>
  <c r="CL45" i="14"/>
  <c r="CM45" i="14" s="1"/>
  <c r="X15" i="12"/>
  <c r="AN15" i="12"/>
  <c r="AB15" i="10"/>
  <c r="L15" i="12"/>
  <c r="Y15" i="12"/>
  <c r="AO15" i="12"/>
  <c r="AS15" i="12"/>
  <c r="AC15" i="12"/>
  <c r="Z15" i="12"/>
  <c r="AP15" i="12"/>
  <c r="AD15" i="12"/>
  <c r="AT15" i="12"/>
  <c r="BJ15" i="12" s="1"/>
  <c r="AT24" i="10"/>
  <c r="BJ24" i="10" s="1"/>
  <c r="AM23" i="10"/>
  <c r="BC23" i="10" s="1"/>
  <c r="AR22" i="10"/>
  <c r="BH22" i="10" s="1"/>
  <c r="AO21" i="10"/>
  <c r="BE21" i="10" s="1"/>
  <c r="AS17" i="10"/>
  <c r="BI17" i="10" s="1"/>
  <c r="BS15" i="1"/>
  <c r="AA15" i="10"/>
  <c r="K15" i="12"/>
  <c r="AE15" i="10"/>
  <c r="W15" i="10"/>
  <c r="GA16" i="10"/>
  <c r="FZ17" i="10"/>
  <c r="FW20" i="10"/>
  <c r="FV21" i="10"/>
  <c r="GB23" i="10"/>
  <c r="GA24" i="10"/>
  <c r="FW17" i="10"/>
  <c r="GC19" i="10"/>
  <c r="GB20" i="10"/>
  <c r="FY23" i="10"/>
  <c r="FW25" i="10"/>
  <c r="GD15" i="10"/>
  <c r="FX17" i="10"/>
  <c r="FW18" i="10"/>
  <c r="FV19" i="10"/>
  <c r="GD19" i="10"/>
  <c r="GC20" i="10"/>
  <c r="GB21" i="10"/>
  <c r="GA22" i="10"/>
  <c r="FY24" i="10"/>
  <c r="GB15" i="10"/>
  <c r="GD16" i="10"/>
  <c r="GB18" i="10"/>
  <c r="FZ20" i="10"/>
  <c r="FX22" i="10"/>
  <c r="FV24" i="10"/>
  <c r="GC25" i="10"/>
  <c r="FF24" i="10"/>
  <c r="FH17" i="10"/>
  <c r="FK16" i="10"/>
  <c r="FK24" i="10"/>
  <c r="FM20" i="10"/>
  <c r="FG25" i="10"/>
  <c r="FN16" i="10"/>
  <c r="FG17" i="10"/>
  <c r="FN19" i="10"/>
  <c r="FI23" i="10"/>
  <c r="FF15" i="10"/>
  <c r="FI24" i="10"/>
  <c r="FH22" i="10"/>
  <c r="FG20" i="10"/>
  <c r="FG16" i="10"/>
  <c r="FW16" i="10"/>
  <c r="FN17" i="10"/>
  <c r="GD17" i="10"/>
  <c r="FL19" i="10"/>
  <c r="GB19" i="10"/>
  <c r="FJ21" i="10"/>
  <c r="FZ21" i="10"/>
  <c r="FH23" i="10"/>
  <c r="FX23" i="10"/>
  <c r="FF25" i="10"/>
  <c r="FV25" i="10"/>
  <c r="FN25" i="10"/>
  <c r="GD25" i="10"/>
  <c r="FJ15" i="10"/>
  <c r="FZ15" i="10"/>
  <c r="FK17" i="10"/>
  <c r="GA17" i="10"/>
  <c r="FI19" i="10"/>
  <c r="FY19" i="10"/>
  <c r="FH20" i="10"/>
  <c r="FX20" i="10"/>
  <c r="FF22" i="10"/>
  <c r="FV22" i="10"/>
  <c r="FM23" i="10"/>
  <c r="GC23" i="10"/>
  <c r="FL24" i="10"/>
  <c r="GB24" i="10"/>
  <c r="FL17" i="10"/>
  <c r="GB17" i="10"/>
  <c r="FK18" i="10"/>
  <c r="GA18" i="10"/>
  <c r="FI20" i="10"/>
  <c r="FY20" i="10"/>
  <c r="FG22" i="10"/>
  <c r="FW22" i="10"/>
  <c r="FH25" i="10"/>
  <c r="FX25" i="10"/>
  <c r="FM15" i="10"/>
  <c r="GC15" i="10"/>
  <c r="FH15" i="10"/>
  <c r="FX15" i="10"/>
  <c r="FJ16" i="10"/>
  <c r="FZ16" i="10"/>
  <c r="FH18" i="10"/>
  <c r="FX18" i="10"/>
  <c r="FG19" i="10"/>
  <c r="FW19" i="10"/>
  <c r="FF20" i="10"/>
  <c r="FV20" i="10"/>
  <c r="FM21" i="10"/>
  <c r="GC21" i="10"/>
  <c r="FL22" i="10"/>
  <c r="GB22" i="10"/>
  <c r="FK23" i="10"/>
  <c r="GA23" i="10"/>
  <c r="FJ24" i="10"/>
  <c r="FZ24" i="10"/>
  <c r="FI18" i="10"/>
  <c r="FY18" i="10"/>
  <c r="FH19" i="10"/>
  <c r="FX19" i="10"/>
  <c r="FN21" i="10"/>
  <c r="GD21" i="10"/>
  <c r="FM22" i="10"/>
  <c r="GC22" i="10"/>
  <c r="FJ25" i="10"/>
  <c r="FZ25" i="10"/>
  <c r="FG15" i="10"/>
  <c r="FW15" i="10"/>
  <c r="FM16" i="10"/>
  <c r="GC16" i="10"/>
  <c r="FN23" i="10"/>
  <c r="GD23" i="10"/>
  <c r="FL25" i="10"/>
  <c r="GB25" i="10"/>
  <c r="FH16" i="10"/>
  <c r="FX16" i="10"/>
  <c r="FF18" i="10"/>
  <c r="FV18" i="10"/>
  <c r="FN18" i="10"/>
  <c r="GD18" i="10"/>
  <c r="FK21" i="10"/>
  <c r="GA21" i="10"/>
  <c r="FJ22" i="10"/>
  <c r="FZ22" i="10"/>
  <c r="FH24" i="10"/>
  <c r="FX24" i="10"/>
  <c r="FF16" i="10"/>
  <c r="FV16" i="10"/>
  <c r="FM17" i="10"/>
  <c r="GC17" i="10"/>
  <c r="FK19" i="10"/>
  <c r="GA19" i="10"/>
  <c r="FI21" i="10"/>
  <c r="FY21" i="10"/>
  <c r="FG23" i="10"/>
  <c r="FW23" i="10"/>
  <c r="FN24" i="10"/>
  <c r="GD24" i="10"/>
  <c r="FG18" i="10"/>
  <c r="FL21" i="10"/>
  <c r="FF21" i="10"/>
  <c r="FL18" i="10"/>
  <c r="FM25" i="10"/>
  <c r="FL15" i="10"/>
  <c r="FM19" i="10"/>
  <c r="FF17" i="10"/>
  <c r="FV17" i="10"/>
  <c r="FM18" i="10"/>
  <c r="GC18" i="10"/>
  <c r="FK20" i="10"/>
  <c r="GA20" i="10"/>
  <c r="FI22" i="10"/>
  <c r="FY22" i="10"/>
  <c r="FG24" i="10"/>
  <c r="FW24" i="10"/>
  <c r="FK15" i="10"/>
  <c r="GA15" i="10"/>
  <c r="FF23" i="10"/>
  <c r="FV23" i="10"/>
  <c r="FM24" i="10"/>
  <c r="GC24" i="10"/>
  <c r="FI15" i="10"/>
  <c r="FY15" i="10"/>
  <c r="FL16" i="10"/>
  <c r="GB16" i="10"/>
  <c r="FJ18" i="10"/>
  <c r="FZ18" i="10"/>
  <c r="FG21" i="10"/>
  <c r="FW21" i="10"/>
  <c r="FN22" i="10"/>
  <c r="GD22" i="10"/>
  <c r="FK25" i="10"/>
  <c r="GA25" i="10"/>
  <c r="FI16" i="10"/>
  <c r="FY16" i="10"/>
  <c r="FJ19" i="10"/>
  <c r="FZ19" i="10"/>
  <c r="FH21" i="10"/>
  <c r="FX21" i="10"/>
  <c r="FJ23" i="10"/>
  <c r="FZ23" i="10"/>
  <c r="FI17" i="10"/>
  <c r="FY17" i="10"/>
  <c r="FN20" i="10"/>
  <c r="GD20" i="10"/>
  <c r="FI25" i="10"/>
  <c r="FY25" i="10"/>
  <c r="FF19" i="10"/>
  <c r="FK22" i="10"/>
  <c r="FL23" i="10"/>
  <c r="FJ20" i="10"/>
  <c r="FJ17" i="10"/>
  <c r="FL20" i="10"/>
  <c r="FN15" i="10"/>
  <c r="Y15" i="10"/>
  <c r="AC15" i="10"/>
  <c r="AD25" i="10"/>
  <c r="Z25" i="10"/>
  <c r="AP25" i="10"/>
  <c r="BF25" i="10" s="1"/>
  <c r="AE24" i="10"/>
  <c r="AA24" i="10"/>
  <c r="AQ24" i="10"/>
  <c r="W24" i="10"/>
  <c r="AB23" i="10"/>
  <c r="AR23" i="10"/>
  <c r="X23" i="10"/>
  <c r="AC22" i="10"/>
  <c r="AS22" i="10"/>
  <c r="Y22" i="10"/>
  <c r="AD21" i="10"/>
  <c r="AT21" i="10"/>
  <c r="Z21" i="10"/>
  <c r="AE20" i="10"/>
  <c r="AU20" i="10"/>
  <c r="AA20" i="10"/>
  <c r="W20" i="10"/>
  <c r="AM20" i="10"/>
  <c r="AB19" i="10"/>
  <c r="X19" i="10"/>
  <c r="AN19" i="10"/>
  <c r="AC18" i="10"/>
  <c r="Y18" i="10"/>
  <c r="AO18" i="10"/>
  <c r="BE18" i="10" s="1"/>
  <c r="AD17" i="10"/>
  <c r="Z17" i="10"/>
  <c r="AP17" i="10"/>
  <c r="AE16" i="10"/>
  <c r="AA16" i="10"/>
  <c r="AQ16" i="10"/>
  <c r="W16" i="10"/>
  <c r="AP15" i="10"/>
  <c r="BF15" i="10" s="1"/>
  <c r="AT15" i="10"/>
  <c r="BJ15" i="10" s="1"/>
  <c r="AC25" i="10"/>
  <c r="Y25" i="10"/>
  <c r="AO25" i="10"/>
  <c r="Z24" i="10"/>
  <c r="Z20" i="10"/>
  <c r="AQ19" i="10"/>
  <c r="AA19" i="10"/>
  <c r="W19" i="10"/>
  <c r="AB18" i="10"/>
  <c r="X18" i="10"/>
  <c r="AN18" i="10"/>
  <c r="BD18" i="10" s="1"/>
  <c r="Y17" i="10"/>
  <c r="Z16" i="10"/>
  <c r="AP16" i="10"/>
  <c r="AM19" i="10"/>
  <c r="AU15" i="10"/>
  <c r="Z15" i="10"/>
  <c r="AR15" i="10"/>
  <c r="AE23" i="10"/>
  <c r="AA23" i="10"/>
  <c r="AQ23" i="10"/>
  <c r="BG23" i="10" s="1"/>
  <c r="AB22" i="10"/>
  <c r="X22" i="10"/>
  <c r="AC21" i="10"/>
  <c r="AS21" i="10"/>
  <c r="AD20" i="10"/>
  <c r="AE19" i="10"/>
  <c r="AU19" i="10"/>
  <c r="AD16" i="10"/>
  <c r="Y21" i="10"/>
  <c r="AN15" i="10"/>
  <c r="X15" i="10"/>
  <c r="AD15" i="10"/>
  <c r="AP24" i="10"/>
  <c r="AT20" i="10"/>
  <c r="AO17" i="10"/>
  <c r="AB25" i="10"/>
  <c r="AR25" i="10"/>
  <c r="X25" i="10"/>
  <c r="AN25" i="10"/>
  <c r="AC24" i="10"/>
  <c r="AS24" i="10"/>
  <c r="Y24" i="10"/>
  <c r="AO24" i="10"/>
  <c r="AD23" i="10"/>
  <c r="AT23" i="10"/>
  <c r="Z23" i="10"/>
  <c r="AP23" i="10"/>
  <c r="AE22" i="10"/>
  <c r="AU22" i="10"/>
  <c r="AA22" i="10"/>
  <c r="AQ22" i="10"/>
  <c r="W22" i="10"/>
  <c r="AM22" i="10"/>
  <c r="AB21" i="10"/>
  <c r="AR21" i="10"/>
  <c r="X21" i="10"/>
  <c r="AN21" i="10"/>
  <c r="AC20" i="10"/>
  <c r="AS20" i="10"/>
  <c r="Y20" i="10"/>
  <c r="AO20" i="10"/>
  <c r="AD19" i="10"/>
  <c r="AT19" i="10"/>
  <c r="Z19" i="10"/>
  <c r="AP19" i="10"/>
  <c r="AE18" i="10"/>
  <c r="AU18" i="10"/>
  <c r="AA18" i="10"/>
  <c r="AQ18" i="10"/>
  <c r="W18" i="10"/>
  <c r="AM18" i="10"/>
  <c r="AB17" i="10"/>
  <c r="AR17" i="10"/>
  <c r="X17" i="10"/>
  <c r="AN17" i="10"/>
  <c r="AC16" i="10"/>
  <c r="AS16" i="10"/>
  <c r="Y16" i="10"/>
  <c r="AO16" i="10"/>
  <c r="AM15" i="10"/>
  <c r="AF15" i="10"/>
  <c r="AE25" i="10"/>
  <c r="AU25" i="10"/>
  <c r="AA25" i="10"/>
  <c r="AQ25" i="10"/>
  <c r="W25" i="10"/>
  <c r="AM25" i="10"/>
  <c r="AB24" i="10"/>
  <c r="AR24" i="10"/>
  <c r="X24" i="10"/>
  <c r="AN24" i="10"/>
  <c r="AC23" i="10"/>
  <c r="AS23" i="10"/>
  <c r="Y23" i="10"/>
  <c r="AO23" i="10"/>
  <c r="AD22" i="10"/>
  <c r="AT22" i="10"/>
  <c r="Z22" i="10"/>
  <c r="AP22" i="10"/>
  <c r="AE21" i="10"/>
  <c r="AU21" i="10"/>
  <c r="AA21" i="10"/>
  <c r="AQ21" i="10"/>
  <c r="W21" i="10"/>
  <c r="AM21" i="10"/>
  <c r="AB20" i="10"/>
  <c r="AR20" i="10"/>
  <c r="X20" i="10"/>
  <c r="AN20" i="10"/>
  <c r="AC19" i="10"/>
  <c r="AS19" i="10"/>
  <c r="Y19" i="10"/>
  <c r="AO19" i="10"/>
  <c r="AD18" i="10"/>
  <c r="AT18" i="10"/>
  <c r="Z18" i="10"/>
  <c r="AP18" i="10"/>
  <c r="AE17" i="10"/>
  <c r="AU17" i="10"/>
  <c r="AA17" i="10"/>
  <c r="AQ17" i="10"/>
  <c r="W17" i="10"/>
  <c r="AM17" i="10"/>
  <c r="AB16" i="10"/>
  <c r="AR16" i="10"/>
  <c r="X16" i="10"/>
  <c r="AN16" i="10"/>
  <c r="AQ15" i="10"/>
  <c r="AD24" i="10"/>
  <c r="AC17" i="10"/>
  <c r="AO15" i="10"/>
  <c r="AS15" i="10"/>
  <c r="AT25" i="10"/>
  <c r="AU24" i="10"/>
  <c r="AM24" i="10"/>
  <c r="AN23" i="10"/>
  <c r="AO22" i="10"/>
  <c r="AP21" i="10"/>
  <c r="AQ20" i="10"/>
  <c r="AR19" i="10"/>
  <c r="AS18" i="10"/>
  <c r="AT17" i="10"/>
  <c r="AU16" i="10"/>
  <c r="AM16" i="10"/>
  <c r="W23" i="10"/>
  <c r="AS25" i="10"/>
  <c r="AU23" i="10"/>
  <c r="AN22" i="10"/>
  <c r="AP20" i="10"/>
  <c r="AR18" i="10"/>
  <c r="AT16" i="10"/>
  <c r="CL71" i="14"/>
  <c r="CM71" i="14" s="1"/>
  <c r="CL63" i="14"/>
  <c r="CM63" i="14" s="1"/>
  <c r="CL55" i="14"/>
  <c r="CM55" i="14" s="1"/>
  <c r="CL47" i="14"/>
  <c r="CM47" i="14" s="1"/>
  <c r="CL75" i="14"/>
  <c r="CM75" i="14" s="1"/>
  <c r="CL67" i="14"/>
  <c r="CM67" i="14" s="1"/>
  <c r="CL59" i="14"/>
  <c r="CM59" i="14" s="1"/>
  <c r="CL51" i="14"/>
  <c r="CM51" i="14" s="1"/>
  <c r="CL43" i="14"/>
  <c r="CM43" i="14" s="1"/>
  <c r="CL41" i="14"/>
  <c r="CM41" i="14" s="1"/>
  <c r="CL39" i="14"/>
  <c r="CM39" i="14" s="1"/>
  <c r="CL37" i="14"/>
  <c r="CM37" i="14" s="1"/>
  <c r="CL35" i="14"/>
  <c r="CM35" i="14" s="1"/>
  <c r="CL33" i="14"/>
  <c r="CM33" i="14" s="1"/>
  <c r="CL31" i="14"/>
  <c r="CM31" i="14" s="1"/>
  <c r="CL29" i="14"/>
  <c r="CM29" i="14" s="1"/>
  <c r="BE30" i="14"/>
  <c r="BF41" i="14"/>
  <c r="BG40" i="14"/>
  <c r="BC40" i="14"/>
  <c r="BD39" i="14"/>
  <c r="BE38" i="14"/>
  <c r="BF37" i="14"/>
  <c r="BE34" i="14"/>
  <c r="BD31" i="14"/>
  <c r="BG28" i="14"/>
  <c r="BC28" i="14"/>
  <c r="BG32" i="14"/>
  <c r="BC36" i="14"/>
  <c r="BC32" i="14"/>
  <c r="BE39" i="14"/>
  <c r="BF38" i="14"/>
  <c r="BE35" i="14"/>
  <c r="BD32" i="14"/>
  <c r="BC29" i="14"/>
  <c r="BC37" i="14"/>
  <c r="BD35" i="14"/>
  <c r="BC33" i="14"/>
  <c r="BF29" i="14"/>
  <c r="BG43" i="14"/>
  <c r="BE36" i="14"/>
  <c r="BD33" i="14"/>
  <c r="BC30" i="14"/>
  <c r="BH55" i="14"/>
  <c r="BK60" i="14"/>
  <c r="BH47" i="14"/>
  <c r="BJ61" i="14"/>
  <c r="BJ60" i="14"/>
  <c r="BJ57" i="14"/>
  <c r="BJ56" i="14"/>
  <c r="BJ53" i="14"/>
  <c r="BJ52" i="14"/>
  <c r="BJ49" i="14"/>
  <c r="BJ48" i="14"/>
  <c r="BI62" i="14"/>
  <c r="BI61" i="14"/>
  <c r="BI58" i="14"/>
  <c r="BI57" i="14"/>
  <c r="BI54" i="14"/>
  <c r="BI53" i="14"/>
  <c r="BI50" i="14"/>
  <c r="BI49" i="14"/>
  <c r="BI36" i="14"/>
  <c r="BH63" i="14"/>
  <c r="BH59" i="14"/>
  <c r="BK56" i="14"/>
  <c r="BK52" i="14"/>
  <c r="BH51" i="14"/>
  <c r="BK48" i="14"/>
  <c r="BK63" i="14"/>
  <c r="BH62" i="14"/>
  <c r="BK59" i="14"/>
  <c r="BH58" i="14"/>
  <c r="BK55" i="14"/>
  <c r="BH54" i="14"/>
  <c r="BK51" i="14"/>
  <c r="BH50" i="14"/>
  <c r="BK47" i="14"/>
  <c r="BI32" i="14"/>
  <c r="BJ62" i="14"/>
  <c r="BZ62" i="14"/>
  <c r="BY59" i="14"/>
  <c r="BI59" i="14"/>
  <c r="BY55" i="14"/>
  <c r="BI55" i="14"/>
  <c r="BY51" i="14"/>
  <c r="BI51" i="14"/>
  <c r="BY47" i="14"/>
  <c r="BI47" i="14"/>
  <c r="BJ46" i="14"/>
  <c r="BZ46" i="14"/>
  <c r="BK45" i="14"/>
  <c r="BK33" i="14"/>
  <c r="BK29" i="14"/>
  <c r="BI35" i="14"/>
  <c r="BY63" i="14"/>
  <c r="BI63" i="14"/>
  <c r="BJ58" i="14"/>
  <c r="BZ58" i="14"/>
  <c r="BJ54" i="14"/>
  <c r="BZ54" i="14"/>
  <c r="BJ50" i="14"/>
  <c r="BZ50" i="14"/>
  <c r="BJ42" i="14"/>
  <c r="BJ38" i="14"/>
  <c r="BJ34" i="14"/>
  <c r="BJ30" i="14"/>
  <c r="BK41" i="14"/>
  <c r="BK37" i="14"/>
  <c r="BI43" i="14"/>
  <c r="BI39" i="14"/>
  <c r="BI31" i="14"/>
  <c r="CA61" i="14"/>
  <c r="BX56" i="14"/>
  <c r="CA53" i="14"/>
  <c r="BX48" i="14"/>
  <c r="BZ63" i="14"/>
  <c r="BJ63" i="14"/>
  <c r="BK62" i="14"/>
  <c r="CA62" i="14"/>
  <c r="BH61" i="14"/>
  <c r="BX61" i="14"/>
  <c r="BY60" i="14"/>
  <c r="BI60" i="14"/>
  <c r="BZ59" i="14"/>
  <c r="BJ59" i="14"/>
  <c r="BK58" i="14"/>
  <c r="CA58" i="14"/>
  <c r="BH57" i="14"/>
  <c r="BX57" i="14"/>
  <c r="BY56" i="14"/>
  <c r="BI56" i="14"/>
  <c r="BZ55" i="14"/>
  <c r="BJ55" i="14"/>
  <c r="BK54" i="14"/>
  <c r="CA54" i="14"/>
  <c r="BH53" i="14"/>
  <c r="BX53" i="14"/>
  <c r="BY52" i="14"/>
  <c r="BI52" i="14"/>
  <c r="BZ51" i="14"/>
  <c r="BJ51" i="14"/>
  <c r="BK50" i="14"/>
  <c r="CA50" i="14"/>
  <c r="BH49" i="14"/>
  <c r="BX49" i="14"/>
  <c r="BY48" i="14"/>
  <c r="BI48" i="14"/>
  <c r="BZ47" i="14"/>
  <c r="BJ47" i="14"/>
  <c r="BK46" i="14"/>
  <c r="CA46" i="14"/>
  <c r="BH45" i="14"/>
  <c r="BX45" i="14"/>
  <c r="BJ43" i="14"/>
  <c r="BK42" i="14"/>
  <c r="BH41" i="14"/>
  <c r="BJ39" i="14"/>
  <c r="BK38" i="14"/>
  <c r="BH37" i="14"/>
  <c r="BJ35" i="14"/>
  <c r="BK34" i="14"/>
  <c r="BH33" i="14"/>
  <c r="BJ31" i="14"/>
  <c r="BK30" i="14"/>
  <c r="BH29" i="14"/>
  <c r="BH44" i="14"/>
  <c r="BH36" i="14"/>
  <c r="BH28" i="14"/>
  <c r="BX60" i="14"/>
  <c r="CA57" i="14"/>
  <c r="BX52" i="14"/>
  <c r="CA49" i="14"/>
  <c r="BY46" i="14"/>
  <c r="BI46" i="14"/>
  <c r="BZ45" i="14"/>
  <c r="BJ45" i="14"/>
  <c r="CA44" i="14"/>
  <c r="BK44" i="14"/>
  <c r="BH43" i="14"/>
  <c r="BI42" i="14"/>
  <c r="BJ41" i="14"/>
  <c r="BK40" i="14"/>
  <c r="BH39" i="14"/>
  <c r="BI38" i="14"/>
  <c r="BJ37" i="14"/>
  <c r="BK36" i="14"/>
  <c r="BH35" i="14"/>
  <c r="BI34" i="14"/>
  <c r="BJ33" i="14"/>
  <c r="BK32" i="14"/>
  <c r="BH31" i="14"/>
  <c r="BI30" i="14"/>
  <c r="BJ29" i="14"/>
  <c r="BX46" i="14"/>
  <c r="BH46" i="14"/>
  <c r="BY45" i="14"/>
  <c r="BI45" i="14"/>
  <c r="BZ44" i="14"/>
  <c r="BJ44" i="14"/>
  <c r="BK43" i="14"/>
  <c r="BH42" i="14"/>
  <c r="BI41" i="14"/>
  <c r="BJ40" i="14"/>
  <c r="BK39" i="14"/>
  <c r="BH38" i="14"/>
  <c r="BI37" i="14"/>
  <c r="BJ36" i="14"/>
  <c r="BK35" i="14"/>
  <c r="BH34" i="14"/>
  <c r="BI33" i="14"/>
  <c r="BJ32" i="14"/>
  <c r="BK31" i="14"/>
  <c r="BH30" i="14"/>
  <c r="BI29" i="14"/>
  <c r="BW24" i="12" l="1"/>
  <c r="BX20" i="12"/>
  <c r="BZ16" i="12"/>
  <c r="BZ17" i="12"/>
  <c r="CJ16" i="14"/>
  <c r="CJ21" i="14"/>
  <c r="CJ15" i="14"/>
  <c r="CL15" i="14" s="1"/>
  <c r="CM15" i="14" s="1"/>
  <c r="BZ18" i="12"/>
  <c r="BV22" i="12"/>
  <c r="BZ22" i="12"/>
  <c r="BY24" i="12"/>
  <c r="BV21" i="12"/>
  <c r="BX17" i="12"/>
  <c r="BZ20" i="12"/>
  <c r="CA23" i="12"/>
  <c r="BZ21" i="12"/>
  <c r="BG24" i="12"/>
  <c r="CA21" i="12"/>
  <c r="BV19" i="12"/>
  <c r="BT19" i="12"/>
  <c r="BU17" i="12"/>
  <c r="BV17" i="12"/>
  <c r="BU22" i="12"/>
  <c r="CA24" i="12"/>
  <c r="BV20" i="12"/>
  <c r="BV24" i="12"/>
  <c r="BJ18" i="12"/>
  <c r="BF22" i="12"/>
  <c r="BT21" i="12"/>
  <c r="BW22" i="12"/>
  <c r="BF21" i="12"/>
  <c r="BJ16" i="12"/>
  <c r="BF20" i="12"/>
  <c r="BK23" i="12"/>
  <c r="BU19" i="12"/>
  <c r="BK21" i="12"/>
  <c r="CA20" i="12"/>
  <c r="BT16" i="12"/>
  <c r="BU23" i="12"/>
  <c r="BX24" i="12"/>
  <c r="BT17" i="12"/>
  <c r="BF19" i="12"/>
  <c r="BY20" i="12"/>
  <c r="CA22" i="12"/>
  <c r="BZ23" i="12"/>
  <c r="BX22" i="12"/>
  <c r="BF17" i="12"/>
  <c r="BD16" i="12"/>
  <c r="BX16" i="12"/>
  <c r="BS17" i="12"/>
  <c r="BV18" i="12"/>
  <c r="BT20" i="12"/>
  <c r="BY23" i="12"/>
  <c r="BY16" i="12"/>
  <c r="CA18" i="12"/>
  <c r="BU20" i="12"/>
  <c r="BJ23" i="12"/>
  <c r="BU24" i="12"/>
  <c r="CA16" i="12"/>
  <c r="BW20" i="12"/>
  <c r="BK24" i="12"/>
  <c r="BV16" i="12"/>
  <c r="BT18" i="12"/>
  <c r="BX18" i="12"/>
  <c r="CA19" i="12"/>
  <c r="BY21" i="12"/>
  <c r="BW23" i="12"/>
  <c r="BS16" i="12"/>
  <c r="BS20" i="12"/>
  <c r="BX23" i="12"/>
  <c r="BG17" i="12"/>
  <c r="CA17" i="12"/>
  <c r="BY19" i="12"/>
  <c r="BW21" i="12"/>
  <c r="BJ22" i="12"/>
  <c r="BH24" i="12"/>
  <c r="BU16" i="12"/>
  <c r="BW18" i="12"/>
  <c r="BZ19" i="12"/>
  <c r="BD21" i="12"/>
  <c r="BX21" i="12"/>
  <c r="BS22" i="12"/>
  <c r="BK22" i="12"/>
  <c r="BV23" i="12"/>
  <c r="BI24" i="12"/>
  <c r="BW16" i="12"/>
  <c r="BD19" i="12"/>
  <c r="BX19" i="12"/>
  <c r="BE22" i="12"/>
  <c r="BS24" i="12"/>
  <c r="BE17" i="12"/>
  <c r="BY17" i="12"/>
  <c r="BW19" i="12"/>
  <c r="BJ20" i="12"/>
  <c r="BU21" i="12"/>
  <c r="BS23" i="12"/>
  <c r="BF24" i="12"/>
  <c r="BZ24" i="12"/>
  <c r="BJ17" i="12"/>
  <c r="BY18" i="12"/>
  <c r="BJ21" i="12"/>
  <c r="BY22" i="12"/>
  <c r="BS18" i="12"/>
  <c r="BS19" i="12"/>
  <c r="BT23" i="12"/>
  <c r="BH20" i="12"/>
  <c r="BS21" i="12"/>
  <c r="BT24" i="12"/>
  <c r="BH17" i="12"/>
  <c r="BU18" i="12"/>
  <c r="BT22" i="12"/>
  <c r="BH22" i="12"/>
  <c r="BC15" i="10"/>
  <c r="CJ23" i="14"/>
  <c r="CL23" i="14" s="1"/>
  <c r="CM23" i="14" s="1"/>
  <c r="CJ20" i="14"/>
  <c r="CL20" i="14" s="1"/>
  <c r="CM20" i="14" s="1"/>
  <c r="CJ17" i="14"/>
  <c r="CL17" i="14" s="1"/>
  <c r="CM17" i="14" s="1"/>
  <c r="CJ22" i="14"/>
  <c r="CL22" i="14" s="1"/>
  <c r="CM22" i="14" s="1"/>
  <c r="CJ18" i="14"/>
  <c r="CL18" i="14" s="1"/>
  <c r="CM18" i="14" s="1"/>
  <c r="CJ25" i="14"/>
  <c r="CL25" i="14" s="1"/>
  <c r="CM25" i="14" s="1"/>
  <c r="CJ19" i="14"/>
  <c r="CL19" i="14" s="1"/>
  <c r="CM19" i="14" s="1"/>
  <c r="CJ24" i="14"/>
  <c r="CL24" i="14" s="1"/>
  <c r="CM24" i="14" s="1"/>
  <c r="CL16" i="14"/>
  <c r="CM16" i="14" s="1"/>
  <c r="CL21" i="14"/>
  <c r="CM21" i="14" s="1"/>
  <c r="CK20" i="14"/>
  <c r="CN20" i="14" s="1"/>
  <c r="CK17" i="14"/>
  <c r="CN17" i="14" s="1"/>
  <c r="CK24" i="14"/>
  <c r="CN24" i="14" s="1"/>
  <c r="CK15" i="14"/>
  <c r="CN15" i="14" s="1"/>
  <c r="CK23" i="14"/>
  <c r="CN23" i="14" s="1"/>
  <c r="CK21" i="14"/>
  <c r="CN21" i="14" s="1"/>
  <c r="CK16" i="14"/>
  <c r="CN16" i="14" s="1"/>
  <c r="CK18" i="14"/>
  <c r="CN18" i="14" s="1"/>
  <c r="CK19" i="14"/>
  <c r="CN19" i="14" s="1"/>
  <c r="CK25" i="14"/>
  <c r="CN25" i="14" s="1"/>
  <c r="CK22" i="14"/>
  <c r="CN22" i="14" s="1"/>
  <c r="BX22" i="10"/>
  <c r="BU21" i="10"/>
  <c r="BZ24" i="10"/>
  <c r="BS23" i="10"/>
  <c r="BY17" i="10"/>
  <c r="BX15" i="10"/>
  <c r="BS15" i="12"/>
  <c r="BT15" i="12"/>
  <c r="BU15" i="12"/>
  <c r="AU15" i="12"/>
  <c r="BF15" i="12"/>
  <c r="BV15" i="12"/>
  <c r="BD15" i="12"/>
  <c r="BI15" i="12"/>
  <c r="BY15" i="12"/>
  <c r="AQ15" i="12"/>
  <c r="BG15" i="12" s="1"/>
  <c r="AA15" i="12"/>
  <c r="BZ15" i="12"/>
  <c r="BE15" i="12"/>
  <c r="AR15" i="12"/>
  <c r="BH15" i="12" s="1"/>
  <c r="AB15" i="12"/>
  <c r="KN22" i="10"/>
  <c r="KP22" i="10"/>
  <c r="KN16" i="10"/>
  <c r="KP16" i="10"/>
  <c r="KN20" i="10"/>
  <c r="KP20" i="10"/>
  <c r="KP17" i="10"/>
  <c r="KN17" i="10"/>
  <c r="KP23" i="10"/>
  <c r="KN23" i="10"/>
  <c r="KP19" i="10"/>
  <c r="KN19" i="10"/>
  <c r="KN18" i="10"/>
  <c r="KP18" i="10"/>
  <c r="KP25" i="10"/>
  <c r="KN25" i="10"/>
  <c r="KN24" i="10"/>
  <c r="KP24" i="10"/>
  <c r="KN21" i="10"/>
  <c r="KP21" i="10"/>
  <c r="KN15" i="10"/>
  <c r="KP15" i="10"/>
  <c r="BY21" i="10"/>
  <c r="BS19" i="10"/>
  <c r="BU25" i="10"/>
  <c r="BZ21" i="10"/>
  <c r="BX23" i="10"/>
  <c r="BV16" i="10"/>
  <c r="BW16" i="10"/>
  <c r="BV15" i="10"/>
  <c r="BE25" i="10"/>
  <c r="BI18" i="10"/>
  <c r="BY18" i="10"/>
  <c r="BJ18" i="10"/>
  <c r="BZ18" i="10"/>
  <c r="BF22" i="10"/>
  <c r="BV22" i="10"/>
  <c r="BK25" i="10"/>
  <c r="CA25" i="10"/>
  <c r="BE17" i="10"/>
  <c r="BU17" i="10"/>
  <c r="BK15" i="10"/>
  <c r="CA15" i="10"/>
  <c r="BG24" i="10"/>
  <c r="BW24" i="10"/>
  <c r="BK23" i="10"/>
  <c r="CA23" i="10"/>
  <c r="BJ25" i="10"/>
  <c r="BZ25" i="10"/>
  <c r="BD16" i="10"/>
  <c r="BT16" i="10"/>
  <c r="BK17" i="10"/>
  <c r="CA17" i="10"/>
  <c r="BI19" i="10"/>
  <c r="BY19" i="10"/>
  <c r="BG21" i="10"/>
  <c r="BW21" i="10"/>
  <c r="BD24" i="10"/>
  <c r="BT24" i="10"/>
  <c r="BC25" i="10"/>
  <c r="BS25" i="10"/>
  <c r="BF17" i="10"/>
  <c r="BV17" i="10"/>
  <c r="BF20" i="10"/>
  <c r="BV20" i="10"/>
  <c r="BK16" i="10"/>
  <c r="CA16" i="10"/>
  <c r="BG20" i="10"/>
  <c r="BW20" i="10"/>
  <c r="BC24" i="10"/>
  <c r="BS24" i="10"/>
  <c r="BI15" i="10"/>
  <c r="BY15" i="10"/>
  <c r="BH16" i="10"/>
  <c r="BX16" i="10"/>
  <c r="BG17" i="10"/>
  <c r="BW17" i="10"/>
  <c r="BF18" i="10"/>
  <c r="BV18" i="10"/>
  <c r="BE19" i="10"/>
  <c r="BU19" i="10"/>
  <c r="BD20" i="10"/>
  <c r="BT20" i="10"/>
  <c r="BC21" i="10"/>
  <c r="BS21" i="10"/>
  <c r="BK21" i="10"/>
  <c r="CA21" i="10"/>
  <c r="BJ22" i="10"/>
  <c r="BZ22" i="10"/>
  <c r="BI23" i="10"/>
  <c r="BY23" i="10"/>
  <c r="BH24" i="10"/>
  <c r="BX24" i="10"/>
  <c r="BG25" i="10"/>
  <c r="BW25" i="10"/>
  <c r="BS15" i="10"/>
  <c r="BF24" i="10"/>
  <c r="BV24" i="10"/>
  <c r="BH15" i="10"/>
  <c r="BC19" i="10"/>
  <c r="BS20" i="10"/>
  <c r="BK20" i="10"/>
  <c r="CA20" i="10"/>
  <c r="BJ21" i="10"/>
  <c r="BJ16" i="10"/>
  <c r="BZ16" i="10"/>
  <c r="BE22" i="10"/>
  <c r="BU22" i="10"/>
  <c r="BC17" i="10"/>
  <c r="BS17" i="10"/>
  <c r="BH20" i="10"/>
  <c r="BX20" i="10"/>
  <c r="BE23" i="10"/>
  <c r="BU23" i="10"/>
  <c r="BH18" i="10"/>
  <c r="BX18" i="10"/>
  <c r="BI25" i="10"/>
  <c r="BY25" i="10"/>
  <c r="BC16" i="10"/>
  <c r="BS16" i="10"/>
  <c r="BH19" i="10"/>
  <c r="BX19" i="10"/>
  <c r="BD23" i="10"/>
  <c r="BT23" i="10"/>
  <c r="BG15" i="10"/>
  <c r="BW15" i="10"/>
  <c r="BI16" i="10"/>
  <c r="BY16" i="10"/>
  <c r="BH17" i="10"/>
  <c r="BX17" i="10"/>
  <c r="BG18" i="10"/>
  <c r="BW18" i="10"/>
  <c r="BF19" i="10"/>
  <c r="BV19" i="10"/>
  <c r="BE20" i="10"/>
  <c r="BU20" i="10"/>
  <c r="BD21" i="10"/>
  <c r="BT21" i="10"/>
  <c r="BC22" i="10"/>
  <c r="BS22" i="10"/>
  <c r="BK22" i="10"/>
  <c r="CA22" i="10"/>
  <c r="BJ23" i="10"/>
  <c r="BZ23" i="10"/>
  <c r="BI24" i="10"/>
  <c r="BY24" i="10"/>
  <c r="BH25" i="10"/>
  <c r="BX25" i="10"/>
  <c r="BJ20" i="10"/>
  <c r="BZ20" i="10"/>
  <c r="BD15" i="10"/>
  <c r="BT15" i="10"/>
  <c r="BG19" i="10"/>
  <c r="BW19" i="10"/>
  <c r="BG16" i="10"/>
  <c r="BI22" i="10"/>
  <c r="BY22" i="10"/>
  <c r="BH23" i="10"/>
  <c r="BD22" i="10"/>
  <c r="BT22" i="10"/>
  <c r="BJ17" i="10"/>
  <c r="BZ17" i="10"/>
  <c r="BF21" i="10"/>
  <c r="BV21" i="10"/>
  <c r="BK24" i="10"/>
  <c r="CA24" i="10"/>
  <c r="BE15" i="10"/>
  <c r="BU15" i="10"/>
  <c r="BE16" i="10"/>
  <c r="BU16" i="10"/>
  <c r="BD17" i="10"/>
  <c r="BT17" i="10"/>
  <c r="BC18" i="10"/>
  <c r="BS18" i="10"/>
  <c r="BK18" i="10"/>
  <c r="CA18" i="10"/>
  <c r="BJ19" i="10"/>
  <c r="BZ19" i="10"/>
  <c r="BI20" i="10"/>
  <c r="BY20" i="10"/>
  <c r="BH21" i="10"/>
  <c r="BX21" i="10"/>
  <c r="BG22" i="10"/>
  <c r="BW22" i="10"/>
  <c r="BF23" i="10"/>
  <c r="BV23" i="10"/>
  <c r="BE24" i="10"/>
  <c r="BU24" i="10"/>
  <c r="BD25" i="10"/>
  <c r="BT25" i="10"/>
  <c r="BF16" i="10"/>
  <c r="BI21" i="10"/>
  <c r="BK19" i="10"/>
  <c r="CA19" i="10"/>
  <c r="BW23" i="10"/>
  <c r="BT18" i="10"/>
  <c r="BZ15" i="10"/>
  <c r="BU18" i="10"/>
  <c r="BD19" i="10"/>
  <c r="BT19" i="10"/>
  <c r="BC20" i="10"/>
  <c r="BV25" i="10"/>
  <c r="CK22" i="10" l="1"/>
  <c r="CK16" i="10"/>
  <c r="CK15" i="10"/>
  <c r="CK19" i="10"/>
  <c r="CK24" i="10"/>
  <c r="CK18" i="10"/>
  <c r="CK17" i="10"/>
  <c r="CK23" i="10"/>
  <c r="CK20" i="10"/>
  <c r="CK21" i="10"/>
  <c r="CK25" i="10"/>
  <c r="CA15" i="12"/>
  <c r="BX15" i="12"/>
  <c r="BK15" i="12"/>
  <c r="BW15" i="12"/>
  <c r="KS22" i="10"/>
  <c r="KS25" i="10"/>
  <c r="KS21" i="10"/>
  <c r="KS18" i="10"/>
  <c r="KS19" i="10"/>
  <c r="KS17" i="10"/>
  <c r="KS24" i="10"/>
  <c r="KS23" i="10"/>
  <c r="KS15" i="10"/>
  <c r="KS16" i="10"/>
  <c r="KS20" i="10"/>
  <c r="GN15" i="10"/>
  <c r="GL15" i="10"/>
  <c r="GN25" i="10"/>
  <c r="GL25" i="10"/>
  <c r="GL21" i="10"/>
  <c r="GN21" i="10"/>
  <c r="GN24" i="10"/>
  <c r="GL24" i="10"/>
  <c r="GN16" i="10"/>
  <c r="GL16" i="10"/>
  <c r="GN19" i="10"/>
  <c r="GL19" i="10"/>
  <c r="GL22" i="10"/>
  <c r="GN22" i="10"/>
  <c r="GL23" i="10"/>
  <c r="GN23" i="10"/>
  <c r="GL18" i="10"/>
  <c r="GN18" i="10"/>
  <c r="GL17" i="10"/>
  <c r="GN17" i="10"/>
  <c r="GN20" i="10"/>
  <c r="GL20" i="10"/>
  <c r="AO15" i="1"/>
  <c r="GQ20" i="10" l="1"/>
  <c r="GQ24" i="10"/>
  <c r="GQ15" i="10"/>
  <c r="GQ17" i="10"/>
  <c r="GQ23" i="10"/>
  <c r="GQ21" i="10"/>
  <c r="GQ19" i="10"/>
  <c r="GQ16" i="10"/>
  <c r="GQ18" i="10"/>
  <c r="GQ22" i="10"/>
  <c r="GQ25" i="10"/>
  <c r="AU16" i="1" l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N16" i="1"/>
  <c r="AN17" i="1"/>
  <c r="AN18" i="1"/>
  <c r="AN19" i="1"/>
  <c r="AN20" i="1"/>
  <c r="AN21" i="1"/>
  <c r="AN22" i="1"/>
  <c r="AN23" i="1"/>
  <c r="AN24" i="1"/>
  <c r="AN25" i="1"/>
  <c r="CI25" i="1" s="1"/>
  <c r="AN27" i="1"/>
  <c r="AN28" i="1"/>
  <c r="AN29" i="1"/>
  <c r="AN30" i="1"/>
  <c r="AN31" i="1"/>
  <c r="AN32" i="1"/>
  <c r="AN33" i="1"/>
  <c r="AN34" i="1"/>
  <c r="AN35" i="1"/>
  <c r="AM16" i="1"/>
  <c r="BC16" i="1" s="1"/>
  <c r="AM17" i="1"/>
  <c r="AM18" i="1"/>
  <c r="AM19" i="1"/>
  <c r="AM20" i="1"/>
  <c r="CI20" i="1" s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CI29" i="1"/>
  <c r="CI17" i="1" l="1"/>
  <c r="CI28" i="1"/>
  <c r="CI16" i="1"/>
  <c r="CI32" i="1"/>
  <c r="CI24" i="1"/>
  <c r="CI33" i="1"/>
  <c r="CI21" i="1"/>
  <c r="CI34" i="1"/>
  <c r="CI30" i="1"/>
  <c r="CI26" i="1"/>
  <c r="CI22" i="1"/>
  <c r="CI18" i="1"/>
  <c r="CI35" i="1"/>
  <c r="CI31" i="1"/>
  <c r="CI27" i="1"/>
  <c r="CI23" i="1"/>
  <c r="CI19" i="1"/>
  <c r="BK16" i="1" l="1"/>
  <c r="BK17" i="1"/>
  <c r="BK18" i="1"/>
  <c r="BK19" i="1"/>
  <c r="BK20" i="1"/>
  <c r="BK21" i="1"/>
  <c r="BK22" i="1"/>
  <c r="BK23" i="1"/>
  <c r="BK24" i="1"/>
  <c r="BK25" i="1"/>
  <c r="BK26" i="1"/>
  <c r="BK27" i="1"/>
  <c r="BK28" i="1"/>
  <c r="BK29" i="1"/>
  <c r="BK30" i="1"/>
  <c r="BK31" i="1"/>
  <c r="BK32" i="1"/>
  <c r="BK33" i="1"/>
  <c r="BK34" i="1"/>
  <c r="BK3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D16" i="1"/>
  <c r="CJ16" i="1" s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C17" i="1"/>
  <c r="BC18" i="1"/>
  <c r="BC19" i="1"/>
  <c r="BC20" i="1"/>
  <c r="CJ20" i="1" s="1"/>
  <c r="BC21" i="1"/>
  <c r="BC22" i="1"/>
  <c r="CJ22" i="1" s="1"/>
  <c r="BC23" i="1"/>
  <c r="BC24" i="1"/>
  <c r="CJ24" i="1" s="1"/>
  <c r="BC25" i="1"/>
  <c r="BC26" i="1"/>
  <c r="BC27" i="1"/>
  <c r="BC28" i="1"/>
  <c r="CJ28" i="1" s="1"/>
  <c r="BC29" i="1"/>
  <c r="BC30" i="1"/>
  <c r="CJ30" i="1" s="1"/>
  <c r="BC31" i="1"/>
  <c r="BC32" i="1"/>
  <c r="CJ32" i="1" s="1"/>
  <c r="BC33" i="1"/>
  <c r="BC34" i="1"/>
  <c r="CJ34" i="1" s="1"/>
  <c r="BC35" i="1"/>
  <c r="AU15" i="1"/>
  <c r="BK15" i="1" s="1"/>
  <c r="AT15" i="1"/>
  <c r="AS15" i="1"/>
  <c r="BI15" i="1" s="1"/>
  <c r="AR15" i="1"/>
  <c r="BH15" i="1" s="1"/>
  <c r="AQ15" i="1"/>
  <c r="BG15" i="1" s="1"/>
  <c r="AP15" i="1"/>
  <c r="AN15" i="1"/>
  <c r="AV15" i="1"/>
  <c r="AC30" i="1"/>
  <c r="BY30" i="1" s="1"/>
  <c r="AE16" i="1"/>
  <c r="CA16" i="1" s="1"/>
  <c r="AE17" i="1"/>
  <c r="CA17" i="1" s="1"/>
  <c r="AE18" i="1"/>
  <c r="CA18" i="1" s="1"/>
  <c r="AE19" i="1"/>
  <c r="CA19" i="1" s="1"/>
  <c r="AE20" i="1"/>
  <c r="CA20" i="1" s="1"/>
  <c r="AE21" i="1"/>
  <c r="CA21" i="1" s="1"/>
  <c r="AE22" i="1"/>
  <c r="CA22" i="1" s="1"/>
  <c r="AE23" i="1"/>
  <c r="CA23" i="1" s="1"/>
  <c r="AE24" i="1"/>
  <c r="CA24" i="1" s="1"/>
  <c r="AE25" i="1"/>
  <c r="CA25" i="1" s="1"/>
  <c r="AE26" i="1"/>
  <c r="CA26" i="1" s="1"/>
  <c r="AE27" i="1"/>
  <c r="CA27" i="1" s="1"/>
  <c r="AE28" i="1"/>
  <c r="CA28" i="1" s="1"/>
  <c r="AE29" i="1"/>
  <c r="CA29" i="1" s="1"/>
  <c r="AE30" i="1"/>
  <c r="CA30" i="1" s="1"/>
  <c r="AE31" i="1"/>
  <c r="CA31" i="1" s="1"/>
  <c r="AE32" i="1"/>
  <c r="CA32" i="1" s="1"/>
  <c r="AE33" i="1"/>
  <c r="CA33" i="1" s="1"/>
  <c r="AE34" i="1"/>
  <c r="CA34" i="1" s="1"/>
  <c r="AE35" i="1"/>
  <c r="CA35" i="1" s="1"/>
  <c r="AD16" i="1"/>
  <c r="BZ16" i="1" s="1"/>
  <c r="AD17" i="1"/>
  <c r="BZ17" i="1" s="1"/>
  <c r="AD18" i="1"/>
  <c r="BZ18" i="1" s="1"/>
  <c r="AD19" i="1"/>
  <c r="BZ19" i="1" s="1"/>
  <c r="AD20" i="1"/>
  <c r="BZ20" i="1" s="1"/>
  <c r="AD21" i="1"/>
  <c r="BZ21" i="1" s="1"/>
  <c r="AD22" i="1"/>
  <c r="BZ22" i="1" s="1"/>
  <c r="AD23" i="1"/>
  <c r="BZ23" i="1" s="1"/>
  <c r="AD24" i="1"/>
  <c r="BZ24" i="1" s="1"/>
  <c r="AD25" i="1"/>
  <c r="BZ25" i="1" s="1"/>
  <c r="AD26" i="1"/>
  <c r="BZ26" i="1" s="1"/>
  <c r="AD27" i="1"/>
  <c r="BZ27" i="1" s="1"/>
  <c r="AD28" i="1"/>
  <c r="BZ28" i="1" s="1"/>
  <c r="AD29" i="1"/>
  <c r="BZ29" i="1" s="1"/>
  <c r="AD30" i="1"/>
  <c r="BZ30" i="1" s="1"/>
  <c r="AD31" i="1"/>
  <c r="BZ31" i="1" s="1"/>
  <c r="AD32" i="1"/>
  <c r="BZ32" i="1" s="1"/>
  <c r="AD33" i="1"/>
  <c r="BZ33" i="1" s="1"/>
  <c r="AD34" i="1"/>
  <c r="BZ34" i="1" s="1"/>
  <c r="AD35" i="1"/>
  <c r="BZ35" i="1" s="1"/>
  <c r="AC16" i="1"/>
  <c r="BY16" i="1" s="1"/>
  <c r="AC17" i="1"/>
  <c r="BY17" i="1" s="1"/>
  <c r="AC18" i="1"/>
  <c r="BY18" i="1" s="1"/>
  <c r="AC19" i="1"/>
  <c r="BY19" i="1" s="1"/>
  <c r="AC20" i="1"/>
  <c r="BY20" i="1" s="1"/>
  <c r="AC21" i="1"/>
  <c r="BY21" i="1" s="1"/>
  <c r="AC22" i="1"/>
  <c r="BY22" i="1" s="1"/>
  <c r="AC23" i="1"/>
  <c r="BY23" i="1" s="1"/>
  <c r="AC24" i="1"/>
  <c r="BY24" i="1" s="1"/>
  <c r="AC25" i="1"/>
  <c r="BY25" i="1" s="1"/>
  <c r="AC26" i="1"/>
  <c r="BY26" i="1" s="1"/>
  <c r="AC27" i="1"/>
  <c r="BY27" i="1" s="1"/>
  <c r="AC28" i="1"/>
  <c r="BY28" i="1" s="1"/>
  <c r="AC29" i="1"/>
  <c r="BY29" i="1" s="1"/>
  <c r="AC31" i="1"/>
  <c r="BY31" i="1" s="1"/>
  <c r="AC32" i="1"/>
  <c r="BY32" i="1" s="1"/>
  <c r="AC33" i="1"/>
  <c r="BY33" i="1" s="1"/>
  <c r="AC34" i="1"/>
  <c r="BY34" i="1" s="1"/>
  <c r="AC35" i="1"/>
  <c r="BY35" i="1" s="1"/>
  <c r="AB16" i="1"/>
  <c r="BX16" i="1" s="1"/>
  <c r="AB17" i="1"/>
  <c r="BX17" i="1" s="1"/>
  <c r="AB18" i="1"/>
  <c r="BX18" i="1" s="1"/>
  <c r="AB19" i="1"/>
  <c r="BX19" i="1" s="1"/>
  <c r="AB20" i="1"/>
  <c r="BX20" i="1" s="1"/>
  <c r="AB21" i="1"/>
  <c r="BX21" i="1" s="1"/>
  <c r="AB22" i="1"/>
  <c r="BX22" i="1" s="1"/>
  <c r="AB23" i="1"/>
  <c r="BX23" i="1" s="1"/>
  <c r="AB24" i="1"/>
  <c r="BX24" i="1" s="1"/>
  <c r="AB25" i="1"/>
  <c r="BX25" i="1" s="1"/>
  <c r="AB26" i="1"/>
  <c r="BX26" i="1" s="1"/>
  <c r="AB27" i="1"/>
  <c r="BX27" i="1" s="1"/>
  <c r="AB28" i="1"/>
  <c r="BX28" i="1" s="1"/>
  <c r="AB29" i="1"/>
  <c r="BX29" i="1" s="1"/>
  <c r="AB30" i="1"/>
  <c r="BX30" i="1" s="1"/>
  <c r="AB31" i="1"/>
  <c r="BX31" i="1" s="1"/>
  <c r="AB32" i="1"/>
  <c r="BX32" i="1" s="1"/>
  <c r="AB33" i="1"/>
  <c r="BX33" i="1" s="1"/>
  <c r="AB34" i="1"/>
  <c r="BX34" i="1" s="1"/>
  <c r="AB35" i="1"/>
  <c r="BX35" i="1" s="1"/>
  <c r="AA16" i="1"/>
  <c r="BW16" i="1" s="1"/>
  <c r="AA17" i="1"/>
  <c r="BW17" i="1" s="1"/>
  <c r="AA18" i="1"/>
  <c r="BW18" i="1" s="1"/>
  <c r="AA19" i="1"/>
  <c r="BW19" i="1" s="1"/>
  <c r="AA20" i="1"/>
  <c r="BW20" i="1" s="1"/>
  <c r="AA21" i="1"/>
  <c r="BW21" i="1" s="1"/>
  <c r="AA22" i="1"/>
  <c r="BW22" i="1" s="1"/>
  <c r="AA23" i="1"/>
  <c r="BW23" i="1" s="1"/>
  <c r="AA24" i="1"/>
  <c r="BW24" i="1" s="1"/>
  <c r="AA25" i="1"/>
  <c r="BW25" i="1" s="1"/>
  <c r="AA26" i="1"/>
  <c r="BW26" i="1" s="1"/>
  <c r="AA27" i="1"/>
  <c r="BW27" i="1" s="1"/>
  <c r="AA28" i="1"/>
  <c r="BW28" i="1" s="1"/>
  <c r="AA29" i="1"/>
  <c r="BW29" i="1" s="1"/>
  <c r="AA30" i="1"/>
  <c r="BW30" i="1" s="1"/>
  <c r="AA31" i="1"/>
  <c r="BW31" i="1" s="1"/>
  <c r="AA32" i="1"/>
  <c r="BW32" i="1" s="1"/>
  <c r="AA33" i="1"/>
  <c r="BW33" i="1" s="1"/>
  <c r="AA34" i="1"/>
  <c r="BW34" i="1" s="1"/>
  <c r="AA35" i="1"/>
  <c r="BW35" i="1" s="1"/>
  <c r="Z16" i="1"/>
  <c r="BV16" i="1" s="1"/>
  <c r="Z17" i="1"/>
  <c r="BV17" i="1" s="1"/>
  <c r="Z18" i="1"/>
  <c r="BV18" i="1" s="1"/>
  <c r="Z19" i="1"/>
  <c r="BV19" i="1" s="1"/>
  <c r="Z20" i="1"/>
  <c r="BV20" i="1" s="1"/>
  <c r="Z21" i="1"/>
  <c r="BV21" i="1" s="1"/>
  <c r="Z22" i="1"/>
  <c r="BV22" i="1" s="1"/>
  <c r="Z23" i="1"/>
  <c r="BV23" i="1" s="1"/>
  <c r="Z24" i="1"/>
  <c r="BV24" i="1" s="1"/>
  <c r="Z25" i="1"/>
  <c r="BV25" i="1" s="1"/>
  <c r="Z26" i="1"/>
  <c r="BV26" i="1" s="1"/>
  <c r="Z27" i="1"/>
  <c r="BV27" i="1" s="1"/>
  <c r="Z28" i="1"/>
  <c r="BV28" i="1" s="1"/>
  <c r="Z29" i="1"/>
  <c r="BV29" i="1" s="1"/>
  <c r="Z30" i="1"/>
  <c r="BV30" i="1" s="1"/>
  <c r="Z31" i="1"/>
  <c r="BV31" i="1" s="1"/>
  <c r="Z32" i="1"/>
  <c r="BV32" i="1" s="1"/>
  <c r="Z33" i="1"/>
  <c r="BV33" i="1" s="1"/>
  <c r="Z34" i="1"/>
  <c r="BV34" i="1" s="1"/>
  <c r="Z35" i="1"/>
  <c r="BV35" i="1" s="1"/>
  <c r="Y16" i="1"/>
  <c r="BU16" i="1" s="1"/>
  <c r="Y17" i="1"/>
  <c r="BU17" i="1" s="1"/>
  <c r="Y18" i="1"/>
  <c r="BU18" i="1" s="1"/>
  <c r="Y19" i="1"/>
  <c r="BU19" i="1" s="1"/>
  <c r="Y20" i="1"/>
  <c r="BU20" i="1" s="1"/>
  <c r="Y21" i="1"/>
  <c r="BU21" i="1" s="1"/>
  <c r="Y22" i="1"/>
  <c r="BU22" i="1" s="1"/>
  <c r="Y23" i="1"/>
  <c r="BU23" i="1" s="1"/>
  <c r="Y24" i="1"/>
  <c r="BU24" i="1" s="1"/>
  <c r="Y25" i="1"/>
  <c r="BU25" i="1" s="1"/>
  <c r="Y26" i="1"/>
  <c r="BU26" i="1" s="1"/>
  <c r="Y27" i="1"/>
  <c r="BU27" i="1" s="1"/>
  <c r="Y28" i="1"/>
  <c r="BU28" i="1" s="1"/>
  <c r="Y29" i="1"/>
  <c r="BU29" i="1" s="1"/>
  <c r="Y30" i="1"/>
  <c r="BU30" i="1" s="1"/>
  <c r="Y31" i="1"/>
  <c r="BU31" i="1" s="1"/>
  <c r="Y32" i="1"/>
  <c r="BU32" i="1" s="1"/>
  <c r="Y33" i="1"/>
  <c r="BU33" i="1" s="1"/>
  <c r="Y34" i="1"/>
  <c r="BU34" i="1" s="1"/>
  <c r="Y35" i="1"/>
  <c r="BU35" i="1" s="1"/>
  <c r="X16" i="1"/>
  <c r="BT16" i="1" s="1"/>
  <c r="X17" i="1"/>
  <c r="BT17" i="1" s="1"/>
  <c r="X18" i="1"/>
  <c r="BT18" i="1" s="1"/>
  <c r="X19" i="1"/>
  <c r="BT19" i="1" s="1"/>
  <c r="X20" i="1"/>
  <c r="BT20" i="1" s="1"/>
  <c r="X21" i="1"/>
  <c r="BT21" i="1" s="1"/>
  <c r="X22" i="1"/>
  <c r="BT22" i="1" s="1"/>
  <c r="X23" i="1"/>
  <c r="BT23" i="1" s="1"/>
  <c r="X24" i="1"/>
  <c r="BT24" i="1" s="1"/>
  <c r="X25" i="1"/>
  <c r="BT25" i="1" s="1"/>
  <c r="X26" i="1"/>
  <c r="BT26" i="1" s="1"/>
  <c r="X27" i="1"/>
  <c r="BT27" i="1" s="1"/>
  <c r="X28" i="1"/>
  <c r="BT28" i="1" s="1"/>
  <c r="X29" i="1"/>
  <c r="BT29" i="1" s="1"/>
  <c r="X30" i="1"/>
  <c r="BT30" i="1" s="1"/>
  <c r="X31" i="1"/>
  <c r="BT31" i="1" s="1"/>
  <c r="X32" i="1"/>
  <c r="BT32" i="1" s="1"/>
  <c r="X33" i="1"/>
  <c r="BT33" i="1" s="1"/>
  <c r="X34" i="1"/>
  <c r="BT34" i="1" s="1"/>
  <c r="X35" i="1"/>
  <c r="BT35" i="1" s="1"/>
  <c r="W16" i="1"/>
  <c r="BS16" i="1" s="1"/>
  <c r="W17" i="1"/>
  <c r="BS17" i="1" s="1"/>
  <c r="W18" i="1"/>
  <c r="BS18" i="1" s="1"/>
  <c r="W19" i="1"/>
  <c r="BS19" i="1" s="1"/>
  <c r="W20" i="1"/>
  <c r="BS20" i="1" s="1"/>
  <c r="W21" i="1"/>
  <c r="BS21" i="1" s="1"/>
  <c r="W22" i="1"/>
  <c r="BS22" i="1" s="1"/>
  <c r="W23" i="1"/>
  <c r="BS23" i="1" s="1"/>
  <c r="W24" i="1"/>
  <c r="BS24" i="1" s="1"/>
  <c r="W25" i="1"/>
  <c r="BS25" i="1" s="1"/>
  <c r="W26" i="1"/>
  <c r="BS26" i="1" s="1"/>
  <c r="W27" i="1"/>
  <c r="BS27" i="1" s="1"/>
  <c r="W28" i="1"/>
  <c r="BS28" i="1" s="1"/>
  <c r="W29" i="1"/>
  <c r="BS29" i="1" s="1"/>
  <c r="CK29" i="1" s="1"/>
  <c r="CN29" i="1" s="1"/>
  <c r="W30" i="1"/>
  <c r="BS30" i="1" s="1"/>
  <c r="W31" i="1"/>
  <c r="BS31" i="1" s="1"/>
  <c r="W32" i="1"/>
  <c r="BS32" i="1" s="1"/>
  <c r="W33" i="1"/>
  <c r="BS33" i="1" s="1"/>
  <c r="CK33" i="1" s="1"/>
  <c r="CN33" i="1" s="1"/>
  <c r="W34" i="1"/>
  <c r="BS34" i="1" s="1"/>
  <c r="W35" i="1"/>
  <c r="BS35" i="1" s="1"/>
  <c r="X15" i="1"/>
  <c r="AE15" i="1"/>
  <c r="AD15" i="1"/>
  <c r="AC15" i="1"/>
  <c r="AB15" i="1"/>
  <c r="BX15" i="1" s="1"/>
  <c r="AA15" i="1"/>
  <c r="Z15" i="1"/>
  <c r="Y15" i="1"/>
  <c r="BU15" i="1" s="1"/>
  <c r="AF15" i="1"/>
  <c r="CJ26" i="1" l="1"/>
  <c r="CJ18" i="1"/>
  <c r="CJ35" i="1"/>
  <c r="CJ31" i="1"/>
  <c r="CJ27" i="1"/>
  <c r="CJ23" i="1"/>
  <c r="CJ19" i="1"/>
  <c r="BW15" i="1"/>
  <c r="CA15" i="1"/>
  <c r="CJ33" i="1"/>
  <c r="CL33" i="1" s="1"/>
  <c r="CM33" i="1" s="1"/>
  <c r="CJ29" i="1"/>
  <c r="CL29" i="1" s="1"/>
  <c r="CM29" i="1" s="1"/>
  <c r="CJ25" i="1"/>
  <c r="CL25" i="1" s="1"/>
  <c r="CM25" i="1" s="1"/>
  <c r="CJ21" i="1"/>
  <c r="CL21" i="1" s="1"/>
  <c r="CM21" i="1" s="1"/>
  <c r="CJ17" i="1"/>
  <c r="CL17" i="1" s="1"/>
  <c r="CM17" i="1" s="1"/>
  <c r="CI15" i="1"/>
  <c r="CK17" i="1"/>
  <c r="CN17" i="1" s="1"/>
  <c r="CK24" i="1"/>
  <c r="CN24" i="1" s="1"/>
  <c r="CK16" i="1"/>
  <c r="CN16" i="1" s="1"/>
  <c r="CK21" i="1"/>
  <c r="CN21" i="1" s="1"/>
  <c r="CK28" i="1"/>
  <c r="CN28" i="1" s="1"/>
  <c r="CK32" i="1"/>
  <c r="CN32" i="1" s="1"/>
  <c r="CK35" i="1"/>
  <c r="CN35" i="1" s="1"/>
  <c r="CK31" i="1"/>
  <c r="CN31" i="1" s="1"/>
  <c r="CK27" i="1"/>
  <c r="CN27" i="1" s="1"/>
  <c r="CK23" i="1"/>
  <c r="CN23" i="1" s="1"/>
  <c r="CK19" i="1"/>
  <c r="CN19" i="1" s="1"/>
  <c r="CK25" i="1"/>
  <c r="CN25" i="1" s="1"/>
  <c r="CK20" i="1"/>
  <c r="CN20" i="1" s="1"/>
  <c r="CK34" i="1"/>
  <c r="CN34" i="1" s="1"/>
  <c r="CK30" i="1"/>
  <c r="CN30" i="1" s="1"/>
  <c r="CK26" i="1"/>
  <c r="CN26" i="1" s="1"/>
  <c r="CK22" i="1"/>
  <c r="CN22" i="1" s="1"/>
  <c r="CK18" i="1"/>
  <c r="CN18" i="1" s="1"/>
  <c r="CB15" i="1"/>
  <c r="BD15" i="1"/>
  <c r="BL15" i="1"/>
  <c r="BV15" i="1"/>
  <c r="BF15" i="1"/>
  <c r="BZ15" i="1"/>
  <c r="CL34" i="1"/>
  <c r="CM34" i="1" s="1"/>
  <c r="CL30" i="1"/>
  <c r="CM30" i="1" s="1"/>
  <c r="CL26" i="1"/>
  <c r="CM26" i="1" s="1"/>
  <c r="CL22" i="1"/>
  <c r="CM22" i="1" s="1"/>
  <c r="CL18" i="1"/>
  <c r="CM18" i="1" s="1"/>
  <c r="BJ15" i="1"/>
  <c r="CL32" i="1"/>
  <c r="CM32" i="1" s="1"/>
  <c r="CL28" i="1"/>
  <c r="CM28" i="1" s="1"/>
  <c r="CL24" i="1"/>
  <c r="CM24" i="1" s="1"/>
  <c r="CL20" i="1"/>
  <c r="CM20" i="1" s="1"/>
  <c r="CL16" i="1"/>
  <c r="CM16" i="1" s="1"/>
  <c r="BY15" i="1"/>
  <c r="BE15" i="1"/>
  <c r="BT15" i="1"/>
  <c r="CL35" i="1"/>
  <c r="CM35" i="1" s="1"/>
  <c r="CL31" i="1"/>
  <c r="CM31" i="1" s="1"/>
  <c r="CL27" i="1"/>
  <c r="CM27" i="1" s="1"/>
  <c r="CL23" i="1"/>
  <c r="CM23" i="1" s="1"/>
  <c r="CL19" i="1"/>
  <c r="CM19" i="1" s="1"/>
  <c r="CJ15" i="1" l="1"/>
  <c r="CL15" i="1" s="1"/>
  <c r="CM15" i="1" s="1"/>
  <c r="CK15" i="1"/>
  <c r="CN15" i="1" s="1"/>
  <c r="DJ15" i="1"/>
  <c r="DJ16" i="1"/>
  <c r="DJ17" i="1"/>
  <c r="DJ18" i="1"/>
  <c r="DJ19" i="1"/>
  <c r="DJ20" i="1"/>
  <c r="DJ21" i="1"/>
  <c r="DJ22" i="1"/>
  <c r="DJ23" i="1"/>
  <c r="DJ24" i="1"/>
  <c r="DJ25" i="1"/>
  <c r="DJ26" i="1"/>
  <c r="DJ27" i="1"/>
  <c r="DJ28" i="1"/>
  <c r="DJ29" i="1"/>
  <c r="DJ30" i="1"/>
  <c r="DJ31" i="1"/>
  <c r="DJ32" i="1"/>
  <c r="DJ33" i="1"/>
  <c r="DJ34" i="1"/>
  <c r="DJ35" i="1"/>
  <c r="DH33" i="1" l="1"/>
  <c r="DH25" i="1"/>
  <c r="AW15" i="1" l="1"/>
  <c r="JE14" i="12" l="1"/>
  <c r="LV16" i="11"/>
  <c r="ML16" i="11" s="1"/>
  <c r="LV17" i="11"/>
  <c r="ML17" i="11" s="1"/>
  <c r="LV18" i="11"/>
  <c r="NB18" i="11" s="1"/>
  <c r="LV19" i="11"/>
  <c r="NB19" i="11" s="1"/>
  <c r="LV20" i="11"/>
  <c r="ML20" i="11" s="1"/>
  <c r="LV21" i="11"/>
  <c r="ML21" i="11" s="1"/>
  <c r="LV22" i="11"/>
  <c r="NB22" i="11" s="1"/>
  <c r="LV23" i="11"/>
  <c r="ML23" i="11" s="1"/>
  <c r="LV24" i="11"/>
  <c r="ML24" i="11" s="1"/>
  <c r="LV25" i="11"/>
  <c r="ML25" i="11" s="1"/>
  <c r="LV26" i="11"/>
  <c r="NB26" i="11" s="1"/>
  <c r="LV27" i="11"/>
  <c r="NB27" i="11" s="1"/>
  <c r="LV15" i="11"/>
  <c r="ML15" i="11" s="1"/>
  <c r="JE16" i="11"/>
  <c r="JU16" i="11" s="1"/>
  <c r="JE17" i="11"/>
  <c r="JU17" i="11" s="1"/>
  <c r="JE18" i="11"/>
  <c r="JU18" i="11" s="1"/>
  <c r="JE19" i="11"/>
  <c r="JU19" i="11" s="1"/>
  <c r="JE20" i="11"/>
  <c r="JU20" i="11" s="1"/>
  <c r="JE21" i="11"/>
  <c r="JU21" i="11" s="1"/>
  <c r="JE22" i="11"/>
  <c r="JU22" i="11" s="1"/>
  <c r="JE23" i="11"/>
  <c r="JU23" i="11" s="1"/>
  <c r="JE24" i="11"/>
  <c r="JU24" i="11" s="1"/>
  <c r="JE25" i="11"/>
  <c r="JU25" i="11" s="1"/>
  <c r="JE26" i="11"/>
  <c r="JU26" i="11" s="1"/>
  <c r="JE27" i="11"/>
  <c r="JU27" i="11" s="1"/>
  <c r="JE15" i="11"/>
  <c r="JU15" i="11" s="1"/>
  <c r="NR22" i="11" l="1"/>
  <c r="NR19" i="11"/>
  <c r="NR27" i="11"/>
  <c r="NR18" i="11"/>
  <c r="NB15" i="11"/>
  <c r="NR26" i="11"/>
  <c r="ML22" i="11"/>
  <c r="OH22" i="11" s="1"/>
  <c r="ML27" i="11"/>
  <c r="OH27" i="11" s="1"/>
  <c r="ML19" i="11"/>
  <c r="OH19" i="11" s="1"/>
  <c r="NB23" i="11"/>
  <c r="ML26" i="11"/>
  <c r="OH26" i="11" s="1"/>
  <c r="ML18" i="11"/>
  <c r="OH18" i="11" s="1"/>
  <c r="NB25" i="11"/>
  <c r="OH25" i="11" s="1"/>
  <c r="NB21" i="11"/>
  <c r="NB17" i="11"/>
  <c r="NB24" i="11"/>
  <c r="NB20" i="11"/>
  <c r="NB16" i="11"/>
  <c r="OH16" i="11" s="1"/>
  <c r="IO16" i="11"/>
  <c r="KK16" i="11" s="1"/>
  <c r="IO17" i="11"/>
  <c r="KK17" i="11" s="1"/>
  <c r="IO18" i="11"/>
  <c r="KK18" i="11" s="1"/>
  <c r="IO19" i="11"/>
  <c r="KK19" i="11" s="1"/>
  <c r="IO20" i="11"/>
  <c r="KK20" i="11" s="1"/>
  <c r="IO21" i="11"/>
  <c r="KK21" i="11" s="1"/>
  <c r="IO22" i="11"/>
  <c r="KK22" i="11" s="1"/>
  <c r="IO23" i="11"/>
  <c r="KK23" i="11" s="1"/>
  <c r="IO24" i="11"/>
  <c r="KK24" i="11" s="1"/>
  <c r="IO25" i="11"/>
  <c r="KK25" i="11" s="1"/>
  <c r="IO26" i="11"/>
  <c r="KK26" i="11" s="1"/>
  <c r="IO27" i="11"/>
  <c r="KK27" i="11" s="1"/>
  <c r="KK15" i="11"/>
  <c r="DV18" i="11"/>
  <c r="EL18" i="11" s="1"/>
  <c r="DV19" i="11"/>
  <c r="EL19" i="11" s="1"/>
  <c r="DV20" i="11"/>
  <c r="EL20" i="11" s="1"/>
  <c r="DV21" i="11"/>
  <c r="EL21" i="11" s="1"/>
  <c r="DV22" i="11"/>
  <c r="EL22" i="11" s="1"/>
  <c r="DV23" i="11"/>
  <c r="FB23" i="11" s="1"/>
  <c r="DV24" i="11"/>
  <c r="EL24" i="11" s="1"/>
  <c r="DV25" i="11"/>
  <c r="EL25" i="11" s="1"/>
  <c r="DV26" i="11"/>
  <c r="EL26" i="11" s="1"/>
  <c r="DV27" i="11"/>
  <c r="FB27" i="11" s="1"/>
  <c r="FR27" i="11" l="1"/>
  <c r="FR23" i="11"/>
  <c r="NR16" i="11"/>
  <c r="NR17" i="11"/>
  <c r="OH17" i="11"/>
  <c r="NR23" i="11"/>
  <c r="OH23" i="11"/>
  <c r="NR20" i="11"/>
  <c r="OH20" i="11"/>
  <c r="NR21" i="11"/>
  <c r="OH21" i="11"/>
  <c r="NR25" i="11"/>
  <c r="NR15" i="11"/>
  <c r="OH15" i="11"/>
  <c r="NR24" i="11"/>
  <c r="OH24" i="11"/>
  <c r="EL27" i="11"/>
  <c r="FB21" i="11"/>
  <c r="EL23" i="11"/>
  <c r="FB19" i="11"/>
  <c r="FB25" i="11"/>
  <c r="FB26" i="11"/>
  <c r="FB22" i="11"/>
  <c r="FB18" i="11"/>
  <c r="FB24" i="11"/>
  <c r="FB20" i="11"/>
  <c r="DV16" i="11"/>
  <c r="DV17" i="11"/>
  <c r="DV15" i="11"/>
  <c r="BB14" i="11"/>
  <c r="BA14" i="11"/>
  <c r="AZ14" i="11"/>
  <c r="AY14" i="11"/>
  <c r="AX14" i="11"/>
  <c r="AW14" i="11"/>
  <c r="AV14" i="11"/>
  <c r="S16" i="11"/>
  <c r="DV16" i="12" s="1"/>
  <c r="S17" i="11"/>
  <c r="DV17" i="12" s="1"/>
  <c r="S18" i="11"/>
  <c r="DV18" i="12" s="1"/>
  <c r="S19" i="11"/>
  <c r="DV19" i="12" s="1"/>
  <c r="S20" i="11"/>
  <c r="DV20" i="12" s="1"/>
  <c r="S21" i="11"/>
  <c r="DV21" i="12" s="1"/>
  <c r="S22" i="11"/>
  <c r="DV22" i="12" s="1"/>
  <c r="S23" i="11"/>
  <c r="DV23" i="12" s="1"/>
  <c r="S24" i="11"/>
  <c r="DV24" i="12" s="1"/>
  <c r="S25" i="11"/>
  <c r="DV25" i="12" s="1"/>
  <c r="S26" i="11"/>
  <c r="DV26" i="12" s="1"/>
  <c r="S27" i="11"/>
  <c r="DV27" i="12" s="1"/>
  <c r="S15" i="11"/>
  <c r="EL23" i="12" l="1"/>
  <c r="FB23" i="12"/>
  <c r="GH23" i="12" s="1"/>
  <c r="FR23" i="12"/>
  <c r="FB18" i="12"/>
  <c r="EL18" i="12"/>
  <c r="FB16" i="12"/>
  <c r="FR16" i="12"/>
  <c r="EL16" i="12"/>
  <c r="EL27" i="12"/>
  <c r="FB27" i="12"/>
  <c r="GH27" i="12" s="1"/>
  <c r="FR27" i="12"/>
  <c r="FB22" i="12"/>
  <c r="EL22" i="12"/>
  <c r="FR22" i="12"/>
  <c r="EL19" i="12"/>
  <c r="FB19" i="12"/>
  <c r="GH19" i="12" s="1"/>
  <c r="EL26" i="12"/>
  <c r="FB26" i="12"/>
  <c r="GH26" i="12" s="1"/>
  <c r="FR26" i="12"/>
  <c r="EL20" i="12"/>
  <c r="FB20" i="12"/>
  <c r="GH20" i="12" s="1"/>
  <c r="FB17" i="12"/>
  <c r="FR17" i="12"/>
  <c r="EL17" i="12"/>
  <c r="EL25" i="12"/>
  <c r="FB25" i="12"/>
  <c r="GH25" i="12" s="1"/>
  <c r="EL21" i="12"/>
  <c r="FB21" i="12"/>
  <c r="FB24" i="12"/>
  <c r="FR24" i="12" s="1"/>
  <c r="EL24" i="12"/>
  <c r="AI23" i="11"/>
  <c r="AI15" i="11"/>
  <c r="DV15" i="12"/>
  <c r="AI26" i="11"/>
  <c r="AI22" i="11"/>
  <c r="AI18" i="11"/>
  <c r="AI19" i="11"/>
  <c r="AI25" i="11"/>
  <c r="AI21" i="11"/>
  <c r="AI17" i="11"/>
  <c r="AI27" i="11"/>
  <c r="AI24" i="11"/>
  <c r="AI20" i="11"/>
  <c r="AI16" i="11"/>
  <c r="FR22" i="11"/>
  <c r="FR24" i="11"/>
  <c r="FR25" i="11"/>
  <c r="FR26" i="11"/>
  <c r="FR20" i="11"/>
  <c r="FR21" i="11"/>
  <c r="FR18" i="11"/>
  <c r="FR19" i="11"/>
  <c r="EL15" i="11"/>
  <c r="FB15" i="11"/>
  <c r="EL17" i="11"/>
  <c r="FB17" i="11"/>
  <c r="EL16" i="11"/>
  <c r="FB16" i="11"/>
  <c r="AY19" i="11"/>
  <c r="AY15" i="11"/>
  <c r="AY27" i="11"/>
  <c r="AY23" i="11"/>
  <c r="AY26" i="11"/>
  <c r="AY22" i="11"/>
  <c r="AY18" i="11"/>
  <c r="AY25" i="11"/>
  <c r="AY21" i="11"/>
  <c r="AY17" i="11"/>
  <c r="AY24" i="11"/>
  <c r="AY20" i="11"/>
  <c r="AY16" i="11"/>
  <c r="AY60" i="9"/>
  <c r="BO60" i="9" s="1"/>
  <c r="AY61" i="9"/>
  <c r="BO61" i="9" s="1"/>
  <c r="AY62" i="9"/>
  <c r="BO62" i="9" s="1"/>
  <c r="AY63" i="9"/>
  <c r="AY64" i="9"/>
  <c r="BO64" i="9" s="1"/>
  <c r="AY65" i="9"/>
  <c r="BO65" i="9" s="1"/>
  <c r="AY66" i="9"/>
  <c r="BO66" i="9" s="1"/>
  <c r="AY67" i="9"/>
  <c r="AY68" i="9"/>
  <c r="BO68" i="9" s="1"/>
  <c r="AY69" i="9"/>
  <c r="BO69" i="9" s="1"/>
  <c r="AY70" i="9"/>
  <c r="BO70" i="9" s="1"/>
  <c r="AY71" i="9"/>
  <c r="AY72" i="9"/>
  <c r="BO72" i="9" s="1"/>
  <c r="AY73" i="9"/>
  <c r="BO73" i="9" s="1"/>
  <c r="AY74" i="9"/>
  <c r="BO74" i="9" s="1"/>
  <c r="AY75" i="9"/>
  <c r="BO75" i="9" s="1"/>
  <c r="AY76" i="9"/>
  <c r="BO76" i="9" s="1"/>
  <c r="AY77" i="9"/>
  <c r="BO77" i="9" s="1"/>
  <c r="AY78" i="9"/>
  <c r="BO78" i="9" s="1"/>
  <c r="AY79" i="9"/>
  <c r="BO79" i="9" s="1"/>
  <c r="AY80" i="9"/>
  <c r="BO80" i="9" s="1"/>
  <c r="AY81" i="9"/>
  <c r="BO81" i="9" s="1"/>
  <c r="AY82" i="9"/>
  <c r="BO82" i="9" s="1"/>
  <c r="AY83" i="9"/>
  <c r="BO83" i="9" s="1"/>
  <c r="AY84" i="9"/>
  <c r="BO84" i="9" s="1"/>
  <c r="AY85" i="9"/>
  <c r="BO85" i="9" s="1"/>
  <c r="AY86" i="9"/>
  <c r="BO86" i="9" s="1"/>
  <c r="AY87" i="9"/>
  <c r="BO87" i="9" s="1"/>
  <c r="AY88" i="9"/>
  <c r="BO88" i="9" s="1"/>
  <c r="AY89" i="9"/>
  <c r="BO89" i="9" s="1"/>
  <c r="AY90" i="9"/>
  <c r="BO90" i="9" s="1"/>
  <c r="AY16" i="9"/>
  <c r="BO16" i="9" s="1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I38" i="9"/>
  <c r="AI39" i="9"/>
  <c r="AI40" i="9"/>
  <c r="AI41" i="9"/>
  <c r="AI42" i="9"/>
  <c r="AI43" i="9"/>
  <c r="AI44" i="9"/>
  <c r="AI45" i="9"/>
  <c r="AI46" i="9"/>
  <c r="AI47" i="9"/>
  <c r="AI48" i="9"/>
  <c r="AI49" i="9"/>
  <c r="AI50" i="9"/>
  <c r="AI51" i="9"/>
  <c r="AI52" i="9"/>
  <c r="AI53" i="9"/>
  <c r="AI54" i="9"/>
  <c r="AI55" i="9"/>
  <c r="AI56" i="9"/>
  <c r="AI57" i="9"/>
  <c r="AI58" i="9"/>
  <c r="AI59" i="9"/>
  <c r="AI60" i="9"/>
  <c r="AI61" i="9"/>
  <c r="AI62" i="9"/>
  <c r="AI63" i="9"/>
  <c r="AI64" i="9"/>
  <c r="AI65" i="9"/>
  <c r="AI66" i="9"/>
  <c r="AI67" i="9"/>
  <c r="AI68" i="9"/>
  <c r="AI69" i="9"/>
  <c r="AI70" i="9"/>
  <c r="AI71" i="9"/>
  <c r="AI72" i="9"/>
  <c r="AI73" i="9"/>
  <c r="AI74" i="9"/>
  <c r="AI75" i="9"/>
  <c r="AI76" i="9"/>
  <c r="AI77" i="9"/>
  <c r="AI78" i="9"/>
  <c r="AI79" i="9"/>
  <c r="AI80" i="9"/>
  <c r="AI81" i="9"/>
  <c r="AI82" i="9"/>
  <c r="AI83" i="9"/>
  <c r="AI84" i="9"/>
  <c r="AI85" i="9"/>
  <c r="AI86" i="9"/>
  <c r="AI87" i="9"/>
  <c r="AI88" i="9"/>
  <c r="AI89" i="9"/>
  <c r="AI90" i="9"/>
  <c r="AI91" i="9"/>
  <c r="AI92" i="9"/>
  <c r="AI93" i="9"/>
  <c r="AI15" i="9"/>
  <c r="BO85" i="8"/>
  <c r="BO86" i="8"/>
  <c r="BO87" i="8"/>
  <c r="BO88" i="8"/>
  <c r="BO89" i="8"/>
  <c r="BO90" i="8"/>
  <c r="BO91" i="8"/>
  <c r="BO92" i="8"/>
  <c r="BO93" i="8"/>
  <c r="BO94" i="8"/>
  <c r="BO95" i="8"/>
  <c r="BO96" i="8"/>
  <c r="AY60" i="8"/>
  <c r="BO60" i="8" s="1"/>
  <c r="AY61" i="8"/>
  <c r="BO61" i="8" s="1"/>
  <c r="AY62" i="8"/>
  <c r="BO62" i="8" s="1"/>
  <c r="AY63" i="8"/>
  <c r="BO63" i="8" s="1"/>
  <c r="AY64" i="8"/>
  <c r="BO64" i="8" s="1"/>
  <c r="AY65" i="8"/>
  <c r="BO65" i="8" s="1"/>
  <c r="AY66" i="8"/>
  <c r="BO66" i="8" s="1"/>
  <c r="AY67" i="8"/>
  <c r="BO67" i="8" s="1"/>
  <c r="AY68" i="8"/>
  <c r="BO68" i="8" s="1"/>
  <c r="AY69" i="8"/>
  <c r="BO69" i="8" s="1"/>
  <c r="AY70" i="8"/>
  <c r="BO70" i="8" s="1"/>
  <c r="AY71" i="8"/>
  <c r="BO71" i="8" s="1"/>
  <c r="AY72" i="8"/>
  <c r="BO72" i="8" s="1"/>
  <c r="AY73" i="8"/>
  <c r="BO73" i="8" s="1"/>
  <c r="AY74" i="8"/>
  <c r="BO74" i="8" s="1"/>
  <c r="AY75" i="8"/>
  <c r="BO75" i="8" s="1"/>
  <c r="AY76" i="8"/>
  <c r="BO76" i="8" s="1"/>
  <c r="AY77" i="8"/>
  <c r="BO77" i="8" s="1"/>
  <c r="AY78" i="8"/>
  <c r="BO78" i="8" s="1"/>
  <c r="AY79" i="8"/>
  <c r="BO79" i="8" s="1"/>
  <c r="AY80" i="8"/>
  <c r="BO80" i="8" s="1"/>
  <c r="AY81" i="8"/>
  <c r="BO81" i="8" s="1"/>
  <c r="AY82" i="8"/>
  <c r="BO82" i="8" s="1"/>
  <c r="AY83" i="8"/>
  <c r="BO83" i="8" s="1"/>
  <c r="AY84" i="8"/>
  <c r="BO84" i="8" s="1"/>
  <c r="AY17" i="8"/>
  <c r="BO17" i="8" s="1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AI32" i="8"/>
  <c r="AI33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AI64" i="8"/>
  <c r="AI65" i="8"/>
  <c r="AI66" i="8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CE85" i="8" s="1"/>
  <c r="AI86" i="8"/>
  <c r="CE86" i="8" s="1"/>
  <c r="AI87" i="8"/>
  <c r="CE87" i="8" s="1"/>
  <c r="AI88" i="8"/>
  <c r="CE88" i="8" s="1"/>
  <c r="AI89" i="8"/>
  <c r="CE89" i="8" s="1"/>
  <c r="AI90" i="8"/>
  <c r="CE90" i="8" s="1"/>
  <c r="AI91" i="8"/>
  <c r="CE91" i="8" s="1"/>
  <c r="AI92" i="8"/>
  <c r="AI93" i="8"/>
  <c r="AI94" i="8"/>
  <c r="AI95" i="8"/>
  <c r="AI96" i="8"/>
  <c r="AI97" i="8"/>
  <c r="AI98" i="8"/>
  <c r="AI99" i="8"/>
  <c r="AI15" i="8"/>
  <c r="GH21" i="12" l="1"/>
  <c r="GH15" i="11"/>
  <c r="FR20" i="12"/>
  <c r="GH24" i="12"/>
  <c r="FR21" i="12"/>
  <c r="GH16" i="12"/>
  <c r="FR19" i="12"/>
  <c r="GH18" i="12"/>
  <c r="FR25" i="12"/>
  <c r="FR18" i="12"/>
  <c r="GH17" i="12"/>
  <c r="GH22" i="12"/>
  <c r="FR15" i="11"/>
  <c r="CE24" i="11"/>
  <c r="ES24" i="11" s="1"/>
  <c r="FY24" i="11" s="1"/>
  <c r="FR17" i="11"/>
  <c r="CE18" i="11"/>
  <c r="ES18" i="11" s="1"/>
  <c r="CE26" i="11"/>
  <c r="ES26" i="11" s="1"/>
  <c r="CE71" i="9"/>
  <c r="CE63" i="9"/>
  <c r="CE67" i="9"/>
  <c r="AY58" i="9"/>
  <c r="BO58" i="9" s="1"/>
  <c r="AY54" i="9"/>
  <c r="BO54" i="9" s="1"/>
  <c r="AY50" i="9"/>
  <c r="BO50" i="9" s="1"/>
  <c r="AY46" i="9"/>
  <c r="BO46" i="9" s="1"/>
  <c r="AY42" i="9"/>
  <c r="BO42" i="9" s="1"/>
  <c r="AY38" i="9"/>
  <c r="BO38" i="9" s="1"/>
  <c r="AY34" i="9"/>
  <c r="BO34" i="9" s="1"/>
  <c r="AY30" i="9"/>
  <c r="BO30" i="9" s="1"/>
  <c r="AY57" i="9"/>
  <c r="BO57" i="9" s="1"/>
  <c r="AY53" i="9"/>
  <c r="BO53" i="9" s="1"/>
  <c r="AY49" i="9"/>
  <c r="BO49" i="9" s="1"/>
  <c r="AY45" i="9"/>
  <c r="BO45" i="9" s="1"/>
  <c r="AY41" i="9"/>
  <c r="BO41" i="9" s="1"/>
  <c r="AY37" i="9"/>
  <c r="BO37" i="9" s="1"/>
  <c r="AY33" i="9"/>
  <c r="BO33" i="9" s="1"/>
  <c r="AY29" i="9"/>
  <c r="BO29" i="9" s="1"/>
  <c r="AY56" i="9"/>
  <c r="BO56" i="9" s="1"/>
  <c r="AY52" i="9"/>
  <c r="BO52" i="9" s="1"/>
  <c r="AY48" i="9"/>
  <c r="BO48" i="9" s="1"/>
  <c r="AY44" i="9"/>
  <c r="BO44" i="9" s="1"/>
  <c r="AY40" i="9"/>
  <c r="BO40" i="9" s="1"/>
  <c r="AY36" i="9"/>
  <c r="BO36" i="9" s="1"/>
  <c r="AY32" i="9"/>
  <c r="BO32" i="9" s="1"/>
  <c r="AY59" i="9"/>
  <c r="BO59" i="9" s="1"/>
  <c r="AY55" i="9"/>
  <c r="BO55" i="9" s="1"/>
  <c r="AY51" i="9"/>
  <c r="CE51" i="9" s="1"/>
  <c r="AY47" i="9"/>
  <c r="BO47" i="9" s="1"/>
  <c r="AY43" i="9"/>
  <c r="BO43" i="9" s="1"/>
  <c r="AY39" i="9"/>
  <c r="BO39" i="9" s="1"/>
  <c r="AY35" i="9"/>
  <c r="CE35" i="9" s="1"/>
  <c r="AY31" i="9"/>
  <c r="CE31" i="9" s="1"/>
  <c r="CE39" i="9"/>
  <c r="AY56" i="8"/>
  <c r="BO56" i="8" s="1"/>
  <c r="AY52" i="8"/>
  <c r="BO52" i="8" s="1"/>
  <c r="AY48" i="8"/>
  <c r="BO48" i="8" s="1"/>
  <c r="AY44" i="8"/>
  <c r="BO44" i="8" s="1"/>
  <c r="AY40" i="8"/>
  <c r="BO40" i="8" s="1"/>
  <c r="AY36" i="8"/>
  <c r="BO36" i="8" s="1"/>
  <c r="AY32" i="8"/>
  <c r="BO32" i="8" s="1"/>
  <c r="AY28" i="8"/>
  <c r="BO28" i="8" s="1"/>
  <c r="AY24" i="8"/>
  <c r="BO24" i="8" s="1"/>
  <c r="AY20" i="8"/>
  <c r="BO20" i="8" s="1"/>
  <c r="AY16" i="8"/>
  <c r="BO16" i="8" s="1"/>
  <c r="AY59" i="8"/>
  <c r="BO59" i="8" s="1"/>
  <c r="AY55" i="8"/>
  <c r="BO55" i="8" s="1"/>
  <c r="AY51" i="8"/>
  <c r="BO51" i="8" s="1"/>
  <c r="AY47" i="8"/>
  <c r="BO47" i="8" s="1"/>
  <c r="AY43" i="8"/>
  <c r="BO43" i="8" s="1"/>
  <c r="AY39" i="8"/>
  <c r="BO39" i="8" s="1"/>
  <c r="AY35" i="8"/>
  <c r="BO35" i="8" s="1"/>
  <c r="AY31" i="8"/>
  <c r="BO31" i="8" s="1"/>
  <c r="AY27" i="8"/>
  <c r="BO27" i="8" s="1"/>
  <c r="AY23" i="8"/>
  <c r="BO23" i="8" s="1"/>
  <c r="AY19" i="8"/>
  <c r="BO19" i="8" s="1"/>
  <c r="AV18" i="8"/>
  <c r="AV22" i="8"/>
  <c r="AV26" i="8"/>
  <c r="AV30" i="8"/>
  <c r="AV34" i="8"/>
  <c r="AV38" i="8"/>
  <c r="AV42" i="8"/>
  <c r="AV46" i="8"/>
  <c r="AV50" i="8"/>
  <c r="AV54" i="8"/>
  <c r="AV58" i="8"/>
  <c r="AV19" i="8"/>
  <c r="AV23" i="8"/>
  <c r="AV27" i="8"/>
  <c r="AV31" i="8"/>
  <c r="AV35" i="8"/>
  <c r="AV39" i="8"/>
  <c r="AV43" i="8"/>
  <c r="AV47" i="8"/>
  <c r="AV51" i="8"/>
  <c r="AV55" i="8"/>
  <c r="AV17" i="8"/>
  <c r="AV29" i="8"/>
  <c r="AV45" i="8"/>
  <c r="AV57" i="8"/>
  <c r="AV59" i="8"/>
  <c r="AV21" i="8"/>
  <c r="AV37" i="8"/>
  <c r="AV49" i="8"/>
  <c r="AV16" i="8"/>
  <c r="AV20" i="8"/>
  <c r="AV24" i="8"/>
  <c r="AV28" i="8"/>
  <c r="AV32" i="8"/>
  <c r="AV36" i="8"/>
  <c r="AV40" i="8"/>
  <c r="AV44" i="8"/>
  <c r="AV48" i="8"/>
  <c r="AV52" i="8"/>
  <c r="AV56" i="8"/>
  <c r="AV15" i="8"/>
  <c r="AV25" i="8"/>
  <c r="AV33" i="8"/>
  <c r="AV41" i="8"/>
  <c r="AV53" i="8"/>
  <c r="AY58" i="8"/>
  <c r="BO58" i="8" s="1"/>
  <c r="AY54" i="8"/>
  <c r="BO54" i="8" s="1"/>
  <c r="AY50" i="8"/>
  <c r="BO50" i="8" s="1"/>
  <c r="AY46" i="8"/>
  <c r="BO46" i="8" s="1"/>
  <c r="AY42" i="8"/>
  <c r="BO42" i="8" s="1"/>
  <c r="AY38" i="8"/>
  <c r="BO38" i="8" s="1"/>
  <c r="AY34" i="8"/>
  <c r="BO34" i="8" s="1"/>
  <c r="AY30" i="8"/>
  <c r="BO30" i="8" s="1"/>
  <c r="AY26" i="8"/>
  <c r="BO26" i="8" s="1"/>
  <c r="AY22" i="8"/>
  <c r="BO22" i="8" s="1"/>
  <c r="AY18" i="8"/>
  <c r="BO18" i="8" s="1"/>
  <c r="AY15" i="8"/>
  <c r="BO15" i="8" s="1"/>
  <c r="AY57" i="8"/>
  <c r="BO57" i="8" s="1"/>
  <c r="AY53" i="8"/>
  <c r="BO53" i="8" s="1"/>
  <c r="AY49" i="8"/>
  <c r="BO49" i="8" s="1"/>
  <c r="AY45" i="8"/>
  <c r="BO45" i="8" s="1"/>
  <c r="AY41" i="8"/>
  <c r="BO41" i="8" s="1"/>
  <c r="AY37" i="8"/>
  <c r="BO37" i="8" s="1"/>
  <c r="AY33" i="8"/>
  <c r="BO33" i="8" s="1"/>
  <c r="AY29" i="8"/>
  <c r="BO29" i="8" s="1"/>
  <c r="AY25" i="8"/>
  <c r="BO25" i="8" s="1"/>
  <c r="AY21" i="8"/>
  <c r="BO21" i="8" s="1"/>
  <c r="CE16" i="11"/>
  <c r="ES16" i="11" s="1"/>
  <c r="FY16" i="11" s="1"/>
  <c r="CE21" i="11"/>
  <c r="ES21" i="11" s="1"/>
  <c r="FY21" i="11" s="1"/>
  <c r="BO63" i="9"/>
  <c r="BO31" i="9"/>
  <c r="CE80" i="8"/>
  <c r="CE72" i="8"/>
  <c r="CE60" i="8"/>
  <c r="CE56" i="8"/>
  <c r="CE70" i="9"/>
  <c r="CE62" i="9"/>
  <c r="CE54" i="9"/>
  <c r="CE38" i="9"/>
  <c r="CE34" i="9"/>
  <c r="CE83" i="8"/>
  <c r="CE79" i="8"/>
  <c r="CE75" i="8"/>
  <c r="CE71" i="8"/>
  <c r="CE67" i="8"/>
  <c r="CE63" i="8"/>
  <c r="CE73" i="9"/>
  <c r="CE69" i="9"/>
  <c r="CE65" i="9"/>
  <c r="CE61" i="9"/>
  <c r="CE53" i="9"/>
  <c r="CE84" i="8"/>
  <c r="CE64" i="8"/>
  <c r="CE82" i="8"/>
  <c r="CE78" i="8"/>
  <c r="CE74" i="8"/>
  <c r="CE70" i="8"/>
  <c r="CE66" i="8"/>
  <c r="CE62" i="8"/>
  <c r="BO71" i="9"/>
  <c r="CE72" i="9"/>
  <c r="CE68" i="9"/>
  <c r="CE64" i="9"/>
  <c r="CE60" i="9"/>
  <c r="CE52" i="9"/>
  <c r="CE36" i="9"/>
  <c r="CE76" i="8"/>
  <c r="CE68" i="8"/>
  <c r="CE66" i="9"/>
  <c r="CE81" i="8"/>
  <c r="CE77" i="8"/>
  <c r="CE73" i="8"/>
  <c r="CE69" i="8"/>
  <c r="CE65" i="8"/>
  <c r="CE61" i="8"/>
  <c r="BO67" i="9"/>
  <c r="BO51" i="9"/>
  <c r="BO35" i="9"/>
  <c r="EL15" i="12"/>
  <c r="FB15" i="12"/>
  <c r="CE16" i="9"/>
  <c r="FR16" i="11"/>
  <c r="BO21" i="11"/>
  <c r="BO16" i="11"/>
  <c r="BO20" i="11"/>
  <c r="CE20" i="11"/>
  <c r="ES20" i="11" s="1"/>
  <c r="FY20" i="11" s="1"/>
  <c r="BO25" i="11"/>
  <c r="CE25" i="11"/>
  <c r="ES25" i="11" s="1"/>
  <c r="FY25" i="11" s="1"/>
  <c r="BO24" i="11"/>
  <c r="BO27" i="11"/>
  <c r="CE27" i="11"/>
  <c r="ES27" i="11" s="1"/>
  <c r="FY27" i="11" s="1"/>
  <c r="BO15" i="11"/>
  <c r="CE15" i="11"/>
  <c r="ES15" i="11" s="1"/>
  <c r="FY15" i="11" s="1"/>
  <c r="BO19" i="11"/>
  <c r="CE19" i="11"/>
  <c r="ES19" i="11" s="1"/>
  <c r="FY19" i="11" s="1"/>
  <c r="BO17" i="11"/>
  <c r="CE17" i="11"/>
  <c r="ES17" i="11" s="1"/>
  <c r="FY17" i="11" s="1"/>
  <c r="BO22" i="11"/>
  <c r="CE22" i="11"/>
  <c r="ES22" i="11" s="1"/>
  <c r="FY22" i="11" s="1"/>
  <c r="BO18" i="11"/>
  <c r="BO23" i="11"/>
  <c r="CE23" i="11"/>
  <c r="ES23" i="11" s="1"/>
  <c r="FY23" i="11" s="1"/>
  <c r="BO26" i="11"/>
  <c r="AY25" i="9"/>
  <c r="AY17" i="9"/>
  <c r="AY15" i="9"/>
  <c r="AY27" i="9"/>
  <c r="AY23" i="9"/>
  <c r="AY19" i="9"/>
  <c r="AY26" i="9"/>
  <c r="AY22" i="9"/>
  <c r="AY18" i="9"/>
  <c r="AY21" i="9"/>
  <c r="AY28" i="9"/>
  <c r="AY24" i="9"/>
  <c r="AY20" i="9"/>
  <c r="CE17" i="8"/>
  <c r="CE25" i="8"/>
  <c r="LU16" i="10"/>
  <c r="LU17" i="10"/>
  <c r="LU18" i="10"/>
  <c r="LU19" i="10"/>
  <c r="LU20" i="10"/>
  <c r="LU21" i="10"/>
  <c r="LU22" i="10"/>
  <c r="LU23" i="10"/>
  <c r="LU24" i="10"/>
  <c r="LU25" i="10"/>
  <c r="LU15" i="10"/>
  <c r="JE16" i="10"/>
  <c r="JT16" i="10" s="1"/>
  <c r="IO16" i="10"/>
  <c r="IO17" i="10"/>
  <c r="IO18" i="10"/>
  <c r="IO19" i="10"/>
  <c r="IO20" i="10"/>
  <c r="IO21" i="10"/>
  <c r="IO22" i="10"/>
  <c r="IO23" i="10"/>
  <c r="IO24" i="10"/>
  <c r="IO25" i="10"/>
  <c r="IO15" i="10"/>
  <c r="DV16" i="10"/>
  <c r="EL16" i="10" s="1"/>
  <c r="DV17" i="10"/>
  <c r="EL17" i="10" s="1"/>
  <c r="DV18" i="10"/>
  <c r="EL18" i="10" s="1"/>
  <c r="DV19" i="10"/>
  <c r="EL19" i="10" s="1"/>
  <c r="DV20" i="10"/>
  <c r="EL20" i="10" s="1"/>
  <c r="DV21" i="10"/>
  <c r="EL21" i="10" s="1"/>
  <c r="DV22" i="10"/>
  <c r="EL22" i="10" s="1"/>
  <c r="DV23" i="10"/>
  <c r="EL23" i="10" s="1"/>
  <c r="DV24" i="10"/>
  <c r="EL24" i="10" s="1"/>
  <c r="DV25" i="10"/>
  <c r="EL25" i="10" s="1"/>
  <c r="DV15" i="10"/>
  <c r="EL15" i="10" s="1"/>
  <c r="S16" i="10"/>
  <c r="S17" i="10"/>
  <c r="S18" i="10"/>
  <c r="S19" i="10"/>
  <c r="S20" i="10"/>
  <c r="S21" i="10"/>
  <c r="S22" i="10"/>
  <c r="S23" i="10"/>
  <c r="S24" i="10"/>
  <c r="AI25" i="10"/>
  <c r="CE47" i="9" l="1"/>
  <c r="CE55" i="9"/>
  <c r="AI23" i="10"/>
  <c r="S23" i="12"/>
  <c r="S25" i="12"/>
  <c r="AI24" i="10"/>
  <c r="S24" i="12"/>
  <c r="AI22" i="10"/>
  <c r="S22" i="12"/>
  <c r="AI18" i="10"/>
  <c r="S18" i="12"/>
  <c r="AI20" i="10"/>
  <c r="S20" i="12"/>
  <c r="AI16" i="10"/>
  <c r="S16" i="12"/>
  <c r="AI19" i="10"/>
  <c r="S19" i="12"/>
  <c r="AI21" i="10"/>
  <c r="S21" i="12"/>
  <c r="AI17" i="10"/>
  <c r="S17" i="12"/>
  <c r="CE59" i="9"/>
  <c r="CE43" i="9"/>
  <c r="CE58" i="9"/>
  <c r="CE42" i="9"/>
  <c r="CE23" i="8"/>
  <c r="CE19" i="8"/>
  <c r="CE30" i="8"/>
  <c r="CE32" i="8"/>
  <c r="CE46" i="8"/>
  <c r="CE52" i="8"/>
  <c r="CE40" i="9"/>
  <c r="CE20" i="8"/>
  <c r="CE34" i="8"/>
  <c r="CE33" i="8"/>
  <c r="CE35" i="8"/>
  <c r="CE18" i="8"/>
  <c r="CE49" i="8"/>
  <c r="CE36" i="8"/>
  <c r="CE50" i="8"/>
  <c r="CE51" i="8"/>
  <c r="FI24" i="11"/>
  <c r="FI18" i="11"/>
  <c r="FY18" i="11"/>
  <c r="FI26" i="11"/>
  <c r="FY26" i="11"/>
  <c r="CE57" i="9"/>
  <c r="CE56" i="9"/>
  <c r="CE41" i="9"/>
  <c r="CE39" i="8"/>
  <c r="CE24" i="8"/>
  <c r="CE22" i="8"/>
  <c r="CE21" i="8"/>
  <c r="CE53" i="8"/>
  <c r="CE54" i="8"/>
  <c r="CE40" i="8"/>
  <c r="CE38" i="8"/>
  <c r="CE55" i="8"/>
  <c r="BL15" i="8"/>
  <c r="CE37" i="8"/>
  <c r="FI19" i="11"/>
  <c r="FI27" i="11"/>
  <c r="FI25" i="11"/>
  <c r="FI23" i="11"/>
  <c r="FI22" i="11"/>
  <c r="FI17" i="11"/>
  <c r="FI15" i="11"/>
  <c r="FI20" i="11"/>
  <c r="FI21" i="11"/>
  <c r="FI16" i="11"/>
  <c r="CE50" i="9"/>
  <c r="CE37" i="9"/>
  <c r="CE33" i="9"/>
  <c r="CE48" i="9"/>
  <c r="CE32" i="9"/>
  <c r="CE49" i="9"/>
  <c r="CE29" i="9"/>
  <c r="CE45" i="9"/>
  <c r="CE44" i="9"/>
  <c r="CE30" i="9"/>
  <c r="CE46" i="9"/>
  <c r="CE28" i="8"/>
  <c r="CE16" i="8"/>
  <c r="CE15" i="8"/>
  <c r="CE27" i="8"/>
  <c r="CE29" i="8"/>
  <c r="CE45" i="8"/>
  <c r="CE31" i="8"/>
  <c r="CE47" i="8"/>
  <c r="CE48" i="8"/>
  <c r="CE41" i="8"/>
  <c r="CE57" i="8"/>
  <c r="CE43" i="8"/>
  <c r="CE59" i="8"/>
  <c r="CE44" i="8"/>
  <c r="CE26" i="8"/>
  <c r="CE42" i="8"/>
  <c r="CE58" i="8"/>
  <c r="MK16" i="10"/>
  <c r="MK23" i="10"/>
  <c r="MK19" i="10"/>
  <c r="MK20" i="10"/>
  <c r="MK15" i="10"/>
  <c r="S15" i="12"/>
  <c r="MK22" i="10"/>
  <c r="MK18" i="10"/>
  <c r="MK24" i="10"/>
  <c r="MK25" i="10"/>
  <c r="MK21" i="10"/>
  <c r="MK17" i="10"/>
  <c r="FR15" i="12"/>
  <c r="GH15" i="12"/>
  <c r="BO21" i="9"/>
  <c r="CE21" i="9"/>
  <c r="BO19" i="9"/>
  <c r="CE19" i="9"/>
  <c r="BO17" i="9"/>
  <c r="CE17" i="9"/>
  <c r="BO20" i="9"/>
  <c r="CE20" i="9"/>
  <c r="BO18" i="9"/>
  <c r="CE18" i="9"/>
  <c r="BO23" i="9"/>
  <c r="CE23" i="9"/>
  <c r="BO25" i="9"/>
  <c r="CE25" i="9"/>
  <c r="BO24" i="9"/>
  <c r="CE24" i="9"/>
  <c r="BO22" i="9"/>
  <c r="CE22" i="9"/>
  <c r="BO27" i="9"/>
  <c r="CE27" i="9"/>
  <c r="BO28" i="9"/>
  <c r="CE28" i="9"/>
  <c r="BO26" i="9"/>
  <c r="CE26" i="9"/>
  <c r="BO15" i="9"/>
  <c r="CE15" i="9"/>
  <c r="NA15" i="10"/>
  <c r="NA24" i="10"/>
  <c r="NA23" i="10"/>
  <c r="NA22" i="10"/>
  <c r="NA21" i="10"/>
  <c r="NA20" i="10"/>
  <c r="NA19" i="10"/>
  <c r="NA25" i="10"/>
  <c r="NA18" i="10"/>
  <c r="NA17" i="10"/>
  <c r="NA16" i="10"/>
  <c r="KJ16" i="10"/>
  <c r="JE15" i="10"/>
  <c r="JE25" i="10"/>
  <c r="JE24" i="10"/>
  <c r="JE23" i="10"/>
  <c r="JE22" i="10"/>
  <c r="JE21" i="10"/>
  <c r="JE20" i="10"/>
  <c r="JE19" i="10"/>
  <c r="JE18" i="10"/>
  <c r="JE17" i="10"/>
  <c r="FB15" i="10"/>
  <c r="GH15" i="10" s="1"/>
  <c r="FB25" i="10"/>
  <c r="GH25" i="10" s="1"/>
  <c r="FB24" i="10"/>
  <c r="FB23" i="10"/>
  <c r="FB22" i="10"/>
  <c r="FB21" i="10"/>
  <c r="FB20" i="10"/>
  <c r="FB19" i="10"/>
  <c r="FB18" i="10"/>
  <c r="FB17" i="10"/>
  <c r="FB16" i="10"/>
  <c r="AY15" i="10"/>
  <c r="AY23" i="10"/>
  <c r="AI15" i="10"/>
  <c r="AY22" i="10"/>
  <c r="AY25" i="10"/>
  <c r="AY24" i="10"/>
  <c r="CE24" i="10" s="1"/>
  <c r="AY21" i="10"/>
  <c r="AY20" i="10"/>
  <c r="AY19" i="10"/>
  <c r="AY18" i="10"/>
  <c r="AY17" i="10"/>
  <c r="AY16" i="10"/>
  <c r="AI16" i="14"/>
  <c r="AI17" i="14"/>
  <c r="AI18" i="14"/>
  <c r="AI19" i="14"/>
  <c r="AI20" i="14"/>
  <c r="AI21" i="14"/>
  <c r="AI22" i="14"/>
  <c r="AI23" i="14"/>
  <c r="AI24" i="14"/>
  <c r="AI25" i="14"/>
  <c r="AI28" i="14"/>
  <c r="AI29" i="14"/>
  <c r="AI30" i="14"/>
  <c r="AI31" i="14"/>
  <c r="AI32" i="14"/>
  <c r="AI33" i="14"/>
  <c r="AI34" i="14"/>
  <c r="AI35" i="14"/>
  <c r="AI36" i="14"/>
  <c r="AI37" i="14"/>
  <c r="AI38" i="14"/>
  <c r="AI39" i="14"/>
  <c r="AI40" i="14"/>
  <c r="AI41" i="14"/>
  <c r="AI42" i="14"/>
  <c r="AI43" i="14"/>
  <c r="AI44" i="14"/>
  <c r="AI45" i="14"/>
  <c r="AI46" i="14"/>
  <c r="AI47" i="14"/>
  <c r="AI48" i="14"/>
  <c r="AI49" i="14"/>
  <c r="AI50" i="14"/>
  <c r="AI51" i="14"/>
  <c r="AI52" i="14"/>
  <c r="AI53" i="14"/>
  <c r="AI54" i="14"/>
  <c r="AI55" i="14"/>
  <c r="AI56" i="14"/>
  <c r="AI57" i="14"/>
  <c r="AI58" i="14"/>
  <c r="AI59" i="14"/>
  <c r="AI60" i="14"/>
  <c r="AI61" i="14"/>
  <c r="AI62" i="14"/>
  <c r="AI63" i="14"/>
  <c r="AI64" i="14"/>
  <c r="AI65" i="14"/>
  <c r="AI66" i="14"/>
  <c r="AI67" i="14"/>
  <c r="AI68" i="14"/>
  <c r="AI69" i="14"/>
  <c r="AI70" i="14"/>
  <c r="AI71" i="14"/>
  <c r="AI72" i="14"/>
  <c r="AI73" i="14"/>
  <c r="AI74" i="14"/>
  <c r="AI75" i="14"/>
  <c r="AI76" i="14"/>
  <c r="AI77" i="14"/>
  <c r="AI78" i="14"/>
  <c r="AI79" i="14"/>
  <c r="AI80" i="14"/>
  <c r="AI81" i="14"/>
  <c r="AI82" i="14"/>
  <c r="AI15" i="14"/>
  <c r="AY21" i="14"/>
  <c r="AY29" i="14"/>
  <c r="AY33" i="14"/>
  <c r="AY37" i="14"/>
  <c r="AY41" i="14"/>
  <c r="AY44" i="14"/>
  <c r="AY45" i="14"/>
  <c r="AY46" i="14"/>
  <c r="AY47" i="14"/>
  <c r="AY48" i="14"/>
  <c r="AY49" i="14"/>
  <c r="AY50" i="14"/>
  <c r="AY51" i="14"/>
  <c r="AY52" i="14"/>
  <c r="AY53" i="14"/>
  <c r="AY54" i="14"/>
  <c r="AY55" i="14"/>
  <c r="AY56" i="14"/>
  <c r="AY57" i="14"/>
  <c r="AY58" i="14"/>
  <c r="AY59" i="14"/>
  <c r="AY60" i="14"/>
  <c r="AY61" i="14"/>
  <c r="AY62" i="14"/>
  <c r="AY63" i="14"/>
  <c r="AY64" i="14"/>
  <c r="AY65" i="14"/>
  <c r="AY66" i="14"/>
  <c r="AY67" i="14"/>
  <c r="AY68" i="14"/>
  <c r="AY69" i="14"/>
  <c r="AY70" i="14"/>
  <c r="AY71" i="14"/>
  <c r="AY72" i="14"/>
  <c r="AY73" i="14"/>
  <c r="AY74" i="14"/>
  <c r="AY75" i="14"/>
  <c r="AY76" i="14"/>
  <c r="AY77" i="14"/>
  <c r="AY78" i="14"/>
  <c r="AY79" i="14"/>
  <c r="AY80" i="14"/>
  <c r="AY81" i="14"/>
  <c r="AY82" i="14"/>
  <c r="AY18" i="14"/>
  <c r="CE23" i="10" l="1"/>
  <c r="CE18" i="10"/>
  <c r="CE19" i="10"/>
  <c r="CE22" i="10"/>
  <c r="CE17" i="10"/>
  <c r="AI18" i="12"/>
  <c r="AY18" i="12"/>
  <c r="BO18" i="12" s="1"/>
  <c r="AI17" i="12"/>
  <c r="AY17" i="12"/>
  <c r="AI19" i="12"/>
  <c r="AY19" i="12"/>
  <c r="BO19" i="12" s="1"/>
  <c r="AI20" i="12"/>
  <c r="AY20" i="12"/>
  <c r="BO20" i="12" s="1"/>
  <c r="AI25" i="12"/>
  <c r="AY25" i="12"/>
  <c r="BO25" i="12" s="1"/>
  <c r="AI24" i="12"/>
  <c r="AY24" i="12"/>
  <c r="BO24" i="12" s="1"/>
  <c r="AI22" i="12"/>
  <c r="AY22" i="12"/>
  <c r="BO22" i="12" s="1"/>
  <c r="AY23" i="12"/>
  <c r="AI23" i="12"/>
  <c r="AI21" i="12"/>
  <c r="AY21" i="12"/>
  <c r="AI16" i="12"/>
  <c r="AY16" i="12"/>
  <c r="AY25" i="14"/>
  <c r="AY17" i="14"/>
  <c r="AY40" i="14"/>
  <c r="BO40" i="14" s="1"/>
  <c r="AY36" i="14"/>
  <c r="BO36" i="14" s="1"/>
  <c r="AY32" i="14"/>
  <c r="CE32" i="14" s="1"/>
  <c r="AY28" i="14"/>
  <c r="BO28" i="14" s="1"/>
  <c r="AY24" i="14"/>
  <c r="AY20" i="14"/>
  <c r="CE20" i="14" s="1"/>
  <c r="AY16" i="14"/>
  <c r="BO16" i="14" s="1"/>
  <c r="AY15" i="14"/>
  <c r="BO15" i="14" s="1"/>
  <c r="AY43" i="14"/>
  <c r="BO43" i="14" s="1"/>
  <c r="AY39" i="14"/>
  <c r="BO39" i="14" s="1"/>
  <c r="AY35" i="14"/>
  <c r="BO35" i="14" s="1"/>
  <c r="AY31" i="14"/>
  <c r="BO31" i="14" s="1"/>
  <c r="AY23" i="14"/>
  <c r="CE23" i="14" s="1"/>
  <c r="AY19" i="14"/>
  <c r="BO19" i="14" s="1"/>
  <c r="AY42" i="14"/>
  <c r="BO42" i="14" s="1"/>
  <c r="AY38" i="14"/>
  <c r="BO38" i="14" s="1"/>
  <c r="AY34" i="14"/>
  <c r="CE34" i="14" s="1"/>
  <c r="AY30" i="14"/>
  <c r="CE30" i="14" s="1"/>
  <c r="AY22" i="14"/>
  <c r="BO22" i="14" s="1"/>
  <c r="OG18" i="10"/>
  <c r="OG15" i="10"/>
  <c r="BO73" i="14"/>
  <c r="CE73" i="14"/>
  <c r="BO61" i="14"/>
  <c r="CE61" i="14"/>
  <c r="BO49" i="14"/>
  <c r="CE49" i="14"/>
  <c r="BO37" i="14"/>
  <c r="CE37" i="14"/>
  <c r="BO68" i="14"/>
  <c r="CE68" i="14"/>
  <c r="BO52" i="14"/>
  <c r="CE52" i="14"/>
  <c r="BO77" i="14"/>
  <c r="CE77" i="14"/>
  <c r="BO69" i="14"/>
  <c r="CE69" i="14"/>
  <c r="BO57" i="14"/>
  <c r="CE57" i="14"/>
  <c r="BO45" i="14"/>
  <c r="CE45" i="14"/>
  <c r="BO33" i="14"/>
  <c r="CE33" i="14"/>
  <c r="BO80" i="14"/>
  <c r="CE80" i="14"/>
  <c r="BO72" i="14"/>
  <c r="CE72" i="14"/>
  <c r="BO60" i="14"/>
  <c r="CE60" i="14"/>
  <c r="BO48" i="14"/>
  <c r="CE48" i="14"/>
  <c r="CE40" i="14"/>
  <c r="BO79" i="14"/>
  <c r="CE79" i="14"/>
  <c r="BO75" i="14"/>
  <c r="CE75" i="14"/>
  <c r="BO71" i="14"/>
  <c r="CE71" i="14"/>
  <c r="BO67" i="14"/>
  <c r="CE67" i="14"/>
  <c r="BO63" i="14"/>
  <c r="CE63" i="14"/>
  <c r="BO59" i="14"/>
  <c r="CE59" i="14"/>
  <c r="BO55" i="14"/>
  <c r="CE55" i="14"/>
  <c r="BO51" i="14"/>
  <c r="CE51" i="14"/>
  <c r="BO47" i="14"/>
  <c r="CE47" i="14"/>
  <c r="CE43" i="14"/>
  <c r="BO81" i="14"/>
  <c r="CE81" i="14"/>
  <c r="BO65" i="14"/>
  <c r="CE65" i="14"/>
  <c r="BO53" i="14"/>
  <c r="CE53" i="14"/>
  <c r="BO41" i="14"/>
  <c r="CE41" i="14"/>
  <c r="BO29" i="14"/>
  <c r="CE29" i="14"/>
  <c r="BO76" i="14"/>
  <c r="CE76" i="14"/>
  <c r="BO64" i="14"/>
  <c r="CE64" i="14"/>
  <c r="BO56" i="14"/>
  <c r="CE56" i="14"/>
  <c r="BO44" i="14"/>
  <c r="CE44" i="14"/>
  <c r="BO82" i="14"/>
  <c r="CE82" i="14"/>
  <c r="BO78" i="14"/>
  <c r="CE78" i="14"/>
  <c r="BO74" i="14"/>
  <c r="CE74" i="14"/>
  <c r="BO70" i="14"/>
  <c r="CE70" i="14"/>
  <c r="BO66" i="14"/>
  <c r="CE66" i="14"/>
  <c r="BO62" i="14"/>
  <c r="CE62" i="14"/>
  <c r="BO58" i="14"/>
  <c r="CE58" i="14"/>
  <c r="BO54" i="14"/>
  <c r="CE54" i="14"/>
  <c r="BO50" i="14"/>
  <c r="CE50" i="14"/>
  <c r="BO46" i="14"/>
  <c r="CE46" i="14"/>
  <c r="OG22" i="10"/>
  <c r="NQ25" i="10"/>
  <c r="OG25" i="10"/>
  <c r="NQ22" i="10"/>
  <c r="NQ15" i="10"/>
  <c r="NQ16" i="10"/>
  <c r="OG16" i="10"/>
  <c r="NQ19" i="10"/>
  <c r="OG19" i="10"/>
  <c r="NQ20" i="10"/>
  <c r="OG20" i="10"/>
  <c r="NQ21" i="10"/>
  <c r="OG21" i="10"/>
  <c r="NQ24" i="10"/>
  <c r="OG24" i="10"/>
  <c r="NQ18" i="10"/>
  <c r="AI15" i="12"/>
  <c r="AY15" i="12"/>
  <c r="NQ17" i="10"/>
  <c r="OG17" i="10"/>
  <c r="NQ23" i="10"/>
  <c r="OG23" i="10"/>
  <c r="JT18" i="10"/>
  <c r="KJ18" i="10"/>
  <c r="JT19" i="10"/>
  <c r="KJ19" i="10"/>
  <c r="JT20" i="10"/>
  <c r="KJ20" i="10"/>
  <c r="JT21" i="10"/>
  <c r="KJ21" i="10"/>
  <c r="JT22" i="10"/>
  <c r="KJ22" i="10"/>
  <c r="JT23" i="10"/>
  <c r="KJ23" i="10"/>
  <c r="JT24" i="10"/>
  <c r="KJ24" i="10"/>
  <c r="JT25" i="10"/>
  <c r="KJ25" i="10"/>
  <c r="JT15" i="10"/>
  <c r="KJ15" i="10"/>
  <c r="JT17" i="10"/>
  <c r="KJ17" i="10"/>
  <c r="FR25" i="10"/>
  <c r="FR18" i="10"/>
  <c r="GH18" i="10"/>
  <c r="FR24" i="10"/>
  <c r="GH24" i="10"/>
  <c r="FR20" i="10"/>
  <c r="GH20" i="10"/>
  <c r="FR22" i="10"/>
  <c r="GH22" i="10"/>
  <c r="FR17" i="10"/>
  <c r="GH17" i="10"/>
  <c r="FR23" i="10"/>
  <c r="GH23" i="10"/>
  <c r="FR19" i="10"/>
  <c r="GH19" i="10"/>
  <c r="FR21" i="10"/>
  <c r="GH21" i="10"/>
  <c r="FR15" i="10"/>
  <c r="FR16" i="10"/>
  <c r="GH16" i="10"/>
  <c r="BO18" i="10"/>
  <c r="BO22" i="10"/>
  <c r="BO17" i="10"/>
  <c r="BO21" i="10"/>
  <c r="CE21" i="10"/>
  <c r="BO19" i="10"/>
  <c r="BO24" i="10"/>
  <c r="BO15" i="10"/>
  <c r="CE15" i="10"/>
  <c r="BO16" i="10"/>
  <c r="CE16" i="10"/>
  <c r="BO23" i="10"/>
  <c r="BO20" i="10"/>
  <c r="CE20" i="10"/>
  <c r="BO25" i="10"/>
  <c r="CE25" i="10"/>
  <c r="BO25" i="14"/>
  <c r="CE25" i="14"/>
  <c r="BO24" i="14"/>
  <c r="CE24" i="14"/>
  <c r="BO21" i="14"/>
  <c r="CE21" i="14"/>
  <c r="BO18" i="14"/>
  <c r="CE18" i="14"/>
  <c r="BO17" i="14"/>
  <c r="CE17" i="14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15" i="1"/>
  <c r="BO15" i="1" s="1"/>
  <c r="CE16" i="12" l="1"/>
  <c r="CE21" i="12"/>
  <c r="BO16" i="12"/>
  <c r="CE23" i="12"/>
  <c r="CE17" i="12"/>
  <c r="CE25" i="12"/>
  <c r="CE20" i="12"/>
  <c r="CE19" i="12"/>
  <c r="BO21" i="12"/>
  <c r="BO23" i="12"/>
  <c r="CE22" i="12"/>
  <c r="CE24" i="12"/>
  <c r="BO17" i="12"/>
  <c r="CE18" i="12"/>
  <c r="CE22" i="14"/>
  <c r="CE38" i="14"/>
  <c r="CE36" i="14"/>
  <c r="BO20" i="14"/>
  <c r="BO34" i="14"/>
  <c r="BO23" i="14"/>
  <c r="CE39" i="14"/>
  <c r="CE15" i="14"/>
  <c r="CE28" i="14"/>
  <c r="CE42" i="14"/>
  <c r="CE31" i="14"/>
  <c r="BO30" i="14"/>
  <c r="BO32" i="14"/>
  <c r="CE16" i="14"/>
  <c r="CE19" i="14"/>
  <c r="CE35" i="14"/>
  <c r="CE15" i="12"/>
  <c r="BO15" i="12"/>
  <c r="BO34" i="1"/>
  <c r="BO16" i="1"/>
  <c r="BO17" i="1"/>
  <c r="BO18" i="1"/>
  <c r="BO19" i="1"/>
  <c r="BO20" i="1"/>
  <c r="BO21" i="1"/>
  <c r="BO22" i="1"/>
  <c r="BO23" i="1"/>
  <c r="BO24" i="1"/>
  <c r="BO25" i="1"/>
  <c r="BO27" i="1"/>
  <c r="BO28" i="1"/>
  <c r="BO29" i="1"/>
  <c r="BO31" i="1"/>
  <c r="BO32" i="1"/>
  <c r="BO33" i="1"/>
  <c r="BO35" i="1"/>
  <c r="AI15" i="1"/>
  <c r="CE15" i="1" s="1"/>
  <c r="AI16" i="1"/>
  <c r="AI17" i="1"/>
  <c r="AI18" i="1"/>
  <c r="AI19" i="1"/>
  <c r="AI20" i="1"/>
  <c r="AI21" i="1"/>
  <c r="AI22" i="1"/>
  <c r="AI23" i="1"/>
  <c r="AI24" i="1"/>
  <c r="AI25" i="1"/>
  <c r="AI26" i="1"/>
  <c r="CE26" i="1" s="1"/>
  <c r="AI27" i="1"/>
  <c r="AI28" i="1"/>
  <c r="AI29" i="1"/>
  <c r="AI30" i="1"/>
  <c r="CE30" i="1" s="1"/>
  <c r="AI31" i="1"/>
  <c r="AI32" i="1"/>
  <c r="CE32" i="1" s="1"/>
  <c r="AI33" i="1"/>
  <c r="CE33" i="1" s="1"/>
  <c r="AI34" i="1"/>
  <c r="CE34" i="1" s="1"/>
  <c r="AI35" i="1"/>
  <c r="CE35" i="1" s="1"/>
  <c r="CE18" i="1" l="1"/>
  <c r="BO26" i="1"/>
  <c r="CE29" i="1"/>
  <c r="CE25" i="1"/>
  <c r="CE21" i="1"/>
  <c r="CE17" i="1"/>
  <c r="BO30" i="1"/>
  <c r="CE22" i="1"/>
  <c r="CE28" i="1"/>
  <c r="CE24" i="1"/>
  <c r="CE20" i="1"/>
  <c r="CE16" i="1"/>
  <c r="CE31" i="1"/>
  <c r="CE27" i="1"/>
  <c r="CE23" i="1"/>
  <c r="CE19" i="1"/>
  <c r="A15" i="8"/>
  <c r="LS17" i="11" l="1"/>
  <c r="LT17" i="11"/>
  <c r="LU17" i="11"/>
  <c r="LW17" i="11"/>
  <c r="LX17" i="11"/>
  <c r="LY17" i="11"/>
  <c r="LS18" i="11"/>
  <c r="LT18" i="11"/>
  <c r="LU18" i="11"/>
  <c r="LW18" i="11"/>
  <c r="LX18" i="11"/>
  <c r="LY18" i="11"/>
  <c r="LS19" i="11"/>
  <c r="LT19" i="11"/>
  <c r="LU19" i="11"/>
  <c r="LW19" i="11"/>
  <c r="LX19" i="11"/>
  <c r="LY19" i="11"/>
  <c r="LS20" i="11"/>
  <c r="LT20" i="11"/>
  <c r="LU20" i="11"/>
  <c r="LW20" i="11"/>
  <c r="LX20" i="11"/>
  <c r="LY20" i="11"/>
  <c r="LS21" i="11"/>
  <c r="LT21" i="11"/>
  <c r="LU21" i="11"/>
  <c r="LW21" i="11"/>
  <c r="LX21" i="11"/>
  <c r="LY21" i="11"/>
  <c r="LS22" i="11"/>
  <c r="LT22" i="11"/>
  <c r="LU22" i="11"/>
  <c r="LW22" i="11"/>
  <c r="LX22" i="11"/>
  <c r="LY22" i="11"/>
  <c r="LS23" i="11"/>
  <c r="LT23" i="11"/>
  <c r="LU23" i="11"/>
  <c r="LW23" i="11"/>
  <c r="LX23" i="11"/>
  <c r="LY23" i="11"/>
  <c r="LS24" i="11"/>
  <c r="LT24" i="11"/>
  <c r="LU24" i="11"/>
  <c r="LW24" i="11"/>
  <c r="LX24" i="11"/>
  <c r="LY24" i="11"/>
  <c r="LS25" i="11"/>
  <c r="LT25" i="11"/>
  <c r="LU25" i="11"/>
  <c r="LW25" i="11"/>
  <c r="LX25" i="11"/>
  <c r="LY25" i="11"/>
  <c r="LS26" i="11"/>
  <c r="LT26" i="11"/>
  <c r="LU26" i="11"/>
  <c r="LW26" i="11"/>
  <c r="LX26" i="11"/>
  <c r="LY26" i="11"/>
  <c r="LS27" i="11"/>
  <c r="LT27" i="11"/>
  <c r="LU27" i="11"/>
  <c r="LW27" i="11"/>
  <c r="LX27" i="11"/>
  <c r="LY27" i="11"/>
  <c r="DS16" i="11" l="1"/>
  <c r="DT16" i="11"/>
  <c r="DU16" i="11"/>
  <c r="DW16" i="11"/>
  <c r="DX16" i="11"/>
  <c r="DY16" i="11"/>
  <c r="DS17" i="11"/>
  <c r="DT17" i="11"/>
  <c r="DU17" i="11"/>
  <c r="DW17" i="11"/>
  <c r="DX17" i="11"/>
  <c r="DY17" i="11"/>
  <c r="DS18" i="11"/>
  <c r="DT18" i="11"/>
  <c r="DU18" i="11"/>
  <c r="DW18" i="11"/>
  <c r="DX18" i="11"/>
  <c r="DY18" i="11"/>
  <c r="DS19" i="11"/>
  <c r="DT19" i="11"/>
  <c r="DU19" i="11"/>
  <c r="DW19" i="11"/>
  <c r="DX19" i="11"/>
  <c r="DY19" i="11"/>
  <c r="DS20" i="11"/>
  <c r="DT20" i="11"/>
  <c r="DU20" i="11"/>
  <c r="DW20" i="11"/>
  <c r="DX20" i="11"/>
  <c r="DY20" i="11"/>
  <c r="DS21" i="11"/>
  <c r="DT21" i="11"/>
  <c r="DU21" i="11"/>
  <c r="DW21" i="11"/>
  <c r="DX21" i="11"/>
  <c r="DY21" i="11"/>
  <c r="DS22" i="11"/>
  <c r="DT22" i="11"/>
  <c r="DU22" i="11"/>
  <c r="DW22" i="11"/>
  <c r="DX22" i="11"/>
  <c r="DY22" i="11"/>
  <c r="DS23" i="11"/>
  <c r="DT23" i="11"/>
  <c r="DU23" i="11"/>
  <c r="DW23" i="11"/>
  <c r="DX23" i="11"/>
  <c r="DY23" i="11"/>
  <c r="DS24" i="11"/>
  <c r="DT24" i="11"/>
  <c r="DU24" i="11"/>
  <c r="DW24" i="11"/>
  <c r="DX24" i="11"/>
  <c r="DY24" i="11"/>
  <c r="DS25" i="11"/>
  <c r="DT25" i="11"/>
  <c r="DU25" i="11"/>
  <c r="DW25" i="11"/>
  <c r="DX25" i="11"/>
  <c r="DY25" i="11"/>
  <c r="DS26" i="11"/>
  <c r="DT26" i="11"/>
  <c r="DU26" i="11"/>
  <c r="DW26" i="11"/>
  <c r="DX26" i="11"/>
  <c r="DY26" i="11"/>
  <c r="DS27" i="11"/>
  <c r="DT27" i="11"/>
  <c r="DU27" i="11"/>
  <c r="DW27" i="11"/>
  <c r="DX27" i="11"/>
  <c r="DY27" i="11"/>
  <c r="P16" i="11"/>
  <c r="Q16" i="11"/>
  <c r="R16" i="11"/>
  <c r="T16" i="11"/>
  <c r="U16" i="11"/>
  <c r="V16" i="11"/>
  <c r="P17" i="11"/>
  <c r="DS17" i="12" s="1"/>
  <c r="Q17" i="11"/>
  <c r="DT17" i="12" s="1"/>
  <c r="R17" i="11"/>
  <c r="DU17" i="12" s="1"/>
  <c r="T17" i="11"/>
  <c r="DW17" i="12" s="1"/>
  <c r="U17" i="11"/>
  <c r="DX17" i="12" s="1"/>
  <c r="V17" i="11"/>
  <c r="DY17" i="12" s="1"/>
  <c r="P18" i="11"/>
  <c r="DS18" i="12" s="1"/>
  <c r="Q18" i="11"/>
  <c r="DT18" i="12" s="1"/>
  <c r="R18" i="11"/>
  <c r="DU18" i="12" s="1"/>
  <c r="T18" i="11"/>
  <c r="DW18" i="12" s="1"/>
  <c r="U18" i="11"/>
  <c r="DX18" i="12" s="1"/>
  <c r="V18" i="11"/>
  <c r="DY18" i="12" s="1"/>
  <c r="P19" i="11"/>
  <c r="DS19" i="12" s="1"/>
  <c r="Q19" i="11"/>
  <c r="DT19" i="12" s="1"/>
  <c r="R19" i="11"/>
  <c r="DU19" i="12" s="1"/>
  <c r="T19" i="11"/>
  <c r="DW19" i="12" s="1"/>
  <c r="U19" i="11"/>
  <c r="DX19" i="12" s="1"/>
  <c r="V19" i="11"/>
  <c r="DY19" i="12" s="1"/>
  <c r="P20" i="11"/>
  <c r="DS20" i="12" s="1"/>
  <c r="Q20" i="11"/>
  <c r="DT20" i="12" s="1"/>
  <c r="R20" i="11"/>
  <c r="DU20" i="12" s="1"/>
  <c r="T20" i="11"/>
  <c r="DW20" i="12" s="1"/>
  <c r="U20" i="11"/>
  <c r="DX20" i="12" s="1"/>
  <c r="V20" i="11"/>
  <c r="DY20" i="12" s="1"/>
  <c r="P21" i="11"/>
  <c r="DS21" i="12" s="1"/>
  <c r="Q21" i="11"/>
  <c r="DT21" i="12" s="1"/>
  <c r="R21" i="11"/>
  <c r="DU21" i="12" s="1"/>
  <c r="T21" i="11"/>
  <c r="DW21" i="12" s="1"/>
  <c r="U21" i="11"/>
  <c r="DX21" i="12" s="1"/>
  <c r="V21" i="11"/>
  <c r="DY21" i="12" s="1"/>
  <c r="P22" i="11"/>
  <c r="DS22" i="12" s="1"/>
  <c r="Q22" i="11"/>
  <c r="DT22" i="12" s="1"/>
  <c r="R22" i="11"/>
  <c r="DU22" i="12" s="1"/>
  <c r="T22" i="11"/>
  <c r="DW22" i="12" s="1"/>
  <c r="U22" i="11"/>
  <c r="DX22" i="12" s="1"/>
  <c r="V22" i="11"/>
  <c r="DY22" i="12" s="1"/>
  <c r="P23" i="11"/>
  <c r="DS23" i="12" s="1"/>
  <c r="Q23" i="11"/>
  <c r="DT23" i="12" s="1"/>
  <c r="R23" i="11"/>
  <c r="DU23" i="12" s="1"/>
  <c r="T23" i="11"/>
  <c r="DW23" i="12" s="1"/>
  <c r="U23" i="11"/>
  <c r="DX23" i="12" s="1"/>
  <c r="V23" i="11"/>
  <c r="DY23" i="12" s="1"/>
  <c r="P24" i="11"/>
  <c r="DS24" i="12" s="1"/>
  <c r="Q24" i="11"/>
  <c r="DT24" i="12" s="1"/>
  <c r="R24" i="11"/>
  <c r="DU24" i="12" s="1"/>
  <c r="T24" i="11"/>
  <c r="DW24" i="12" s="1"/>
  <c r="U24" i="11"/>
  <c r="DX24" i="12" s="1"/>
  <c r="V24" i="11"/>
  <c r="DY24" i="12" s="1"/>
  <c r="P25" i="11"/>
  <c r="DS25" i="12" s="1"/>
  <c r="Q25" i="11"/>
  <c r="DT25" i="12" s="1"/>
  <c r="R25" i="11"/>
  <c r="DU25" i="12" s="1"/>
  <c r="T25" i="11"/>
  <c r="DW25" i="12" s="1"/>
  <c r="U25" i="11"/>
  <c r="DX25" i="12" s="1"/>
  <c r="V25" i="11"/>
  <c r="DY25" i="12" s="1"/>
  <c r="P26" i="11"/>
  <c r="DS26" i="12" s="1"/>
  <c r="Q26" i="11"/>
  <c r="DT26" i="12" s="1"/>
  <c r="R26" i="11"/>
  <c r="DU26" i="12" s="1"/>
  <c r="T26" i="11"/>
  <c r="DW26" i="12" s="1"/>
  <c r="U26" i="11"/>
  <c r="DX26" i="12" s="1"/>
  <c r="V26" i="11"/>
  <c r="DY26" i="12" s="1"/>
  <c r="P27" i="11"/>
  <c r="DS27" i="12" s="1"/>
  <c r="Q27" i="11"/>
  <c r="DT27" i="12" s="1"/>
  <c r="R27" i="11"/>
  <c r="DU27" i="12" s="1"/>
  <c r="T27" i="11"/>
  <c r="DW27" i="12" s="1"/>
  <c r="U27" i="11"/>
  <c r="DX27" i="12" s="1"/>
  <c r="V27" i="11"/>
  <c r="DY27" i="12" s="1"/>
  <c r="B16" i="11"/>
  <c r="C16" i="11"/>
  <c r="D16" i="11"/>
  <c r="E16" i="11"/>
  <c r="B17" i="11"/>
  <c r="C17" i="11"/>
  <c r="D17" i="11"/>
  <c r="E17" i="11"/>
  <c r="B18" i="11"/>
  <c r="C18" i="11"/>
  <c r="D18" i="11"/>
  <c r="E18" i="11"/>
  <c r="B19" i="11"/>
  <c r="C19" i="11"/>
  <c r="D19" i="11"/>
  <c r="E19" i="11"/>
  <c r="B20" i="11"/>
  <c r="C20" i="11"/>
  <c r="D20" i="11"/>
  <c r="E20" i="11"/>
  <c r="B21" i="11"/>
  <c r="C21" i="11"/>
  <c r="D21" i="11"/>
  <c r="E21" i="11"/>
  <c r="B22" i="11"/>
  <c r="C22" i="11"/>
  <c r="D22" i="11"/>
  <c r="E22" i="11"/>
  <c r="B23" i="11"/>
  <c r="C23" i="11"/>
  <c r="D23" i="11"/>
  <c r="E23" i="11"/>
  <c r="B24" i="11"/>
  <c r="C24" i="11"/>
  <c r="D24" i="11"/>
  <c r="E24" i="11"/>
  <c r="B25" i="11"/>
  <c r="C25" i="11"/>
  <c r="D25" i="11"/>
  <c r="E25" i="11"/>
  <c r="B26" i="11"/>
  <c r="C26" i="11"/>
  <c r="D26" i="11"/>
  <c r="E26" i="11"/>
  <c r="B27" i="11"/>
  <c r="C27" i="11"/>
  <c r="D27" i="11"/>
  <c r="E27" i="11"/>
  <c r="DG23" i="11" l="1"/>
  <c r="D23" i="12"/>
  <c r="EY19" i="12"/>
  <c r="FO19" i="12"/>
  <c r="EI19" i="12"/>
  <c r="DF26" i="11"/>
  <c r="C26" i="12"/>
  <c r="DF17" i="11"/>
  <c r="C17" i="12"/>
  <c r="EO26" i="12"/>
  <c r="FE26" i="12"/>
  <c r="EO24" i="12"/>
  <c r="FE24" i="12"/>
  <c r="EO22" i="12"/>
  <c r="FE22" i="12"/>
  <c r="GK22" i="12" s="1"/>
  <c r="FU22" i="12"/>
  <c r="FE20" i="12"/>
  <c r="FU20" i="12" s="1"/>
  <c r="EO20" i="12"/>
  <c r="FE18" i="12"/>
  <c r="GK18" i="12" s="1"/>
  <c r="EO18" i="12"/>
  <c r="FU18" i="12"/>
  <c r="DE20" i="11"/>
  <c r="B20" i="12"/>
  <c r="B17" i="12"/>
  <c r="DE17" i="11"/>
  <c r="EN26" i="12"/>
  <c r="FD26" i="12"/>
  <c r="GJ26" i="12" s="1"/>
  <c r="FD24" i="12"/>
  <c r="FT24" i="12"/>
  <c r="EN24" i="12"/>
  <c r="FD22" i="12"/>
  <c r="EN22" i="12"/>
  <c r="FD20" i="12"/>
  <c r="EN20" i="12"/>
  <c r="FT20" i="12"/>
  <c r="EN18" i="12"/>
  <c r="FD18" i="12"/>
  <c r="GJ18" i="12" s="1"/>
  <c r="EY21" i="12"/>
  <c r="FO21" i="12" s="1"/>
  <c r="EI21" i="12"/>
  <c r="C23" i="12"/>
  <c r="DF23" i="11"/>
  <c r="E16" i="12"/>
  <c r="EM26" i="12"/>
  <c r="FC26" i="12"/>
  <c r="GI26" i="12" s="1"/>
  <c r="FC24" i="12"/>
  <c r="FS24" i="12" s="1"/>
  <c r="EM24" i="12"/>
  <c r="FC22" i="12"/>
  <c r="EM22" i="12"/>
  <c r="FC20" i="12"/>
  <c r="EM20" i="12"/>
  <c r="FS20" i="12"/>
  <c r="FC18" i="12"/>
  <c r="EM18" i="12"/>
  <c r="EI23" i="12"/>
  <c r="EY23" i="12"/>
  <c r="FO23" i="12" s="1"/>
  <c r="D22" i="12"/>
  <c r="DG22" i="11"/>
  <c r="FA26" i="12"/>
  <c r="EK26" i="12"/>
  <c r="FQ26" i="12"/>
  <c r="FA24" i="12"/>
  <c r="FQ24" i="12"/>
  <c r="EK24" i="12"/>
  <c r="EK22" i="12"/>
  <c r="FA22" i="12"/>
  <c r="FQ22" i="12"/>
  <c r="FQ20" i="12"/>
  <c r="EK20" i="12"/>
  <c r="FA20" i="12"/>
  <c r="FQ18" i="12"/>
  <c r="FA18" i="12"/>
  <c r="EK18" i="12"/>
  <c r="EI25" i="12"/>
  <c r="EY25" i="12"/>
  <c r="FO25" i="12" s="1"/>
  <c r="DF20" i="11"/>
  <c r="C20" i="12"/>
  <c r="E22" i="12"/>
  <c r="DF22" i="11"/>
  <c r="C22" i="12"/>
  <c r="DF19" i="11"/>
  <c r="C19" i="12"/>
  <c r="DF16" i="11"/>
  <c r="C16" i="12"/>
  <c r="EJ26" i="12"/>
  <c r="EZ26" i="12"/>
  <c r="FP26" i="12"/>
  <c r="EJ24" i="12"/>
  <c r="EZ24" i="12"/>
  <c r="FP24" i="12" s="1"/>
  <c r="EZ22" i="12"/>
  <c r="EJ22" i="12"/>
  <c r="FP22" i="12"/>
  <c r="EJ20" i="12"/>
  <c r="EZ20" i="12"/>
  <c r="EZ18" i="12"/>
  <c r="GF18" i="12" s="1"/>
  <c r="EJ18" i="12"/>
  <c r="E19" i="12"/>
  <c r="DE22" i="11"/>
  <c r="B22" i="12"/>
  <c r="DE19" i="11"/>
  <c r="B19" i="12"/>
  <c r="DE16" i="11"/>
  <c r="B16" i="12"/>
  <c r="EI26" i="12"/>
  <c r="EY26" i="12"/>
  <c r="EI24" i="12"/>
  <c r="EY24" i="12"/>
  <c r="EI22" i="12"/>
  <c r="FO22" i="12"/>
  <c r="EY22" i="12"/>
  <c r="FO20" i="12"/>
  <c r="EY20" i="12"/>
  <c r="EI20" i="12"/>
  <c r="EI18" i="12"/>
  <c r="EY18" i="12"/>
  <c r="D19" i="12"/>
  <c r="DG19" i="11"/>
  <c r="E27" i="12"/>
  <c r="E24" i="12"/>
  <c r="E21" i="12"/>
  <c r="E18" i="12"/>
  <c r="EO27" i="12"/>
  <c r="FE27" i="12"/>
  <c r="GK27" i="12" s="1"/>
  <c r="FU25" i="12"/>
  <c r="EO25" i="12"/>
  <c r="FE25" i="12"/>
  <c r="EO23" i="12"/>
  <c r="FE23" i="12"/>
  <c r="FE21" i="12"/>
  <c r="GK21" i="12" s="1"/>
  <c r="EO21" i="12"/>
  <c r="FE19" i="12"/>
  <c r="FU19" i="12"/>
  <c r="EO19" i="12"/>
  <c r="EO17" i="12"/>
  <c r="FE17" i="12"/>
  <c r="DG26" i="11"/>
  <c r="D26" i="12"/>
  <c r="B23" i="12"/>
  <c r="DE23" i="11"/>
  <c r="DF25" i="11"/>
  <c r="C25" i="12"/>
  <c r="DG21" i="11"/>
  <c r="D21" i="12"/>
  <c r="DG18" i="11"/>
  <c r="D18" i="12"/>
  <c r="FD27" i="12"/>
  <c r="EN27" i="12"/>
  <c r="FT27" i="12"/>
  <c r="EN25" i="12"/>
  <c r="FD25" i="12"/>
  <c r="EN23" i="12"/>
  <c r="FD23" i="12"/>
  <c r="GJ23" i="12" s="1"/>
  <c r="FD21" i="12"/>
  <c r="FT21" i="12" s="1"/>
  <c r="EN21" i="12"/>
  <c r="EN19" i="12"/>
  <c r="FT19" i="12"/>
  <c r="FD19" i="12"/>
  <c r="EN17" i="12"/>
  <c r="FD17" i="12"/>
  <c r="DG17" i="11"/>
  <c r="D17" i="12"/>
  <c r="DG25" i="11"/>
  <c r="D25" i="12"/>
  <c r="DG27" i="11"/>
  <c r="D27" i="12"/>
  <c r="C18" i="12"/>
  <c r="DF18" i="11"/>
  <c r="FS25" i="12"/>
  <c r="EM25" i="12"/>
  <c r="FC25" i="12"/>
  <c r="FS23" i="12"/>
  <c r="EM23" i="12"/>
  <c r="FC23" i="12"/>
  <c r="EM21" i="12"/>
  <c r="FC21" i="12"/>
  <c r="FS21" i="12" s="1"/>
  <c r="EM19" i="12"/>
  <c r="FC19" i="12"/>
  <c r="FS17" i="12"/>
  <c r="EM17" i="12"/>
  <c r="FC17" i="12"/>
  <c r="EI27" i="12"/>
  <c r="EY27" i="12"/>
  <c r="FO27" i="12" s="1"/>
  <c r="DG16" i="11"/>
  <c r="D16" i="12"/>
  <c r="D24" i="12"/>
  <c r="DG24" i="11"/>
  <c r="DF27" i="11"/>
  <c r="C27" i="12"/>
  <c r="DF21" i="11"/>
  <c r="C21" i="12"/>
  <c r="DE24" i="11"/>
  <c r="B24" i="12"/>
  <c r="DE18" i="11"/>
  <c r="B18" i="12"/>
  <c r="EK25" i="12"/>
  <c r="FA25" i="12"/>
  <c r="FQ25" i="12" s="1"/>
  <c r="EK21" i="12"/>
  <c r="FA21" i="12"/>
  <c r="FQ19" i="12"/>
  <c r="EK19" i="12"/>
  <c r="FA19" i="12"/>
  <c r="FA17" i="12"/>
  <c r="GG17" i="12" s="1"/>
  <c r="FQ17" i="12"/>
  <c r="EK17" i="12"/>
  <c r="DG20" i="11"/>
  <c r="D20" i="12"/>
  <c r="EI17" i="12"/>
  <c r="EY17" i="12"/>
  <c r="DE26" i="11"/>
  <c r="B26" i="12"/>
  <c r="E25" i="12"/>
  <c r="DE25" i="11"/>
  <c r="B25" i="12"/>
  <c r="DF24" i="11"/>
  <c r="C24" i="12"/>
  <c r="EM27" i="12"/>
  <c r="FC27" i="12"/>
  <c r="FS27" i="12"/>
  <c r="DE27" i="11"/>
  <c r="B27" i="12"/>
  <c r="DE21" i="11"/>
  <c r="B21" i="12"/>
  <c r="EK27" i="12"/>
  <c r="FA27" i="12"/>
  <c r="FQ27" i="12"/>
  <c r="EK23" i="12"/>
  <c r="FA23" i="12"/>
  <c r="GG23" i="12" s="1"/>
  <c r="E26" i="12"/>
  <c r="E23" i="12"/>
  <c r="E20" i="12"/>
  <c r="E17" i="12"/>
  <c r="EZ27" i="12"/>
  <c r="FP27" i="12" s="1"/>
  <c r="EJ27" i="12"/>
  <c r="EJ25" i="12"/>
  <c r="EZ25" i="12"/>
  <c r="FP25" i="12"/>
  <c r="EJ23" i="12"/>
  <c r="EZ23" i="12"/>
  <c r="GF23" i="12" s="1"/>
  <c r="EJ21" i="12"/>
  <c r="EZ21" i="12"/>
  <c r="GF21" i="12" s="1"/>
  <c r="EZ19" i="12"/>
  <c r="FP19" i="12" s="1"/>
  <c r="EJ19" i="12"/>
  <c r="EZ17" i="12"/>
  <c r="FP17" i="12" s="1"/>
  <c r="EJ17" i="12"/>
  <c r="CJ27" i="11"/>
  <c r="CJ26" i="11"/>
  <c r="CJ25" i="11"/>
  <c r="CJ24" i="11"/>
  <c r="CJ23" i="11"/>
  <c r="CJ22" i="11"/>
  <c r="CJ21" i="11"/>
  <c r="CJ20" i="11"/>
  <c r="CJ19" i="11"/>
  <c r="CJ18" i="11"/>
  <c r="CJ17" i="11"/>
  <c r="CJ16" i="11"/>
  <c r="ON27" i="11"/>
  <c r="OM27" i="11"/>
  <c r="OL27" i="11"/>
  <c r="ON26" i="11"/>
  <c r="OM26" i="11"/>
  <c r="OL26" i="11"/>
  <c r="OM25" i="11"/>
  <c r="ON25" i="11"/>
  <c r="OL25" i="11"/>
  <c r="OM24" i="11"/>
  <c r="ON24" i="11"/>
  <c r="OL24" i="11"/>
  <c r="ON23" i="11"/>
  <c r="OM23" i="11"/>
  <c r="OL23" i="11"/>
  <c r="ON22" i="11"/>
  <c r="OM22" i="11"/>
  <c r="OL22" i="11"/>
  <c r="OM21" i="11"/>
  <c r="ON21" i="11"/>
  <c r="OL21" i="11"/>
  <c r="OM20" i="11"/>
  <c r="ON20" i="11"/>
  <c r="OL20" i="11"/>
  <c r="ON19" i="11"/>
  <c r="OM19" i="11"/>
  <c r="OL19" i="11"/>
  <c r="ON18" i="11"/>
  <c r="OM18" i="11"/>
  <c r="OL18" i="11"/>
  <c r="OM17" i="11"/>
  <c r="ON17" i="11"/>
  <c r="OL17" i="11"/>
  <c r="OM16" i="11"/>
  <c r="ON16" i="11"/>
  <c r="OL16" i="11"/>
  <c r="KQ26" i="11"/>
  <c r="KO26" i="11"/>
  <c r="KQ24" i="11"/>
  <c r="KO24" i="11"/>
  <c r="KQ22" i="11"/>
  <c r="KO22" i="11"/>
  <c r="KQ20" i="11"/>
  <c r="KO20" i="11"/>
  <c r="KQ19" i="11"/>
  <c r="KO19" i="11"/>
  <c r="KQ16" i="11"/>
  <c r="KO16" i="11"/>
  <c r="KQ27" i="11"/>
  <c r="KO27" i="11"/>
  <c r="KQ25" i="11"/>
  <c r="KO25" i="11"/>
  <c r="KQ23" i="11"/>
  <c r="KO23" i="11"/>
  <c r="KQ21" i="11"/>
  <c r="KO21" i="11"/>
  <c r="KQ18" i="11"/>
  <c r="KO18" i="11"/>
  <c r="KQ17" i="11"/>
  <c r="KO17" i="11"/>
  <c r="CI27" i="11"/>
  <c r="CI22" i="11"/>
  <c r="EW22" i="11" s="1"/>
  <c r="CI18" i="11"/>
  <c r="CI25" i="11"/>
  <c r="CI21" i="11"/>
  <c r="CI19" i="11"/>
  <c r="CI16" i="11"/>
  <c r="CI26" i="11"/>
  <c r="CI24" i="11"/>
  <c r="CI23" i="11"/>
  <c r="CI20" i="11"/>
  <c r="CI17" i="11"/>
  <c r="EW17" i="11" s="1"/>
  <c r="HJ27" i="11"/>
  <c r="HJ26" i="11"/>
  <c r="HJ25" i="11"/>
  <c r="HJ24" i="11"/>
  <c r="HJ23" i="11"/>
  <c r="HJ22" i="11"/>
  <c r="HJ21" i="11"/>
  <c r="HJ20" i="11"/>
  <c r="HJ19" i="11"/>
  <c r="HJ18" i="11"/>
  <c r="HJ17" i="11"/>
  <c r="HJ16" i="11"/>
  <c r="LH27" i="11"/>
  <c r="LH26" i="11"/>
  <c r="LH25" i="11"/>
  <c r="LH24" i="11"/>
  <c r="LH23" i="11"/>
  <c r="LH22" i="11"/>
  <c r="LH21" i="11"/>
  <c r="LH20" i="11"/>
  <c r="LH19" i="11"/>
  <c r="LH18" i="11"/>
  <c r="LH17" i="11"/>
  <c r="LH16" i="11"/>
  <c r="LR16" i="10"/>
  <c r="LS16" i="10"/>
  <c r="LT16" i="10"/>
  <c r="LV16" i="10"/>
  <c r="LW16" i="10"/>
  <c r="LX16" i="10"/>
  <c r="LR17" i="10"/>
  <c r="LS17" i="10"/>
  <c r="LT17" i="10"/>
  <c r="LV17" i="10"/>
  <c r="LW17" i="10"/>
  <c r="LX17" i="10"/>
  <c r="LR18" i="10"/>
  <c r="LS18" i="10"/>
  <c r="LT18" i="10"/>
  <c r="LV18" i="10"/>
  <c r="LW18" i="10"/>
  <c r="LX18" i="10"/>
  <c r="LR19" i="10"/>
  <c r="LS19" i="10"/>
  <c r="LT19" i="10"/>
  <c r="LV19" i="10"/>
  <c r="LW19" i="10"/>
  <c r="LX19" i="10"/>
  <c r="LR20" i="10"/>
  <c r="LS20" i="10"/>
  <c r="LT20" i="10"/>
  <c r="LV20" i="10"/>
  <c r="LW20" i="10"/>
  <c r="LX20" i="10"/>
  <c r="LR21" i="10"/>
  <c r="LS21" i="10"/>
  <c r="LT21" i="10"/>
  <c r="LV21" i="10"/>
  <c r="LW21" i="10"/>
  <c r="LX21" i="10"/>
  <c r="LR22" i="10"/>
  <c r="LS22" i="10"/>
  <c r="LT22" i="10"/>
  <c r="LV22" i="10"/>
  <c r="LW22" i="10"/>
  <c r="LX22" i="10"/>
  <c r="LR23" i="10"/>
  <c r="LS23" i="10"/>
  <c r="LT23" i="10"/>
  <c r="LV23" i="10"/>
  <c r="LW23" i="10"/>
  <c r="LX23" i="10"/>
  <c r="LR24" i="10"/>
  <c r="LS24" i="10"/>
  <c r="LT24" i="10"/>
  <c r="LV24" i="10"/>
  <c r="LW24" i="10"/>
  <c r="LX24" i="10"/>
  <c r="LR25" i="10"/>
  <c r="LS25" i="10"/>
  <c r="LT25" i="10"/>
  <c r="LV25" i="10"/>
  <c r="LW25" i="10"/>
  <c r="LX25" i="10"/>
  <c r="LS15" i="10"/>
  <c r="GK19" i="12" l="1"/>
  <c r="GG26" i="12"/>
  <c r="GG27" i="12"/>
  <c r="GI20" i="12"/>
  <c r="FT26" i="12"/>
  <c r="GK24" i="12"/>
  <c r="GJ17" i="12"/>
  <c r="GK26" i="12"/>
  <c r="GT26" i="12" s="1"/>
  <c r="FT23" i="12"/>
  <c r="GJ19" i="12"/>
  <c r="GJ25" i="12"/>
  <c r="GK25" i="12"/>
  <c r="GF20" i="12"/>
  <c r="GJ22" i="12"/>
  <c r="GF25" i="12"/>
  <c r="GI27" i="12"/>
  <c r="GT27" i="12" s="1"/>
  <c r="GW27" i="12" s="1"/>
  <c r="GI21" i="12"/>
  <c r="FU27" i="12"/>
  <c r="GI22" i="12"/>
  <c r="FU26" i="12"/>
  <c r="GE24" i="12"/>
  <c r="GF17" i="12"/>
  <c r="FQ23" i="12"/>
  <c r="GG25" i="12"/>
  <c r="GJ21" i="12"/>
  <c r="FO24" i="12"/>
  <c r="GE23" i="12"/>
  <c r="GE21" i="12"/>
  <c r="GE18" i="12"/>
  <c r="GE26" i="12"/>
  <c r="GR22" i="12"/>
  <c r="GG22" i="12"/>
  <c r="GJ24" i="12"/>
  <c r="GF27" i="12"/>
  <c r="DB18" i="12"/>
  <c r="LH18" i="12"/>
  <c r="DD18" i="12"/>
  <c r="LJ18" i="12"/>
  <c r="HE18" i="12"/>
  <c r="HG18" i="12"/>
  <c r="GN18" i="12"/>
  <c r="GM18" i="12"/>
  <c r="GR18" i="12"/>
  <c r="GL18" i="12"/>
  <c r="GO18" i="12" s="1"/>
  <c r="GP18" i="12" s="1"/>
  <c r="CI18" i="12"/>
  <c r="GI23" i="12"/>
  <c r="FO18" i="12"/>
  <c r="FO26" i="12"/>
  <c r="FP18" i="12"/>
  <c r="GF26" i="12"/>
  <c r="GI24" i="12"/>
  <c r="FT18" i="12"/>
  <c r="GF19" i="12"/>
  <c r="GS27" i="12"/>
  <c r="LJ25" i="12"/>
  <c r="DB25" i="12"/>
  <c r="HE25" i="12"/>
  <c r="GL25" i="12"/>
  <c r="LH25" i="12"/>
  <c r="HG25" i="12"/>
  <c r="GR25" i="12"/>
  <c r="GN25" i="12"/>
  <c r="GM25" i="12"/>
  <c r="DD25" i="12"/>
  <c r="CI25" i="12"/>
  <c r="GE27" i="12"/>
  <c r="GE25" i="12"/>
  <c r="GK20" i="12"/>
  <c r="GR24" i="12"/>
  <c r="GF24" i="12"/>
  <c r="HE24" i="12"/>
  <c r="DB24" i="12"/>
  <c r="HG24" i="12"/>
  <c r="DD24" i="12"/>
  <c r="LH24" i="12"/>
  <c r="LJ24" i="12"/>
  <c r="GL24" i="12"/>
  <c r="GN24" i="12"/>
  <c r="GQ24" i="12" s="1"/>
  <c r="GM24" i="12"/>
  <c r="CI24" i="12"/>
  <c r="FU21" i="12"/>
  <c r="HE16" i="12"/>
  <c r="DB16" i="12"/>
  <c r="HG16" i="12"/>
  <c r="DD16" i="12"/>
  <c r="LH16" i="12"/>
  <c r="LJ16" i="12"/>
  <c r="GM16" i="12"/>
  <c r="GL16" i="12"/>
  <c r="GN16" i="12"/>
  <c r="CI16" i="12"/>
  <c r="GI18" i="12"/>
  <c r="GG19" i="12"/>
  <c r="GI17" i="12"/>
  <c r="GI25" i="12"/>
  <c r="FT17" i="12"/>
  <c r="HG23" i="12"/>
  <c r="LH23" i="12"/>
  <c r="LJ23" i="12"/>
  <c r="DB23" i="12"/>
  <c r="GR23" i="12"/>
  <c r="GN23" i="12"/>
  <c r="GQ23" i="12" s="1"/>
  <c r="DD23" i="12"/>
  <c r="HE23" i="12"/>
  <c r="GM23" i="12"/>
  <c r="GL23" i="12"/>
  <c r="CI23" i="12"/>
  <c r="GK23" i="12"/>
  <c r="GE20" i="12"/>
  <c r="GG24" i="12"/>
  <c r="FS18" i="12"/>
  <c r="FS26" i="12"/>
  <c r="GS26" i="12" s="1"/>
  <c r="GE17" i="12"/>
  <c r="FP21" i="12"/>
  <c r="LH21" i="12"/>
  <c r="DB21" i="12"/>
  <c r="HG21" i="12"/>
  <c r="LJ21" i="12"/>
  <c r="GN21" i="12"/>
  <c r="GR21" i="12"/>
  <c r="DD21" i="12"/>
  <c r="HE21" i="12"/>
  <c r="GL21" i="12"/>
  <c r="GM21" i="12"/>
  <c r="CI21" i="12"/>
  <c r="FT25" i="12"/>
  <c r="GS25" i="12" s="1"/>
  <c r="DD19" i="12"/>
  <c r="LJ19" i="12"/>
  <c r="HE19" i="12"/>
  <c r="DB19" i="12"/>
  <c r="HG19" i="12"/>
  <c r="LH19" i="12"/>
  <c r="GL19" i="12"/>
  <c r="GO19" i="12" s="1"/>
  <c r="GP19" i="12" s="1"/>
  <c r="GN19" i="12"/>
  <c r="GR19" i="12"/>
  <c r="GM19" i="12"/>
  <c r="CI19" i="12"/>
  <c r="FP20" i="12"/>
  <c r="HE17" i="12"/>
  <c r="DB17" i="12"/>
  <c r="HG17" i="12"/>
  <c r="DD17" i="12"/>
  <c r="LH17" i="12"/>
  <c r="LJ17" i="12"/>
  <c r="GL17" i="12"/>
  <c r="GR17" i="12"/>
  <c r="GN17" i="12"/>
  <c r="GQ17" i="12" s="1"/>
  <c r="GM17" i="12"/>
  <c r="CI17" i="12"/>
  <c r="FP23" i="12"/>
  <c r="LJ26" i="12"/>
  <c r="DB26" i="12"/>
  <c r="DD26" i="12"/>
  <c r="DF26" i="12"/>
  <c r="DG26" i="12"/>
  <c r="HE26" i="12"/>
  <c r="HG26" i="12"/>
  <c r="LH26" i="12"/>
  <c r="GM26" i="12"/>
  <c r="CJ26" i="12"/>
  <c r="CQ26" i="12"/>
  <c r="CT26" i="12" s="1"/>
  <c r="GL26" i="12"/>
  <c r="CP26" i="12"/>
  <c r="GN26" i="12"/>
  <c r="GQ26" i="12" s="1"/>
  <c r="CO26" i="12"/>
  <c r="CR26" i="12" s="1"/>
  <c r="CS26" i="12" s="1"/>
  <c r="GR26" i="12"/>
  <c r="CI26" i="12"/>
  <c r="CL26" i="12" s="1"/>
  <c r="CM26" i="12" s="1"/>
  <c r="CK26" i="12"/>
  <c r="FU23" i="12"/>
  <c r="GE22" i="12"/>
  <c r="GG18" i="12"/>
  <c r="GT18" i="12" s="1"/>
  <c r="GW18" i="12" s="1"/>
  <c r="GJ20" i="12"/>
  <c r="HE20" i="12"/>
  <c r="HG20" i="12"/>
  <c r="DB20" i="12"/>
  <c r="LH20" i="12"/>
  <c r="DD20" i="12"/>
  <c r="LJ20" i="12"/>
  <c r="GS20" i="12"/>
  <c r="GN20" i="12"/>
  <c r="GR20" i="12"/>
  <c r="GL20" i="12"/>
  <c r="GM20" i="12"/>
  <c r="CI20" i="12"/>
  <c r="FU24" i="12"/>
  <c r="GE19" i="12"/>
  <c r="GT19" i="12" s="1"/>
  <c r="GW19" i="12" s="1"/>
  <c r="GT23" i="12"/>
  <c r="GW23" i="12" s="1"/>
  <c r="DB27" i="12"/>
  <c r="HE27" i="12"/>
  <c r="HG27" i="12"/>
  <c r="DF27" i="12"/>
  <c r="GL27" i="12"/>
  <c r="LH27" i="12"/>
  <c r="LJ27" i="12"/>
  <c r="CO27" i="12"/>
  <c r="CI27" i="12"/>
  <c r="CL27" i="12" s="1"/>
  <c r="CM27" i="12" s="1"/>
  <c r="CQ27" i="12"/>
  <c r="CT27" i="12" s="1"/>
  <c r="DG27" i="12"/>
  <c r="GM27" i="12"/>
  <c r="CP27" i="12"/>
  <c r="GQ27" i="12"/>
  <c r="CK27" i="12"/>
  <c r="CN27" i="12" s="1"/>
  <c r="CJ27" i="12"/>
  <c r="DD27" i="12"/>
  <c r="GN27" i="12"/>
  <c r="GR27" i="12"/>
  <c r="GU27" i="12" s="1"/>
  <c r="GV27" i="12" s="1"/>
  <c r="GG21" i="12"/>
  <c r="GT21" i="12" s="1"/>
  <c r="GI19" i="12"/>
  <c r="GK17" i="12"/>
  <c r="GT17" i="12" s="1"/>
  <c r="GW17" i="12" s="1"/>
  <c r="HE22" i="12"/>
  <c r="HG22" i="12"/>
  <c r="LH22" i="12"/>
  <c r="LJ22" i="12"/>
  <c r="DB22" i="12"/>
  <c r="DD22" i="12"/>
  <c r="GL22" i="12"/>
  <c r="GQ22" i="12" s="1"/>
  <c r="GM22" i="12"/>
  <c r="GN22" i="12"/>
  <c r="CI22" i="12"/>
  <c r="FT22" i="12"/>
  <c r="FO17" i="12"/>
  <c r="GS17" i="12" s="1"/>
  <c r="FQ21" i="12"/>
  <c r="FS19" i="12"/>
  <c r="GS19" i="12" s="1"/>
  <c r="GJ27" i="12"/>
  <c r="FU17" i="12"/>
  <c r="GF22" i="12"/>
  <c r="GG20" i="12"/>
  <c r="GT20" i="12" s="1"/>
  <c r="GW20" i="12" s="1"/>
  <c r="FS22" i="12"/>
  <c r="GS22" i="12" s="1"/>
  <c r="GU22" i="12" s="1"/>
  <c r="GV22" i="12" s="1"/>
  <c r="T25" i="12"/>
  <c r="R25" i="12"/>
  <c r="V25" i="12"/>
  <c r="Q25" i="12"/>
  <c r="U25" i="12"/>
  <c r="P25" i="12"/>
  <c r="U17" i="12"/>
  <c r="EX23" i="11"/>
  <c r="GD23" i="11" s="1"/>
  <c r="EW23" i="11"/>
  <c r="EX21" i="11"/>
  <c r="GD21" i="11" s="1"/>
  <c r="EW21" i="11"/>
  <c r="EX24" i="11"/>
  <c r="GD24" i="11" s="1"/>
  <c r="EW24" i="11"/>
  <c r="EX25" i="11"/>
  <c r="GD25" i="11" s="1"/>
  <c r="EW25" i="11"/>
  <c r="EX27" i="11"/>
  <c r="GD27" i="11" s="1"/>
  <c r="EW27" i="11"/>
  <c r="EX26" i="11"/>
  <c r="GD26" i="11" s="1"/>
  <c r="EW26" i="11"/>
  <c r="EX16" i="11"/>
  <c r="GD16" i="11" s="1"/>
  <c r="EW16" i="11"/>
  <c r="EX20" i="11"/>
  <c r="GD20" i="11" s="1"/>
  <c r="EW20" i="11"/>
  <c r="EX19" i="11"/>
  <c r="GD19" i="11" s="1"/>
  <c r="EW19" i="11"/>
  <c r="EX18" i="11"/>
  <c r="GD18" i="11" s="1"/>
  <c r="EW18" i="11"/>
  <c r="CL22" i="11"/>
  <c r="CM22" i="11" s="1"/>
  <c r="EX22" i="11"/>
  <c r="GD22" i="11" s="1"/>
  <c r="CL17" i="11"/>
  <c r="CM17" i="11" s="1"/>
  <c r="EX17" i="11"/>
  <c r="GD17" i="11" s="1"/>
  <c r="CL24" i="11"/>
  <c r="CM24" i="11" s="1"/>
  <c r="CL26" i="11"/>
  <c r="CM26" i="11" s="1"/>
  <c r="CL16" i="11"/>
  <c r="CM16" i="11" s="1"/>
  <c r="CL20" i="11"/>
  <c r="CM20" i="11" s="1"/>
  <c r="CL18" i="11"/>
  <c r="CM18" i="11" s="1"/>
  <c r="OO17" i="11"/>
  <c r="OP17" i="11" s="1"/>
  <c r="OO21" i="11"/>
  <c r="OP21" i="11" s="1"/>
  <c r="OO25" i="11"/>
  <c r="OP25" i="11" s="1"/>
  <c r="CL25" i="11"/>
  <c r="CM25" i="11" s="1"/>
  <c r="CL27" i="11"/>
  <c r="CM27" i="11" s="1"/>
  <c r="CL19" i="11"/>
  <c r="CM19" i="11" s="1"/>
  <c r="CL23" i="11"/>
  <c r="CM23" i="11" s="1"/>
  <c r="CL21" i="11"/>
  <c r="CM21" i="11" s="1"/>
  <c r="OO16" i="11"/>
  <c r="OP16" i="11" s="1"/>
  <c r="OO20" i="11"/>
  <c r="OP20" i="11" s="1"/>
  <c r="OO24" i="11"/>
  <c r="OP24" i="11" s="1"/>
  <c r="OO19" i="11"/>
  <c r="OP19" i="11" s="1"/>
  <c r="OO23" i="11"/>
  <c r="OP23" i="11" s="1"/>
  <c r="OO27" i="11"/>
  <c r="OP27" i="11" s="1"/>
  <c r="OQ17" i="11"/>
  <c r="OQ21" i="11"/>
  <c r="OQ25" i="11"/>
  <c r="OQ16" i="11"/>
  <c r="OQ20" i="11"/>
  <c r="OQ24" i="11"/>
  <c r="OO18" i="11"/>
  <c r="OP18" i="11" s="1"/>
  <c r="OO22" i="11"/>
  <c r="OP22" i="11" s="1"/>
  <c r="OO26" i="11"/>
  <c r="OP26" i="11" s="1"/>
  <c r="OQ18" i="11"/>
  <c r="OQ19" i="11"/>
  <c r="OQ22" i="11"/>
  <c r="OQ23" i="11"/>
  <c r="OQ26" i="11"/>
  <c r="OQ27" i="11"/>
  <c r="DT16" i="10"/>
  <c r="DU16" i="10"/>
  <c r="DW16" i="10"/>
  <c r="DX16" i="10"/>
  <c r="DY16" i="10"/>
  <c r="DT17" i="10"/>
  <c r="DU17" i="10"/>
  <c r="DW17" i="10"/>
  <c r="DX17" i="10"/>
  <c r="DY17" i="10"/>
  <c r="DS18" i="10"/>
  <c r="DT18" i="10"/>
  <c r="DU18" i="10"/>
  <c r="DW18" i="10"/>
  <c r="DX18" i="10"/>
  <c r="DY18" i="10"/>
  <c r="DS19" i="10"/>
  <c r="DT19" i="10"/>
  <c r="DU19" i="10"/>
  <c r="DW19" i="10"/>
  <c r="DX19" i="10"/>
  <c r="DY19" i="10"/>
  <c r="DS20" i="10"/>
  <c r="DT20" i="10"/>
  <c r="DU20" i="10"/>
  <c r="DW20" i="10"/>
  <c r="DX20" i="10"/>
  <c r="DY20" i="10"/>
  <c r="DS21" i="10"/>
  <c r="DT21" i="10"/>
  <c r="DU21" i="10"/>
  <c r="DW21" i="10"/>
  <c r="DX21" i="10"/>
  <c r="DY21" i="10"/>
  <c r="DS22" i="10"/>
  <c r="DT22" i="10"/>
  <c r="DU22" i="10"/>
  <c r="DW22" i="10"/>
  <c r="DX22" i="10"/>
  <c r="DY22" i="10"/>
  <c r="DS23" i="10"/>
  <c r="DT23" i="10"/>
  <c r="DU23" i="10"/>
  <c r="DW23" i="10"/>
  <c r="DX23" i="10"/>
  <c r="DY23" i="10"/>
  <c r="DS24" i="10"/>
  <c r="DT24" i="10"/>
  <c r="DU24" i="10"/>
  <c r="DW24" i="10"/>
  <c r="DX24" i="10"/>
  <c r="DY24" i="10"/>
  <c r="DS25" i="10"/>
  <c r="DT25" i="10"/>
  <c r="DU25" i="10"/>
  <c r="DW25" i="10"/>
  <c r="DX25" i="10"/>
  <c r="DY25" i="10"/>
  <c r="GS23" i="12" l="1"/>
  <c r="GT25" i="12"/>
  <c r="GW25" i="12" s="1"/>
  <c r="GQ20" i="12"/>
  <c r="GT24" i="12"/>
  <c r="GW24" i="12" s="1"/>
  <c r="GU26" i="12"/>
  <c r="GV26" i="12" s="1"/>
  <c r="GT22" i="12"/>
  <c r="GW22" i="12" s="1"/>
  <c r="GO26" i="12"/>
  <c r="GP26" i="12" s="1"/>
  <c r="DH26" i="12"/>
  <c r="DI26" i="12" s="1"/>
  <c r="GO21" i="12"/>
  <c r="GP21" i="12" s="1"/>
  <c r="GO17" i="12"/>
  <c r="GP17" i="12" s="1"/>
  <c r="GS21" i="12"/>
  <c r="GS24" i="12"/>
  <c r="DH27" i="12"/>
  <c r="DI27" i="12" s="1"/>
  <c r="GO16" i="12"/>
  <c r="GP16" i="12" s="1"/>
  <c r="GO22" i="12"/>
  <c r="GP22" i="12" s="1"/>
  <c r="GQ16" i="12"/>
  <c r="GU17" i="12"/>
  <c r="GV17" i="12" s="1"/>
  <c r="GU25" i="12"/>
  <c r="GV25" i="12" s="1"/>
  <c r="GS18" i="12"/>
  <c r="GU18" i="12" s="1"/>
  <c r="GV18" i="12" s="1"/>
  <c r="GQ18" i="12"/>
  <c r="GO27" i="12"/>
  <c r="GP27" i="12" s="1"/>
  <c r="GW21" i="12"/>
  <c r="GU21" i="12"/>
  <c r="GV21" i="12" s="1"/>
  <c r="GU23" i="12"/>
  <c r="GV23" i="12" s="1"/>
  <c r="GU24" i="12"/>
  <c r="GV24" i="12" s="1"/>
  <c r="GW26" i="12"/>
  <c r="GQ19" i="12"/>
  <c r="GQ21" i="12"/>
  <c r="GO24" i="12"/>
  <c r="GP24" i="12" s="1"/>
  <c r="GO20" i="12"/>
  <c r="GP20" i="12" s="1"/>
  <c r="CN26" i="12"/>
  <c r="GU19" i="12"/>
  <c r="GV19" i="12" s="1"/>
  <c r="CR27" i="12"/>
  <c r="CS27" i="12" s="1"/>
  <c r="GU20" i="12"/>
  <c r="GV20" i="12" s="1"/>
  <c r="GO25" i="12"/>
  <c r="GP25" i="12" s="1"/>
  <c r="GO23" i="12"/>
  <c r="GP23" i="12" s="1"/>
  <c r="GQ25" i="12"/>
  <c r="AK17" i="12"/>
  <c r="BA17" i="12"/>
  <c r="BQ17" i="12" s="1"/>
  <c r="AK25" i="12"/>
  <c r="BA25" i="12"/>
  <c r="BQ25" i="12" s="1"/>
  <c r="AF25" i="12"/>
  <c r="AV25" i="12"/>
  <c r="AL25" i="12"/>
  <c r="BB25" i="12"/>
  <c r="AJ25" i="12"/>
  <c r="AZ25" i="12"/>
  <c r="BP25" i="12" s="1"/>
  <c r="AG25" i="12"/>
  <c r="AW25" i="12"/>
  <c r="BM25" i="12" s="1"/>
  <c r="AH25" i="12"/>
  <c r="AX25" i="12"/>
  <c r="BN25" i="12" s="1"/>
  <c r="CH25" i="12" l="1"/>
  <c r="CG17" i="12"/>
  <c r="CB25" i="12"/>
  <c r="CO25" i="12"/>
  <c r="CD25" i="12"/>
  <c r="CC25" i="12"/>
  <c r="CF25" i="12"/>
  <c r="BR25" i="12"/>
  <c r="BL25" i="12"/>
  <c r="CG25" i="12"/>
  <c r="LT16" i="11"/>
  <c r="DT16" i="12" s="1"/>
  <c r="LT15" i="11"/>
  <c r="MJ15" i="11" s="1"/>
  <c r="LS16" i="11"/>
  <c r="DS16" i="12" s="1"/>
  <c r="LU16" i="11"/>
  <c r="DU16" i="12" s="1"/>
  <c r="LW16" i="11"/>
  <c r="DW16" i="12" s="1"/>
  <c r="LX16" i="11"/>
  <c r="DX16" i="12" s="1"/>
  <c r="LY16" i="11"/>
  <c r="DY16" i="12" s="1"/>
  <c r="EI16" i="12" l="1"/>
  <c r="EY16" i="12"/>
  <c r="FO16" i="12"/>
  <c r="FD16" i="12"/>
  <c r="EN16" i="12"/>
  <c r="FC16" i="12"/>
  <c r="EM16" i="12"/>
  <c r="EJ16" i="12"/>
  <c r="EZ16" i="12"/>
  <c r="FP16" i="12"/>
  <c r="EK16" i="12"/>
  <c r="FA16" i="12"/>
  <c r="FE16" i="12"/>
  <c r="FU16" i="12" s="1"/>
  <c r="EO16" i="12"/>
  <c r="CP25" i="12"/>
  <c r="CR25" i="12" s="1"/>
  <c r="CS25" i="12" s="1"/>
  <c r="CJ25" i="12"/>
  <c r="CL25" i="12" s="1"/>
  <c r="CM25" i="12" s="1"/>
  <c r="CQ25" i="12"/>
  <c r="CT25" i="12" s="1"/>
  <c r="CK25" i="12"/>
  <c r="CN25" i="12" s="1"/>
  <c r="GG16" i="12" l="1"/>
  <c r="GF16" i="12"/>
  <c r="GI16" i="12"/>
  <c r="GJ16" i="12"/>
  <c r="FT16" i="12"/>
  <c r="FS16" i="12"/>
  <c r="GK16" i="12"/>
  <c r="FQ16" i="12"/>
  <c r="GS16" i="12" s="1"/>
  <c r="GE16" i="12"/>
  <c r="GR16" i="12"/>
  <c r="JF14" i="12"/>
  <c r="JG14" i="12"/>
  <c r="JH14" i="12"/>
  <c r="GU16" i="12" l="1"/>
  <c r="GV16" i="12" s="1"/>
  <c r="GT16" i="12"/>
  <c r="GW16" i="12" s="1"/>
  <c r="JB15" i="10"/>
  <c r="AW15" i="10"/>
  <c r="BM15" i="10" s="1"/>
  <c r="MY23" i="10" l="1"/>
  <c r="NO23" i="10" s="1"/>
  <c r="MY17" i="10"/>
  <c r="NO17" i="10" s="1"/>
  <c r="MY22" i="10"/>
  <c r="NO22" i="10" s="1"/>
  <c r="MY18" i="10"/>
  <c r="NO18" i="10" s="1"/>
  <c r="MY21" i="10"/>
  <c r="NO21" i="10" s="1"/>
  <c r="MY20" i="10"/>
  <c r="NO20" i="10" s="1"/>
  <c r="MY24" i="10"/>
  <c r="NO24" i="10" s="1"/>
  <c r="MY25" i="10"/>
  <c r="NO25" i="10" s="1"/>
  <c r="MY19" i="10"/>
  <c r="NO19" i="10" s="1"/>
  <c r="MY16" i="10"/>
  <c r="NO16" i="10" s="1"/>
  <c r="MX23" i="10"/>
  <c r="MX17" i="10"/>
  <c r="MX24" i="10"/>
  <c r="MX22" i="10"/>
  <c r="MX21" i="10"/>
  <c r="MX20" i="10"/>
  <c r="MX25" i="10"/>
  <c r="MX19" i="10"/>
  <c r="MX18" i="10"/>
  <c r="ND23" i="10"/>
  <c r="NT23" i="10" s="1"/>
  <c r="ND17" i="10"/>
  <c r="NT17" i="10" s="1"/>
  <c r="ND22" i="10"/>
  <c r="NT22" i="10" s="1"/>
  <c r="ND21" i="10"/>
  <c r="NT21" i="10" s="1"/>
  <c r="ND20" i="10"/>
  <c r="NT20" i="10" s="1"/>
  <c r="ND25" i="10"/>
  <c r="NT25" i="10" s="1"/>
  <c r="ND19" i="10"/>
  <c r="NT19" i="10" s="1"/>
  <c r="ND24" i="10"/>
  <c r="NT24" i="10" s="1"/>
  <c r="ND18" i="10"/>
  <c r="NT18" i="10" s="1"/>
  <c r="NC23" i="10"/>
  <c r="NS23" i="10" s="1"/>
  <c r="NC17" i="10"/>
  <c r="NS17" i="10" s="1"/>
  <c r="NC22" i="10"/>
  <c r="NS22" i="10" s="1"/>
  <c r="NC21" i="10"/>
  <c r="NS21" i="10" s="1"/>
  <c r="NC20" i="10"/>
  <c r="NS20" i="10" s="1"/>
  <c r="NC25" i="10"/>
  <c r="NS25" i="10" s="1"/>
  <c r="NC19" i="10"/>
  <c r="NS19" i="10" s="1"/>
  <c r="NC24" i="10"/>
  <c r="NS24" i="10" s="1"/>
  <c r="NC18" i="10"/>
  <c r="NS18" i="10" s="1"/>
  <c r="NB23" i="10"/>
  <c r="NR23" i="10" s="1"/>
  <c r="NB20" i="10"/>
  <c r="NR20" i="10" s="1"/>
  <c r="NB21" i="10"/>
  <c r="NR21" i="10" s="1"/>
  <c r="NB25" i="10"/>
  <c r="NR25" i="10" s="1"/>
  <c r="NB24" i="10"/>
  <c r="NR24" i="10" s="1"/>
  <c r="NB18" i="10"/>
  <c r="NR18" i="10" s="1"/>
  <c r="NB17" i="10"/>
  <c r="NR17" i="10" s="1"/>
  <c r="NB22" i="10"/>
  <c r="NR22" i="10" s="1"/>
  <c r="NB19" i="10"/>
  <c r="NR19" i="10" s="1"/>
  <c r="MZ25" i="10"/>
  <c r="NP25" i="10" s="1"/>
  <c r="MZ19" i="10"/>
  <c r="NP19" i="10" s="1"/>
  <c r="MZ24" i="10"/>
  <c r="NP24" i="10" s="1"/>
  <c r="MZ18" i="10"/>
  <c r="NP18" i="10" s="1"/>
  <c r="MZ23" i="10"/>
  <c r="NP23" i="10" s="1"/>
  <c r="MZ17" i="10"/>
  <c r="NP17" i="10" s="1"/>
  <c r="MZ22" i="10"/>
  <c r="NP22" i="10" s="1"/>
  <c r="MZ20" i="10"/>
  <c r="NP20" i="10" s="1"/>
  <c r="MZ21" i="10"/>
  <c r="NP21" i="10" s="1"/>
  <c r="MX16" i="10"/>
  <c r="NB16" i="10"/>
  <c r="MZ16" i="10"/>
  <c r="NC16" i="10"/>
  <c r="ND16" i="10"/>
  <c r="MZ16" i="11"/>
  <c r="NA16" i="11"/>
  <c r="NC16" i="11"/>
  <c r="MN16" i="11"/>
  <c r="MO16" i="11"/>
  <c r="ND16" i="11"/>
  <c r="MJ17" i="11"/>
  <c r="MK17" i="11"/>
  <c r="ND17" i="11"/>
  <c r="NE17" i="11"/>
  <c r="MN17" i="11"/>
  <c r="MY18" i="11"/>
  <c r="MJ18" i="11"/>
  <c r="MK18" i="11"/>
  <c r="MN18" i="11"/>
  <c r="MO18" i="11"/>
  <c r="MI18" i="11"/>
  <c r="MJ19" i="11"/>
  <c r="MM19" i="11"/>
  <c r="ND19" i="11"/>
  <c r="NE19" i="11"/>
  <c r="MO19" i="11"/>
  <c r="MY20" i="11"/>
  <c r="NC20" i="11"/>
  <c r="MN20" i="11"/>
  <c r="MI20" i="11"/>
  <c r="MJ20" i="11"/>
  <c r="MK20" i="11"/>
  <c r="MI21" i="11"/>
  <c r="MJ21" i="11"/>
  <c r="NA21" i="11"/>
  <c r="MM21" i="11"/>
  <c r="ND21" i="11"/>
  <c r="NE21" i="11"/>
  <c r="MN21" i="11"/>
  <c r="MO21" i="11"/>
  <c r="MI22" i="11"/>
  <c r="MJ22" i="11"/>
  <c r="NA22" i="11"/>
  <c r="NC22" i="11"/>
  <c r="ND22" i="11"/>
  <c r="MO22" i="11"/>
  <c r="MJ23" i="11"/>
  <c r="MK23" i="11"/>
  <c r="MJ24" i="11"/>
  <c r="MK24" i="11"/>
  <c r="MN24" i="11"/>
  <c r="MY25" i="11"/>
  <c r="MZ25" i="11"/>
  <c r="MN25" i="11"/>
  <c r="MO25" i="11"/>
  <c r="MI25" i="11"/>
  <c r="MJ25" i="11"/>
  <c r="MK25" i="11"/>
  <c r="MJ26" i="11"/>
  <c r="NA26" i="11"/>
  <c r="NC26" i="11"/>
  <c r="ND26" i="11"/>
  <c r="NE26" i="11"/>
  <c r="MJ27" i="11"/>
  <c r="NA27" i="11"/>
  <c r="MM27" i="11"/>
  <c r="ND27" i="11"/>
  <c r="NE27" i="11"/>
  <c r="MN27" i="11"/>
  <c r="MO27" i="11"/>
  <c r="NE15" i="11"/>
  <c r="LX15" i="11"/>
  <c r="LW15" i="11"/>
  <c r="MM15" i="11" s="1"/>
  <c r="LU15" i="11"/>
  <c r="MK15" i="11" s="1"/>
  <c r="JH15" i="11"/>
  <c r="JG15" i="11"/>
  <c r="JF15" i="11"/>
  <c r="JD15" i="11"/>
  <c r="JB15" i="11"/>
  <c r="IN16" i="11"/>
  <c r="IP16" i="11"/>
  <c r="IQ16" i="11"/>
  <c r="IR16" i="11"/>
  <c r="IN17" i="11"/>
  <c r="IP17" i="11"/>
  <c r="IQ17" i="11"/>
  <c r="IR17" i="11"/>
  <c r="IN18" i="11"/>
  <c r="IP18" i="11"/>
  <c r="IQ18" i="11"/>
  <c r="IR18" i="11"/>
  <c r="IN19" i="11"/>
  <c r="IP19" i="11"/>
  <c r="IQ19" i="11"/>
  <c r="IR19" i="11"/>
  <c r="IN20" i="11"/>
  <c r="IP20" i="11"/>
  <c r="IQ20" i="11"/>
  <c r="IR20" i="11"/>
  <c r="IN21" i="11"/>
  <c r="IP21" i="11"/>
  <c r="IQ21" i="11"/>
  <c r="IR21" i="11"/>
  <c r="IN22" i="11"/>
  <c r="IP22" i="11"/>
  <c r="IQ22" i="11"/>
  <c r="IR22" i="11"/>
  <c r="IN23" i="11"/>
  <c r="IP23" i="11"/>
  <c r="IQ23" i="11"/>
  <c r="IR23" i="11"/>
  <c r="IN24" i="11"/>
  <c r="IP24" i="11"/>
  <c r="IQ24" i="11"/>
  <c r="IR24" i="11"/>
  <c r="IN25" i="11"/>
  <c r="IP25" i="11"/>
  <c r="IQ25" i="11"/>
  <c r="IR25" i="11"/>
  <c r="IN26" i="11"/>
  <c r="IP26" i="11"/>
  <c r="IQ26" i="11"/>
  <c r="IR26" i="11"/>
  <c r="IN27" i="11"/>
  <c r="IP27" i="11"/>
  <c r="IQ27" i="11"/>
  <c r="IR27" i="11"/>
  <c r="EI16" i="11"/>
  <c r="EJ16" i="11"/>
  <c r="EK16" i="11"/>
  <c r="GG16" i="11" s="1"/>
  <c r="EM16" i="11"/>
  <c r="EN16" i="11"/>
  <c r="EO16" i="11"/>
  <c r="EY16" i="11"/>
  <c r="EZ16" i="11"/>
  <c r="FA16" i="11"/>
  <c r="FC16" i="11"/>
  <c r="FD16" i="11"/>
  <c r="FE16" i="11"/>
  <c r="AL17" i="11"/>
  <c r="AF17" i="11"/>
  <c r="AG17" i="11"/>
  <c r="EI17" i="11"/>
  <c r="EZ17" i="11"/>
  <c r="EK17" i="11"/>
  <c r="GG17" i="11" s="1"/>
  <c r="EM17" i="11"/>
  <c r="EN17" i="11"/>
  <c r="FC17" i="11"/>
  <c r="GH17" i="11" s="1"/>
  <c r="AG18" i="11"/>
  <c r="AL18" i="11"/>
  <c r="FA18" i="11"/>
  <c r="EM18" i="11"/>
  <c r="EI18" i="11"/>
  <c r="EJ18" i="11"/>
  <c r="EK18" i="11"/>
  <c r="GG18" i="11" s="1"/>
  <c r="EZ18" i="11"/>
  <c r="EY19" i="11"/>
  <c r="FD19" i="11"/>
  <c r="EI19" i="11"/>
  <c r="EJ19" i="11"/>
  <c r="EK19" i="11"/>
  <c r="GG19" i="11" s="1"/>
  <c r="EM19" i="11"/>
  <c r="EN19" i="11"/>
  <c r="EO19" i="11"/>
  <c r="FA19" i="11"/>
  <c r="FC19" i="11"/>
  <c r="GH19" i="11" s="1"/>
  <c r="AZ20" i="11"/>
  <c r="BP20" i="11" s="1"/>
  <c r="EI20" i="11"/>
  <c r="EJ20" i="11"/>
  <c r="EK20" i="11"/>
  <c r="GG20" i="11" s="1"/>
  <c r="EM20" i="11"/>
  <c r="EN20" i="11"/>
  <c r="EO20" i="11"/>
  <c r="EY20" i="11"/>
  <c r="EZ20" i="11"/>
  <c r="FA20" i="11"/>
  <c r="FC20" i="11"/>
  <c r="GH20" i="11" s="1"/>
  <c r="FD20" i="11"/>
  <c r="FE20" i="11"/>
  <c r="AK21" i="11"/>
  <c r="AL21" i="11"/>
  <c r="EI21" i="11"/>
  <c r="EJ21" i="11"/>
  <c r="EK21" i="11"/>
  <c r="GG21" i="11" s="1"/>
  <c r="EM21" i="11"/>
  <c r="EN21" i="11"/>
  <c r="EO21" i="11"/>
  <c r="EY21" i="11"/>
  <c r="EZ21" i="11"/>
  <c r="FA21" i="11"/>
  <c r="FC21" i="11"/>
  <c r="FD21" i="11"/>
  <c r="FE21" i="11"/>
  <c r="AK22" i="11"/>
  <c r="AL22" i="11"/>
  <c r="AV22" i="11"/>
  <c r="BB22" i="11"/>
  <c r="EY22" i="11"/>
  <c r="EJ22" i="11"/>
  <c r="EM22" i="11"/>
  <c r="EO22" i="11"/>
  <c r="EI22" i="11"/>
  <c r="FC22" i="11"/>
  <c r="GH22" i="11" s="1"/>
  <c r="FD22" i="11"/>
  <c r="BA23" i="11"/>
  <c r="EI23" i="11"/>
  <c r="EJ23" i="11"/>
  <c r="EK23" i="11"/>
  <c r="GG23" i="11" s="1"/>
  <c r="EM23" i="11"/>
  <c r="EN23" i="11"/>
  <c r="EO23" i="11"/>
  <c r="EY23" i="11"/>
  <c r="EZ23" i="11"/>
  <c r="FA23" i="11"/>
  <c r="FC23" i="11"/>
  <c r="GH23" i="11" s="1"/>
  <c r="FD23" i="11"/>
  <c r="FE23" i="11"/>
  <c r="AW24" i="11"/>
  <c r="AL24" i="11"/>
  <c r="AF24" i="11"/>
  <c r="AG24" i="11"/>
  <c r="EI24" i="11"/>
  <c r="EJ24" i="11"/>
  <c r="EK24" i="11"/>
  <c r="GG24" i="11" s="1"/>
  <c r="EM24" i="11"/>
  <c r="EN24" i="11"/>
  <c r="EO24" i="11"/>
  <c r="EY24" i="11"/>
  <c r="EZ24" i="11"/>
  <c r="FA24" i="11"/>
  <c r="FC24" i="11"/>
  <c r="FD24" i="11"/>
  <c r="FE24" i="11"/>
  <c r="BA25" i="11"/>
  <c r="BQ25" i="11" s="1"/>
  <c r="AF25" i="11"/>
  <c r="AG25" i="11"/>
  <c r="AH25" i="11"/>
  <c r="EI25" i="11"/>
  <c r="EJ25" i="11"/>
  <c r="EK25" i="11"/>
  <c r="GG25" i="11" s="1"/>
  <c r="EM25" i="11"/>
  <c r="EN25" i="11"/>
  <c r="EO25" i="11"/>
  <c r="EY25" i="11"/>
  <c r="EZ25" i="11"/>
  <c r="FA25" i="11"/>
  <c r="FC25" i="11"/>
  <c r="FD25" i="11"/>
  <c r="FE25" i="11"/>
  <c r="AF26" i="11"/>
  <c r="AG26" i="11"/>
  <c r="AX26" i="11"/>
  <c r="EI26" i="11"/>
  <c r="EJ26" i="11"/>
  <c r="EK26" i="11"/>
  <c r="GG26" i="11" s="1"/>
  <c r="EM26" i="11"/>
  <c r="EN26" i="11"/>
  <c r="EO26" i="11"/>
  <c r="EY26" i="11"/>
  <c r="EZ26" i="11"/>
  <c r="FA26" i="11"/>
  <c r="FC26" i="11"/>
  <c r="FD26" i="11"/>
  <c r="FE26" i="11"/>
  <c r="AV27" i="11"/>
  <c r="BA27" i="11"/>
  <c r="BB27" i="11"/>
  <c r="AF27" i="11"/>
  <c r="AG27" i="11"/>
  <c r="AH27" i="11"/>
  <c r="EY27" i="11"/>
  <c r="EM27" i="11"/>
  <c r="EN27" i="11"/>
  <c r="EO27" i="11"/>
  <c r="EI27" i="11"/>
  <c r="EJ27" i="11"/>
  <c r="DY15" i="11"/>
  <c r="EO15" i="11" s="1"/>
  <c r="DX15" i="11"/>
  <c r="EN15" i="11" s="1"/>
  <c r="DW15" i="11"/>
  <c r="DT15" i="11"/>
  <c r="DS15" i="11"/>
  <c r="EI15" i="11" s="1"/>
  <c r="DU15" i="11"/>
  <c r="Q15" i="11"/>
  <c r="DT15" i="12" s="1"/>
  <c r="R15" i="11"/>
  <c r="T15" i="11"/>
  <c r="U15" i="11"/>
  <c r="V15" i="11"/>
  <c r="DY15" i="12" s="1"/>
  <c r="FE15" i="12" s="1"/>
  <c r="AV15" i="9"/>
  <c r="AF16" i="9"/>
  <c r="AG16" i="9"/>
  <c r="AH16" i="9"/>
  <c r="AJ16" i="9"/>
  <c r="AK16" i="9"/>
  <c r="AL16" i="9"/>
  <c r="AF17" i="9"/>
  <c r="AG17" i="9"/>
  <c r="AH17" i="9"/>
  <c r="AJ17" i="9"/>
  <c r="AK17" i="9"/>
  <c r="AL17" i="9"/>
  <c r="AF18" i="9"/>
  <c r="AG18" i="9"/>
  <c r="AH18" i="9"/>
  <c r="AJ18" i="9"/>
  <c r="AK18" i="9"/>
  <c r="AL18" i="9"/>
  <c r="AF19" i="9"/>
  <c r="AG19" i="9"/>
  <c r="AH19" i="9"/>
  <c r="AJ19" i="9"/>
  <c r="AK19" i="9"/>
  <c r="AL19" i="9"/>
  <c r="AF20" i="9"/>
  <c r="AG20" i="9"/>
  <c r="AH20" i="9"/>
  <c r="AJ20" i="9"/>
  <c r="AK20" i="9"/>
  <c r="AL20" i="9"/>
  <c r="AF21" i="9"/>
  <c r="AG21" i="9"/>
  <c r="AH21" i="9"/>
  <c r="AJ21" i="9"/>
  <c r="AK21" i="9"/>
  <c r="AL21" i="9"/>
  <c r="AF22" i="9"/>
  <c r="AG22" i="9"/>
  <c r="AH22" i="9"/>
  <c r="AJ22" i="9"/>
  <c r="AK22" i="9"/>
  <c r="AL22" i="9"/>
  <c r="AF23" i="9"/>
  <c r="AG23" i="9"/>
  <c r="AH23" i="9"/>
  <c r="AJ23" i="9"/>
  <c r="AK23" i="9"/>
  <c r="AL23" i="9"/>
  <c r="AF24" i="9"/>
  <c r="AG24" i="9"/>
  <c r="AH24" i="9"/>
  <c r="AJ24" i="9"/>
  <c r="AK24" i="9"/>
  <c r="AL24" i="9"/>
  <c r="AF25" i="9"/>
  <c r="AG25" i="9"/>
  <c r="AH25" i="9"/>
  <c r="AJ25" i="9"/>
  <c r="AK25" i="9"/>
  <c r="AL25" i="9"/>
  <c r="AF26" i="9"/>
  <c r="AG26" i="9"/>
  <c r="AH26" i="9"/>
  <c r="AJ26" i="9"/>
  <c r="AK26" i="9"/>
  <c r="AL26" i="9"/>
  <c r="AF27" i="9"/>
  <c r="AG27" i="9"/>
  <c r="AH27" i="9"/>
  <c r="AJ27" i="9"/>
  <c r="AK27" i="9"/>
  <c r="AL27" i="9"/>
  <c r="AF28" i="9"/>
  <c r="AG28" i="9"/>
  <c r="AH28" i="9"/>
  <c r="AJ28" i="9"/>
  <c r="AK28" i="9"/>
  <c r="AL28" i="9"/>
  <c r="AF29" i="9"/>
  <c r="AG29" i="9"/>
  <c r="AH29" i="9"/>
  <c r="AJ29" i="9"/>
  <c r="AK29" i="9"/>
  <c r="AL29" i="9"/>
  <c r="AF30" i="9"/>
  <c r="AG30" i="9"/>
  <c r="AH30" i="9"/>
  <c r="AJ30" i="9"/>
  <c r="AK30" i="9"/>
  <c r="AL30" i="9"/>
  <c r="AF31" i="9"/>
  <c r="AG31" i="9"/>
  <c r="AH31" i="9"/>
  <c r="AJ31" i="9"/>
  <c r="AK31" i="9"/>
  <c r="AL31" i="9"/>
  <c r="AF32" i="9"/>
  <c r="AG32" i="9"/>
  <c r="AH32" i="9"/>
  <c r="AJ32" i="9"/>
  <c r="AK32" i="9"/>
  <c r="AL32" i="9"/>
  <c r="AF33" i="9"/>
  <c r="AG33" i="9"/>
  <c r="AH33" i="9"/>
  <c r="AJ33" i="9"/>
  <c r="AK33" i="9"/>
  <c r="AL33" i="9"/>
  <c r="AF34" i="9"/>
  <c r="AG34" i="9"/>
  <c r="AH34" i="9"/>
  <c r="AJ34" i="9"/>
  <c r="AK34" i="9"/>
  <c r="AL34" i="9"/>
  <c r="AF35" i="9"/>
  <c r="AG35" i="9"/>
  <c r="AH35" i="9"/>
  <c r="AJ35" i="9"/>
  <c r="AK35" i="9"/>
  <c r="AL35" i="9"/>
  <c r="AF36" i="9"/>
  <c r="AG36" i="9"/>
  <c r="AH36" i="9"/>
  <c r="AJ36" i="9"/>
  <c r="AK36" i="9"/>
  <c r="AL36" i="9"/>
  <c r="AF37" i="9"/>
  <c r="AG37" i="9"/>
  <c r="AH37" i="9"/>
  <c r="AJ37" i="9"/>
  <c r="AK37" i="9"/>
  <c r="AL37" i="9"/>
  <c r="AF38" i="9"/>
  <c r="AG38" i="9"/>
  <c r="AH38" i="9"/>
  <c r="AJ38" i="9"/>
  <c r="AK38" i="9"/>
  <c r="AL38" i="9"/>
  <c r="AF39" i="9"/>
  <c r="AG39" i="9"/>
  <c r="AH39" i="9"/>
  <c r="AJ39" i="9"/>
  <c r="AK39" i="9"/>
  <c r="AL39" i="9"/>
  <c r="AF40" i="9"/>
  <c r="AG40" i="9"/>
  <c r="AH40" i="9"/>
  <c r="AJ40" i="9"/>
  <c r="AK40" i="9"/>
  <c r="AL40" i="9"/>
  <c r="AF41" i="9"/>
  <c r="AG41" i="9"/>
  <c r="AH41" i="9"/>
  <c r="AJ41" i="9"/>
  <c r="AK41" i="9"/>
  <c r="AL41" i="9"/>
  <c r="AF42" i="9"/>
  <c r="AG42" i="9"/>
  <c r="AH42" i="9"/>
  <c r="AJ42" i="9"/>
  <c r="AK42" i="9"/>
  <c r="AL42" i="9"/>
  <c r="AF43" i="9"/>
  <c r="AG43" i="9"/>
  <c r="AH43" i="9"/>
  <c r="AJ43" i="9"/>
  <c r="AK43" i="9"/>
  <c r="AL43" i="9"/>
  <c r="AF44" i="9"/>
  <c r="AG44" i="9"/>
  <c r="AH44" i="9"/>
  <c r="AJ44" i="9"/>
  <c r="AK44" i="9"/>
  <c r="AL44" i="9"/>
  <c r="AF45" i="9"/>
  <c r="AG45" i="9"/>
  <c r="AH45" i="9"/>
  <c r="AJ45" i="9"/>
  <c r="AK45" i="9"/>
  <c r="AL45" i="9"/>
  <c r="AF46" i="9"/>
  <c r="AG46" i="9"/>
  <c r="AH46" i="9"/>
  <c r="AJ46" i="9"/>
  <c r="AK46" i="9"/>
  <c r="AL46" i="9"/>
  <c r="AF47" i="9"/>
  <c r="AG47" i="9"/>
  <c r="AH47" i="9"/>
  <c r="AJ47" i="9"/>
  <c r="AK47" i="9"/>
  <c r="AL47" i="9"/>
  <c r="AF48" i="9"/>
  <c r="AG48" i="9"/>
  <c r="AH48" i="9"/>
  <c r="AJ48" i="9"/>
  <c r="AK48" i="9"/>
  <c r="AL48" i="9"/>
  <c r="AF49" i="9"/>
  <c r="AG49" i="9"/>
  <c r="AH49" i="9"/>
  <c r="AJ49" i="9"/>
  <c r="AK49" i="9"/>
  <c r="AL49" i="9"/>
  <c r="AF50" i="9"/>
  <c r="AG50" i="9"/>
  <c r="AH50" i="9"/>
  <c r="AJ50" i="9"/>
  <c r="AK50" i="9"/>
  <c r="AL50" i="9"/>
  <c r="AF51" i="9"/>
  <c r="AG51" i="9"/>
  <c r="AH51" i="9"/>
  <c r="AJ51" i="9"/>
  <c r="AK51" i="9"/>
  <c r="AL51" i="9"/>
  <c r="AF52" i="9"/>
  <c r="AG52" i="9"/>
  <c r="AH52" i="9"/>
  <c r="AJ52" i="9"/>
  <c r="AK52" i="9"/>
  <c r="AL52" i="9"/>
  <c r="AF53" i="9"/>
  <c r="AG53" i="9"/>
  <c r="AH53" i="9"/>
  <c r="AJ53" i="9"/>
  <c r="AK53" i="9"/>
  <c r="AL53" i="9"/>
  <c r="AF54" i="9"/>
  <c r="AG54" i="9"/>
  <c r="AH54" i="9"/>
  <c r="AJ54" i="9"/>
  <c r="AK54" i="9"/>
  <c r="AL54" i="9"/>
  <c r="AF55" i="9"/>
  <c r="AG55" i="9"/>
  <c r="AH55" i="9"/>
  <c r="AJ55" i="9"/>
  <c r="AK55" i="9"/>
  <c r="AL55" i="9"/>
  <c r="AF56" i="9"/>
  <c r="AG56" i="9"/>
  <c r="AH56" i="9"/>
  <c r="AJ56" i="9"/>
  <c r="AK56" i="9"/>
  <c r="AL56" i="9"/>
  <c r="AF57" i="9"/>
  <c r="AG57" i="9"/>
  <c r="AH57" i="9"/>
  <c r="AJ57" i="9"/>
  <c r="AK57" i="9"/>
  <c r="AL57" i="9"/>
  <c r="AF58" i="9"/>
  <c r="AG58" i="9"/>
  <c r="AH58" i="9"/>
  <c r="AJ58" i="9"/>
  <c r="AK58" i="9"/>
  <c r="AL58" i="9"/>
  <c r="AF59" i="9"/>
  <c r="AG59" i="9"/>
  <c r="AH59" i="9"/>
  <c r="AJ59" i="9"/>
  <c r="AK59" i="9"/>
  <c r="AL59" i="9"/>
  <c r="AF60" i="9"/>
  <c r="AG60" i="9"/>
  <c r="AH60" i="9"/>
  <c r="AJ60" i="9"/>
  <c r="AK60" i="9"/>
  <c r="AL60" i="9"/>
  <c r="AF61" i="9"/>
  <c r="AG61" i="9"/>
  <c r="AH61" i="9"/>
  <c r="AJ61" i="9"/>
  <c r="AK61" i="9"/>
  <c r="AL61" i="9"/>
  <c r="AF62" i="9"/>
  <c r="AG62" i="9"/>
  <c r="AH62" i="9"/>
  <c r="AJ62" i="9"/>
  <c r="AK62" i="9"/>
  <c r="AL62" i="9"/>
  <c r="AF63" i="9"/>
  <c r="AG63" i="9"/>
  <c r="AH63" i="9"/>
  <c r="AJ63" i="9"/>
  <c r="AK63" i="9"/>
  <c r="AL63" i="9"/>
  <c r="AF64" i="9"/>
  <c r="AG64" i="9"/>
  <c r="AH64" i="9"/>
  <c r="AJ64" i="9"/>
  <c r="AK64" i="9"/>
  <c r="AL64" i="9"/>
  <c r="AF65" i="9"/>
  <c r="AG65" i="9"/>
  <c r="AH65" i="9"/>
  <c r="AJ65" i="9"/>
  <c r="AK65" i="9"/>
  <c r="AL65" i="9"/>
  <c r="AF66" i="9"/>
  <c r="AG66" i="9"/>
  <c r="AH66" i="9"/>
  <c r="AJ66" i="9"/>
  <c r="AK66" i="9"/>
  <c r="AL66" i="9"/>
  <c r="AF67" i="9"/>
  <c r="AG67" i="9"/>
  <c r="AH67" i="9"/>
  <c r="AJ67" i="9"/>
  <c r="AK67" i="9"/>
  <c r="AL67" i="9"/>
  <c r="AF68" i="9"/>
  <c r="AG68" i="9"/>
  <c r="AH68" i="9"/>
  <c r="AJ68" i="9"/>
  <c r="AK68" i="9"/>
  <c r="AL68" i="9"/>
  <c r="AF69" i="9"/>
  <c r="AG69" i="9"/>
  <c r="AH69" i="9"/>
  <c r="AJ69" i="9"/>
  <c r="AK69" i="9"/>
  <c r="AL69" i="9"/>
  <c r="AF70" i="9"/>
  <c r="AG70" i="9"/>
  <c r="AH70" i="9"/>
  <c r="AJ70" i="9"/>
  <c r="AK70" i="9"/>
  <c r="AL70" i="9"/>
  <c r="AF71" i="9"/>
  <c r="AG71" i="9"/>
  <c r="AH71" i="9"/>
  <c r="AJ71" i="9"/>
  <c r="AK71" i="9"/>
  <c r="AL71" i="9"/>
  <c r="AF72" i="9"/>
  <c r="AG72" i="9"/>
  <c r="AH72" i="9"/>
  <c r="AJ72" i="9"/>
  <c r="AK72" i="9"/>
  <c r="AL72" i="9"/>
  <c r="AF73" i="9"/>
  <c r="AG73" i="9"/>
  <c r="AH73" i="9"/>
  <c r="AJ73" i="9"/>
  <c r="AK73" i="9"/>
  <c r="AL73" i="9"/>
  <c r="AF74" i="9"/>
  <c r="AG74" i="9"/>
  <c r="AH74" i="9"/>
  <c r="AJ74" i="9"/>
  <c r="AK74" i="9"/>
  <c r="AL74" i="9"/>
  <c r="AF75" i="9"/>
  <c r="AG75" i="9"/>
  <c r="AH75" i="9"/>
  <c r="AJ75" i="9"/>
  <c r="AK75" i="9"/>
  <c r="AL75" i="9"/>
  <c r="AF76" i="9"/>
  <c r="AG76" i="9"/>
  <c r="AH76" i="9"/>
  <c r="AJ76" i="9"/>
  <c r="AK76" i="9"/>
  <c r="AL76" i="9"/>
  <c r="AF77" i="9"/>
  <c r="AG77" i="9"/>
  <c r="AH77" i="9"/>
  <c r="AJ77" i="9"/>
  <c r="AK77" i="9"/>
  <c r="AL77" i="9"/>
  <c r="AF78" i="9"/>
  <c r="AG78" i="9"/>
  <c r="AH78" i="9"/>
  <c r="AJ78" i="9"/>
  <c r="AK78" i="9"/>
  <c r="AL78" i="9"/>
  <c r="AF79" i="9"/>
  <c r="AG79" i="9"/>
  <c r="AH79" i="9"/>
  <c r="AJ79" i="9"/>
  <c r="AK79" i="9"/>
  <c r="AL79" i="9"/>
  <c r="AF80" i="9"/>
  <c r="AG80" i="9"/>
  <c r="AH80" i="9"/>
  <c r="AJ80" i="9"/>
  <c r="AK80" i="9"/>
  <c r="AL80" i="9"/>
  <c r="AF81" i="9"/>
  <c r="AG81" i="9"/>
  <c r="AH81" i="9"/>
  <c r="AJ81" i="9"/>
  <c r="AK81" i="9"/>
  <c r="AL81" i="9"/>
  <c r="AF82" i="9"/>
  <c r="AG82" i="9"/>
  <c r="AH82" i="9"/>
  <c r="AJ82" i="9"/>
  <c r="AK82" i="9"/>
  <c r="AL82" i="9"/>
  <c r="AF83" i="9"/>
  <c r="AG83" i="9"/>
  <c r="AH83" i="9"/>
  <c r="AJ83" i="9"/>
  <c r="AK83" i="9"/>
  <c r="AL83" i="9"/>
  <c r="AF84" i="9"/>
  <c r="AG84" i="9"/>
  <c r="AH84" i="9"/>
  <c r="AJ84" i="9"/>
  <c r="AK84" i="9"/>
  <c r="AL84" i="9"/>
  <c r="AF85" i="9"/>
  <c r="AG85" i="9"/>
  <c r="AH85" i="9"/>
  <c r="AJ85" i="9"/>
  <c r="AK85" i="9"/>
  <c r="AL85" i="9"/>
  <c r="AF86" i="9"/>
  <c r="AG86" i="9"/>
  <c r="AH86" i="9"/>
  <c r="AJ86" i="9"/>
  <c r="AK86" i="9"/>
  <c r="AL86" i="9"/>
  <c r="AF87" i="9"/>
  <c r="AG87" i="9"/>
  <c r="AH87" i="9"/>
  <c r="AJ87" i="9"/>
  <c r="AK87" i="9"/>
  <c r="AL87" i="9"/>
  <c r="AF88" i="9"/>
  <c r="AG88" i="9"/>
  <c r="AH88" i="9"/>
  <c r="AJ88" i="9"/>
  <c r="AK88" i="9"/>
  <c r="AL88" i="9"/>
  <c r="AF89" i="9"/>
  <c r="AG89" i="9"/>
  <c r="AH89" i="9"/>
  <c r="AJ89" i="9"/>
  <c r="AK89" i="9"/>
  <c r="AL89" i="9"/>
  <c r="AF90" i="9"/>
  <c r="AG90" i="9"/>
  <c r="AH90" i="9"/>
  <c r="AJ90" i="9"/>
  <c r="AK90" i="9"/>
  <c r="AL90" i="9"/>
  <c r="AF91" i="9"/>
  <c r="AG91" i="9"/>
  <c r="AH91" i="9"/>
  <c r="AJ91" i="9"/>
  <c r="AK91" i="9"/>
  <c r="AL91" i="9"/>
  <c r="AF92" i="9"/>
  <c r="AG92" i="9"/>
  <c r="AH92" i="9"/>
  <c r="AJ92" i="9"/>
  <c r="AK92" i="9"/>
  <c r="AL92" i="9"/>
  <c r="AF93" i="9"/>
  <c r="AG93" i="9"/>
  <c r="AH93" i="9"/>
  <c r="AJ93" i="9"/>
  <c r="AK93" i="9"/>
  <c r="AL93" i="9"/>
  <c r="AF94" i="9"/>
  <c r="AG94" i="9"/>
  <c r="AH94" i="9"/>
  <c r="AJ94" i="9"/>
  <c r="AK94" i="9"/>
  <c r="AL94" i="9"/>
  <c r="AF95" i="9"/>
  <c r="AG95" i="9"/>
  <c r="AH95" i="9"/>
  <c r="AJ95" i="9"/>
  <c r="AK95" i="9"/>
  <c r="AL95" i="9"/>
  <c r="AF96" i="9"/>
  <c r="AG96" i="9"/>
  <c r="AH96" i="9"/>
  <c r="AJ96" i="9"/>
  <c r="AK96" i="9"/>
  <c r="AL96" i="9"/>
  <c r="AF97" i="9"/>
  <c r="AG97" i="9"/>
  <c r="AH97" i="9"/>
  <c r="AJ97" i="9"/>
  <c r="AK97" i="9"/>
  <c r="AL97" i="9"/>
  <c r="AF98" i="9"/>
  <c r="AG98" i="9"/>
  <c r="AH98" i="9"/>
  <c r="AJ98" i="9"/>
  <c r="AK98" i="9"/>
  <c r="AL98" i="9"/>
  <c r="AF99" i="9"/>
  <c r="AG99" i="9"/>
  <c r="AH99" i="9"/>
  <c r="AJ99" i="9"/>
  <c r="AK99" i="9"/>
  <c r="AL99" i="9"/>
  <c r="AF100" i="9"/>
  <c r="AG100" i="9"/>
  <c r="AH100" i="9"/>
  <c r="AJ100" i="9"/>
  <c r="AK100" i="9"/>
  <c r="AL100" i="9"/>
  <c r="AG15" i="9"/>
  <c r="AH15" i="9"/>
  <c r="AJ15" i="9"/>
  <c r="AK15" i="9"/>
  <c r="AL15" i="9"/>
  <c r="P15" i="11"/>
  <c r="DH15" i="9"/>
  <c r="DD15" i="9"/>
  <c r="DC15" i="9"/>
  <c r="DB15" i="9"/>
  <c r="BB15" i="9"/>
  <c r="BA15" i="9"/>
  <c r="BQ15" i="9" s="1"/>
  <c r="AZ15" i="9"/>
  <c r="AX15" i="9"/>
  <c r="AW15" i="9"/>
  <c r="AF15" i="9"/>
  <c r="AV16" i="9"/>
  <c r="AW16" i="9"/>
  <c r="BM16" i="9" s="1"/>
  <c r="AX16" i="9"/>
  <c r="AZ16" i="9"/>
  <c r="BP16" i="9" s="1"/>
  <c r="BA16" i="9"/>
  <c r="CG16" i="9" s="1"/>
  <c r="BB16" i="9"/>
  <c r="DB16" i="9"/>
  <c r="DC16" i="9"/>
  <c r="DD16" i="9"/>
  <c r="AV17" i="9"/>
  <c r="AW17" i="9"/>
  <c r="BM17" i="9" s="1"/>
  <c r="AX17" i="9"/>
  <c r="AZ17" i="9"/>
  <c r="BP17" i="9" s="1"/>
  <c r="BA17" i="9"/>
  <c r="BQ17" i="9" s="1"/>
  <c r="BB17" i="9"/>
  <c r="DB17" i="9"/>
  <c r="DC17" i="9"/>
  <c r="DD17" i="9"/>
  <c r="AV18" i="9"/>
  <c r="AW18" i="9"/>
  <c r="BM18" i="9" s="1"/>
  <c r="AX18" i="9"/>
  <c r="AZ18" i="9"/>
  <c r="BP18" i="9" s="1"/>
  <c r="BA18" i="9"/>
  <c r="BQ18" i="9" s="1"/>
  <c r="BB18" i="9"/>
  <c r="DB18" i="9"/>
  <c r="DC18" i="9"/>
  <c r="DD18" i="9"/>
  <c r="AV19" i="9"/>
  <c r="AW19" i="9"/>
  <c r="BM19" i="9" s="1"/>
  <c r="AX19" i="9"/>
  <c r="BN19" i="9" s="1"/>
  <c r="AZ19" i="9"/>
  <c r="BP19" i="9" s="1"/>
  <c r="BA19" i="9"/>
  <c r="BB19" i="9"/>
  <c r="BR19" i="9" s="1"/>
  <c r="DB19" i="9"/>
  <c r="DC19" i="9"/>
  <c r="DD19" i="9"/>
  <c r="AV20" i="9"/>
  <c r="AW20" i="9"/>
  <c r="BM20" i="9" s="1"/>
  <c r="AX20" i="9"/>
  <c r="AZ20" i="9"/>
  <c r="BP20" i="9" s="1"/>
  <c r="BA20" i="9"/>
  <c r="BB20" i="9"/>
  <c r="DB20" i="9"/>
  <c r="DC20" i="9"/>
  <c r="DD20" i="9"/>
  <c r="AV21" i="9"/>
  <c r="BL21" i="9" s="1"/>
  <c r="AW21" i="9"/>
  <c r="BM21" i="9" s="1"/>
  <c r="AX21" i="9"/>
  <c r="AZ21" i="9"/>
  <c r="BP21" i="9" s="1"/>
  <c r="BA21" i="9"/>
  <c r="BB21" i="9"/>
  <c r="DB21" i="9"/>
  <c r="DC21" i="9"/>
  <c r="DD21" i="9"/>
  <c r="AV22" i="9"/>
  <c r="BL22" i="9" s="1"/>
  <c r="AW22" i="9"/>
  <c r="BM22" i="9" s="1"/>
  <c r="AX22" i="9"/>
  <c r="AZ22" i="9"/>
  <c r="BP22" i="9" s="1"/>
  <c r="BA22" i="9"/>
  <c r="BB22" i="9"/>
  <c r="DB22" i="9"/>
  <c r="DC22" i="9"/>
  <c r="DD22" i="9"/>
  <c r="AV23" i="9"/>
  <c r="AW23" i="9"/>
  <c r="BM23" i="9" s="1"/>
  <c r="AX23" i="9"/>
  <c r="BN23" i="9" s="1"/>
  <c r="AZ23" i="9"/>
  <c r="BP23" i="9" s="1"/>
  <c r="BA23" i="9"/>
  <c r="BB23" i="9"/>
  <c r="DB23" i="9"/>
  <c r="DC23" i="9"/>
  <c r="DD23" i="9"/>
  <c r="AV24" i="9"/>
  <c r="BL24" i="9" s="1"/>
  <c r="AW24" i="9"/>
  <c r="BM24" i="9" s="1"/>
  <c r="AX24" i="9"/>
  <c r="BN24" i="9" s="1"/>
  <c r="AZ24" i="9"/>
  <c r="BP24" i="9" s="1"/>
  <c r="BA24" i="9"/>
  <c r="BB24" i="9"/>
  <c r="DB24" i="9"/>
  <c r="DC24" i="9"/>
  <c r="DD24" i="9"/>
  <c r="AV25" i="9"/>
  <c r="AW25" i="9"/>
  <c r="BM25" i="9" s="1"/>
  <c r="AX25" i="9"/>
  <c r="AZ25" i="9"/>
  <c r="BP25" i="9" s="1"/>
  <c r="BA25" i="9"/>
  <c r="BB25" i="9"/>
  <c r="DB25" i="9"/>
  <c r="DC25" i="9"/>
  <c r="DD25" i="9"/>
  <c r="AV26" i="9"/>
  <c r="AW26" i="9"/>
  <c r="BM26" i="9" s="1"/>
  <c r="AX26" i="9"/>
  <c r="BN26" i="9" s="1"/>
  <c r="AZ26" i="9"/>
  <c r="BP26" i="9" s="1"/>
  <c r="BA26" i="9"/>
  <c r="BB26" i="9"/>
  <c r="DB26" i="9"/>
  <c r="DC26" i="9"/>
  <c r="DD26" i="9"/>
  <c r="AV27" i="9"/>
  <c r="AW27" i="9"/>
  <c r="BM27" i="9" s="1"/>
  <c r="AX27" i="9"/>
  <c r="AZ27" i="9"/>
  <c r="BA27" i="9"/>
  <c r="BB27" i="9"/>
  <c r="DB27" i="9"/>
  <c r="DC27" i="9"/>
  <c r="DD27" i="9"/>
  <c r="AV28" i="9"/>
  <c r="BL28" i="9" s="1"/>
  <c r="AW28" i="9"/>
  <c r="BM28" i="9" s="1"/>
  <c r="AX28" i="9"/>
  <c r="BN28" i="9" s="1"/>
  <c r="AZ28" i="9"/>
  <c r="BP28" i="9" s="1"/>
  <c r="BA28" i="9"/>
  <c r="BB28" i="9"/>
  <c r="DB28" i="9"/>
  <c r="DC28" i="9"/>
  <c r="DD28" i="9"/>
  <c r="AV29" i="9"/>
  <c r="AW29" i="9"/>
  <c r="BM29" i="9" s="1"/>
  <c r="AX29" i="9"/>
  <c r="AZ29" i="9"/>
  <c r="BP29" i="9" s="1"/>
  <c r="BA29" i="9"/>
  <c r="BB29" i="9"/>
  <c r="BR29" i="9" s="1"/>
  <c r="DB29" i="9"/>
  <c r="DC29" i="9"/>
  <c r="DD29" i="9"/>
  <c r="AV30" i="9"/>
  <c r="AW30" i="9"/>
  <c r="BM30" i="9" s="1"/>
  <c r="AX30" i="9"/>
  <c r="AZ30" i="9"/>
  <c r="BP30" i="9" s="1"/>
  <c r="BA30" i="9"/>
  <c r="BB30" i="9"/>
  <c r="DB30" i="9"/>
  <c r="DC30" i="9"/>
  <c r="DD30" i="9"/>
  <c r="AV31" i="9"/>
  <c r="BL31" i="9" s="1"/>
  <c r="AW31" i="9"/>
  <c r="BM31" i="9" s="1"/>
  <c r="AX31" i="9"/>
  <c r="BN31" i="9" s="1"/>
  <c r="AZ31" i="9"/>
  <c r="BP31" i="9" s="1"/>
  <c r="BA31" i="9"/>
  <c r="BB31" i="9"/>
  <c r="BR31" i="9" s="1"/>
  <c r="DB31" i="9"/>
  <c r="DC31" i="9"/>
  <c r="DD31" i="9"/>
  <c r="AV32" i="9"/>
  <c r="BL32" i="9" s="1"/>
  <c r="AW32" i="9"/>
  <c r="BM32" i="9" s="1"/>
  <c r="AX32" i="9"/>
  <c r="AZ32" i="9"/>
  <c r="BA32" i="9"/>
  <c r="BQ32" i="9" s="1"/>
  <c r="BB32" i="9"/>
  <c r="BR32" i="9" s="1"/>
  <c r="DB32" i="9"/>
  <c r="DC32" i="9"/>
  <c r="DD32" i="9"/>
  <c r="AV33" i="9"/>
  <c r="AW33" i="9"/>
  <c r="BM33" i="9" s="1"/>
  <c r="AX33" i="9"/>
  <c r="BN33" i="9" s="1"/>
  <c r="AZ33" i="9"/>
  <c r="BP33" i="9" s="1"/>
  <c r="BA33" i="9"/>
  <c r="BB33" i="9"/>
  <c r="BR33" i="9" s="1"/>
  <c r="DB33" i="9"/>
  <c r="DC33" i="9"/>
  <c r="DD33" i="9"/>
  <c r="AV34" i="9"/>
  <c r="BL34" i="9" s="1"/>
  <c r="AW34" i="9"/>
  <c r="BM34" i="9" s="1"/>
  <c r="AX34" i="9"/>
  <c r="AZ34" i="9"/>
  <c r="BP34" i="9" s="1"/>
  <c r="BA34" i="9"/>
  <c r="CG34" i="9" s="1"/>
  <c r="BB34" i="9"/>
  <c r="DB34" i="9"/>
  <c r="DC34" i="9"/>
  <c r="DD34" i="9"/>
  <c r="AV35" i="9"/>
  <c r="BL35" i="9" s="1"/>
  <c r="AW35" i="9"/>
  <c r="BM35" i="9" s="1"/>
  <c r="AX35" i="9"/>
  <c r="BN35" i="9" s="1"/>
  <c r="AZ35" i="9"/>
  <c r="BP35" i="9" s="1"/>
  <c r="BA35" i="9"/>
  <c r="BB35" i="9"/>
  <c r="DB35" i="9"/>
  <c r="DC35" i="9"/>
  <c r="DD35" i="9"/>
  <c r="AV36" i="9"/>
  <c r="BL36" i="9" s="1"/>
  <c r="AW36" i="9"/>
  <c r="BM36" i="9" s="1"/>
  <c r="AX36" i="9"/>
  <c r="BN36" i="9" s="1"/>
  <c r="AZ36" i="9"/>
  <c r="BP36" i="9" s="1"/>
  <c r="BA36" i="9"/>
  <c r="BQ36" i="9" s="1"/>
  <c r="BB36" i="9"/>
  <c r="DB36" i="9"/>
  <c r="DC36" i="9"/>
  <c r="DD36" i="9"/>
  <c r="AV37" i="9"/>
  <c r="BL37" i="9" s="1"/>
  <c r="AW37" i="9"/>
  <c r="BM37" i="9" s="1"/>
  <c r="AX37" i="9"/>
  <c r="AZ37" i="9"/>
  <c r="BP37" i="9" s="1"/>
  <c r="BA37" i="9"/>
  <c r="BB37" i="9"/>
  <c r="DB37" i="9"/>
  <c r="DC37" i="9"/>
  <c r="DD37" i="9"/>
  <c r="AV38" i="9"/>
  <c r="AW38" i="9"/>
  <c r="BM38" i="9" s="1"/>
  <c r="AX38" i="9"/>
  <c r="AZ38" i="9"/>
  <c r="BP38" i="9" s="1"/>
  <c r="BA38" i="9"/>
  <c r="BB38" i="9"/>
  <c r="DB38" i="9"/>
  <c r="DC38" i="9"/>
  <c r="DD38" i="9"/>
  <c r="AV39" i="9"/>
  <c r="BL39" i="9" s="1"/>
  <c r="AW39" i="9"/>
  <c r="BM39" i="9" s="1"/>
  <c r="AX39" i="9"/>
  <c r="BN39" i="9" s="1"/>
  <c r="AZ39" i="9"/>
  <c r="BP39" i="9" s="1"/>
  <c r="BA39" i="9"/>
  <c r="BB39" i="9"/>
  <c r="DB39" i="9"/>
  <c r="DC39" i="9"/>
  <c r="DD39" i="9"/>
  <c r="AV40" i="9"/>
  <c r="AW40" i="9"/>
  <c r="CC40" i="9" s="1"/>
  <c r="AX40" i="9"/>
  <c r="BN40" i="9" s="1"/>
  <c r="AZ40" i="9"/>
  <c r="BP40" i="9" s="1"/>
  <c r="BA40" i="9"/>
  <c r="CG40" i="9" s="1"/>
  <c r="BB40" i="9"/>
  <c r="DB40" i="9"/>
  <c r="DC40" i="9"/>
  <c r="DD40" i="9"/>
  <c r="AV41" i="9"/>
  <c r="BL41" i="9" s="1"/>
  <c r="AW41" i="9"/>
  <c r="BM41" i="9" s="1"/>
  <c r="AX41" i="9"/>
  <c r="BN41" i="9" s="1"/>
  <c r="AZ41" i="9"/>
  <c r="BP41" i="9" s="1"/>
  <c r="BA41" i="9"/>
  <c r="BB41" i="9"/>
  <c r="DB41" i="9"/>
  <c r="DC41" i="9"/>
  <c r="DD41" i="9"/>
  <c r="AV42" i="9"/>
  <c r="BL42" i="9" s="1"/>
  <c r="AW42" i="9"/>
  <c r="BM42" i="9" s="1"/>
  <c r="AX42" i="9"/>
  <c r="BN42" i="9" s="1"/>
  <c r="AZ42" i="9"/>
  <c r="BP42" i="9" s="1"/>
  <c r="BA42" i="9"/>
  <c r="BB42" i="9"/>
  <c r="BR42" i="9" s="1"/>
  <c r="DB42" i="9"/>
  <c r="DC42" i="9"/>
  <c r="DD42" i="9"/>
  <c r="AV43" i="9"/>
  <c r="AW43" i="9"/>
  <c r="AX43" i="9"/>
  <c r="AZ43" i="9"/>
  <c r="BP43" i="9" s="1"/>
  <c r="BA43" i="9"/>
  <c r="BB43" i="9"/>
  <c r="DB43" i="9"/>
  <c r="DC43" i="9"/>
  <c r="DD43" i="9"/>
  <c r="AV44" i="9"/>
  <c r="BL44" i="9" s="1"/>
  <c r="AW44" i="9"/>
  <c r="BM44" i="9" s="1"/>
  <c r="AX44" i="9"/>
  <c r="BN44" i="9" s="1"/>
  <c r="AZ44" i="9"/>
  <c r="BP44" i="9" s="1"/>
  <c r="BA44" i="9"/>
  <c r="BB44" i="9"/>
  <c r="DB44" i="9"/>
  <c r="DC44" i="9"/>
  <c r="DD44" i="9"/>
  <c r="AV45" i="9"/>
  <c r="AW45" i="9"/>
  <c r="BM45" i="9" s="1"/>
  <c r="AX45" i="9"/>
  <c r="AZ45" i="9"/>
  <c r="BP45" i="9" s="1"/>
  <c r="BA45" i="9"/>
  <c r="BB45" i="9"/>
  <c r="DB45" i="9"/>
  <c r="DC45" i="9"/>
  <c r="DD45" i="9"/>
  <c r="AV46" i="9"/>
  <c r="AW46" i="9"/>
  <c r="BM46" i="9" s="1"/>
  <c r="AX46" i="9"/>
  <c r="BN46" i="9" s="1"/>
  <c r="AZ46" i="9"/>
  <c r="BA46" i="9"/>
  <c r="BB46" i="9"/>
  <c r="BR46" i="9" s="1"/>
  <c r="DB46" i="9"/>
  <c r="DC46" i="9"/>
  <c r="DD46" i="9"/>
  <c r="AV47" i="9"/>
  <c r="AW47" i="9"/>
  <c r="BM47" i="9" s="1"/>
  <c r="AX47" i="9"/>
  <c r="AZ47" i="9"/>
  <c r="BA47" i="9"/>
  <c r="BQ47" i="9" s="1"/>
  <c r="BB47" i="9"/>
  <c r="BR47" i="9" s="1"/>
  <c r="DB47" i="9"/>
  <c r="DC47" i="9"/>
  <c r="DD47" i="9"/>
  <c r="AV48" i="9"/>
  <c r="AW48" i="9"/>
  <c r="BM48" i="9" s="1"/>
  <c r="AX48" i="9"/>
  <c r="AZ48" i="9"/>
  <c r="BP48" i="9" s="1"/>
  <c r="BA48" i="9"/>
  <c r="BB48" i="9"/>
  <c r="DB48" i="9"/>
  <c r="DC48" i="9"/>
  <c r="DD48" i="9"/>
  <c r="AV49" i="9"/>
  <c r="AW49" i="9"/>
  <c r="BM49" i="9" s="1"/>
  <c r="AX49" i="9"/>
  <c r="BN49" i="9" s="1"/>
  <c r="AZ49" i="9"/>
  <c r="BP49" i="9" s="1"/>
  <c r="BA49" i="9"/>
  <c r="BB49" i="9"/>
  <c r="BR49" i="9" s="1"/>
  <c r="DB49" i="9"/>
  <c r="DC49" i="9"/>
  <c r="DD49" i="9"/>
  <c r="AV50" i="9"/>
  <c r="AW50" i="9"/>
  <c r="BM50" i="9" s="1"/>
  <c r="AX50" i="9"/>
  <c r="BN50" i="9" s="1"/>
  <c r="AZ50" i="9"/>
  <c r="BP50" i="9" s="1"/>
  <c r="BA50" i="9"/>
  <c r="BB50" i="9"/>
  <c r="DB50" i="9"/>
  <c r="DC50" i="9"/>
  <c r="DD50" i="9"/>
  <c r="AV51" i="9"/>
  <c r="BL51" i="9" s="1"/>
  <c r="AW51" i="9"/>
  <c r="BM51" i="9" s="1"/>
  <c r="AX51" i="9"/>
  <c r="CD51" i="9" s="1"/>
  <c r="AZ51" i="9"/>
  <c r="BP51" i="9" s="1"/>
  <c r="BA51" i="9"/>
  <c r="BB51" i="9"/>
  <c r="CH51" i="9" s="1"/>
  <c r="DB51" i="9"/>
  <c r="DC51" i="9"/>
  <c r="DD51" i="9"/>
  <c r="DI51" i="9" s="1"/>
  <c r="AV52" i="9"/>
  <c r="BL52" i="9" s="1"/>
  <c r="AW52" i="9"/>
  <c r="BM52" i="9" s="1"/>
  <c r="AX52" i="9"/>
  <c r="AZ52" i="9"/>
  <c r="BA52" i="9"/>
  <c r="BB52" i="9"/>
  <c r="DB52" i="9"/>
  <c r="DC52" i="9"/>
  <c r="DD52" i="9"/>
  <c r="AV53" i="9"/>
  <c r="AW53" i="9"/>
  <c r="BM53" i="9" s="1"/>
  <c r="AX53" i="9"/>
  <c r="BN53" i="9" s="1"/>
  <c r="AZ53" i="9"/>
  <c r="BP53" i="9" s="1"/>
  <c r="BA53" i="9"/>
  <c r="BB53" i="9"/>
  <c r="DB53" i="9"/>
  <c r="DC53" i="9"/>
  <c r="DD53" i="9"/>
  <c r="DI53" i="9" s="1"/>
  <c r="AV54" i="9"/>
  <c r="AW54" i="9"/>
  <c r="BM54" i="9" s="1"/>
  <c r="AX54" i="9"/>
  <c r="BN54" i="9" s="1"/>
  <c r="AZ54" i="9"/>
  <c r="BP54" i="9" s="1"/>
  <c r="BA54" i="9"/>
  <c r="BB54" i="9"/>
  <c r="BR54" i="9" s="1"/>
  <c r="DB54" i="9"/>
  <c r="DC54" i="9"/>
  <c r="DD54" i="9"/>
  <c r="AV55" i="9"/>
  <c r="AW55" i="9"/>
  <c r="BM55" i="9" s="1"/>
  <c r="AX55" i="9"/>
  <c r="AZ55" i="9"/>
  <c r="BP55" i="9" s="1"/>
  <c r="BA55" i="9"/>
  <c r="BB55" i="9"/>
  <c r="DB55" i="9"/>
  <c r="DC55" i="9"/>
  <c r="DD55" i="9"/>
  <c r="AV56" i="9"/>
  <c r="AW56" i="9"/>
  <c r="BM56" i="9" s="1"/>
  <c r="AX56" i="9"/>
  <c r="AZ56" i="9"/>
  <c r="BP56" i="9" s="1"/>
  <c r="BA56" i="9"/>
  <c r="BB56" i="9"/>
  <c r="DB56" i="9"/>
  <c r="DC56" i="9"/>
  <c r="DD56" i="9"/>
  <c r="AV57" i="9"/>
  <c r="AW57" i="9"/>
  <c r="BM57" i="9" s="1"/>
  <c r="AX57" i="9"/>
  <c r="BN57" i="9" s="1"/>
  <c r="AZ57" i="9"/>
  <c r="BP57" i="9" s="1"/>
  <c r="BA57" i="9"/>
  <c r="BB57" i="9"/>
  <c r="DB57" i="9"/>
  <c r="DC57" i="9"/>
  <c r="DD57" i="9"/>
  <c r="DI57" i="9" s="1"/>
  <c r="AV58" i="9"/>
  <c r="AW58" i="9"/>
  <c r="BM58" i="9" s="1"/>
  <c r="AX58" i="9"/>
  <c r="BN58" i="9" s="1"/>
  <c r="AZ58" i="9"/>
  <c r="BA58" i="9"/>
  <c r="BB58" i="9"/>
  <c r="DB58" i="9"/>
  <c r="DC58" i="9"/>
  <c r="DD58" i="9"/>
  <c r="AV59" i="9"/>
  <c r="AW59" i="9"/>
  <c r="BM59" i="9" s="1"/>
  <c r="AX59" i="9"/>
  <c r="CD59" i="9" s="1"/>
  <c r="AZ59" i="9"/>
  <c r="BA59" i="9"/>
  <c r="BQ59" i="9" s="1"/>
  <c r="BB59" i="9"/>
  <c r="BR59" i="9" s="1"/>
  <c r="DB59" i="9"/>
  <c r="DC59" i="9"/>
  <c r="DD59" i="9"/>
  <c r="AV60" i="9"/>
  <c r="AW60" i="9"/>
  <c r="BM60" i="9" s="1"/>
  <c r="AX60" i="9"/>
  <c r="AZ60" i="9"/>
  <c r="BP60" i="9" s="1"/>
  <c r="BA60" i="9"/>
  <c r="BB60" i="9"/>
  <c r="BR60" i="9" s="1"/>
  <c r="CO60" i="9"/>
  <c r="CP60" i="9"/>
  <c r="CQ60" i="9"/>
  <c r="CT60" i="9"/>
  <c r="DB60" i="9"/>
  <c r="DC60" i="9"/>
  <c r="DD60" i="9"/>
  <c r="AV61" i="9"/>
  <c r="AW61" i="9"/>
  <c r="BM61" i="9" s="1"/>
  <c r="AX61" i="9"/>
  <c r="BN61" i="9" s="1"/>
  <c r="AZ61" i="9"/>
  <c r="BP61" i="9" s="1"/>
  <c r="BA61" i="9"/>
  <c r="BB61" i="9"/>
  <c r="BR61" i="9" s="1"/>
  <c r="CO61" i="9"/>
  <c r="CP61" i="9"/>
  <c r="CQ61" i="9"/>
  <c r="CT61" i="9"/>
  <c r="DB61" i="9"/>
  <c r="DC61" i="9"/>
  <c r="DD61" i="9"/>
  <c r="AV62" i="9"/>
  <c r="AW62" i="9"/>
  <c r="BM62" i="9" s="1"/>
  <c r="AX62" i="9"/>
  <c r="AZ62" i="9"/>
  <c r="BP62" i="9" s="1"/>
  <c r="BA62" i="9"/>
  <c r="CG62" i="9" s="1"/>
  <c r="BB62" i="9"/>
  <c r="CO62" i="9"/>
  <c r="CP62" i="9"/>
  <c r="CQ62" i="9"/>
  <c r="CT62" i="9"/>
  <c r="DB62" i="9"/>
  <c r="DC62" i="9"/>
  <c r="DD62" i="9"/>
  <c r="AV63" i="9"/>
  <c r="AW63" i="9"/>
  <c r="BM63" i="9" s="1"/>
  <c r="AX63" i="9"/>
  <c r="BN63" i="9" s="1"/>
  <c r="AZ63" i="9"/>
  <c r="BP63" i="9" s="1"/>
  <c r="BA63" i="9"/>
  <c r="BB63" i="9"/>
  <c r="BR63" i="9" s="1"/>
  <c r="CO63" i="9"/>
  <c r="CP63" i="9"/>
  <c r="CQ63" i="9"/>
  <c r="CT63" i="9"/>
  <c r="DB63" i="9"/>
  <c r="DC63" i="9"/>
  <c r="DD63" i="9"/>
  <c r="AV64" i="9"/>
  <c r="AW64" i="9"/>
  <c r="BM64" i="9" s="1"/>
  <c r="AX64" i="9"/>
  <c r="AZ64" i="9"/>
  <c r="BA64" i="9"/>
  <c r="BQ64" i="9" s="1"/>
  <c r="BB64" i="9"/>
  <c r="CH64" i="9" s="1"/>
  <c r="CO64" i="9"/>
  <c r="CP64" i="9"/>
  <c r="CQ64" i="9"/>
  <c r="CT64" i="9"/>
  <c r="DB64" i="9"/>
  <c r="DC64" i="9"/>
  <c r="DD64" i="9"/>
  <c r="AV65" i="9"/>
  <c r="BL65" i="9" s="1"/>
  <c r="AW65" i="9"/>
  <c r="BM65" i="9" s="1"/>
  <c r="AX65" i="9"/>
  <c r="BN65" i="9" s="1"/>
  <c r="AZ65" i="9"/>
  <c r="BA65" i="9"/>
  <c r="BQ65" i="9" s="1"/>
  <c r="BB65" i="9"/>
  <c r="CO65" i="9"/>
  <c r="CP65" i="9"/>
  <c r="CQ65" i="9"/>
  <c r="CT65" i="9"/>
  <c r="DB65" i="9"/>
  <c r="DC65" i="9"/>
  <c r="DD65" i="9"/>
  <c r="AV66" i="9"/>
  <c r="AW66" i="9"/>
  <c r="BM66" i="9" s="1"/>
  <c r="AX66" i="9"/>
  <c r="AZ66" i="9"/>
  <c r="BP66" i="9" s="1"/>
  <c r="BA66" i="9"/>
  <c r="CG66" i="9" s="1"/>
  <c r="BB66" i="9"/>
  <c r="CO66" i="9"/>
  <c r="CP66" i="9"/>
  <c r="CQ66" i="9"/>
  <c r="CT66" i="9"/>
  <c r="DB66" i="9"/>
  <c r="DC66" i="9"/>
  <c r="DD66" i="9"/>
  <c r="AV67" i="9"/>
  <c r="AW67" i="9"/>
  <c r="BM67" i="9" s="1"/>
  <c r="AX67" i="9"/>
  <c r="AZ67" i="9"/>
  <c r="BP67" i="9" s="1"/>
  <c r="BA67" i="9"/>
  <c r="BQ67" i="9" s="1"/>
  <c r="BB67" i="9"/>
  <c r="CO67" i="9"/>
  <c r="CP67" i="9"/>
  <c r="CQ67" i="9"/>
  <c r="CT67" i="9"/>
  <c r="DB67" i="9"/>
  <c r="DC67" i="9"/>
  <c r="DD67" i="9"/>
  <c r="AV68" i="9"/>
  <c r="AW68" i="9"/>
  <c r="BM68" i="9" s="1"/>
  <c r="AX68" i="9"/>
  <c r="AZ68" i="9"/>
  <c r="BP68" i="9" s="1"/>
  <c r="BA68" i="9"/>
  <c r="BB68" i="9"/>
  <c r="CO68" i="9"/>
  <c r="CP68" i="9"/>
  <c r="CQ68" i="9"/>
  <c r="CT68" i="9"/>
  <c r="DB68" i="9"/>
  <c r="DC68" i="9"/>
  <c r="DD68" i="9"/>
  <c r="AV69" i="9"/>
  <c r="AW69" i="9"/>
  <c r="BM69" i="9" s="1"/>
  <c r="AX69" i="9"/>
  <c r="AZ69" i="9"/>
  <c r="BP69" i="9" s="1"/>
  <c r="BA69" i="9"/>
  <c r="BB69" i="9"/>
  <c r="CO69" i="9"/>
  <c r="CP69" i="9"/>
  <c r="CQ69" i="9"/>
  <c r="CT69" i="9"/>
  <c r="DB69" i="9"/>
  <c r="DC69" i="9"/>
  <c r="DD69" i="9"/>
  <c r="AV70" i="9"/>
  <c r="BL70" i="9" s="1"/>
  <c r="AW70" i="9"/>
  <c r="BM70" i="9" s="1"/>
  <c r="AX70" i="9"/>
  <c r="BN70" i="9" s="1"/>
  <c r="AZ70" i="9"/>
  <c r="BP70" i="9" s="1"/>
  <c r="BA70" i="9"/>
  <c r="CG70" i="9" s="1"/>
  <c r="BB70" i="9"/>
  <c r="CO70" i="9"/>
  <c r="CP70" i="9"/>
  <c r="CQ70" i="9"/>
  <c r="CT70" i="9"/>
  <c r="DB70" i="9"/>
  <c r="DC70" i="9"/>
  <c r="DD70" i="9"/>
  <c r="AV71" i="9"/>
  <c r="AW71" i="9"/>
  <c r="BM71" i="9" s="1"/>
  <c r="AX71" i="9"/>
  <c r="BN71" i="9" s="1"/>
  <c r="AZ71" i="9"/>
  <c r="BP71" i="9" s="1"/>
  <c r="BA71" i="9"/>
  <c r="BB71" i="9"/>
  <c r="CO71" i="9"/>
  <c r="CP71" i="9"/>
  <c r="CQ71" i="9"/>
  <c r="CT71" i="9"/>
  <c r="DB71" i="9"/>
  <c r="DC71" i="9"/>
  <c r="DD71" i="9"/>
  <c r="AV72" i="9"/>
  <c r="AW72" i="9"/>
  <c r="BM72" i="9" s="1"/>
  <c r="AX72" i="9"/>
  <c r="AZ72" i="9"/>
  <c r="BP72" i="9" s="1"/>
  <c r="BA72" i="9"/>
  <c r="CG72" i="9" s="1"/>
  <c r="BB72" i="9"/>
  <c r="CO72" i="9"/>
  <c r="CP72" i="9"/>
  <c r="CQ72" i="9"/>
  <c r="CT72" i="9"/>
  <c r="DB72" i="9"/>
  <c r="DC72" i="9"/>
  <c r="DD72" i="9"/>
  <c r="AV73" i="9"/>
  <c r="AW73" i="9"/>
  <c r="BM73" i="9" s="1"/>
  <c r="AX73" i="9"/>
  <c r="AZ73" i="9"/>
  <c r="BP73" i="9" s="1"/>
  <c r="BA73" i="9"/>
  <c r="BB73" i="9"/>
  <c r="CO73" i="9"/>
  <c r="CP73" i="9"/>
  <c r="CQ73" i="9"/>
  <c r="CT73" i="9"/>
  <c r="DB73" i="9"/>
  <c r="DC73" i="9"/>
  <c r="DD73" i="9"/>
  <c r="AV74" i="9"/>
  <c r="AW74" i="9"/>
  <c r="BM74" i="9" s="1"/>
  <c r="AX74" i="9"/>
  <c r="AZ74" i="9"/>
  <c r="BP74" i="9" s="1"/>
  <c r="BA74" i="9"/>
  <c r="BB74" i="9"/>
  <c r="CO74" i="9"/>
  <c r="CP74" i="9"/>
  <c r="CQ74" i="9"/>
  <c r="CT74" i="9"/>
  <c r="DB74" i="9"/>
  <c r="DC74" i="9"/>
  <c r="DD74" i="9"/>
  <c r="AV75" i="9"/>
  <c r="BL75" i="9" s="1"/>
  <c r="AW75" i="9"/>
  <c r="BM75" i="9" s="1"/>
  <c r="AX75" i="9"/>
  <c r="BN75" i="9" s="1"/>
  <c r="AZ75" i="9"/>
  <c r="BP75" i="9" s="1"/>
  <c r="BA75" i="9"/>
  <c r="BB75" i="9"/>
  <c r="BR75" i="9" s="1"/>
  <c r="CO75" i="9"/>
  <c r="CP75" i="9"/>
  <c r="CQ75" i="9"/>
  <c r="CT75" i="9"/>
  <c r="DB75" i="9"/>
  <c r="DC75" i="9"/>
  <c r="DD75" i="9"/>
  <c r="AV76" i="9"/>
  <c r="AW76" i="9"/>
  <c r="BM76" i="9" s="1"/>
  <c r="AX76" i="9"/>
  <c r="AZ76" i="9"/>
  <c r="BP76" i="9" s="1"/>
  <c r="BA76" i="9"/>
  <c r="BQ76" i="9" s="1"/>
  <c r="BB76" i="9"/>
  <c r="CO76" i="9"/>
  <c r="CP76" i="9"/>
  <c r="CQ76" i="9"/>
  <c r="CT76" i="9"/>
  <c r="DB76" i="9"/>
  <c r="DC76" i="9"/>
  <c r="DD76" i="9"/>
  <c r="AV77" i="9"/>
  <c r="AW77" i="9"/>
  <c r="BM77" i="9" s="1"/>
  <c r="AX77" i="9"/>
  <c r="BN77" i="9" s="1"/>
  <c r="AZ77" i="9"/>
  <c r="BA77" i="9"/>
  <c r="BB77" i="9"/>
  <c r="BR77" i="9" s="1"/>
  <c r="CO77" i="9"/>
  <c r="CP77" i="9"/>
  <c r="CQ77" i="9"/>
  <c r="CT77" i="9"/>
  <c r="DB77" i="9"/>
  <c r="DC77" i="9"/>
  <c r="DD77" i="9"/>
  <c r="AV78" i="9"/>
  <c r="BL78" i="9" s="1"/>
  <c r="AW78" i="9"/>
  <c r="BM78" i="9" s="1"/>
  <c r="AX78" i="9"/>
  <c r="CD78" i="9" s="1"/>
  <c r="AZ78" i="9"/>
  <c r="BP78" i="9" s="1"/>
  <c r="BA78" i="9"/>
  <c r="BB78" i="9"/>
  <c r="CO78" i="9"/>
  <c r="CP78" i="9"/>
  <c r="CQ78" i="9"/>
  <c r="CT78" i="9"/>
  <c r="DB78" i="9"/>
  <c r="DC78" i="9"/>
  <c r="DD78" i="9"/>
  <c r="AV79" i="9"/>
  <c r="BL79" i="9" s="1"/>
  <c r="AW79" i="9"/>
  <c r="BM79" i="9" s="1"/>
  <c r="AX79" i="9"/>
  <c r="BN79" i="9" s="1"/>
  <c r="AZ79" i="9"/>
  <c r="BP79" i="9" s="1"/>
  <c r="BA79" i="9"/>
  <c r="BQ79" i="9" s="1"/>
  <c r="BB79" i="9"/>
  <c r="CO79" i="9"/>
  <c r="CP79" i="9"/>
  <c r="CQ79" i="9"/>
  <c r="CT79" i="9"/>
  <c r="DB79" i="9"/>
  <c r="DC79" i="9"/>
  <c r="DD79" i="9"/>
  <c r="AV80" i="9"/>
  <c r="AW80" i="9"/>
  <c r="BM80" i="9" s="1"/>
  <c r="AX80" i="9"/>
  <c r="CD80" i="9" s="1"/>
  <c r="AZ80" i="9"/>
  <c r="BP80" i="9" s="1"/>
  <c r="BA80" i="9"/>
  <c r="BB80" i="9"/>
  <c r="CO80" i="9"/>
  <c r="CP80" i="9"/>
  <c r="CQ80" i="9"/>
  <c r="CT80" i="9"/>
  <c r="DB80" i="9"/>
  <c r="DC80" i="9"/>
  <c r="DD80" i="9"/>
  <c r="AV81" i="9"/>
  <c r="AW81" i="9"/>
  <c r="BM81" i="9" s="1"/>
  <c r="AX81" i="9"/>
  <c r="BN81" i="9" s="1"/>
  <c r="AZ81" i="9"/>
  <c r="BP81" i="9" s="1"/>
  <c r="BA81" i="9"/>
  <c r="BB81" i="9"/>
  <c r="CO81" i="9"/>
  <c r="CP81" i="9"/>
  <c r="CQ81" i="9"/>
  <c r="CT81" i="9"/>
  <c r="DB81" i="9"/>
  <c r="DC81" i="9"/>
  <c r="DD81" i="9"/>
  <c r="AV82" i="9"/>
  <c r="AW82" i="9"/>
  <c r="BM82" i="9" s="1"/>
  <c r="AX82" i="9"/>
  <c r="AZ82" i="9"/>
  <c r="BP82" i="9" s="1"/>
  <c r="BA82" i="9"/>
  <c r="CG82" i="9" s="1"/>
  <c r="BB82" i="9"/>
  <c r="BR82" i="9" s="1"/>
  <c r="CO82" i="9"/>
  <c r="CP82" i="9"/>
  <c r="CQ82" i="9"/>
  <c r="CT82" i="9"/>
  <c r="DB82" i="9"/>
  <c r="DC82" i="9"/>
  <c r="DD82" i="9"/>
  <c r="AV83" i="9"/>
  <c r="BL83" i="9" s="1"/>
  <c r="AW83" i="9"/>
  <c r="BM83" i="9" s="1"/>
  <c r="AX83" i="9"/>
  <c r="BN83" i="9" s="1"/>
  <c r="AZ83" i="9"/>
  <c r="BP83" i="9" s="1"/>
  <c r="BA83" i="9"/>
  <c r="BB83" i="9"/>
  <c r="CH83" i="9" s="1"/>
  <c r="CO83" i="9"/>
  <c r="CP83" i="9"/>
  <c r="CQ83" i="9"/>
  <c r="CT83" i="9"/>
  <c r="DB83" i="9"/>
  <c r="DC83" i="9"/>
  <c r="DD83" i="9"/>
  <c r="AV84" i="9"/>
  <c r="BL84" i="9" s="1"/>
  <c r="AW84" i="9"/>
  <c r="BM84" i="9" s="1"/>
  <c r="AX84" i="9"/>
  <c r="BN84" i="9" s="1"/>
  <c r="AZ84" i="9"/>
  <c r="BP84" i="9" s="1"/>
  <c r="BA84" i="9"/>
  <c r="BB84" i="9"/>
  <c r="BR84" i="9" s="1"/>
  <c r="CO84" i="9"/>
  <c r="CP84" i="9"/>
  <c r="CQ84" i="9"/>
  <c r="CT84" i="9"/>
  <c r="DB84" i="9"/>
  <c r="DC84" i="9"/>
  <c r="DD84" i="9"/>
  <c r="AV85" i="9"/>
  <c r="AW85" i="9"/>
  <c r="BM85" i="9" s="1"/>
  <c r="AX85" i="9"/>
  <c r="AZ85" i="9"/>
  <c r="BP85" i="9" s="1"/>
  <c r="BA85" i="9"/>
  <c r="BB85" i="9"/>
  <c r="CO85" i="9"/>
  <c r="CP85" i="9"/>
  <c r="CQ85" i="9"/>
  <c r="CT85" i="9"/>
  <c r="DB85" i="9"/>
  <c r="DC85" i="9"/>
  <c r="DD85" i="9"/>
  <c r="AV86" i="9"/>
  <c r="BL86" i="9" s="1"/>
  <c r="AW86" i="9"/>
  <c r="BM86" i="9" s="1"/>
  <c r="AX86" i="9"/>
  <c r="CD86" i="9" s="1"/>
  <c r="AZ86" i="9"/>
  <c r="BP86" i="9" s="1"/>
  <c r="BA86" i="9"/>
  <c r="BB86" i="9"/>
  <c r="CO86" i="9"/>
  <c r="CP86" i="9"/>
  <c r="CQ86" i="9"/>
  <c r="CT86" i="9"/>
  <c r="DB86" i="9"/>
  <c r="DC86" i="9"/>
  <c r="DD86" i="9"/>
  <c r="AV87" i="9"/>
  <c r="AW87" i="9"/>
  <c r="BM87" i="9" s="1"/>
  <c r="AX87" i="9"/>
  <c r="CD87" i="9" s="1"/>
  <c r="AZ87" i="9"/>
  <c r="BP87" i="9" s="1"/>
  <c r="BA87" i="9"/>
  <c r="BQ87" i="9" s="1"/>
  <c r="BB87" i="9"/>
  <c r="CO87" i="9"/>
  <c r="CP87" i="9"/>
  <c r="CQ87" i="9"/>
  <c r="CT87" i="9"/>
  <c r="DB87" i="9"/>
  <c r="DC87" i="9"/>
  <c r="DD87" i="9"/>
  <c r="AV88" i="9"/>
  <c r="AW88" i="9"/>
  <c r="BM88" i="9" s="1"/>
  <c r="AX88" i="9"/>
  <c r="AZ88" i="9"/>
  <c r="BP88" i="9" s="1"/>
  <c r="BA88" i="9"/>
  <c r="CG88" i="9" s="1"/>
  <c r="BB88" i="9"/>
  <c r="CH88" i="9" s="1"/>
  <c r="CO88" i="9"/>
  <c r="CP88" i="9"/>
  <c r="CQ88" i="9"/>
  <c r="CT88" i="9"/>
  <c r="DB88" i="9"/>
  <c r="DC88" i="9"/>
  <c r="DD88" i="9"/>
  <c r="AV89" i="9"/>
  <c r="BL89" i="9" s="1"/>
  <c r="AW89" i="9"/>
  <c r="BM89" i="9" s="1"/>
  <c r="AX89" i="9"/>
  <c r="BN89" i="9" s="1"/>
  <c r="AZ89" i="9"/>
  <c r="BP89" i="9" s="1"/>
  <c r="BA89" i="9"/>
  <c r="BQ89" i="9" s="1"/>
  <c r="BB89" i="9"/>
  <c r="CO89" i="9"/>
  <c r="CP89" i="9"/>
  <c r="CQ89" i="9"/>
  <c r="CT89" i="9"/>
  <c r="DB89" i="9"/>
  <c r="DC89" i="9"/>
  <c r="DD89" i="9"/>
  <c r="AV90" i="9"/>
  <c r="BL90" i="9" s="1"/>
  <c r="AW90" i="9"/>
  <c r="BM90" i="9" s="1"/>
  <c r="AX90" i="9"/>
  <c r="BN90" i="9" s="1"/>
  <c r="AZ90" i="9"/>
  <c r="BP90" i="9" s="1"/>
  <c r="BA90" i="9"/>
  <c r="CG90" i="9" s="1"/>
  <c r="BB90" i="9"/>
  <c r="CO90" i="9"/>
  <c r="CP90" i="9"/>
  <c r="CQ90" i="9"/>
  <c r="CT90" i="9"/>
  <c r="DB90" i="9"/>
  <c r="DC90" i="9"/>
  <c r="DD90" i="9"/>
  <c r="AV91" i="9"/>
  <c r="AW91" i="9"/>
  <c r="BM91" i="9" s="1"/>
  <c r="AX91" i="9"/>
  <c r="AZ91" i="9"/>
  <c r="BA91" i="9"/>
  <c r="BQ91" i="9" s="1"/>
  <c r="BB91" i="9"/>
  <c r="CO91" i="9"/>
  <c r="CP91" i="9"/>
  <c r="CQ91" i="9"/>
  <c r="CT91" i="9"/>
  <c r="DB91" i="9"/>
  <c r="DC91" i="9"/>
  <c r="DD91" i="9"/>
  <c r="AV92" i="9"/>
  <c r="AW92" i="9"/>
  <c r="BM92" i="9" s="1"/>
  <c r="AX92" i="9"/>
  <c r="AZ92" i="9"/>
  <c r="BP92" i="9" s="1"/>
  <c r="BA92" i="9"/>
  <c r="CG92" i="9" s="1"/>
  <c r="BB92" i="9"/>
  <c r="BR92" i="9" s="1"/>
  <c r="CO92" i="9"/>
  <c r="CP92" i="9"/>
  <c r="CQ92" i="9"/>
  <c r="CT92" i="9"/>
  <c r="DB92" i="9"/>
  <c r="DC92" i="9"/>
  <c r="DD92" i="9"/>
  <c r="AV93" i="9"/>
  <c r="AW93" i="9"/>
  <c r="BM93" i="9" s="1"/>
  <c r="AX93" i="9"/>
  <c r="AZ93" i="9"/>
  <c r="BP93" i="9" s="1"/>
  <c r="BA93" i="9"/>
  <c r="BB93" i="9"/>
  <c r="BR93" i="9" s="1"/>
  <c r="CO93" i="9"/>
  <c r="CP93" i="9"/>
  <c r="CQ93" i="9"/>
  <c r="CT93" i="9"/>
  <c r="DB93" i="9"/>
  <c r="DC93" i="9"/>
  <c r="DD93" i="9"/>
  <c r="AV94" i="9"/>
  <c r="AW94" i="9"/>
  <c r="BM94" i="9" s="1"/>
  <c r="AX94" i="9"/>
  <c r="AZ94" i="9"/>
  <c r="BA94" i="9"/>
  <c r="CG94" i="9" s="1"/>
  <c r="BB94" i="9"/>
  <c r="CO94" i="9"/>
  <c r="CP94" i="9"/>
  <c r="CQ94" i="9"/>
  <c r="CT94" i="9"/>
  <c r="DB94" i="9"/>
  <c r="DC94" i="9"/>
  <c r="DD94" i="9"/>
  <c r="AV95" i="9"/>
  <c r="AW95" i="9"/>
  <c r="BM95" i="9" s="1"/>
  <c r="AX95" i="9"/>
  <c r="AZ95" i="9"/>
  <c r="BA95" i="9"/>
  <c r="BB95" i="9"/>
  <c r="CO95" i="9"/>
  <c r="CP95" i="9"/>
  <c r="CQ95" i="9"/>
  <c r="CT95" i="9"/>
  <c r="DB95" i="9"/>
  <c r="DC95" i="9"/>
  <c r="DD95" i="9"/>
  <c r="AV96" i="9"/>
  <c r="AW96" i="9"/>
  <c r="BM96" i="9" s="1"/>
  <c r="AX96" i="9"/>
  <c r="BN96" i="9" s="1"/>
  <c r="AZ96" i="9"/>
  <c r="BP96" i="9" s="1"/>
  <c r="BA96" i="9"/>
  <c r="BB96" i="9"/>
  <c r="BR96" i="9" s="1"/>
  <c r="CO96" i="9"/>
  <c r="CP96" i="9"/>
  <c r="CQ96" i="9"/>
  <c r="CT96" i="9"/>
  <c r="DB96" i="9"/>
  <c r="DC96" i="9"/>
  <c r="DD96" i="9"/>
  <c r="AV97" i="9"/>
  <c r="BL97" i="9" s="1"/>
  <c r="AW97" i="9"/>
  <c r="BM97" i="9" s="1"/>
  <c r="AX97" i="9"/>
  <c r="AZ97" i="9"/>
  <c r="BP97" i="9" s="1"/>
  <c r="BA97" i="9"/>
  <c r="BB97" i="9"/>
  <c r="CO97" i="9"/>
  <c r="CP97" i="9"/>
  <c r="CQ97" i="9"/>
  <c r="CT97" i="9"/>
  <c r="DB97" i="9"/>
  <c r="DC97" i="9"/>
  <c r="DD97" i="9"/>
  <c r="AV98" i="9"/>
  <c r="AW98" i="9"/>
  <c r="BM98" i="9" s="1"/>
  <c r="AX98" i="9"/>
  <c r="AZ98" i="9"/>
  <c r="BP98" i="9" s="1"/>
  <c r="BA98" i="9"/>
  <c r="CG98" i="9" s="1"/>
  <c r="BB98" i="9"/>
  <c r="CO98" i="9"/>
  <c r="CP98" i="9"/>
  <c r="CQ98" i="9"/>
  <c r="CT98" i="9"/>
  <c r="DB98" i="9"/>
  <c r="DC98" i="9"/>
  <c r="DD98" i="9"/>
  <c r="AV99" i="9"/>
  <c r="BL99" i="9" s="1"/>
  <c r="AW99" i="9"/>
  <c r="BM99" i="9" s="1"/>
  <c r="AX99" i="9"/>
  <c r="AZ99" i="9"/>
  <c r="BP99" i="9" s="1"/>
  <c r="BA99" i="9"/>
  <c r="BB99" i="9"/>
  <c r="CO99" i="9"/>
  <c r="CP99" i="9"/>
  <c r="CQ99" i="9"/>
  <c r="CT99" i="9"/>
  <c r="DB99" i="9"/>
  <c r="DC99" i="9"/>
  <c r="DD99" i="9"/>
  <c r="AV100" i="9"/>
  <c r="BL100" i="9" s="1"/>
  <c r="AW100" i="9"/>
  <c r="BM100" i="9" s="1"/>
  <c r="AX100" i="9"/>
  <c r="AZ100" i="9"/>
  <c r="BP100" i="9" s="1"/>
  <c r="BA100" i="9"/>
  <c r="BQ100" i="9" s="1"/>
  <c r="BB100" i="9"/>
  <c r="CO100" i="9"/>
  <c r="CP100" i="9"/>
  <c r="CQ100" i="9"/>
  <c r="CT100" i="9"/>
  <c r="DB100" i="9"/>
  <c r="DC100" i="9"/>
  <c r="DD100" i="9"/>
  <c r="DH16" i="9"/>
  <c r="DH17" i="9"/>
  <c r="DH18" i="9"/>
  <c r="DI18" i="9" s="1"/>
  <c r="DH19" i="9"/>
  <c r="DH20" i="9"/>
  <c r="DH21" i="9"/>
  <c r="DH22" i="9"/>
  <c r="DH23" i="9"/>
  <c r="DH24" i="9"/>
  <c r="DH25" i="9"/>
  <c r="DI25" i="9" s="1"/>
  <c r="DH26" i="9"/>
  <c r="DH27" i="9"/>
  <c r="DH28" i="9"/>
  <c r="DH29" i="9"/>
  <c r="DH30" i="9"/>
  <c r="DI30" i="9" s="1"/>
  <c r="DH31" i="9"/>
  <c r="DH32" i="9"/>
  <c r="DH33" i="9"/>
  <c r="DH34" i="9"/>
  <c r="DH35" i="9"/>
  <c r="DI35" i="9" s="1"/>
  <c r="DH36" i="9"/>
  <c r="DH37" i="9"/>
  <c r="DH38" i="9"/>
  <c r="DI38" i="9" s="1"/>
  <c r="DH39" i="9"/>
  <c r="DI39" i="9" s="1"/>
  <c r="DH40" i="9"/>
  <c r="DH41" i="9"/>
  <c r="DH42" i="9"/>
  <c r="DI42" i="9"/>
  <c r="DH43" i="9"/>
  <c r="DH44" i="9"/>
  <c r="DI44" i="9" s="1"/>
  <c r="DH45" i="9"/>
  <c r="DI45" i="9"/>
  <c r="DH46" i="9"/>
  <c r="DI46" i="9"/>
  <c r="DH47" i="9"/>
  <c r="DI47" i="9"/>
  <c r="DH48" i="9"/>
  <c r="DI48" i="9"/>
  <c r="DH49" i="9"/>
  <c r="DI49" i="9"/>
  <c r="DH50" i="9"/>
  <c r="DI50" i="9"/>
  <c r="DH51" i="9"/>
  <c r="DH52" i="9"/>
  <c r="DI52" i="9"/>
  <c r="DH53" i="9"/>
  <c r="DH54" i="9"/>
  <c r="DI54" i="9"/>
  <c r="DH55" i="9"/>
  <c r="DI55" i="9"/>
  <c r="DH56" i="9"/>
  <c r="DI56" i="9"/>
  <c r="DH57" i="9"/>
  <c r="DH58" i="9"/>
  <c r="DI58" i="9"/>
  <c r="DH59" i="9"/>
  <c r="DI59" i="9"/>
  <c r="DH60" i="9"/>
  <c r="DI60" i="9"/>
  <c r="DH61" i="9"/>
  <c r="DI61" i="9"/>
  <c r="DH62" i="9"/>
  <c r="DI62" i="9"/>
  <c r="DH63" i="9"/>
  <c r="DI63" i="9"/>
  <c r="DH64" i="9"/>
  <c r="DI64" i="9"/>
  <c r="DH65" i="9"/>
  <c r="DI65" i="9"/>
  <c r="DH66" i="9"/>
  <c r="DI66" i="9"/>
  <c r="DH67" i="9"/>
  <c r="DI67" i="9"/>
  <c r="DH68" i="9"/>
  <c r="DI68" i="9"/>
  <c r="DH69" i="9"/>
  <c r="DI69" i="9"/>
  <c r="DH70" i="9"/>
  <c r="DI70" i="9"/>
  <c r="DH71" i="9"/>
  <c r="DI71" i="9"/>
  <c r="DH72" i="9"/>
  <c r="DI72" i="9"/>
  <c r="DH73" i="9"/>
  <c r="DI73" i="9"/>
  <c r="DH74" i="9"/>
  <c r="DI74" i="9"/>
  <c r="DH75" i="9"/>
  <c r="DI75" i="9"/>
  <c r="DH76" i="9"/>
  <c r="DI76" i="9"/>
  <c r="DH77" i="9"/>
  <c r="DI77" i="9"/>
  <c r="DH78" i="9"/>
  <c r="DI78" i="9"/>
  <c r="DH79" i="9"/>
  <c r="DI79" i="9"/>
  <c r="DH80" i="9"/>
  <c r="DI80" i="9"/>
  <c r="DH81" i="9"/>
  <c r="DI81" i="9"/>
  <c r="DH82" i="9"/>
  <c r="DI82" i="9"/>
  <c r="DH83" i="9"/>
  <c r="DI83" i="9"/>
  <c r="DH84" i="9"/>
  <c r="DI84" i="9"/>
  <c r="DH85" i="9"/>
  <c r="DI85" i="9"/>
  <c r="DH86" i="9"/>
  <c r="DI86" i="9"/>
  <c r="DH87" i="9"/>
  <c r="DI87" i="9"/>
  <c r="DH88" i="9"/>
  <c r="DI88" i="9"/>
  <c r="DH89" i="9"/>
  <c r="DI89" i="9"/>
  <c r="DH90" i="9"/>
  <c r="DI90" i="9"/>
  <c r="DH91" i="9"/>
  <c r="DI91" i="9"/>
  <c r="DH92" i="9"/>
  <c r="DI92" i="9"/>
  <c r="DH93" i="9"/>
  <c r="DI93" i="9"/>
  <c r="DH94" i="9"/>
  <c r="DI94" i="9"/>
  <c r="DH95" i="9"/>
  <c r="DI95" i="9"/>
  <c r="DH96" i="9"/>
  <c r="DI96" i="9"/>
  <c r="DH97" i="9"/>
  <c r="DI97" i="9"/>
  <c r="DH98" i="9"/>
  <c r="DI98" i="9"/>
  <c r="DH99" i="9"/>
  <c r="DI99" i="9"/>
  <c r="DH100" i="9"/>
  <c r="DI100" i="9"/>
  <c r="DH15" i="8"/>
  <c r="DD15" i="8"/>
  <c r="DC15" i="8"/>
  <c r="DB15" i="8"/>
  <c r="AX15" i="8"/>
  <c r="AW15" i="8"/>
  <c r="AL15" i="8"/>
  <c r="AK15" i="8"/>
  <c r="AJ15" i="8"/>
  <c r="AH15" i="8"/>
  <c r="AG15" i="8"/>
  <c r="CB15" i="8"/>
  <c r="MH16" i="10"/>
  <c r="MI16" i="10"/>
  <c r="ML16" i="10"/>
  <c r="MN16" i="10"/>
  <c r="ML17" i="10"/>
  <c r="MH17" i="10"/>
  <c r="MI17" i="10"/>
  <c r="MJ18" i="10"/>
  <c r="ML18" i="10"/>
  <c r="MH18" i="10"/>
  <c r="MI18" i="10"/>
  <c r="MN18" i="10"/>
  <c r="MJ19" i="10"/>
  <c r="ML19" i="10"/>
  <c r="MM19" i="10"/>
  <c r="MN19" i="10"/>
  <c r="MI19" i="10"/>
  <c r="ML20" i="10"/>
  <c r="MM20" i="10"/>
  <c r="MH20" i="10"/>
  <c r="MI20" i="10"/>
  <c r="MJ20" i="10"/>
  <c r="MM21" i="10"/>
  <c r="MI21" i="10"/>
  <c r="MM22" i="10"/>
  <c r="MN22" i="10"/>
  <c r="MH22" i="10"/>
  <c r="MI22" i="10"/>
  <c r="MJ22" i="10"/>
  <c r="MH23" i="10"/>
  <c r="MI23" i="10"/>
  <c r="MJ23" i="10"/>
  <c r="ML23" i="10"/>
  <c r="MM23" i="10"/>
  <c r="MN23" i="10"/>
  <c r="MJ24" i="10"/>
  <c r="ML24" i="10"/>
  <c r="MM24" i="10"/>
  <c r="MN24" i="10"/>
  <c r="MI24" i="10"/>
  <c r="MM25" i="10"/>
  <c r="MH25" i="10"/>
  <c r="MI25" i="10"/>
  <c r="LT15" i="10"/>
  <c r="LV15" i="10"/>
  <c r="LW15" i="10"/>
  <c r="LX15" i="10"/>
  <c r="MN15" i="10" s="1"/>
  <c r="LR15" i="10"/>
  <c r="P16" i="10"/>
  <c r="P16" i="12" s="1"/>
  <c r="Q16" i="10"/>
  <c r="Q16" i="12" s="1"/>
  <c r="R16" i="10"/>
  <c r="R16" i="12" s="1"/>
  <c r="T16" i="10"/>
  <c r="T16" i="12" s="1"/>
  <c r="U16" i="10"/>
  <c r="U16" i="12" s="1"/>
  <c r="V16" i="10"/>
  <c r="V16" i="12" s="1"/>
  <c r="EI16" i="10"/>
  <c r="EJ16" i="10"/>
  <c r="EK16" i="10"/>
  <c r="EM16" i="10"/>
  <c r="EN16" i="10"/>
  <c r="EO16" i="10"/>
  <c r="EY16" i="10"/>
  <c r="EZ16" i="10"/>
  <c r="FA16" i="10"/>
  <c r="FC16" i="10"/>
  <c r="FD16" i="10"/>
  <c r="FE16" i="10"/>
  <c r="P17" i="10"/>
  <c r="Q17" i="10"/>
  <c r="Q17" i="12" s="1"/>
  <c r="R17" i="10"/>
  <c r="R17" i="12" s="1"/>
  <c r="T17" i="10"/>
  <c r="T17" i="12" s="1"/>
  <c r="V17" i="10"/>
  <c r="V17" i="12" s="1"/>
  <c r="EM17" i="10"/>
  <c r="FD17" i="10"/>
  <c r="EO17" i="10"/>
  <c r="EI17" i="10"/>
  <c r="EJ17" i="10"/>
  <c r="EK17" i="10"/>
  <c r="EY17" i="10"/>
  <c r="EZ17" i="10"/>
  <c r="FP17" i="10" s="1"/>
  <c r="FA17" i="10"/>
  <c r="P18" i="10"/>
  <c r="P18" i="12" s="1"/>
  <c r="Q18" i="10"/>
  <c r="Q18" i="12" s="1"/>
  <c r="R18" i="10"/>
  <c r="T18" i="10"/>
  <c r="T18" i="12" s="1"/>
  <c r="U18" i="10"/>
  <c r="U18" i="12" s="1"/>
  <c r="V18" i="10"/>
  <c r="V18" i="12" s="1"/>
  <c r="EI18" i="10"/>
  <c r="FA18" i="10"/>
  <c r="FQ18" i="10" s="1"/>
  <c r="EM18" i="10"/>
  <c r="EN18" i="10"/>
  <c r="EJ18" i="10"/>
  <c r="EO18" i="10"/>
  <c r="EZ18" i="10"/>
  <c r="FP18" i="10" s="1"/>
  <c r="FC18" i="10"/>
  <c r="FS18" i="10" s="1"/>
  <c r="FE18" i="10"/>
  <c r="FU18" i="10" s="1"/>
  <c r="P19" i="10"/>
  <c r="P19" i="12" s="1"/>
  <c r="Q19" i="10"/>
  <c r="Q19" i="12" s="1"/>
  <c r="R19" i="10"/>
  <c r="R19" i="12" s="1"/>
  <c r="T19" i="10"/>
  <c r="T19" i="12" s="1"/>
  <c r="U19" i="10"/>
  <c r="U19" i="12" s="1"/>
  <c r="V19" i="10"/>
  <c r="V19" i="12" s="1"/>
  <c r="EY19" i="10"/>
  <c r="EZ19" i="10"/>
  <c r="EK19" i="10"/>
  <c r="EM19" i="10"/>
  <c r="EN19" i="10"/>
  <c r="EO19" i="10"/>
  <c r="EJ19" i="10"/>
  <c r="P20" i="10"/>
  <c r="P20" i="12" s="1"/>
  <c r="Q20" i="10"/>
  <c r="R20" i="10"/>
  <c r="R20" i="12" s="1"/>
  <c r="T20" i="10"/>
  <c r="T20" i="12" s="1"/>
  <c r="U20" i="10"/>
  <c r="V20" i="10"/>
  <c r="V20" i="12" s="1"/>
  <c r="EN20" i="10"/>
  <c r="EO20" i="10"/>
  <c r="EI20" i="10"/>
  <c r="EJ20" i="10"/>
  <c r="EK20" i="10"/>
  <c r="EM20" i="10"/>
  <c r="EY20" i="10"/>
  <c r="EZ20" i="10"/>
  <c r="FP20" i="10" s="1"/>
  <c r="FA20" i="10"/>
  <c r="FC20" i="10"/>
  <c r="FS20" i="10" s="1"/>
  <c r="FD20" i="10"/>
  <c r="P21" i="10"/>
  <c r="Q21" i="10"/>
  <c r="R21" i="10"/>
  <c r="R21" i="12" s="1"/>
  <c r="T21" i="10"/>
  <c r="T21" i="12" s="1"/>
  <c r="U21" i="10"/>
  <c r="U21" i="12" s="1"/>
  <c r="V21" i="10"/>
  <c r="V21" i="12" s="1"/>
  <c r="EY21" i="10"/>
  <c r="EM21" i="10"/>
  <c r="EN21" i="10"/>
  <c r="FE21" i="10"/>
  <c r="EJ21" i="10"/>
  <c r="EK21" i="10"/>
  <c r="FA21" i="10"/>
  <c r="P22" i="10"/>
  <c r="P22" i="12" s="1"/>
  <c r="Q22" i="10"/>
  <c r="Q22" i="12" s="1"/>
  <c r="R22" i="10"/>
  <c r="R22" i="12" s="1"/>
  <c r="T22" i="10"/>
  <c r="T22" i="12" s="1"/>
  <c r="U22" i="10"/>
  <c r="U22" i="12" s="1"/>
  <c r="V22" i="10"/>
  <c r="V22" i="12" s="1"/>
  <c r="EY22" i="10"/>
  <c r="EZ22" i="10"/>
  <c r="EK22" i="10"/>
  <c r="EM22" i="10"/>
  <c r="FE22" i="10"/>
  <c r="FU22" i="10" s="1"/>
  <c r="EJ22" i="10"/>
  <c r="FA22" i="10"/>
  <c r="FQ22" i="10" s="1"/>
  <c r="P23" i="10"/>
  <c r="P23" i="12" s="1"/>
  <c r="Q23" i="10"/>
  <c r="R23" i="10"/>
  <c r="R23" i="12" s="1"/>
  <c r="T23" i="10"/>
  <c r="T23" i="12" s="1"/>
  <c r="U23" i="10"/>
  <c r="U23" i="12" s="1"/>
  <c r="V23" i="10"/>
  <c r="V23" i="12" s="1"/>
  <c r="EY23" i="10"/>
  <c r="EM23" i="10"/>
  <c r="EN23" i="10"/>
  <c r="FE23" i="10"/>
  <c r="EI23" i="10"/>
  <c r="EJ23" i="10"/>
  <c r="EK23" i="10"/>
  <c r="FA23" i="10"/>
  <c r="FQ23" i="10" s="1"/>
  <c r="P24" i="10"/>
  <c r="Q24" i="10"/>
  <c r="R24" i="10"/>
  <c r="R24" i="12" s="1"/>
  <c r="T24" i="10"/>
  <c r="T24" i="12" s="1"/>
  <c r="U24" i="10"/>
  <c r="U24" i="12" s="1"/>
  <c r="V24" i="10"/>
  <c r="V24" i="12" s="1"/>
  <c r="EY24" i="10"/>
  <c r="EZ24" i="10"/>
  <c r="FA24" i="10"/>
  <c r="FQ24" i="10" s="1"/>
  <c r="EM24" i="10"/>
  <c r="FD24" i="10"/>
  <c r="EO24" i="10"/>
  <c r="EI24" i="10"/>
  <c r="EJ24" i="10"/>
  <c r="EK24" i="10"/>
  <c r="EI25" i="10"/>
  <c r="EJ25" i="10"/>
  <c r="EK25" i="10"/>
  <c r="EM25" i="10"/>
  <c r="EN25" i="10"/>
  <c r="EO25" i="10"/>
  <c r="EZ25" i="10"/>
  <c r="FP25" i="10" s="1"/>
  <c r="FA25" i="10"/>
  <c r="FQ25" i="10" s="1"/>
  <c r="FC25" i="10"/>
  <c r="FS25" i="10" s="1"/>
  <c r="FD25" i="10"/>
  <c r="FT25" i="10" s="1"/>
  <c r="FE25" i="10"/>
  <c r="IR15" i="10"/>
  <c r="IQ15" i="10"/>
  <c r="IP15" i="10"/>
  <c r="IN15" i="10"/>
  <c r="IM15" i="10"/>
  <c r="EJ15" i="10"/>
  <c r="DU15" i="10"/>
  <c r="EK15" i="10" s="1"/>
  <c r="DW15" i="10"/>
  <c r="EM15" i="10" s="1"/>
  <c r="DX15" i="10"/>
  <c r="EN15" i="10" s="1"/>
  <c r="DY15" i="10"/>
  <c r="EO15" i="10" s="1"/>
  <c r="EI15" i="10"/>
  <c r="U15" i="10"/>
  <c r="T15" i="10"/>
  <c r="Q15" i="12"/>
  <c r="AF16" i="14"/>
  <c r="AG16" i="14"/>
  <c r="AH16" i="14"/>
  <c r="AJ16" i="14"/>
  <c r="AK16" i="14"/>
  <c r="AL16" i="14"/>
  <c r="AV16" i="14"/>
  <c r="BL16" i="14" s="1"/>
  <c r="AW16" i="14"/>
  <c r="AX16" i="14"/>
  <c r="AZ16" i="14"/>
  <c r="BA16" i="14"/>
  <c r="BB16" i="14"/>
  <c r="BR16" i="14" s="1"/>
  <c r="DB16" i="14"/>
  <c r="DC16" i="14"/>
  <c r="DD16" i="14"/>
  <c r="DH16" i="14"/>
  <c r="AF17" i="14"/>
  <c r="AG17" i="14"/>
  <c r="AH17" i="14"/>
  <c r="AJ17" i="14"/>
  <c r="AK17" i="14"/>
  <c r="AL17" i="14"/>
  <c r="AV17" i="14"/>
  <c r="AW17" i="14"/>
  <c r="AX17" i="14"/>
  <c r="AZ17" i="14"/>
  <c r="BA17" i="14"/>
  <c r="BB17" i="14"/>
  <c r="BR17" i="14" s="1"/>
  <c r="DB17" i="14"/>
  <c r="DC17" i="14"/>
  <c r="DD17" i="14"/>
  <c r="DH17" i="14"/>
  <c r="AF18" i="14"/>
  <c r="AG18" i="14"/>
  <c r="AH18" i="14"/>
  <c r="AJ18" i="14"/>
  <c r="AK18" i="14"/>
  <c r="AL18" i="14"/>
  <c r="AV18" i="14"/>
  <c r="BL18" i="14" s="1"/>
  <c r="AW18" i="14"/>
  <c r="AX18" i="14"/>
  <c r="BN18" i="14" s="1"/>
  <c r="AZ18" i="14"/>
  <c r="BA18" i="14"/>
  <c r="BB18" i="14"/>
  <c r="DB18" i="14"/>
  <c r="DC18" i="14"/>
  <c r="DD18" i="14"/>
  <c r="DH18" i="14"/>
  <c r="AF19" i="14"/>
  <c r="AG19" i="14"/>
  <c r="AH19" i="14"/>
  <c r="AJ19" i="14"/>
  <c r="AK19" i="14"/>
  <c r="AL19" i="14"/>
  <c r="AV19" i="14"/>
  <c r="AW19" i="14"/>
  <c r="BM19" i="14" s="1"/>
  <c r="AX19" i="14"/>
  <c r="BN19" i="14" s="1"/>
  <c r="AZ19" i="14"/>
  <c r="BP19" i="14" s="1"/>
  <c r="BA19" i="14"/>
  <c r="BB19" i="14"/>
  <c r="BR19" i="14" s="1"/>
  <c r="DB19" i="14"/>
  <c r="DC19" i="14"/>
  <c r="DD19" i="14"/>
  <c r="DH19" i="14"/>
  <c r="AF20" i="14"/>
  <c r="AG20" i="14"/>
  <c r="AH20" i="14"/>
  <c r="AJ20" i="14"/>
  <c r="AK20" i="14"/>
  <c r="AL20" i="14"/>
  <c r="AV20" i="14"/>
  <c r="AW20" i="14"/>
  <c r="BM20" i="14" s="1"/>
  <c r="AX20" i="14"/>
  <c r="BN20" i="14" s="1"/>
  <c r="AZ20" i="14"/>
  <c r="BA20" i="14"/>
  <c r="BB20" i="14"/>
  <c r="BR20" i="14" s="1"/>
  <c r="DB20" i="14"/>
  <c r="DC20" i="14"/>
  <c r="DD20" i="14"/>
  <c r="DH20" i="14"/>
  <c r="AF21" i="14"/>
  <c r="AG21" i="14"/>
  <c r="AH21" i="14"/>
  <c r="AJ21" i="14"/>
  <c r="AK21" i="14"/>
  <c r="AL21" i="14"/>
  <c r="AV21" i="14"/>
  <c r="AW21" i="14"/>
  <c r="AX21" i="14"/>
  <c r="AZ21" i="14"/>
  <c r="BP21" i="14" s="1"/>
  <c r="BA21" i="14"/>
  <c r="BB21" i="14"/>
  <c r="BR21" i="14" s="1"/>
  <c r="DB21" i="14"/>
  <c r="DC21" i="14"/>
  <c r="DD21" i="14"/>
  <c r="DH21" i="14"/>
  <c r="AF22" i="14"/>
  <c r="AG22" i="14"/>
  <c r="AH22" i="14"/>
  <c r="AJ22" i="14"/>
  <c r="AK22" i="14"/>
  <c r="AL22" i="14"/>
  <c r="AV22" i="14"/>
  <c r="AW22" i="14"/>
  <c r="AX22" i="14"/>
  <c r="BN22" i="14" s="1"/>
  <c r="AZ22" i="14"/>
  <c r="BP22" i="14" s="1"/>
  <c r="BA22" i="14"/>
  <c r="BB22" i="14"/>
  <c r="BR22" i="14" s="1"/>
  <c r="DB22" i="14"/>
  <c r="DC22" i="14"/>
  <c r="DD22" i="14"/>
  <c r="DH22" i="14"/>
  <c r="AF23" i="14"/>
  <c r="AG23" i="14"/>
  <c r="AH23" i="14"/>
  <c r="AJ23" i="14"/>
  <c r="AK23" i="14"/>
  <c r="AL23" i="14"/>
  <c r="AV23" i="14"/>
  <c r="AW23" i="14"/>
  <c r="AX23" i="14"/>
  <c r="AZ23" i="14"/>
  <c r="BA23" i="14"/>
  <c r="BB23" i="14"/>
  <c r="DB23" i="14"/>
  <c r="DC23" i="14"/>
  <c r="DD23" i="14"/>
  <c r="DH23" i="14"/>
  <c r="AF24" i="14"/>
  <c r="AG24" i="14"/>
  <c r="AH24" i="14"/>
  <c r="AJ24" i="14"/>
  <c r="AK24" i="14"/>
  <c r="AL24" i="14"/>
  <c r="AV24" i="14"/>
  <c r="AW24" i="14"/>
  <c r="AX24" i="14"/>
  <c r="AZ24" i="14"/>
  <c r="BA24" i="14"/>
  <c r="BB24" i="14"/>
  <c r="DB24" i="14"/>
  <c r="DC24" i="14"/>
  <c r="DD24" i="14"/>
  <c r="DH24" i="14"/>
  <c r="AF25" i="14"/>
  <c r="AG25" i="14"/>
  <c r="AH25" i="14"/>
  <c r="AJ25" i="14"/>
  <c r="AK25" i="14"/>
  <c r="AL25" i="14"/>
  <c r="AV25" i="14"/>
  <c r="AW25" i="14"/>
  <c r="AX25" i="14"/>
  <c r="AZ25" i="14"/>
  <c r="BP25" i="14" s="1"/>
  <c r="BA25" i="14"/>
  <c r="BB25" i="14"/>
  <c r="DB25" i="14"/>
  <c r="DC25" i="14"/>
  <c r="DD25" i="14"/>
  <c r="DH25" i="14"/>
  <c r="AF28" i="14"/>
  <c r="AG28" i="14"/>
  <c r="AH28" i="14"/>
  <c r="AJ28" i="14"/>
  <c r="AK28" i="14"/>
  <c r="AL28" i="14"/>
  <c r="AV28" i="14"/>
  <c r="AW28" i="14"/>
  <c r="BM28" i="14" s="1"/>
  <c r="AX28" i="14"/>
  <c r="AZ28" i="14"/>
  <c r="BA28" i="14"/>
  <c r="BQ28" i="14" s="1"/>
  <c r="BB28" i="14"/>
  <c r="BR28" i="14" s="1"/>
  <c r="DB28" i="14"/>
  <c r="DC28" i="14"/>
  <c r="DD28" i="14"/>
  <c r="DH28" i="14"/>
  <c r="AF29" i="14"/>
  <c r="AG29" i="14"/>
  <c r="AH29" i="14"/>
  <c r="AJ29" i="14"/>
  <c r="AK29" i="14"/>
  <c r="AL29" i="14"/>
  <c r="AV29" i="14"/>
  <c r="AW29" i="14"/>
  <c r="BM29" i="14" s="1"/>
  <c r="AX29" i="14"/>
  <c r="AZ29" i="14"/>
  <c r="BA29" i="14"/>
  <c r="BQ29" i="14" s="1"/>
  <c r="BB29" i="14"/>
  <c r="BR29" i="14" s="1"/>
  <c r="DB29" i="14"/>
  <c r="DC29" i="14"/>
  <c r="DD29" i="14"/>
  <c r="DI29" i="14" s="1"/>
  <c r="DH29" i="14"/>
  <c r="AF30" i="14"/>
  <c r="AG30" i="14"/>
  <c r="AH30" i="14"/>
  <c r="AJ30" i="14"/>
  <c r="AK30" i="14"/>
  <c r="AL30" i="14"/>
  <c r="AV30" i="14"/>
  <c r="AW30" i="14"/>
  <c r="BM30" i="14" s="1"/>
  <c r="AX30" i="14"/>
  <c r="AZ30" i="14"/>
  <c r="BA30" i="14"/>
  <c r="BB30" i="14"/>
  <c r="DB30" i="14"/>
  <c r="DC30" i="14"/>
  <c r="DD30" i="14"/>
  <c r="DI30" i="14" s="1"/>
  <c r="DH30" i="14"/>
  <c r="AF31" i="14"/>
  <c r="AG31" i="14"/>
  <c r="AH31" i="14"/>
  <c r="AJ31" i="14"/>
  <c r="AK31" i="14"/>
  <c r="AL31" i="14"/>
  <c r="AV31" i="14"/>
  <c r="AW31" i="14"/>
  <c r="BM31" i="14" s="1"/>
  <c r="AX31" i="14"/>
  <c r="BN31" i="14" s="1"/>
  <c r="AZ31" i="14"/>
  <c r="BP31" i="14" s="1"/>
  <c r="BA31" i="14"/>
  <c r="BQ31" i="14" s="1"/>
  <c r="BB31" i="14"/>
  <c r="BR31" i="14" s="1"/>
  <c r="DB31" i="14"/>
  <c r="DC31" i="14"/>
  <c r="DD31" i="14"/>
  <c r="DH31" i="14"/>
  <c r="DI31" i="14"/>
  <c r="AF32" i="14"/>
  <c r="AG32" i="14"/>
  <c r="AH32" i="14"/>
  <c r="AJ32" i="14"/>
  <c r="AK32" i="14"/>
  <c r="AL32" i="14"/>
  <c r="AV32" i="14"/>
  <c r="AW32" i="14"/>
  <c r="AX32" i="14"/>
  <c r="AZ32" i="14"/>
  <c r="BA32" i="14"/>
  <c r="BQ32" i="14" s="1"/>
  <c r="BB32" i="14"/>
  <c r="BR32" i="14" s="1"/>
  <c r="CO32" i="14"/>
  <c r="DB32" i="14"/>
  <c r="DC32" i="14"/>
  <c r="DD32" i="14"/>
  <c r="DH32" i="14"/>
  <c r="DI32" i="14"/>
  <c r="AF33" i="14"/>
  <c r="AG33" i="14"/>
  <c r="AH33" i="14"/>
  <c r="AJ33" i="14"/>
  <c r="AK33" i="14"/>
  <c r="AL33" i="14"/>
  <c r="AV33" i="14"/>
  <c r="AW33" i="14"/>
  <c r="BM33" i="14" s="1"/>
  <c r="AX33" i="14"/>
  <c r="AZ33" i="14"/>
  <c r="BA33" i="14"/>
  <c r="BB33" i="14"/>
  <c r="DB33" i="14"/>
  <c r="DC33" i="14"/>
  <c r="DD33" i="14"/>
  <c r="DI33" i="14" s="1"/>
  <c r="DH33" i="14"/>
  <c r="AF34" i="14"/>
  <c r="AG34" i="14"/>
  <c r="AH34" i="14"/>
  <c r="AJ34" i="14"/>
  <c r="AK34" i="14"/>
  <c r="AL34" i="14"/>
  <c r="AV34" i="14"/>
  <c r="AW34" i="14"/>
  <c r="BM34" i="14" s="1"/>
  <c r="AX34" i="14"/>
  <c r="AZ34" i="14"/>
  <c r="BA34" i="14"/>
  <c r="BB34" i="14"/>
  <c r="DB34" i="14"/>
  <c r="DC34" i="14"/>
  <c r="DD34" i="14"/>
  <c r="DI34" i="14" s="1"/>
  <c r="DH34" i="14"/>
  <c r="AF35" i="14"/>
  <c r="AG35" i="14"/>
  <c r="AH35" i="14"/>
  <c r="AJ35" i="14"/>
  <c r="AK35" i="14"/>
  <c r="AL35" i="14"/>
  <c r="AV35" i="14"/>
  <c r="AW35" i="14"/>
  <c r="BM35" i="14" s="1"/>
  <c r="AX35" i="14"/>
  <c r="BN35" i="14" s="1"/>
  <c r="AZ35" i="14"/>
  <c r="BA35" i="14"/>
  <c r="BB35" i="14"/>
  <c r="DB35" i="14"/>
  <c r="DC35" i="14"/>
  <c r="DD35" i="14"/>
  <c r="DH35" i="14"/>
  <c r="DI35" i="14"/>
  <c r="AF36" i="14"/>
  <c r="AG36" i="14"/>
  <c r="AH36" i="14"/>
  <c r="AJ36" i="14"/>
  <c r="AK36" i="14"/>
  <c r="AL36" i="14"/>
  <c r="AV36" i="14"/>
  <c r="AW36" i="14"/>
  <c r="AX36" i="14"/>
  <c r="AZ36" i="14"/>
  <c r="BP36" i="14" s="1"/>
  <c r="BA36" i="14"/>
  <c r="BB36" i="14"/>
  <c r="DB36" i="14"/>
  <c r="DC36" i="14"/>
  <c r="DD36" i="14"/>
  <c r="DH36" i="14"/>
  <c r="DI36" i="14"/>
  <c r="AF37" i="14"/>
  <c r="AG37" i="14"/>
  <c r="AH37" i="14"/>
  <c r="AJ37" i="14"/>
  <c r="AK37" i="14"/>
  <c r="AL37" i="14"/>
  <c r="AV37" i="14"/>
  <c r="AW37" i="14"/>
  <c r="BM37" i="14" s="1"/>
  <c r="AX37" i="14"/>
  <c r="AZ37" i="14"/>
  <c r="BA37" i="14"/>
  <c r="BB37" i="14"/>
  <c r="DB37" i="14"/>
  <c r="DC37" i="14"/>
  <c r="DD37" i="14"/>
  <c r="DI37" i="14" s="1"/>
  <c r="DH37" i="14"/>
  <c r="AF38" i="14"/>
  <c r="AG38" i="14"/>
  <c r="AH38" i="14"/>
  <c r="AJ38" i="14"/>
  <c r="AK38" i="14"/>
  <c r="AL38" i="14"/>
  <c r="AV38" i="14"/>
  <c r="AW38" i="14"/>
  <c r="BM38" i="14" s="1"/>
  <c r="AX38" i="14"/>
  <c r="BN38" i="14" s="1"/>
  <c r="AZ38" i="14"/>
  <c r="BA38" i="14"/>
  <c r="BB38" i="14"/>
  <c r="BR38" i="14" s="1"/>
  <c r="DB38" i="14"/>
  <c r="DC38" i="14"/>
  <c r="DD38" i="14"/>
  <c r="DI38" i="14" s="1"/>
  <c r="DH38" i="14"/>
  <c r="AF39" i="14"/>
  <c r="AG39" i="14"/>
  <c r="AH39" i="14"/>
  <c r="AJ39" i="14"/>
  <c r="AK39" i="14"/>
  <c r="AL39" i="14"/>
  <c r="AV39" i="14"/>
  <c r="AW39" i="14"/>
  <c r="BM39" i="14" s="1"/>
  <c r="AX39" i="14"/>
  <c r="AZ39" i="14"/>
  <c r="BA39" i="14"/>
  <c r="BQ39" i="14" s="1"/>
  <c r="BB39" i="14"/>
  <c r="DB39" i="14"/>
  <c r="DC39" i="14"/>
  <c r="DD39" i="14"/>
  <c r="DH39" i="14"/>
  <c r="DI39" i="14"/>
  <c r="AF40" i="14"/>
  <c r="AG40" i="14"/>
  <c r="AH40" i="14"/>
  <c r="AJ40" i="14"/>
  <c r="AK40" i="14"/>
  <c r="AL40" i="14"/>
  <c r="AV40" i="14"/>
  <c r="AW40" i="14"/>
  <c r="AX40" i="14"/>
  <c r="BN40" i="14" s="1"/>
  <c r="AZ40" i="14"/>
  <c r="BA40" i="14"/>
  <c r="BQ40" i="14" s="1"/>
  <c r="BB40" i="14"/>
  <c r="DB40" i="14"/>
  <c r="DC40" i="14"/>
  <c r="DD40" i="14"/>
  <c r="DH40" i="14"/>
  <c r="DI40" i="14"/>
  <c r="AF41" i="14"/>
  <c r="AG41" i="14"/>
  <c r="AH41" i="14"/>
  <c r="AJ41" i="14"/>
  <c r="AK41" i="14"/>
  <c r="AL41" i="14"/>
  <c r="AV41" i="14"/>
  <c r="AW41" i="14"/>
  <c r="BM41" i="14" s="1"/>
  <c r="AX41" i="14"/>
  <c r="AZ41" i="14"/>
  <c r="BP41" i="14" s="1"/>
  <c r="BA41" i="14"/>
  <c r="BQ41" i="14" s="1"/>
  <c r="BB41" i="14"/>
  <c r="DB41" i="14"/>
  <c r="DC41" i="14"/>
  <c r="DD41" i="14"/>
  <c r="DI41" i="14" s="1"/>
  <c r="DH41" i="14"/>
  <c r="AF42" i="14"/>
  <c r="AG42" i="14"/>
  <c r="AH42" i="14"/>
  <c r="AJ42" i="14"/>
  <c r="AK42" i="14"/>
  <c r="AL42" i="14"/>
  <c r="AV42" i="14"/>
  <c r="AW42" i="14"/>
  <c r="AX42" i="14"/>
  <c r="AZ42" i="14"/>
  <c r="BA42" i="14"/>
  <c r="BB42" i="14"/>
  <c r="BR42" i="14" s="1"/>
  <c r="DB42" i="14"/>
  <c r="DC42" i="14"/>
  <c r="DD42" i="14"/>
  <c r="DI42" i="14" s="1"/>
  <c r="DH42" i="14"/>
  <c r="AF43" i="14"/>
  <c r="AG43" i="14"/>
  <c r="AH43" i="14"/>
  <c r="AJ43" i="14"/>
  <c r="AK43" i="14"/>
  <c r="AL43" i="14"/>
  <c r="AV43" i="14"/>
  <c r="AW43" i="14"/>
  <c r="AX43" i="14"/>
  <c r="BN43" i="14" s="1"/>
  <c r="AZ43" i="14"/>
  <c r="BP43" i="14" s="1"/>
  <c r="BA43" i="14"/>
  <c r="BB43" i="14"/>
  <c r="BR43" i="14" s="1"/>
  <c r="DB43" i="14"/>
  <c r="DC43" i="14"/>
  <c r="DD43" i="14"/>
  <c r="DH43" i="14"/>
  <c r="DI43" i="14"/>
  <c r="AF44" i="14"/>
  <c r="AG44" i="14"/>
  <c r="AH44" i="14"/>
  <c r="AJ44" i="14"/>
  <c r="AK44" i="14"/>
  <c r="AL44" i="14"/>
  <c r="AV44" i="14"/>
  <c r="AW44" i="14"/>
  <c r="AX44" i="14"/>
  <c r="AZ44" i="14"/>
  <c r="BP44" i="14" s="1"/>
  <c r="BA44" i="14"/>
  <c r="BQ44" i="14" s="1"/>
  <c r="BB44" i="14"/>
  <c r="CO44" i="14"/>
  <c r="CP44" i="14"/>
  <c r="CQ44" i="14"/>
  <c r="CT44" i="14"/>
  <c r="DB44" i="14"/>
  <c r="DC44" i="14"/>
  <c r="DD44" i="14"/>
  <c r="DH44" i="14"/>
  <c r="DI44" i="14"/>
  <c r="AF45" i="14"/>
  <c r="AG45" i="14"/>
  <c r="AH45" i="14"/>
  <c r="AJ45" i="14"/>
  <c r="AK45" i="14"/>
  <c r="AL45" i="14"/>
  <c r="AV45" i="14"/>
  <c r="AW45" i="14"/>
  <c r="BM45" i="14" s="1"/>
  <c r="AX45" i="14"/>
  <c r="AZ45" i="14"/>
  <c r="BP45" i="14" s="1"/>
  <c r="BA45" i="14"/>
  <c r="BB45" i="14"/>
  <c r="CO45" i="14"/>
  <c r="CP45" i="14"/>
  <c r="CQ45" i="14"/>
  <c r="CT45" i="14"/>
  <c r="DB45" i="14"/>
  <c r="DC45" i="14"/>
  <c r="DD45" i="14"/>
  <c r="DH45" i="14"/>
  <c r="DI45" i="14"/>
  <c r="AF46" i="14"/>
  <c r="AG46" i="14"/>
  <c r="AH46" i="14"/>
  <c r="AJ46" i="14"/>
  <c r="AK46" i="14"/>
  <c r="AL46" i="14"/>
  <c r="AV46" i="14"/>
  <c r="AW46" i="14"/>
  <c r="AX46" i="14"/>
  <c r="BN46" i="14" s="1"/>
  <c r="AZ46" i="14"/>
  <c r="BA46" i="14"/>
  <c r="BQ46" i="14" s="1"/>
  <c r="BB46" i="14"/>
  <c r="CO46" i="14"/>
  <c r="CP46" i="14"/>
  <c r="CQ46" i="14"/>
  <c r="CT46" i="14"/>
  <c r="DB46" i="14"/>
  <c r="DC46" i="14"/>
  <c r="DD46" i="14"/>
  <c r="DH46" i="14"/>
  <c r="DI46" i="14"/>
  <c r="AF47" i="14"/>
  <c r="AG47" i="14"/>
  <c r="AH47" i="14"/>
  <c r="AJ47" i="14"/>
  <c r="AK47" i="14"/>
  <c r="AL47" i="14"/>
  <c r="AV47" i="14"/>
  <c r="AW47" i="14"/>
  <c r="AX47" i="14"/>
  <c r="AZ47" i="14"/>
  <c r="BA47" i="14"/>
  <c r="BB47" i="14"/>
  <c r="CO47" i="14"/>
  <c r="CP47" i="14"/>
  <c r="CQ47" i="14"/>
  <c r="CT47" i="14"/>
  <c r="DB47" i="14"/>
  <c r="DC47" i="14"/>
  <c r="DD47" i="14"/>
  <c r="DH47" i="14"/>
  <c r="DI47" i="14"/>
  <c r="AF48" i="14"/>
  <c r="AG48" i="14"/>
  <c r="AH48" i="14"/>
  <c r="AJ48" i="14"/>
  <c r="AK48" i="14"/>
  <c r="AL48" i="14"/>
  <c r="AV48" i="14"/>
  <c r="AW48" i="14"/>
  <c r="AX48" i="14"/>
  <c r="BN48" i="14" s="1"/>
  <c r="AZ48" i="14"/>
  <c r="BA48" i="14"/>
  <c r="BQ48" i="14" s="1"/>
  <c r="BB48" i="14"/>
  <c r="BR48" i="14" s="1"/>
  <c r="CO48" i="14"/>
  <c r="CP48" i="14"/>
  <c r="CQ48" i="14"/>
  <c r="CT48" i="14"/>
  <c r="DB48" i="14"/>
  <c r="DC48" i="14"/>
  <c r="DD48" i="14"/>
  <c r="DH48" i="14"/>
  <c r="DI48" i="14"/>
  <c r="AF49" i="14"/>
  <c r="AG49" i="14"/>
  <c r="AH49" i="14"/>
  <c r="AJ49" i="14"/>
  <c r="AK49" i="14"/>
  <c r="AL49" i="14"/>
  <c r="AV49" i="14"/>
  <c r="AW49" i="14"/>
  <c r="AX49" i="14"/>
  <c r="BN49" i="14" s="1"/>
  <c r="AZ49" i="14"/>
  <c r="BP49" i="14" s="1"/>
  <c r="BA49" i="14"/>
  <c r="BB49" i="14"/>
  <c r="CO49" i="14"/>
  <c r="CP49" i="14"/>
  <c r="CQ49" i="14"/>
  <c r="CT49" i="14"/>
  <c r="DB49" i="14"/>
  <c r="DC49" i="14"/>
  <c r="DD49" i="14"/>
  <c r="DH49" i="14"/>
  <c r="DI49" i="14"/>
  <c r="AF50" i="14"/>
  <c r="AG50" i="14"/>
  <c r="AH50" i="14"/>
  <c r="AJ50" i="14"/>
  <c r="AK50" i="14"/>
  <c r="AL50" i="14"/>
  <c r="AV50" i="14"/>
  <c r="AW50" i="14"/>
  <c r="BM50" i="14" s="1"/>
  <c r="AX50" i="14"/>
  <c r="BN50" i="14" s="1"/>
  <c r="AZ50" i="14"/>
  <c r="BP50" i="14" s="1"/>
  <c r="BA50" i="14"/>
  <c r="BB50" i="14"/>
  <c r="BR50" i="14" s="1"/>
  <c r="CO50" i="14"/>
  <c r="CP50" i="14"/>
  <c r="CQ50" i="14"/>
  <c r="CT50" i="14"/>
  <c r="DB50" i="14"/>
  <c r="DC50" i="14"/>
  <c r="DD50" i="14"/>
  <c r="DH50" i="14"/>
  <c r="DI50" i="14"/>
  <c r="AF51" i="14"/>
  <c r="AG51" i="14"/>
  <c r="AH51" i="14"/>
  <c r="AJ51" i="14"/>
  <c r="AK51" i="14"/>
  <c r="AL51" i="14"/>
  <c r="AV51" i="14"/>
  <c r="AW51" i="14"/>
  <c r="AX51" i="14"/>
  <c r="AZ51" i="14"/>
  <c r="BA51" i="14"/>
  <c r="BB51" i="14"/>
  <c r="BR51" i="14" s="1"/>
  <c r="CO51" i="14"/>
  <c r="CP51" i="14"/>
  <c r="CQ51" i="14"/>
  <c r="CT51" i="14"/>
  <c r="DB51" i="14"/>
  <c r="DC51" i="14"/>
  <c r="DD51" i="14"/>
  <c r="DH51" i="14"/>
  <c r="DI51" i="14"/>
  <c r="AF52" i="14"/>
  <c r="AG52" i="14"/>
  <c r="AH52" i="14"/>
  <c r="AJ52" i="14"/>
  <c r="AK52" i="14"/>
  <c r="AL52" i="14"/>
  <c r="AV52" i="14"/>
  <c r="AW52" i="14"/>
  <c r="AX52" i="14"/>
  <c r="AZ52" i="14"/>
  <c r="BP52" i="14" s="1"/>
  <c r="BA52" i="14"/>
  <c r="BQ52" i="14" s="1"/>
  <c r="BB52" i="14"/>
  <c r="BR52" i="14" s="1"/>
  <c r="CO52" i="14"/>
  <c r="CP52" i="14"/>
  <c r="CQ52" i="14"/>
  <c r="CT52" i="14"/>
  <c r="DB52" i="14"/>
  <c r="DC52" i="14"/>
  <c r="DD52" i="14"/>
  <c r="DH52" i="14"/>
  <c r="DI52" i="14"/>
  <c r="AF53" i="14"/>
  <c r="AG53" i="14"/>
  <c r="AH53" i="14"/>
  <c r="AJ53" i="14"/>
  <c r="AK53" i="14"/>
  <c r="AL53" i="14"/>
  <c r="AV53" i="14"/>
  <c r="AW53" i="14"/>
  <c r="AX53" i="14"/>
  <c r="AZ53" i="14"/>
  <c r="BA53" i="14"/>
  <c r="BB53" i="14"/>
  <c r="CO53" i="14"/>
  <c r="CP53" i="14"/>
  <c r="CQ53" i="14"/>
  <c r="CT53" i="14"/>
  <c r="DB53" i="14"/>
  <c r="DC53" i="14"/>
  <c r="DD53" i="14"/>
  <c r="DH53" i="14"/>
  <c r="DI53" i="14"/>
  <c r="AF54" i="14"/>
  <c r="AG54" i="14"/>
  <c r="AH54" i="14"/>
  <c r="AJ54" i="14"/>
  <c r="AK54" i="14"/>
  <c r="AL54" i="14"/>
  <c r="AV54" i="14"/>
  <c r="AW54" i="14"/>
  <c r="BM54" i="14" s="1"/>
  <c r="AX54" i="14"/>
  <c r="BN54" i="14" s="1"/>
  <c r="AZ54" i="14"/>
  <c r="BP54" i="14" s="1"/>
  <c r="BA54" i="14"/>
  <c r="BB54" i="14"/>
  <c r="CO54" i="14"/>
  <c r="CP54" i="14"/>
  <c r="CQ54" i="14"/>
  <c r="CT54" i="14"/>
  <c r="DB54" i="14"/>
  <c r="DC54" i="14"/>
  <c r="DD54" i="14"/>
  <c r="DH54" i="14"/>
  <c r="DI54" i="14"/>
  <c r="AF55" i="14"/>
  <c r="AG55" i="14"/>
  <c r="AH55" i="14"/>
  <c r="AJ55" i="14"/>
  <c r="AK55" i="14"/>
  <c r="AL55" i="14"/>
  <c r="AV55" i="14"/>
  <c r="AW55" i="14"/>
  <c r="AX55" i="14"/>
  <c r="AZ55" i="14"/>
  <c r="BA55" i="14"/>
  <c r="BB55" i="14"/>
  <c r="CO55" i="14"/>
  <c r="CP55" i="14"/>
  <c r="CQ55" i="14"/>
  <c r="CT55" i="14"/>
  <c r="DB55" i="14"/>
  <c r="DC55" i="14"/>
  <c r="DD55" i="14"/>
  <c r="DH55" i="14"/>
  <c r="DI55" i="14"/>
  <c r="AF56" i="14"/>
  <c r="AG56" i="14"/>
  <c r="AH56" i="14"/>
  <c r="AJ56" i="14"/>
  <c r="AK56" i="14"/>
  <c r="AL56" i="14"/>
  <c r="AV56" i="14"/>
  <c r="AW56" i="14"/>
  <c r="AX56" i="14"/>
  <c r="AZ56" i="14"/>
  <c r="BA56" i="14"/>
  <c r="BB56" i="14"/>
  <c r="BR56" i="14" s="1"/>
  <c r="CO56" i="14"/>
  <c r="CP56" i="14"/>
  <c r="CQ56" i="14"/>
  <c r="CT56" i="14"/>
  <c r="DB56" i="14"/>
  <c r="DC56" i="14"/>
  <c r="DD56" i="14"/>
  <c r="DH56" i="14"/>
  <c r="DI56" i="14"/>
  <c r="AF57" i="14"/>
  <c r="AG57" i="14"/>
  <c r="AH57" i="14"/>
  <c r="AJ57" i="14"/>
  <c r="AK57" i="14"/>
  <c r="AL57" i="14"/>
  <c r="AV57" i="14"/>
  <c r="AW57" i="14"/>
  <c r="AX57" i="14"/>
  <c r="AZ57" i="14"/>
  <c r="BA57" i="14"/>
  <c r="BB57" i="14"/>
  <c r="CO57" i="14"/>
  <c r="CP57" i="14"/>
  <c r="CQ57" i="14"/>
  <c r="CT57" i="14"/>
  <c r="DB57" i="14"/>
  <c r="DC57" i="14"/>
  <c r="DD57" i="14"/>
  <c r="DH57" i="14"/>
  <c r="DI57" i="14"/>
  <c r="AF58" i="14"/>
  <c r="AG58" i="14"/>
  <c r="AH58" i="14"/>
  <c r="AJ58" i="14"/>
  <c r="AK58" i="14"/>
  <c r="AL58" i="14"/>
  <c r="AV58" i="14"/>
  <c r="AW58" i="14"/>
  <c r="AX58" i="14"/>
  <c r="BN58" i="14" s="1"/>
  <c r="AZ58" i="14"/>
  <c r="BP58" i="14" s="1"/>
  <c r="BA58" i="14"/>
  <c r="BQ58" i="14" s="1"/>
  <c r="BB58" i="14"/>
  <c r="CO58" i="14"/>
  <c r="CP58" i="14"/>
  <c r="CQ58" i="14"/>
  <c r="CT58" i="14"/>
  <c r="DB58" i="14"/>
  <c r="DC58" i="14"/>
  <c r="DD58" i="14"/>
  <c r="DH58" i="14"/>
  <c r="DI58" i="14"/>
  <c r="AF59" i="14"/>
  <c r="AG59" i="14"/>
  <c r="AH59" i="14"/>
  <c r="AJ59" i="14"/>
  <c r="AK59" i="14"/>
  <c r="AL59" i="14"/>
  <c r="AV59" i="14"/>
  <c r="AW59" i="14"/>
  <c r="AX59" i="14"/>
  <c r="BN59" i="14" s="1"/>
  <c r="AZ59" i="14"/>
  <c r="BA59" i="14"/>
  <c r="BQ59" i="14" s="1"/>
  <c r="BB59" i="14"/>
  <c r="BR59" i="14" s="1"/>
  <c r="CO59" i="14"/>
  <c r="CP59" i="14"/>
  <c r="CQ59" i="14"/>
  <c r="CT59" i="14"/>
  <c r="DB59" i="14"/>
  <c r="DC59" i="14"/>
  <c r="DD59" i="14"/>
  <c r="DH59" i="14"/>
  <c r="DI59" i="14"/>
  <c r="AF60" i="14"/>
  <c r="AG60" i="14"/>
  <c r="AH60" i="14"/>
  <c r="AJ60" i="14"/>
  <c r="AK60" i="14"/>
  <c r="AL60" i="14"/>
  <c r="AV60" i="14"/>
  <c r="AW60" i="14"/>
  <c r="AX60" i="14"/>
  <c r="AZ60" i="14"/>
  <c r="BA60" i="14"/>
  <c r="BB60" i="14"/>
  <c r="CO60" i="14"/>
  <c r="CP60" i="14"/>
  <c r="CQ60" i="14"/>
  <c r="CT60" i="14"/>
  <c r="DB60" i="14"/>
  <c r="DC60" i="14"/>
  <c r="DD60" i="14"/>
  <c r="DH60" i="14"/>
  <c r="DI60" i="14"/>
  <c r="AF61" i="14"/>
  <c r="AG61" i="14"/>
  <c r="AH61" i="14"/>
  <c r="AJ61" i="14"/>
  <c r="AK61" i="14"/>
  <c r="AL61" i="14"/>
  <c r="AV61" i="14"/>
  <c r="AW61" i="14"/>
  <c r="BM61" i="14" s="1"/>
  <c r="AX61" i="14"/>
  <c r="BN61" i="14" s="1"/>
  <c r="AZ61" i="14"/>
  <c r="BA61" i="14"/>
  <c r="BQ61" i="14" s="1"/>
  <c r="BB61" i="14"/>
  <c r="CO61" i="14"/>
  <c r="CP61" i="14"/>
  <c r="CQ61" i="14"/>
  <c r="CT61" i="14"/>
  <c r="DB61" i="14"/>
  <c r="DC61" i="14"/>
  <c r="DD61" i="14"/>
  <c r="DH61" i="14"/>
  <c r="DI61" i="14"/>
  <c r="AF62" i="14"/>
  <c r="AG62" i="14"/>
  <c r="AH62" i="14"/>
  <c r="AJ62" i="14"/>
  <c r="AK62" i="14"/>
  <c r="AL62" i="14"/>
  <c r="AV62" i="14"/>
  <c r="AW62" i="14"/>
  <c r="AX62" i="14"/>
  <c r="AZ62" i="14"/>
  <c r="BA62" i="14"/>
  <c r="BB62" i="14"/>
  <c r="CO62" i="14"/>
  <c r="CP62" i="14"/>
  <c r="CQ62" i="14"/>
  <c r="CT62" i="14"/>
  <c r="DB62" i="14"/>
  <c r="DC62" i="14"/>
  <c r="DD62" i="14"/>
  <c r="DH62" i="14"/>
  <c r="DI62" i="14"/>
  <c r="AF63" i="14"/>
  <c r="AG63" i="14"/>
  <c r="AH63" i="14"/>
  <c r="AJ63" i="14"/>
  <c r="AK63" i="14"/>
  <c r="AL63" i="14"/>
  <c r="AV63" i="14"/>
  <c r="AW63" i="14"/>
  <c r="BM63" i="14" s="1"/>
  <c r="AX63" i="14"/>
  <c r="AZ63" i="14"/>
  <c r="BP63" i="14" s="1"/>
  <c r="BA63" i="14"/>
  <c r="BB63" i="14"/>
  <c r="BR63" i="14" s="1"/>
  <c r="CO63" i="14"/>
  <c r="CP63" i="14"/>
  <c r="CQ63" i="14"/>
  <c r="CT63" i="14"/>
  <c r="DB63" i="14"/>
  <c r="DC63" i="14"/>
  <c r="DD63" i="14"/>
  <c r="DH63" i="14"/>
  <c r="DI63" i="14"/>
  <c r="AF64" i="14"/>
  <c r="AG64" i="14"/>
  <c r="AH64" i="14"/>
  <c r="AJ64" i="14"/>
  <c r="AK64" i="14"/>
  <c r="AL64" i="14"/>
  <c r="AV64" i="14"/>
  <c r="AW64" i="14"/>
  <c r="AX64" i="14"/>
  <c r="AZ64" i="14"/>
  <c r="BA64" i="14"/>
  <c r="BB64" i="14"/>
  <c r="CO64" i="14"/>
  <c r="CP64" i="14"/>
  <c r="CQ64" i="14"/>
  <c r="CT64" i="14"/>
  <c r="DB64" i="14"/>
  <c r="DC64" i="14"/>
  <c r="DD64" i="14"/>
  <c r="DH64" i="14"/>
  <c r="DI64" i="14"/>
  <c r="AF65" i="14"/>
  <c r="AG65" i="14"/>
  <c r="AH65" i="14"/>
  <c r="AJ65" i="14"/>
  <c r="AK65" i="14"/>
  <c r="AL65" i="14"/>
  <c r="AV65" i="14"/>
  <c r="AW65" i="14"/>
  <c r="BM65" i="14" s="1"/>
  <c r="AX65" i="14"/>
  <c r="BN65" i="14" s="1"/>
  <c r="AZ65" i="14"/>
  <c r="BA65" i="14"/>
  <c r="BB65" i="14"/>
  <c r="CO65" i="14"/>
  <c r="CP65" i="14"/>
  <c r="CQ65" i="14"/>
  <c r="CT65" i="14"/>
  <c r="DB65" i="14"/>
  <c r="DC65" i="14"/>
  <c r="DD65" i="14"/>
  <c r="DH65" i="14"/>
  <c r="DI65" i="14"/>
  <c r="AF66" i="14"/>
  <c r="AG66" i="14"/>
  <c r="AH66" i="14"/>
  <c r="AJ66" i="14"/>
  <c r="AK66" i="14"/>
  <c r="AL66" i="14"/>
  <c r="AV66" i="14"/>
  <c r="AW66" i="14"/>
  <c r="AX66" i="14"/>
  <c r="AZ66" i="14"/>
  <c r="BP66" i="14" s="1"/>
  <c r="BA66" i="14"/>
  <c r="BB66" i="14"/>
  <c r="BR66" i="14" s="1"/>
  <c r="CO66" i="14"/>
  <c r="CP66" i="14"/>
  <c r="CQ66" i="14"/>
  <c r="CT66" i="14"/>
  <c r="DB66" i="14"/>
  <c r="DC66" i="14"/>
  <c r="DD66" i="14"/>
  <c r="DH66" i="14"/>
  <c r="DI66" i="14"/>
  <c r="AF67" i="14"/>
  <c r="AG67" i="14"/>
  <c r="AH67" i="14"/>
  <c r="AJ67" i="14"/>
  <c r="AK67" i="14"/>
  <c r="AL67" i="14"/>
  <c r="AV67" i="14"/>
  <c r="AW67" i="14"/>
  <c r="AX67" i="14"/>
  <c r="BN67" i="14" s="1"/>
  <c r="AZ67" i="14"/>
  <c r="BP67" i="14" s="1"/>
  <c r="BA67" i="14"/>
  <c r="BQ67" i="14" s="1"/>
  <c r="BB67" i="14"/>
  <c r="CO67" i="14"/>
  <c r="CP67" i="14"/>
  <c r="CQ67" i="14"/>
  <c r="CT67" i="14"/>
  <c r="DB67" i="14"/>
  <c r="DC67" i="14"/>
  <c r="DD67" i="14"/>
  <c r="DH67" i="14"/>
  <c r="DI67" i="14"/>
  <c r="AF68" i="14"/>
  <c r="AG68" i="14"/>
  <c r="AH68" i="14"/>
  <c r="AJ68" i="14"/>
  <c r="AK68" i="14"/>
  <c r="AL68" i="14"/>
  <c r="AV68" i="14"/>
  <c r="AW68" i="14"/>
  <c r="BM68" i="14" s="1"/>
  <c r="AX68" i="14"/>
  <c r="AZ68" i="14"/>
  <c r="BA68" i="14"/>
  <c r="BB68" i="14"/>
  <c r="CO68" i="14"/>
  <c r="CP68" i="14"/>
  <c r="CQ68" i="14"/>
  <c r="CT68" i="14"/>
  <c r="DB68" i="14"/>
  <c r="DC68" i="14"/>
  <c r="DD68" i="14"/>
  <c r="DH68" i="14"/>
  <c r="DI68" i="14"/>
  <c r="AF69" i="14"/>
  <c r="AG69" i="14"/>
  <c r="AH69" i="14"/>
  <c r="AJ69" i="14"/>
  <c r="AK69" i="14"/>
  <c r="AL69" i="14"/>
  <c r="AV69" i="14"/>
  <c r="AW69" i="14"/>
  <c r="BM69" i="14" s="1"/>
  <c r="AX69" i="14"/>
  <c r="AZ69" i="14"/>
  <c r="BA69" i="14"/>
  <c r="BQ69" i="14" s="1"/>
  <c r="BB69" i="14"/>
  <c r="BR69" i="14" s="1"/>
  <c r="CO69" i="14"/>
  <c r="CP69" i="14"/>
  <c r="CQ69" i="14"/>
  <c r="CT69" i="14"/>
  <c r="DB69" i="14"/>
  <c r="DC69" i="14"/>
  <c r="DD69" i="14"/>
  <c r="DH69" i="14"/>
  <c r="DI69" i="14"/>
  <c r="AF70" i="14"/>
  <c r="AG70" i="14"/>
  <c r="AH70" i="14"/>
  <c r="AJ70" i="14"/>
  <c r="AK70" i="14"/>
  <c r="AL70" i="14"/>
  <c r="AV70" i="14"/>
  <c r="BL70" i="14" s="1"/>
  <c r="AW70" i="14"/>
  <c r="AX70" i="14"/>
  <c r="AZ70" i="14"/>
  <c r="BA70" i="14"/>
  <c r="BB70" i="14"/>
  <c r="BR70" i="14" s="1"/>
  <c r="CO70" i="14"/>
  <c r="CP70" i="14"/>
  <c r="CQ70" i="14"/>
  <c r="CT70" i="14"/>
  <c r="DB70" i="14"/>
  <c r="DC70" i="14"/>
  <c r="DD70" i="14"/>
  <c r="DH70" i="14"/>
  <c r="DI70" i="14"/>
  <c r="AF71" i="14"/>
  <c r="AG71" i="14"/>
  <c r="AH71" i="14"/>
  <c r="AJ71" i="14"/>
  <c r="AK71" i="14"/>
  <c r="AL71" i="14"/>
  <c r="AV71" i="14"/>
  <c r="AW71" i="14"/>
  <c r="AX71" i="14"/>
  <c r="AZ71" i="14"/>
  <c r="BA71" i="14"/>
  <c r="BB71" i="14"/>
  <c r="CO71" i="14"/>
  <c r="CP71" i="14"/>
  <c r="CQ71" i="14"/>
  <c r="CT71" i="14"/>
  <c r="DB71" i="14"/>
  <c r="DC71" i="14"/>
  <c r="DD71" i="14"/>
  <c r="DH71" i="14"/>
  <c r="DI71" i="14"/>
  <c r="AF72" i="14"/>
  <c r="AG72" i="14"/>
  <c r="AH72" i="14"/>
  <c r="AJ72" i="14"/>
  <c r="AK72" i="14"/>
  <c r="AL72" i="14"/>
  <c r="AV72" i="14"/>
  <c r="AW72" i="14"/>
  <c r="AX72" i="14"/>
  <c r="AZ72" i="14"/>
  <c r="BP72" i="14" s="1"/>
  <c r="BA72" i="14"/>
  <c r="BQ72" i="14" s="1"/>
  <c r="BB72" i="14"/>
  <c r="BR72" i="14" s="1"/>
  <c r="CO72" i="14"/>
  <c r="CP72" i="14"/>
  <c r="CQ72" i="14"/>
  <c r="CT72" i="14"/>
  <c r="DB72" i="14"/>
  <c r="DC72" i="14"/>
  <c r="DD72" i="14"/>
  <c r="DH72" i="14"/>
  <c r="DI72" i="14"/>
  <c r="AF73" i="14"/>
  <c r="AG73" i="14"/>
  <c r="AH73" i="14"/>
  <c r="AJ73" i="14"/>
  <c r="AK73" i="14"/>
  <c r="AL73" i="14"/>
  <c r="AV73" i="14"/>
  <c r="AW73" i="14"/>
  <c r="AX73" i="14"/>
  <c r="BN73" i="14" s="1"/>
  <c r="AZ73" i="14"/>
  <c r="BP73" i="14" s="1"/>
  <c r="BA73" i="14"/>
  <c r="BQ73" i="14" s="1"/>
  <c r="BB73" i="14"/>
  <c r="CO73" i="14"/>
  <c r="CP73" i="14"/>
  <c r="CQ73" i="14"/>
  <c r="CT73" i="14"/>
  <c r="DB73" i="14"/>
  <c r="DC73" i="14"/>
  <c r="DD73" i="14"/>
  <c r="DH73" i="14"/>
  <c r="DI73" i="14"/>
  <c r="AF74" i="14"/>
  <c r="AG74" i="14"/>
  <c r="AH74" i="14"/>
  <c r="AJ74" i="14"/>
  <c r="AK74" i="14"/>
  <c r="AL74" i="14"/>
  <c r="AV74" i="14"/>
  <c r="AW74" i="14"/>
  <c r="AX74" i="14"/>
  <c r="AZ74" i="14"/>
  <c r="BA74" i="14"/>
  <c r="BB74" i="14"/>
  <c r="BR74" i="14" s="1"/>
  <c r="CO74" i="14"/>
  <c r="CP74" i="14"/>
  <c r="CQ74" i="14"/>
  <c r="CT74" i="14"/>
  <c r="DB74" i="14"/>
  <c r="DC74" i="14"/>
  <c r="DD74" i="14"/>
  <c r="DH74" i="14"/>
  <c r="DI74" i="14"/>
  <c r="AF75" i="14"/>
  <c r="AG75" i="14"/>
  <c r="AH75" i="14"/>
  <c r="AJ75" i="14"/>
  <c r="AK75" i="14"/>
  <c r="AL75" i="14"/>
  <c r="AV75" i="14"/>
  <c r="AW75" i="14"/>
  <c r="AX75" i="14"/>
  <c r="AZ75" i="14"/>
  <c r="BA75" i="14"/>
  <c r="BQ75" i="14" s="1"/>
  <c r="BB75" i="14"/>
  <c r="CO75" i="14"/>
  <c r="CP75" i="14"/>
  <c r="CQ75" i="14"/>
  <c r="CT75" i="14"/>
  <c r="DB75" i="14"/>
  <c r="DC75" i="14"/>
  <c r="DD75" i="14"/>
  <c r="DH75" i="14"/>
  <c r="DI75" i="14"/>
  <c r="AF76" i="14"/>
  <c r="AG76" i="14"/>
  <c r="AH76" i="14"/>
  <c r="AJ76" i="14"/>
  <c r="AK76" i="14"/>
  <c r="AL76" i="14"/>
  <c r="AV76" i="14"/>
  <c r="BL76" i="14" s="1"/>
  <c r="AW76" i="14"/>
  <c r="AX76" i="14"/>
  <c r="BN76" i="14" s="1"/>
  <c r="AZ76" i="14"/>
  <c r="BA76" i="14"/>
  <c r="BQ76" i="14" s="1"/>
  <c r="BB76" i="14"/>
  <c r="CO76" i="14"/>
  <c r="CP76" i="14"/>
  <c r="CQ76" i="14"/>
  <c r="CT76" i="14"/>
  <c r="DB76" i="14"/>
  <c r="DC76" i="14"/>
  <c r="DD76" i="14"/>
  <c r="DH76" i="14"/>
  <c r="DI76" i="14"/>
  <c r="AF77" i="14"/>
  <c r="AG77" i="14"/>
  <c r="AH77" i="14"/>
  <c r="AJ77" i="14"/>
  <c r="AK77" i="14"/>
  <c r="AL77" i="14"/>
  <c r="AV77" i="14"/>
  <c r="AW77" i="14"/>
  <c r="AX77" i="14"/>
  <c r="BN77" i="14" s="1"/>
  <c r="AZ77" i="14"/>
  <c r="BA77" i="14"/>
  <c r="BB77" i="14"/>
  <c r="BR77" i="14" s="1"/>
  <c r="CO77" i="14"/>
  <c r="CP77" i="14"/>
  <c r="CQ77" i="14"/>
  <c r="CT77" i="14"/>
  <c r="DB77" i="14"/>
  <c r="DC77" i="14"/>
  <c r="DD77" i="14"/>
  <c r="DH77" i="14"/>
  <c r="DI77" i="14"/>
  <c r="AF78" i="14"/>
  <c r="AG78" i="14"/>
  <c r="AH78" i="14"/>
  <c r="AJ78" i="14"/>
  <c r="AK78" i="14"/>
  <c r="AL78" i="14"/>
  <c r="AV78" i="14"/>
  <c r="AW78" i="14"/>
  <c r="AX78" i="14"/>
  <c r="AZ78" i="14"/>
  <c r="BA78" i="14"/>
  <c r="BB78" i="14"/>
  <c r="CO78" i="14"/>
  <c r="CP78" i="14"/>
  <c r="CQ78" i="14"/>
  <c r="CT78" i="14"/>
  <c r="DB78" i="14"/>
  <c r="DC78" i="14"/>
  <c r="DD78" i="14"/>
  <c r="DH78" i="14"/>
  <c r="DI78" i="14"/>
  <c r="AF79" i="14"/>
  <c r="AG79" i="14"/>
  <c r="AH79" i="14"/>
  <c r="AJ79" i="14"/>
  <c r="AK79" i="14"/>
  <c r="AL79" i="14"/>
  <c r="AV79" i="14"/>
  <c r="AW79" i="14"/>
  <c r="BM79" i="14" s="1"/>
  <c r="AX79" i="14"/>
  <c r="BN79" i="14" s="1"/>
  <c r="AZ79" i="14"/>
  <c r="BP79" i="14" s="1"/>
  <c r="BA79" i="14"/>
  <c r="BQ79" i="14" s="1"/>
  <c r="BB79" i="14"/>
  <c r="BR79" i="14" s="1"/>
  <c r="CO79" i="14"/>
  <c r="CP79" i="14"/>
  <c r="CQ79" i="14"/>
  <c r="CT79" i="14"/>
  <c r="DB79" i="14"/>
  <c r="DC79" i="14"/>
  <c r="DD79" i="14"/>
  <c r="DH79" i="14"/>
  <c r="DI79" i="14"/>
  <c r="AF80" i="14"/>
  <c r="AG80" i="14"/>
  <c r="AH80" i="14"/>
  <c r="AJ80" i="14"/>
  <c r="AK80" i="14"/>
  <c r="AL80" i="14"/>
  <c r="AV80" i="14"/>
  <c r="AW80" i="14"/>
  <c r="AX80" i="14"/>
  <c r="AZ80" i="14"/>
  <c r="BA80" i="14"/>
  <c r="BB80" i="14"/>
  <c r="BR80" i="14" s="1"/>
  <c r="CO80" i="14"/>
  <c r="CP80" i="14"/>
  <c r="CQ80" i="14"/>
  <c r="CT80" i="14"/>
  <c r="DB80" i="14"/>
  <c r="DC80" i="14"/>
  <c r="DD80" i="14"/>
  <c r="DH80" i="14"/>
  <c r="DI80" i="14"/>
  <c r="AF81" i="14"/>
  <c r="AG81" i="14"/>
  <c r="AH81" i="14"/>
  <c r="AJ81" i="14"/>
  <c r="AK81" i="14"/>
  <c r="AL81" i="14"/>
  <c r="AV81" i="14"/>
  <c r="AW81" i="14"/>
  <c r="BM81" i="14" s="1"/>
  <c r="AX81" i="14"/>
  <c r="BN81" i="14" s="1"/>
  <c r="AZ81" i="14"/>
  <c r="BP81" i="14" s="1"/>
  <c r="BA81" i="14"/>
  <c r="BQ81" i="14" s="1"/>
  <c r="BB81" i="14"/>
  <c r="BR81" i="14" s="1"/>
  <c r="CO81" i="14"/>
  <c r="CP81" i="14"/>
  <c r="CQ81" i="14"/>
  <c r="CT81" i="14"/>
  <c r="DB81" i="14"/>
  <c r="DC81" i="14"/>
  <c r="DD81" i="14"/>
  <c r="DH81" i="14"/>
  <c r="DI81" i="14"/>
  <c r="AF82" i="14"/>
  <c r="AG82" i="14"/>
  <c r="AH82" i="14"/>
  <c r="AJ82" i="14"/>
  <c r="AK82" i="14"/>
  <c r="AL82" i="14"/>
  <c r="AV82" i="14"/>
  <c r="AW82" i="14"/>
  <c r="BM82" i="14" s="1"/>
  <c r="AX82" i="14"/>
  <c r="BN82" i="14" s="1"/>
  <c r="AZ82" i="14"/>
  <c r="BA82" i="14"/>
  <c r="BB82" i="14"/>
  <c r="BR82" i="14" s="1"/>
  <c r="CO82" i="14"/>
  <c r="CP82" i="14"/>
  <c r="CQ82" i="14"/>
  <c r="CT82" i="14"/>
  <c r="DB82" i="14"/>
  <c r="DC82" i="14"/>
  <c r="DD82" i="14"/>
  <c r="DH82" i="14"/>
  <c r="DI82" i="14"/>
  <c r="JC15" i="10"/>
  <c r="JD15" i="10"/>
  <c r="JF15" i="10"/>
  <c r="JG15" i="10"/>
  <c r="JH15" i="10"/>
  <c r="BA15" i="14"/>
  <c r="CG15" i="14" s="1"/>
  <c r="AZ15" i="14"/>
  <c r="AW15" i="14"/>
  <c r="BM15" i="14" s="1"/>
  <c r="AV15" i="14"/>
  <c r="AJ15" i="14"/>
  <c r="AH15" i="14"/>
  <c r="AG15" i="14"/>
  <c r="AF15" i="14"/>
  <c r="DJ15" i="14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F16" i="1"/>
  <c r="AG16" i="1"/>
  <c r="AH16" i="1"/>
  <c r="AJ16" i="1"/>
  <c r="AK16" i="1"/>
  <c r="AL16" i="1"/>
  <c r="AV16" i="1"/>
  <c r="BL16" i="1" s="1"/>
  <c r="AW16" i="1"/>
  <c r="BM16" i="1" s="1"/>
  <c r="AX16" i="1"/>
  <c r="BN16" i="1" s="1"/>
  <c r="AZ16" i="1"/>
  <c r="BP16" i="1" s="1"/>
  <c r="BA16" i="1"/>
  <c r="BB16" i="1"/>
  <c r="BR16" i="1" s="1"/>
  <c r="DB16" i="1"/>
  <c r="DC16" i="1"/>
  <c r="DD16" i="1"/>
  <c r="DH16" i="1"/>
  <c r="AF17" i="1"/>
  <c r="AG17" i="1"/>
  <c r="AH17" i="1"/>
  <c r="AJ17" i="1"/>
  <c r="AK17" i="1"/>
  <c r="AL17" i="1"/>
  <c r="AV17" i="1"/>
  <c r="AW17" i="1"/>
  <c r="AX17" i="1"/>
  <c r="BN17" i="1" s="1"/>
  <c r="AZ17" i="1"/>
  <c r="BP17" i="1" s="1"/>
  <c r="BA17" i="1"/>
  <c r="BB17" i="1"/>
  <c r="DB17" i="1"/>
  <c r="DC17" i="1"/>
  <c r="DD17" i="1"/>
  <c r="DH17" i="1"/>
  <c r="AF18" i="1"/>
  <c r="AG18" i="1"/>
  <c r="AH18" i="1"/>
  <c r="AJ18" i="1"/>
  <c r="AK18" i="1"/>
  <c r="AL18" i="1"/>
  <c r="AV18" i="1"/>
  <c r="BL18" i="1" s="1"/>
  <c r="AW18" i="1"/>
  <c r="AX18" i="1"/>
  <c r="BN18" i="1" s="1"/>
  <c r="AZ18" i="1"/>
  <c r="BA18" i="1"/>
  <c r="BB18" i="1"/>
  <c r="DB18" i="1"/>
  <c r="DC18" i="1"/>
  <c r="DD18" i="1"/>
  <c r="DH18" i="1"/>
  <c r="AF19" i="1"/>
  <c r="AG19" i="1"/>
  <c r="AH19" i="1"/>
  <c r="AJ19" i="1"/>
  <c r="AK19" i="1"/>
  <c r="AL19" i="1"/>
  <c r="AV19" i="1"/>
  <c r="AW19" i="1"/>
  <c r="BM19" i="1" s="1"/>
  <c r="AX19" i="1"/>
  <c r="BN19" i="1" s="1"/>
  <c r="AZ19" i="1"/>
  <c r="BA19" i="1"/>
  <c r="BB19" i="1"/>
  <c r="BR19" i="1" s="1"/>
  <c r="DB19" i="1"/>
  <c r="DC19" i="1"/>
  <c r="DD19" i="1"/>
  <c r="DH19" i="1"/>
  <c r="AF20" i="1"/>
  <c r="AG20" i="1"/>
  <c r="AH20" i="1"/>
  <c r="AJ20" i="1"/>
  <c r="AK20" i="1"/>
  <c r="AL20" i="1"/>
  <c r="AV20" i="1"/>
  <c r="AW20" i="1"/>
  <c r="AX20" i="1"/>
  <c r="AZ20" i="1"/>
  <c r="BP20" i="1" s="1"/>
  <c r="BA20" i="1"/>
  <c r="BB20" i="1"/>
  <c r="DB20" i="1"/>
  <c r="DC20" i="1"/>
  <c r="DD20" i="1"/>
  <c r="DH20" i="1"/>
  <c r="AF21" i="1"/>
  <c r="AG21" i="1"/>
  <c r="AH21" i="1"/>
  <c r="AJ21" i="1"/>
  <c r="AK21" i="1"/>
  <c r="AL21" i="1"/>
  <c r="AV21" i="1"/>
  <c r="BL21" i="1" s="1"/>
  <c r="AW21" i="1"/>
  <c r="BM21" i="1" s="1"/>
  <c r="AX21" i="1"/>
  <c r="AZ21" i="1"/>
  <c r="BA21" i="1"/>
  <c r="BB21" i="1"/>
  <c r="DB21" i="1"/>
  <c r="DC21" i="1"/>
  <c r="DD21" i="1"/>
  <c r="DH21" i="1"/>
  <c r="AF22" i="1"/>
  <c r="AG22" i="1"/>
  <c r="AH22" i="1"/>
  <c r="AJ22" i="1"/>
  <c r="AK22" i="1"/>
  <c r="AL22" i="1"/>
  <c r="AV22" i="1"/>
  <c r="AW22" i="1"/>
  <c r="AX22" i="1"/>
  <c r="AZ22" i="1"/>
  <c r="BA22" i="1"/>
  <c r="BB22" i="1"/>
  <c r="DB22" i="1"/>
  <c r="DC22" i="1"/>
  <c r="DD22" i="1"/>
  <c r="DH22" i="1"/>
  <c r="AF23" i="1"/>
  <c r="AG23" i="1"/>
  <c r="AH23" i="1"/>
  <c r="AJ23" i="1"/>
  <c r="AK23" i="1"/>
  <c r="AL23" i="1"/>
  <c r="AV23" i="1"/>
  <c r="BL23" i="1" s="1"/>
  <c r="AW23" i="1"/>
  <c r="AX23" i="1"/>
  <c r="BN23" i="1" s="1"/>
  <c r="AZ23" i="1"/>
  <c r="BA23" i="1"/>
  <c r="BB23" i="1"/>
  <c r="BR23" i="1" s="1"/>
  <c r="DB23" i="1"/>
  <c r="DC23" i="1"/>
  <c r="DD23" i="1"/>
  <c r="DH23" i="1"/>
  <c r="AF24" i="1"/>
  <c r="AG24" i="1"/>
  <c r="AH24" i="1"/>
  <c r="AJ24" i="1"/>
  <c r="AK24" i="1"/>
  <c r="AL24" i="1"/>
  <c r="AV24" i="1"/>
  <c r="AW24" i="1"/>
  <c r="AX24" i="1"/>
  <c r="BN24" i="1" s="1"/>
  <c r="AZ24" i="1"/>
  <c r="BP24" i="1" s="1"/>
  <c r="BA24" i="1"/>
  <c r="BB24" i="1"/>
  <c r="DB24" i="1"/>
  <c r="DC24" i="1"/>
  <c r="DD24" i="1"/>
  <c r="DH24" i="1"/>
  <c r="AF25" i="1"/>
  <c r="AG25" i="1"/>
  <c r="AH25" i="1"/>
  <c r="AJ25" i="1"/>
  <c r="AK25" i="1"/>
  <c r="AL25" i="1"/>
  <c r="AV25" i="1"/>
  <c r="AW25" i="1"/>
  <c r="AX25" i="1"/>
  <c r="AZ25" i="1"/>
  <c r="BP25" i="1" s="1"/>
  <c r="BA25" i="1"/>
  <c r="BQ25" i="1" s="1"/>
  <c r="BB25" i="1"/>
  <c r="DB25" i="1"/>
  <c r="DC25" i="1"/>
  <c r="DD25" i="1"/>
  <c r="AF26" i="1"/>
  <c r="AG26" i="1"/>
  <c r="AH26" i="1"/>
  <c r="AJ26" i="1"/>
  <c r="AK26" i="1"/>
  <c r="AL26" i="1"/>
  <c r="AV26" i="1"/>
  <c r="AW26" i="1"/>
  <c r="BM26" i="1" s="1"/>
  <c r="AX26" i="1"/>
  <c r="BN26" i="1" s="1"/>
  <c r="AZ26" i="1"/>
  <c r="BA26" i="1"/>
  <c r="BQ26" i="1" s="1"/>
  <c r="BB26" i="1"/>
  <c r="DB26" i="1"/>
  <c r="DC26" i="1"/>
  <c r="DD26" i="1"/>
  <c r="DH26" i="1"/>
  <c r="AF27" i="1"/>
  <c r="AG27" i="1"/>
  <c r="AH27" i="1"/>
  <c r="AJ27" i="1"/>
  <c r="AK27" i="1"/>
  <c r="AL27" i="1"/>
  <c r="AV27" i="1"/>
  <c r="AW27" i="1"/>
  <c r="AX27" i="1"/>
  <c r="BN27" i="1" s="1"/>
  <c r="AZ27" i="1"/>
  <c r="BA27" i="1"/>
  <c r="BQ27" i="1" s="1"/>
  <c r="BB27" i="1"/>
  <c r="BR27" i="1" s="1"/>
  <c r="DB27" i="1"/>
  <c r="DC27" i="1"/>
  <c r="DD27" i="1"/>
  <c r="DH27" i="1"/>
  <c r="AF28" i="1"/>
  <c r="AG28" i="1"/>
  <c r="AH28" i="1"/>
  <c r="AJ28" i="1"/>
  <c r="AK28" i="1"/>
  <c r="AL28" i="1"/>
  <c r="AV28" i="1"/>
  <c r="AW28" i="1"/>
  <c r="AX28" i="1"/>
  <c r="BN28" i="1" s="1"/>
  <c r="AZ28" i="1"/>
  <c r="BA28" i="1"/>
  <c r="BQ28" i="1" s="1"/>
  <c r="BB28" i="1"/>
  <c r="DB28" i="1"/>
  <c r="DC28" i="1"/>
  <c r="DD28" i="1"/>
  <c r="DH28" i="1"/>
  <c r="AF29" i="1"/>
  <c r="AG29" i="1"/>
  <c r="AH29" i="1"/>
  <c r="AJ29" i="1"/>
  <c r="AK29" i="1"/>
  <c r="AL29" i="1"/>
  <c r="AV29" i="1"/>
  <c r="BL29" i="1" s="1"/>
  <c r="AW29" i="1"/>
  <c r="BM29" i="1" s="1"/>
  <c r="AX29" i="1"/>
  <c r="AZ29" i="1"/>
  <c r="BA29" i="1"/>
  <c r="BQ29" i="1" s="1"/>
  <c r="BB29" i="1"/>
  <c r="BR29" i="1" s="1"/>
  <c r="DB29" i="1"/>
  <c r="DC29" i="1"/>
  <c r="DD29" i="1"/>
  <c r="DH29" i="1"/>
  <c r="AF30" i="1"/>
  <c r="AG30" i="1"/>
  <c r="AH30" i="1"/>
  <c r="AJ30" i="1"/>
  <c r="AK30" i="1"/>
  <c r="AL30" i="1"/>
  <c r="AV30" i="1"/>
  <c r="AW30" i="1"/>
  <c r="BM30" i="1" s="1"/>
  <c r="AX30" i="1"/>
  <c r="AZ30" i="1"/>
  <c r="BP30" i="1" s="1"/>
  <c r="BA30" i="1"/>
  <c r="BB30" i="1"/>
  <c r="DB30" i="1"/>
  <c r="DC30" i="1"/>
  <c r="DD30" i="1"/>
  <c r="DH30" i="1"/>
  <c r="AF31" i="1"/>
  <c r="AG31" i="1"/>
  <c r="AH31" i="1"/>
  <c r="AJ31" i="1"/>
  <c r="AK31" i="1"/>
  <c r="AL31" i="1"/>
  <c r="AV31" i="1"/>
  <c r="AW31" i="1"/>
  <c r="BM31" i="1" s="1"/>
  <c r="AX31" i="1"/>
  <c r="BN31" i="1" s="1"/>
  <c r="AZ31" i="1"/>
  <c r="BA31" i="1"/>
  <c r="BB31" i="1"/>
  <c r="BR31" i="1" s="1"/>
  <c r="DB31" i="1"/>
  <c r="DC31" i="1"/>
  <c r="DD31" i="1"/>
  <c r="DH31" i="1"/>
  <c r="AF32" i="1"/>
  <c r="AG32" i="1"/>
  <c r="AH32" i="1"/>
  <c r="AJ32" i="1"/>
  <c r="AK32" i="1"/>
  <c r="AL32" i="1"/>
  <c r="AV32" i="1"/>
  <c r="AW32" i="1"/>
  <c r="AX32" i="1"/>
  <c r="AZ32" i="1"/>
  <c r="BA32" i="1"/>
  <c r="BQ32" i="1" s="1"/>
  <c r="BB32" i="1"/>
  <c r="DB32" i="1"/>
  <c r="DC32" i="1"/>
  <c r="DD32" i="1"/>
  <c r="DH32" i="1"/>
  <c r="AF33" i="1"/>
  <c r="AG33" i="1"/>
  <c r="AH33" i="1"/>
  <c r="AJ33" i="1"/>
  <c r="AK33" i="1"/>
  <c r="AL33" i="1"/>
  <c r="AV33" i="1"/>
  <c r="AW33" i="1"/>
  <c r="BM33" i="1" s="1"/>
  <c r="AX33" i="1"/>
  <c r="AZ33" i="1"/>
  <c r="BA33" i="1"/>
  <c r="BB33" i="1"/>
  <c r="BR33" i="1" s="1"/>
  <c r="DB33" i="1"/>
  <c r="DC33" i="1"/>
  <c r="DD33" i="1"/>
  <c r="AF34" i="1"/>
  <c r="AG34" i="1"/>
  <c r="AH34" i="1"/>
  <c r="AJ34" i="1"/>
  <c r="AK34" i="1"/>
  <c r="AL34" i="1"/>
  <c r="AV34" i="1"/>
  <c r="AW34" i="1"/>
  <c r="AX34" i="1"/>
  <c r="AZ34" i="1"/>
  <c r="BA34" i="1"/>
  <c r="BB34" i="1"/>
  <c r="BR34" i="1" s="1"/>
  <c r="DB34" i="1"/>
  <c r="DC34" i="1"/>
  <c r="DD34" i="1"/>
  <c r="DH34" i="1"/>
  <c r="AF35" i="1"/>
  <c r="AG35" i="1"/>
  <c r="AH35" i="1"/>
  <c r="AJ35" i="1"/>
  <c r="AK35" i="1"/>
  <c r="AL35" i="1"/>
  <c r="AV35" i="1"/>
  <c r="AW35" i="1"/>
  <c r="BM35" i="1" s="1"/>
  <c r="AX35" i="1"/>
  <c r="AZ35" i="1"/>
  <c r="BP35" i="1" s="1"/>
  <c r="BA35" i="1"/>
  <c r="BQ35" i="1" s="1"/>
  <c r="BB35" i="1"/>
  <c r="DB35" i="1"/>
  <c r="DC35" i="1"/>
  <c r="DD35" i="1"/>
  <c r="DH35" i="1"/>
  <c r="DH15" i="1"/>
  <c r="DD15" i="1"/>
  <c r="AX15" i="1"/>
  <c r="AZ15" i="1"/>
  <c r="AL15" i="1"/>
  <c r="AK15" i="1"/>
  <c r="AJ15" i="1"/>
  <c r="AH15" i="1"/>
  <c r="AG15" i="1"/>
  <c r="CC15" i="1" s="1"/>
  <c r="CG24" i="14" l="1"/>
  <c r="CG23" i="14"/>
  <c r="CG20" i="14"/>
  <c r="CG17" i="14"/>
  <c r="CG95" i="9"/>
  <c r="CG71" i="9"/>
  <c r="CG51" i="9"/>
  <c r="CD98" i="9"/>
  <c r="CG99" i="9"/>
  <c r="CG83" i="9"/>
  <c r="CG75" i="9"/>
  <c r="CG22" i="14"/>
  <c r="CG16" i="14"/>
  <c r="CG22" i="1"/>
  <c r="CG21" i="1"/>
  <c r="CG18" i="1"/>
  <c r="CH20" i="1"/>
  <c r="GI22" i="11"/>
  <c r="AV18" i="12"/>
  <c r="BL18" i="12" s="1"/>
  <c r="AF18" i="12"/>
  <c r="AK16" i="12"/>
  <c r="BA16" i="12"/>
  <c r="BQ16" i="12" s="1"/>
  <c r="AG23" i="10"/>
  <c r="Q23" i="12"/>
  <c r="AJ21" i="12"/>
  <c r="AZ21" i="12"/>
  <c r="BA20" i="10"/>
  <c r="BQ20" i="10" s="1"/>
  <c r="U20" i="12"/>
  <c r="AL19" i="12"/>
  <c r="BB19" i="12"/>
  <c r="BR19" i="12" s="1"/>
  <c r="AK18" i="12"/>
  <c r="BA18" i="12"/>
  <c r="AH17" i="12"/>
  <c r="AX17" i="12"/>
  <c r="BN17" i="12" s="1"/>
  <c r="AH24" i="12"/>
  <c r="AX24" i="12"/>
  <c r="AK23" i="12"/>
  <c r="BA23" i="12"/>
  <c r="BQ23" i="12" s="1"/>
  <c r="AF23" i="12"/>
  <c r="AV23" i="12"/>
  <c r="BL23" i="12" s="1"/>
  <c r="AL22" i="12"/>
  <c r="BB22" i="12"/>
  <c r="BR22" i="12" s="1"/>
  <c r="AG22" i="12"/>
  <c r="AW22" i="12"/>
  <c r="AH21" i="12"/>
  <c r="AX21" i="12"/>
  <c r="BN21" i="12" s="1"/>
  <c r="AJ20" i="12"/>
  <c r="AZ20" i="12"/>
  <c r="BP20" i="12" s="1"/>
  <c r="AK19" i="12"/>
  <c r="BA19" i="12"/>
  <c r="BQ19" i="12" s="1"/>
  <c r="AF19" i="12"/>
  <c r="AV19" i="12"/>
  <c r="AJ18" i="12"/>
  <c r="AZ18" i="12"/>
  <c r="BP18" i="12" s="1"/>
  <c r="AG17" i="12"/>
  <c r="AW17" i="12"/>
  <c r="AJ16" i="12"/>
  <c r="AZ16" i="12"/>
  <c r="BP16" i="12" s="1"/>
  <c r="BP24" i="12"/>
  <c r="AZ24" i="12"/>
  <c r="AJ24" i="12"/>
  <c r="AX22" i="12"/>
  <c r="AH22" i="12"/>
  <c r="AL24" i="12"/>
  <c r="BB24" i="12"/>
  <c r="AG24" i="10"/>
  <c r="Q24" i="12"/>
  <c r="AJ23" i="12"/>
  <c r="AZ23" i="12"/>
  <c r="BP23" i="12" s="1"/>
  <c r="AK22" i="12"/>
  <c r="BA22" i="12"/>
  <c r="AF22" i="12"/>
  <c r="AV22" i="12"/>
  <c r="BL22" i="12" s="1"/>
  <c r="AL21" i="12"/>
  <c r="BB21" i="12"/>
  <c r="AG21" i="10"/>
  <c r="Q21" i="12"/>
  <c r="AH20" i="12"/>
  <c r="AX20" i="12"/>
  <c r="BN20" i="12" s="1"/>
  <c r="AJ19" i="12"/>
  <c r="AZ19" i="12"/>
  <c r="AX18" i="10"/>
  <c r="BN18" i="10" s="1"/>
  <c r="R18" i="12"/>
  <c r="AL17" i="12"/>
  <c r="BB17" i="12"/>
  <c r="BR17" i="12" s="1"/>
  <c r="AF17" i="10"/>
  <c r="P17" i="12"/>
  <c r="AH16" i="12"/>
  <c r="AX16" i="12"/>
  <c r="AL23" i="12"/>
  <c r="BB23" i="12"/>
  <c r="BR23" i="12" s="1"/>
  <c r="AF20" i="12"/>
  <c r="AV20" i="12"/>
  <c r="AG19" i="12"/>
  <c r="AW19" i="12"/>
  <c r="BM19" i="12" s="1"/>
  <c r="AF16" i="12"/>
  <c r="AV16" i="12"/>
  <c r="BL16" i="12" s="1"/>
  <c r="AK24" i="12"/>
  <c r="BA24" i="12"/>
  <c r="AF24" i="10"/>
  <c r="P24" i="12"/>
  <c r="AH23" i="12"/>
  <c r="AX23" i="12"/>
  <c r="AJ22" i="12"/>
  <c r="AZ22" i="12"/>
  <c r="BP22" i="12" s="1"/>
  <c r="AK21" i="12"/>
  <c r="BA21" i="12"/>
  <c r="AF21" i="10"/>
  <c r="P21" i="12"/>
  <c r="AL20" i="12"/>
  <c r="BB20" i="12"/>
  <c r="BR20" i="12" s="1"/>
  <c r="AG20" i="10"/>
  <c r="Q20" i="12"/>
  <c r="AH19" i="12"/>
  <c r="AX19" i="12"/>
  <c r="AL18" i="12"/>
  <c r="BB18" i="12"/>
  <c r="BR18" i="12" s="1"/>
  <c r="AG18" i="12"/>
  <c r="AW18" i="12"/>
  <c r="AJ17" i="12"/>
  <c r="AZ17" i="12"/>
  <c r="BP17" i="12" s="1"/>
  <c r="AL16" i="12"/>
  <c r="BB16" i="12"/>
  <c r="AG16" i="12"/>
  <c r="AW16" i="12"/>
  <c r="BM16" i="12" s="1"/>
  <c r="GK26" i="11"/>
  <c r="CH16" i="9"/>
  <c r="DI24" i="9"/>
  <c r="DI20" i="9"/>
  <c r="BQ19" i="14"/>
  <c r="CG19" i="14"/>
  <c r="BQ18" i="14"/>
  <c r="CG18" i="14"/>
  <c r="BQ25" i="14"/>
  <c r="CG25" i="14"/>
  <c r="BQ24" i="1"/>
  <c r="CG24" i="1"/>
  <c r="BQ23" i="1"/>
  <c r="CG23" i="1"/>
  <c r="BQ20" i="1"/>
  <c r="CG20" i="1"/>
  <c r="BQ19" i="1"/>
  <c r="CG19" i="1"/>
  <c r="BQ17" i="1"/>
  <c r="CG17" i="1"/>
  <c r="BQ16" i="1"/>
  <c r="CG16" i="1"/>
  <c r="BQ21" i="14"/>
  <c r="CG21" i="14"/>
  <c r="OE18" i="10"/>
  <c r="CP16" i="1"/>
  <c r="P15" i="12"/>
  <c r="AF15" i="12" s="1"/>
  <c r="DI29" i="1"/>
  <c r="NU15" i="11"/>
  <c r="OK15" i="11"/>
  <c r="CG62" i="14"/>
  <c r="CG54" i="14"/>
  <c r="CG50" i="14"/>
  <c r="MN15" i="11"/>
  <c r="JW15" i="11"/>
  <c r="KM15" i="11"/>
  <c r="JX15" i="11"/>
  <c r="KN15" i="11"/>
  <c r="JT15" i="11"/>
  <c r="KJ15" i="11"/>
  <c r="GE24" i="11"/>
  <c r="GE23" i="11"/>
  <c r="JV15" i="11"/>
  <c r="KL15" i="11"/>
  <c r="GF23" i="11"/>
  <c r="GF21" i="11"/>
  <c r="GK25" i="11"/>
  <c r="GK23" i="11"/>
  <c r="GK21" i="11"/>
  <c r="GI25" i="11"/>
  <c r="GJ24" i="11"/>
  <c r="GK24" i="11"/>
  <c r="GJ20" i="11"/>
  <c r="GK20" i="11"/>
  <c r="GE20" i="11"/>
  <c r="GK16" i="11"/>
  <c r="GF20" i="11"/>
  <c r="GF26" i="11"/>
  <c r="GJ21" i="11"/>
  <c r="GE21" i="11"/>
  <c r="GI20" i="11"/>
  <c r="GJ25" i="11"/>
  <c r="GE25" i="11"/>
  <c r="GF24" i="11"/>
  <c r="GE16" i="11"/>
  <c r="CH67" i="9"/>
  <c r="CH35" i="9"/>
  <c r="CH95" i="9"/>
  <c r="CH91" i="9"/>
  <c r="CH81" i="9"/>
  <c r="CH69" i="9"/>
  <c r="CH45" i="9"/>
  <c r="CG97" i="9"/>
  <c r="CG93" i="9"/>
  <c r="CG85" i="9"/>
  <c r="CG81" i="9"/>
  <c r="CG73" i="9"/>
  <c r="CD60" i="9"/>
  <c r="CD48" i="9"/>
  <c r="CH98" i="9"/>
  <c r="CH90" i="9"/>
  <c r="CH74" i="9"/>
  <c r="CH62" i="9"/>
  <c r="CH58" i="9"/>
  <c r="CG25" i="9"/>
  <c r="OH20" i="10"/>
  <c r="CD55" i="14"/>
  <c r="CD47" i="14"/>
  <c r="CF39" i="14"/>
  <c r="CH35" i="14"/>
  <c r="CF80" i="14"/>
  <c r="CG53" i="14"/>
  <c r="CG49" i="14"/>
  <c r="CD64" i="14"/>
  <c r="CG57" i="14"/>
  <c r="CD52" i="14"/>
  <c r="CG45" i="14"/>
  <c r="CD44" i="14"/>
  <c r="CD36" i="14"/>
  <c r="CD70" i="14"/>
  <c r="CG68" i="14"/>
  <c r="CD66" i="14"/>
  <c r="CG64" i="14"/>
  <c r="CD62" i="14"/>
  <c r="CG60" i="14"/>
  <c r="CG56" i="14"/>
  <c r="OE20" i="10"/>
  <c r="OH24" i="10"/>
  <c r="CF27" i="1"/>
  <c r="CD35" i="1"/>
  <c r="CF29" i="1"/>
  <c r="CF28" i="1"/>
  <c r="CC27" i="1"/>
  <c r="OE17" i="10"/>
  <c r="KH15" i="11"/>
  <c r="JR15" i="11"/>
  <c r="FU23" i="11"/>
  <c r="GJ23" i="11"/>
  <c r="FO27" i="11"/>
  <c r="FS25" i="11"/>
  <c r="GH25" i="11"/>
  <c r="FT23" i="11"/>
  <c r="GI23" i="11"/>
  <c r="FT21" i="11"/>
  <c r="GI21" i="11"/>
  <c r="FO21" i="11"/>
  <c r="GE18" i="11"/>
  <c r="FQ16" i="11"/>
  <c r="GF16" i="11"/>
  <c r="FO25" i="11"/>
  <c r="FS24" i="11"/>
  <c r="GH24" i="11"/>
  <c r="FS16" i="11"/>
  <c r="GH16" i="11"/>
  <c r="FU26" i="11"/>
  <c r="GJ26" i="11"/>
  <c r="FP26" i="11"/>
  <c r="GE26" i="11"/>
  <c r="FQ25" i="11"/>
  <c r="GF25" i="11"/>
  <c r="FS21" i="11"/>
  <c r="GH21" i="11"/>
  <c r="GI19" i="11"/>
  <c r="FQ18" i="11"/>
  <c r="GF18" i="11"/>
  <c r="FU16" i="11"/>
  <c r="GJ16" i="11"/>
  <c r="FS26" i="11"/>
  <c r="GH26" i="11"/>
  <c r="FT26" i="11"/>
  <c r="GI26" i="11"/>
  <c r="FO26" i="11"/>
  <c r="FT24" i="11"/>
  <c r="GI24" i="11"/>
  <c r="GF19" i="11"/>
  <c r="FP17" i="11"/>
  <c r="GE17" i="11"/>
  <c r="FT16" i="11"/>
  <c r="GI16" i="11"/>
  <c r="CH22" i="11"/>
  <c r="EV22" i="11" s="1"/>
  <c r="GB22" i="11" s="1"/>
  <c r="CD15" i="9"/>
  <c r="CH87" i="9"/>
  <c r="CH86" i="9"/>
  <c r="CH76" i="9"/>
  <c r="CH70" i="9"/>
  <c r="CH66" i="9"/>
  <c r="CH65" i="9"/>
  <c r="CH38" i="9"/>
  <c r="CH37" i="9"/>
  <c r="CH36" i="9"/>
  <c r="CH100" i="9"/>
  <c r="CH99" i="9"/>
  <c r="CH94" i="9"/>
  <c r="CH80" i="9"/>
  <c r="CH73" i="9"/>
  <c r="CH68" i="9"/>
  <c r="CH48" i="9"/>
  <c r="CH41" i="9"/>
  <c r="CH23" i="9"/>
  <c r="CH21" i="9"/>
  <c r="CG41" i="9"/>
  <c r="CG23" i="9"/>
  <c r="CG21" i="9"/>
  <c r="CG49" i="9"/>
  <c r="CG45" i="9"/>
  <c r="CG43" i="9"/>
  <c r="CG30" i="9"/>
  <c r="CG61" i="9"/>
  <c r="CG53" i="9"/>
  <c r="CG50" i="9"/>
  <c r="CG44" i="9"/>
  <c r="CG33" i="9"/>
  <c r="OD23" i="10"/>
  <c r="CC34" i="1"/>
  <c r="CH32" i="1"/>
  <c r="CC32" i="1"/>
  <c r="CH24" i="1"/>
  <c r="CF18" i="1"/>
  <c r="CF32" i="1"/>
  <c r="CD21" i="1"/>
  <c r="CG33" i="1"/>
  <c r="CG32" i="1"/>
  <c r="CD30" i="1"/>
  <c r="CH28" i="1"/>
  <c r="CF26" i="1"/>
  <c r="CC18" i="1"/>
  <c r="CG34" i="1"/>
  <c r="CD32" i="1"/>
  <c r="CG30" i="1"/>
  <c r="CD69" i="14"/>
  <c r="CD57" i="14"/>
  <c r="CD37" i="14"/>
  <c r="CG35" i="14"/>
  <c r="CC42" i="14"/>
  <c r="CG36" i="14"/>
  <c r="CD29" i="14"/>
  <c r="CD23" i="14"/>
  <c r="CC18" i="14"/>
  <c r="CG63" i="14"/>
  <c r="CD56" i="14"/>
  <c r="CD51" i="14"/>
  <c r="CG47" i="14"/>
  <c r="CD32" i="14"/>
  <c r="CF28" i="14"/>
  <c r="CF24" i="14"/>
  <c r="CH23" i="14"/>
  <c r="CH75" i="14"/>
  <c r="CC75" i="14"/>
  <c r="CH71" i="14"/>
  <c r="CC71" i="14"/>
  <c r="CG55" i="14"/>
  <c r="CD53" i="14"/>
  <c r="CG43" i="14"/>
  <c r="CD42" i="14"/>
  <c r="CC72" i="14"/>
  <c r="CG65" i="14"/>
  <c r="CD63" i="14"/>
  <c r="CF38" i="14"/>
  <c r="CC36" i="14"/>
  <c r="CC16" i="14"/>
  <c r="CC80" i="14"/>
  <c r="CC78" i="14"/>
  <c r="CC77" i="14"/>
  <c r="CF42" i="14"/>
  <c r="CH40" i="14"/>
  <c r="CC40" i="14"/>
  <c r="CH39" i="14"/>
  <c r="CG38" i="14"/>
  <c r="CF37" i="14"/>
  <c r="CD34" i="14"/>
  <c r="CG33" i="14"/>
  <c r="CC32" i="14"/>
  <c r="CF29" i="14"/>
  <c r="CD28" i="14"/>
  <c r="CF77" i="14"/>
  <c r="CC74" i="14"/>
  <c r="CF34" i="14"/>
  <c r="CD33" i="14"/>
  <c r="CD80" i="14"/>
  <c r="CD78" i="14"/>
  <c r="CD75" i="14"/>
  <c r="CD74" i="14"/>
  <c r="CD72" i="14"/>
  <c r="CD71" i="14"/>
  <c r="CF69" i="14"/>
  <c r="CF65" i="14"/>
  <c r="CF64" i="14"/>
  <c r="CF62" i="14"/>
  <c r="CF57" i="14"/>
  <c r="CF56" i="14"/>
  <c r="CF53" i="14"/>
  <c r="CF51" i="14"/>
  <c r="CF47" i="14"/>
  <c r="CH25" i="14"/>
  <c r="CC25" i="14"/>
  <c r="CF18" i="14"/>
  <c r="CD16" i="14"/>
  <c r="CB82" i="14"/>
  <c r="CB81" i="14"/>
  <c r="CB80" i="14"/>
  <c r="CB79" i="14"/>
  <c r="CG78" i="14"/>
  <c r="CB78" i="14"/>
  <c r="CG77" i="14"/>
  <c r="CB77" i="14"/>
  <c r="CB75" i="14"/>
  <c r="CB74" i="14"/>
  <c r="CG71" i="14"/>
  <c r="CC70" i="14"/>
  <c r="CH68" i="14"/>
  <c r="CH67" i="14"/>
  <c r="CC66" i="14"/>
  <c r="CH65" i="14"/>
  <c r="CH64" i="14"/>
  <c r="CC64" i="14"/>
  <c r="CH61" i="14"/>
  <c r="CH60" i="14"/>
  <c r="CC60" i="14"/>
  <c r="CC59" i="14"/>
  <c r="CH58" i="14"/>
  <c r="CH57" i="14"/>
  <c r="CC57" i="14"/>
  <c r="CC56" i="14"/>
  <c r="CH55" i="14"/>
  <c r="CC55" i="14"/>
  <c r="CH53" i="14"/>
  <c r="CC53" i="14"/>
  <c r="CC52" i="14"/>
  <c r="CC51" i="14"/>
  <c r="CH49" i="14"/>
  <c r="CC49" i="14"/>
  <c r="CC48" i="14"/>
  <c r="CH47" i="14"/>
  <c r="CC47" i="14"/>
  <c r="CH45" i="14"/>
  <c r="CH44" i="14"/>
  <c r="CC44" i="14"/>
  <c r="CC43" i="14"/>
  <c r="OH19" i="10"/>
  <c r="OJ22" i="10"/>
  <c r="OJ18" i="10"/>
  <c r="CD68" i="14"/>
  <c r="BL15" i="14"/>
  <c r="CB67" i="14"/>
  <c r="CW67" i="14"/>
  <c r="CV67" i="14"/>
  <c r="CU67" i="14"/>
  <c r="CW63" i="14"/>
  <c r="CV63" i="14"/>
  <c r="CU63" i="14"/>
  <c r="BL59" i="14"/>
  <c r="CW59" i="14"/>
  <c r="CV59" i="14"/>
  <c r="CU59" i="14"/>
  <c r="CB55" i="14"/>
  <c r="CW55" i="14"/>
  <c r="CV55" i="14"/>
  <c r="CU55" i="14"/>
  <c r="BL51" i="14"/>
  <c r="CW51" i="14"/>
  <c r="CV51" i="14"/>
  <c r="CU51" i="14"/>
  <c r="CB47" i="14"/>
  <c r="CW47" i="14"/>
  <c r="CV47" i="14"/>
  <c r="CU47" i="14"/>
  <c r="CB43" i="14"/>
  <c r="CB42" i="14"/>
  <c r="CB41" i="14"/>
  <c r="CB35" i="14"/>
  <c r="CB32" i="14"/>
  <c r="CU32" i="14"/>
  <c r="CB18" i="14"/>
  <c r="BL17" i="14"/>
  <c r="CB96" i="9"/>
  <c r="CV96" i="9"/>
  <c r="CW96" i="9"/>
  <c r="CU96" i="9"/>
  <c r="CB95" i="9"/>
  <c r="CU95" i="9"/>
  <c r="CW95" i="9"/>
  <c r="CV95" i="9"/>
  <c r="CB91" i="9"/>
  <c r="CU91" i="9"/>
  <c r="CW91" i="9"/>
  <c r="CV91" i="9"/>
  <c r="CB85" i="9"/>
  <c r="CW85" i="9"/>
  <c r="CV85" i="9"/>
  <c r="CU85" i="9"/>
  <c r="BL81" i="9"/>
  <c r="CW81" i="9"/>
  <c r="CV81" i="9"/>
  <c r="CU81" i="9"/>
  <c r="BL74" i="9"/>
  <c r="CW74" i="9"/>
  <c r="CV74" i="9"/>
  <c r="CU74" i="9"/>
  <c r="BL69" i="9"/>
  <c r="CW69" i="9"/>
  <c r="CV69" i="9"/>
  <c r="CU69" i="9"/>
  <c r="BL64" i="9"/>
  <c r="CV64" i="9"/>
  <c r="CW64" i="9"/>
  <c r="CU64" i="9"/>
  <c r="BL60" i="9"/>
  <c r="CV60" i="9"/>
  <c r="CW60" i="9"/>
  <c r="CU60" i="9"/>
  <c r="BL56" i="9"/>
  <c r="BL48" i="9"/>
  <c r="BL26" i="9"/>
  <c r="BL23" i="9"/>
  <c r="CB21" i="9"/>
  <c r="BL17" i="9"/>
  <c r="BL15" i="9"/>
  <c r="BL73" i="14"/>
  <c r="CW73" i="14"/>
  <c r="CU73" i="14"/>
  <c r="CV73" i="14"/>
  <c r="CB70" i="14"/>
  <c r="CW70" i="14"/>
  <c r="CU70" i="14"/>
  <c r="CV70" i="14"/>
  <c r="CB66" i="14"/>
  <c r="CW66" i="14"/>
  <c r="CU66" i="14"/>
  <c r="CV66" i="14"/>
  <c r="CB62" i="14"/>
  <c r="CW62" i="14"/>
  <c r="CU62" i="14"/>
  <c r="CV62" i="14"/>
  <c r="CB58" i="14"/>
  <c r="CW58" i="14"/>
  <c r="CU58" i="14"/>
  <c r="CV58" i="14"/>
  <c r="BL54" i="14"/>
  <c r="CW54" i="14"/>
  <c r="CU54" i="14"/>
  <c r="CV54" i="14"/>
  <c r="CB50" i="14"/>
  <c r="CW50" i="14"/>
  <c r="CU50" i="14"/>
  <c r="CV50" i="14"/>
  <c r="CB46" i="14"/>
  <c r="CW46" i="14"/>
  <c r="CU46" i="14"/>
  <c r="CV46" i="14"/>
  <c r="BL40" i="14"/>
  <c r="CO34" i="14"/>
  <c r="CB34" i="14"/>
  <c r="CU34" i="14"/>
  <c r="CB98" i="9"/>
  <c r="CW98" i="9"/>
  <c r="CV98" i="9"/>
  <c r="CU98" i="9"/>
  <c r="CB97" i="9"/>
  <c r="CW97" i="9"/>
  <c r="CV97" i="9"/>
  <c r="CU97" i="9"/>
  <c r="BL92" i="9"/>
  <c r="CV92" i="9"/>
  <c r="CW92" i="9"/>
  <c r="CU92" i="9"/>
  <c r="BL87" i="9"/>
  <c r="CU87" i="9"/>
  <c r="CW87" i="9"/>
  <c r="CV87" i="9"/>
  <c r="CW86" i="9"/>
  <c r="CV86" i="9"/>
  <c r="CU86" i="9"/>
  <c r="CV84" i="9"/>
  <c r="CW84" i="9"/>
  <c r="CU84" i="9"/>
  <c r="CB82" i="9"/>
  <c r="CW82" i="9"/>
  <c r="CV82" i="9"/>
  <c r="CU82" i="9"/>
  <c r="BL76" i="9"/>
  <c r="CV76" i="9"/>
  <c r="CW76" i="9"/>
  <c r="CU76" i="9"/>
  <c r="CU75" i="9"/>
  <c r="CW75" i="9"/>
  <c r="CV75" i="9"/>
  <c r="BL71" i="9"/>
  <c r="CU71" i="9"/>
  <c r="CW71" i="9"/>
  <c r="CV71" i="9"/>
  <c r="CW70" i="9"/>
  <c r="CV70" i="9"/>
  <c r="CU70" i="9"/>
  <c r="BL66" i="9"/>
  <c r="CW66" i="9"/>
  <c r="CV66" i="9"/>
  <c r="CU66" i="9"/>
  <c r="CW65" i="9"/>
  <c r="CV65" i="9"/>
  <c r="CU65" i="9"/>
  <c r="BL61" i="9"/>
  <c r="CW61" i="9"/>
  <c r="CV61" i="9"/>
  <c r="CU61" i="9"/>
  <c r="CB53" i="9"/>
  <c r="CB50" i="9"/>
  <c r="BL49" i="9"/>
  <c r="BL45" i="9"/>
  <c r="CB43" i="9"/>
  <c r="BL30" i="9"/>
  <c r="BL27" i="9"/>
  <c r="BL18" i="9"/>
  <c r="CB72" i="14"/>
  <c r="CW72" i="14"/>
  <c r="CU72" i="14"/>
  <c r="CV72" i="14"/>
  <c r="CB69" i="14"/>
  <c r="CW69" i="14"/>
  <c r="CU69" i="14"/>
  <c r="CV69" i="14"/>
  <c r="CB65" i="14"/>
  <c r="CW65" i="14"/>
  <c r="CU65" i="14"/>
  <c r="CV65" i="14"/>
  <c r="CB61" i="14"/>
  <c r="CW61" i="14"/>
  <c r="CU61" i="14"/>
  <c r="CV61" i="14"/>
  <c r="CB57" i="14"/>
  <c r="CW57" i="14"/>
  <c r="CU57" i="14"/>
  <c r="CV57" i="14"/>
  <c r="CB53" i="14"/>
  <c r="CW53" i="14"/>
  <c r="CU53" i="14"/>
  <c r="CV53" i="14"/>
  <c r="CB49" i="14"/>
  <c r="CW49" i="14"/>
  <c r="CU49" i="14"/>
  <c r="CV49" i="14"/>
  <c r="BL45" i="14"/>
  <c r="CW45" i="14"/>
  <c r="CU45" i="14"/>
  <c r="CV45" i="14"/>
  <c r="CB39" i="14"/>
  <c r="CB38" i="14"/>
  <c r="BL37" i="14"/>
  <c r="CO33" i="14"/>
  <c r="BL33" i="14"/>
  <c r="CU33" i="14"/>
  <c r="CO31" i="14"/>
  <c r="BL31" i="14"/>
  <c r="CP31" i="14" s="1"/>
  <c r="CU31" i="14"/>
  <c r="CV31" i="14"/>
  <c r="CB30" i="14"/>
  <c r="CB28" i="14"/>
  <c r="BM15" i="8"/>
  <c r="CB100" i="9"/>
  <c r="CV100" i="9"/>
  <c r="CW100" i="9"/>
  <c r="CU100" i="9"/>
  <c r="CB99" i="9"/>
  <c r="CU99" i="9"/>
  <c r="CW99" i="9"/>
  <c r="CV99" i="9"/>
  <c r="CB93" i="9"/>
  <c r="CW93" i="9"/>
  <c r="CV93" i="9"/>
  <c r="CU93" i="9"/>
  <c r="CB90" i="9"/>
  <c r="CW90" i="9"/>
  <c r="CV90" i="9"/>
  <c r="CU90" i="9"/>
  <c r="BL88" i="9"/>
  <c r="CV88" i="9"/>
  <c r="CW88" i="9"/>
  <c r="CU88" i="9"/>
  <c r="CU83" i="9"/>
  <c r="CW83" i="9"/>
  <c r="CV83" i="9"/>
  <c r="BL77" i="9"/>
  <c r="CW77" i="9"/>
  <c r="CV77" i="9"/>
  <c r="CU77" i="9"/>
  <c r="CB72" i="9"/>
  <c r="CV72" i="9"/>
  <c r="CW72" i="9"/>
  <c r="CU72" i="9"/>
  <c r="BL67" i="9"/>
  <c r="CU67" i="9"/>
  <c r="CW67" i="9"/>
  <c r="CV67" i="9"/>
  <c r="BL62" i="9"/>
  <c r="CW62" i="9"/>
  <c r="CV62" i="9"/>
  <c r="CU62" i="9"/>
  <c r="BL58" i="9"/>
  <c r="BL38" i="9"/>
  <c r="CB37" i="9"/>
  <c r="CB33" i="9"/>
  <c r="BL19" i="9"/>
  <c r="CB71" i="14"/>
  <c r="CW71" i="14"/>
  <c r="CV71" i="14"/>
  <c r="CU71" i="14"/>
  <c r="CB68" i="14"/>
  <c r="CW68" i="14"/>
  <c r="CU68" i="14"/>
  <c r="CV68" i="14"/>
  <c r="CB64" i="14"/>
  <c r="CW64" i="14"/>
  <c r="CU64" i="14"/>
  <c r="CV64" i="14"/>
  <c r="CB60" i="14"/>
  <c r="CW60" i="14"/>
  <c r="CU60" i="14"/>
  <c r="CV60" i="14"/>
  <c r="CB56" i="14"/>
  <c r="CW56" i="14"/>
  <c r="CU56" i="14"/>
  <c r="CV56" i="14"/>
  <c r="CB52" i="14"/>
  <c r="CW52" i="14"/>
  <c r="CU52" i="14"/>
  <c r="CV52" i="14"/>
  <c r="CB48" i="14"/>
  <c r="CW48" i="14"/>
  <c r="CU48" i="14"/>
  <c r="CV48" i="14"/>
  <c r="CW44" i="14"/>
  <c r="CB36" i="14"/>
  <c r="BL23" i="14"/>
  <c r="BL22" i="14"/>
  <c r="BL21" i="14"/>
  <c r="CB19" i="14"/>
  <c r="BL94" i="9"/>
  <c r="CW94" i="9"/>
  <c r="CV94" i="9"/>
  <c r="CU94" i="9"/>
  <c r="CB89" i="9"/>
  <c r="CW89" i="9"/>
  <c r="CV89" i="9"/>
  <c r="CU89" i="9"/>
  <c r="BL80" i="9"/>
  <c r="CV80" i="9"/>
  <c r="CW80" i="9"/>
  <c r="CU80" i="9"/>
  <c r="CU79" i="9"/>
  <c r="CW79" i="9"/>
  <c r="CV79" i="9"/>
  <c r="CW78" i="9"/>
  <c r="CV78" i="9"/>
  <c r="CU78" i="9"/>
  <c r="BL73" i="9"/>
  <c r="CW73" i="9"/>
  <c r="CV73" i="9"/>
  <c r="CU73" i="9"/>
  <c r="BL68" i="9"/>
  <c r="CV68" i="9"/>
  <c r="CW68" i="9"/>
  <c r="CU68" i="9"/>
  <c r="BL63" i="9"/>
  <c r="CU63" i="9"/>
  <c r="CW63" i="9"/>
  <c r="CV63" i="9"/>
  <c r="BL55" i="9"/>
  <c r="CB47" i="9"/>
  <c r="CB40" i="9"/>
  <c r="BL25" i="9"/>
  <c r="BL20" i="9"/>
  <c r="BL16" i="9"/>
  <c r="CU21" i="1"/>
  <c r="CB21" i="1"/>
  <c r="BL20" i="1"/>
  <c r="CU20" i="1"/>
  <c r="CB19" i="1"/>
  <c r="CU19" i="1"/>
  <c r="CU33" i="1"/>
  <c r="CU18" i="1"/>
  <c r="CU17" i="1"/>
  <c r="BN15" i="1"/>
  <c r="BL35" i="1"/>
  <c r="CU35" i="1"/>
  <c r="CU34" i="1"/>
  <c r="BL32" i="1"/>
  <c r="CU32" i="1"/>
  <c r="CB31" i="1"/>
  <c r="CU31" i="1"/>
  <c r="CB30" i="1"/>
  <c r="CU30" i="1"/>
  <c r="CU25" i="1"/>
  <c r="BL24" i="1"/>
  <c r="CU24" i="1"/>
  <c r="CU16" i="1"/>
  <c r="CV16" i="1"/>
  <c r="CB29" i="1"/>
  <c r="CU29" i="1"/>
  <c r="CB28" i="1"/>
  <c r="CU28" i="1"/>
  <c r="BL27" i="1"/>
  <c r="CU27" i="1"/>
  <c r="BL26" i="1"/>
  <c r="CU26" i="1"/>
  <c r="CB23" i="1"/>
  <c r="CU23" i="1"/>
  <c r="CU22" i="1"/>
  <c r="NN19" i="10"/>
  <c r="NN21" i="10"/>
  <c r="NN24" i="10"/>
  <c r="NN25" i="10"/>
  <c r="NN17" i="10"/>
  <c r="NN20" i="10"/>
  <c r="NN22" i="10"/>
  <c r="NN23" i="10"/>
  <c r="NN18" i="10"/>
  <c r="BL95" i="9"/>
  <c r="CO59" i="9"/>
  <c r="CU59" i="9" s="1"/>
  <c r="BL91" i="9"/>
  <c r="BL50" i="9"/>
  <c r="BL59" i="9"/>
  <c r="CO55" i="9"/>
  <c r="CU55" i="9" s="1"/>
  <c r="CO52" i="9"/>
  <c r="CU52" i="9" s="1"/>
  <c r="CO47" i="9"/>
  <c r="CU47" i="9" s="1"/>
  <c r="BL47" i="9"/>
  <c r="CO49" i="9"/>
  <c r="CU49" i="9" s="1"/>
  <c r="DI28" i="9"/>
  <c r="CO56" i="9"/>
  <c r="CU56" i="9" s="1"/>
  <c r="CO45" i="9"/>
  <c r="CU45" i="9" s="1"/>
  <c r="CF27" i="9"/>
  <c r="DI19" i="9"/>
  <c r="CO57" i="9"/>
  <c r="CU57" i="9" s="1"/>
  <c r="CO53" i="9"/>
  <c r="CU53" i="9" s="1"/>
  <c r="CO51" i="9"/>
  <c r="CU51" i="9" s="1"/>
  <c r="CO50" i="9"/>
  <c r="CU50" i="9" s="1"/>
  <c r="CO48" i="9"/>
  <c r="CU48" i="9" s="1"/>
  <c r="CO46" i="9"/>
  <c r="CU46" i="9" s="1"/>
  <c r="CO58" i="9"/>
  <c r="CU58" i="9" s="1"/>
  <c r="CO54" i="9"/>
  <c r="CU54" i="9" s="1"/>
  <c r="OF24" i="10"/>
  <c r="OD18" i="10"/>
  <c r="OE16" i="10"/>
  <c r="OJ24" i="10"/>
  <c r="OE23" i="10"/>
  <c r="OI24" i="10"/>
  <c r="FO16" i="10"/>
  <c r="CB44" i="14"/>
  <c r="CU44" i="14"/>
  <c r="CV44" i="14"/>
  <c r="OI22" i="10"/>
  <c r="OD22" i="10"/>
  <c r="OF18" i="10"/>
  <c r="CO36" i="14"/>
  <c r="CU36" i="14" s="1"/>
  <c r="CO42" i="14"/>
  <c r="CU42" i="14" s="1"/>
  <c r="CO41" i="14"/>
  <c r="CU41" i="14" s="1"/>
  <c r="CO40" i="14"/>
  <c r="CU40" i="14" s="1"/>
  <c r="CO39" i="14"/>
  <c r="CU39" i="14" s="1"/>
  <c r="CO38" i="14"/>
  <c r="CU38" i="14" s="1"/>
  <c r="CO37" i="14"/>
  <c r="CU37" i="14" s="1"/>
  <c r="CO35" i="14"/>
  <c r="CU35" i="14" s="1"/>
  <c r="CB29" i="14"/>
  <c r="CO29" i="14"/>
  <c r="CU29" i="14" s="1"/>
  <c r="CO43" i="14"/>
  <c r="CU43" i="14" s="1"/>
  <c r="CO30" i="14"/>
  <c r="CU30" i="14" s="1"/>
  <c r="CC24" i="14"/>
  <c r="CC22" i="14"/>
  <c r="BL62" i="14"/>
  <c r="OH23" i="10"/>
  <c r="OE25" i="10"/>
  <c r="BL43" i="9"/>
  <c r="BQ20" i="14"/>
  <c r="BP27" i="1"/>
  <c r="CB33" i="1"/>
  <c r="CB34" i="1"/>
  <c r="OJ23" i="10"/>
  <c r="OD17" i="10"/>
  <c r="OI23" i="10"/>
  <c r="OE21" i="10"/>
  <c r="OF23" i="10"/>
  <c r="OI21" i="10"/>
  <c r="OF19" i="10"/>
  <c r="OE22" i="10"/>
  <c r="DW15" i="12"/>
  <c r="EM15" i="12" s="1"/>
  <c r="DX15" i="12"/>
  <c r="EN15" i="12" s="1"/>
  <c r="CG19" i="9"/>
  <c r="CG27" i="9"/>
  <c r="CG24" i="9"/>
  <c r="CB24" i="9"/>
  <c r="CG17" i="9"/>
  <c r="CO15" i="9"/>
  <c r="CU15" i="9" s="1"/>
  <c r="CD100" i="9"/>
  <c r="CD88" i="9"/>
  <c r="CD49" i="9"/>
  <c r="CD47" i="9"/>
  <c r="CD36" i="9"/>
  <c r="CD62" i="9"/>
  <c r="CD37" i="9"/>
  <c r="CD34" i="9"/>
  <c r="CD25" i="9"/>
  <c r="BQ66" i="9"/>
  <c r="DI16" i="9"/>
  <c r="CD94" i="9"/>
  <c r="CD85" i="9"/>
  <c r="CD83" i="9"/>
  <c r="CD73" i="9"/>
  <c r="CD68" i="9"/>
  <c r="CD63" i="9"/>
  <c r="CD29" i="9"/>
  <c r="CD15" i="8"/>
  <c r="OD25" i="10"/>
  <c r="OH17" i="10"/>
  <c r="OI25" i="10"/>
  <c r="OF20" i="10"/>
  <c r="OJ19" i="10"/>
  <c r="OE24" i="10"/>
  <c r="OD20" i="10"/>
  <c r="OF22" i="10"/>
  <c r="OI20" i="10"/>
  <c r="OH18" i="10"/>
  <c r="AF25" i="10"/>
  <c r="AF18" i="10"/>
  <c r="GF16" i="10"/>
  <c r="OI19" i="10"/>
  <c r="OE19" i="10"/>
  <c r="CF23" i="14"/>
  <c r="CF16" i="14"/>
  <c r="CC23" i="14"/>
  <c r="CF20" i="14"/>
  <c r="CD24" i="14"/>
  <c r="CD21" i="14"/>
  <c r="CB20" i="14"/>
  <c r="CH18" i="14"/>
  <c r="CC17" i="14"/>
  <c r="CB24" i="14"/>
  <c r="BL48" i="14"/>
  <c r="BL66" i="14"/>
  <c r="BM56" i="14"/>
  <c r="GI16" i="10"/>
  <c r="BR53" i="14"/>
  <c r="BL43" i="14"/>
  <c r="BL56" i="14"/>
  <c r="BP20" i="14"/>
  <c r="BQ64" i="14"/>
  <c r="BL80" i="14"/>
  <c r="BL20" i="14"/>
  <c r="GJ16" i="10"/>
  <c r="BL69" i="14"/>
  <c r="CB76" i="14"/>
  <c r="BM18" i="14"/>
  <c r="BL75" i="14"/>
  <c r="CB24" i="1"/>
  <c r="CF21" i="1"/>
  <c r="CH18" i="1"/>
  <c r="BM27" i="1"/>
  <c r="CB17" i="1"/>
  <c r="CH26" i="1"/>
  <c r="CC25" i="1"/>
  <c r="CF22" i="1"/>
  <c r="CG26" i="1"/>
  <c r="CB25" i="1"/>
  <c r="CD22" i="1"/>
  <c r="CB22" i="1"/>
  <c r="AG17" i="10"/>
  <c r="AG18" i="10"/>
  <c r="CC28" i="1"/>
  <c r="CG27" i="1"/>
  <c r="CB27" i="1"/>
  <c r="CH25" i="1"/>
  <c r="CH21" i="1"/>
  <c r="CC20" i="1"/>
  <c r="BM18" i="1"/>
  <c r="CC24" i="1"/>
  <c r="BM53" i="14"/>
  <c r="BQ60" i="14"/>
  <c r="CF67" i="14"/>
  <c r="BM70" i="14"/>
  <c r="CC69" i="14"/>
  <c r="BM44" i="14"/>
  <c r="AV20" i="10"/>
  <c r="AF20" i="10"/>
  <c r="CB18" i="1"/>
  <c r="CO18" i="1"/>
  <c r="BL44" i="14"/>
  <c r="BQ72" i="9"/>
  <c r="BN23" i="14"/>
  <c r="AJ20" i="10"/>
  <c r="CC82" i="14"/>
  <c r="BM74" i="14"/>
  <c r="AH20" i="10"/>
  <c r="CH50" i="14"/>
  <c r="BR24" i="1"/>
  <c r="BR61" i="14"/>
  <c r="CB33" i="14"/>
  <c r="BL30" i="1"/>
  <c r="BL53" i="14"/>
  <c r="BL36" i="14"/>
  <c r="BL82" i="14"/>
  <c r="BL28" i="14"/>
  <c r="BP53" i="14"/>
  <c r="BQ53" i="14"/>
  <c r="CC38" i="14"/>
  <c r="BN53" i="14"/>
  <c r="BL74" i="14"/>
  <c r="CD38" i="14"/>
  <c r="BN36" i="14"/>
  <c r="BP23" i="14"/>
  <c r="AW18" i="10"/>
  <c r="BL61" i="14"/>
  <c r="BL52" i="14"/>
  <c r="BQ50" i="14"/>
  <c r="BL24" i="14"/>
  <c r="CC29" i="14"/>
  <c r="CD67" i="14"/>
  <c r="BQ47" i="14"/>
  <c r="BP28" i="14"/>
  <c r="AV18" i="10"/>
  <c r="BN29" i="14"/>
  <c r="BQ23" i="14"/>
  <c r="OJ16" i="10"/>
  <c r="NT16" i="10"/>
  <c r="NP16" i="10"/>
  <c r="OH16" i="10"/>
  <c r="NR16" i="10"/>
  <c r="OD16" i="10"/>
  <c r="NN16" i="10"/>
  <c r="NS16" i="10"/>
  <c r="OE18" i="11"/>
  <c r="OK19" i="11"/>
  <c r="OF25" i="11"/>
  <c r="NU26" i="11"/>
  <c r="OK21" i="11"/>
  <c r="OE20" i="11"/>
  <c r="NU17" i="11"/>
  <c r="OJ16" i="11"/>
  <c r="OK27" i="11"/>
  <c r="OJ21" i="11"/>
  <c r="OJ17" i="11"/>
  <c r="OJ27" i="11"/>
  <c r="OE25" i="11"/>
  <c r="DI31" i="9"/>
  <c r="DI40" i="9"/>
  <c r="DI37" i="9"/>
  <c r="DI41" i="9"/>
  <c r="DI43" i="9"/>
  <c r="DI15" i="9"/>
  <c r="CO39" i="9"/>
  <c r="CU39" i="9" s="1"/>
  <c r="CO38" i="9"/>
  <c r="CU38" i="9" s="1"/>
  <c r="CO44" i="9"/>
  <c r="CU44" i="9" s="1"/>
  <c r="CO43" i="9"/>
  <c r="CU43" i="9" s="1"/>
  <c r="CO41" i="9"/>
  <c r="CU41" i="9" s="1"/>
  <c r="CO42" i="9"/>
  <c r="CU42" i="9" s="1"/>
  <c r="CO40" i="9"/>
  <c r="CU40" i="9" s="1"/>
  <c r="CO37" i="9"/>
  <c r="CU37" i="9" s="1"/>
  <c r="DI36" i="9"/>
  <c r="DI22" i="9"/>
  <c r="DI32" i="9"/>
  <c r="DI26" i="9"/>
  <c r="DI34" i="9"/>
  <c r="DI28" i="14"/>
  <c r="BR23" i="14"/>
  <c r="BN28" i="14"/>
  <c r="CC28" i="14"/>
  <c r="CB25" i="14"/>
  <c r="AZ20" i="10"/>
  <c r="BP20" i="10" s="1"/>
  <c r="AX20" i="10"/>
  <c r="BN20" i="10" s="1"/>
  <c r="R15" i="12"/>
  <c r="AX15" i="12" s="1"/>
  <c r="BM16" i="14"/>
  <c r="BM22" i="14"/>
  <c r="BM24" i="14"/>
  <c r="BL29" i="14"/>
  <c r="AV24" i="10"/>
  <c r="AV22" i="10"/>
  <c r="AX17" i="10"/>
  <c r="BN17" i="10" s="1"/>
  <c r="AX16" i="10"/>
  <c r="BN16" i="10" s="1"/>
  <c r="AJ22" i="10"/>
  <c r="AJ21" i="10"/>
  <c r="AH24" i="10"/>
  <c r="AZ23" i="10"/>
  <c r="BP23" i="10" s="1"/>
  <c r="AH21" i="10"/>
  <c r="AK20" i="10"/>
  <c r="CG20" i="10" s="1"/>
  <c r="AL19" i="10"/>
  <c r="BB18" i="10"/>
  <c r="BR18" i="10" s="1"/>
  <c r="AK17" i="10"/>
  <c r="AV17" i="10"/>
  <c r="BA16" i="10"/>
  <c r="BQ16" i="10" s="1"/>
  <c r="AF16" i="10"/>
  <c r="AJ25" i="10"/>
  <c r="AK24" i="10"/>
  <c r="AW23" i="10"/>
  <c r="BM23" i="10" s="1"/>
  <c r="BA22" i="10"/>
  <c r="BQ22" i="10" s="1"/>
  <c r="AK21" i="10"/>
  <c r="AV21" i="10"/>
  <c r="AJ19" i="10"/>
  <c r="AJ24" i="10"/>
  <c r="AF23" i="10"/>
  <c r="AK23" i="10"/>
  <c r="AW20" i="10"/>
  <c r="BM20" i="10" s="1"/>
  <c r="AH19" i="10"/>
  <c r="AH18" i="10"/>
  <c r="CD18" i="10" s="1"/>
  <c r="AG16" i="10"/>
  <c r="BA25" i="10"/>
  <c r="BQ25" i="10" s="1"/>
  <c r="AL24" i="10"/>
  <c r="AW24" i="10"/>
  <c r="AX23" i="10"/>
  <c r="BN23" i="10" s="1"/>
  <c r="AW21" i="10"/>
  <c r="BM21" i="10" s="1"/>
  <c r="AZ19" i="10"/>
  <c r="BP19" i="10" s="1"/>
  <c r="AK19" i="10"/>
  <c r="AV19" i="10"/>
  <c r="U15" i="12"/>
  <c r="AK15" i="12" s="1"/>
  <c r="CH24" i="14"/>
  <c r="BM23" i="14"/>
  <c r="NB15" i="10"/>
  <c r="T15" i="12"/>
  <c r="AZ15" i="12" s="1"/>
  <c r="DI27" i="9"/>
  <c r="DI23" i="9"/>
  <c r="DI17" i="9"/>
  <c r="DI33" i="9"/>
  <c r="DI29" i="9"/>
  <c r="DI21" i="9"/>
  <c r="FQ24" i="11"/>
  <c r="CG35" i="9"/>
  <c r="CO23" i="9"/>
  <c r="CU23" i="9" s="1"/>
  <c r="CO36" i="9"/>
  <c r="CU36" i="9" s="1"/>
  <c r="CO31" i="9"/>
  <c r="CU31" i="9" s="1"/>
  <c r="CO28" i="9"/>
  <c r="CU28" i="9" s="1"/>
  <c r="CO27" i="9"/>
  <c r="CU27" i="9" s="1"/>
  <c r="CO25" i="9"/>
  <c r="CU25" i="9" s="1"/>
  <c r="CO24" i="9"/>
  <c r="CU24" i="9" s="1"/>
  <c r="CO22" i="9"/>
  <c r="CU22" i="9" s="1"/>
  <c r="CO35" i="9"/>
  <c r="CU35" i="9" s="1"/>
  <c r="CO34" i="9"/>
  <c r="CU34" i="9" s="1"/>
  <c r="CO30" i="9"/>
  <c r="CU30" i="9" s="1"/>
  <c r="CO29" i="9"/>
  <c r="CU29" i="9" s="1"/>
  <c r="CO26" i="9"/>
  <c r="CU26" i="9" s="1"/>
  <c r="CO20" i="9"/>
  <c r="CU20" i="9" s="1"/>
  <c r="CO19" i="9"/>
  <c r="CU19" i="9" s="1"/>
  <c r="CO18" i="9"/>
  <c r="CU18" i="9" s="1"/>
  <c r="CO16" i="9"/>
  <c r="CU16" i="9" s="1"/>
  <c r="CO32" i="9"/>
  <c r="CU32" i="9" s="1"/>
  <c r="CO33" i="9"/>
  <c r="CU33" i="9" s="1"/>
  <c r="CO17" i="9"/>
  <c r="CU17" i="9" s="1"/>
  <c r="FO22" i="11"/>
  <c r="CO21" i="9"/>
  <c r="CU21" i="9" s="1"/>
  <c r="FP24" i="11"/>
  <c r="FO24" i="11"/>
  <c r="BL93" i="9"/>
  <c r="CD33" i="1"/>
  <c r="BN32" i="9"/>
  <c r="CD32" i="9"/>
  <c r="CD34" i="1"/>
  <c r="CF23" i="1"/>
  <c r="BL71" i="14"/>
  <c r="BQ38" i="14"/>
  <c r="BM36" i="14"/>
  <c r="BP29" i="14"/>
  <c r="NA20" i="11"/>
  <c r="MN19" i="11"/>
  <c r="OJ19" i="11" s="1"/>
  <c r="CF31" i="1"/>
  <c r="CH30" i="1"/>
  <c r="BM77" i="14"/>
  <c r="CG31" i="9"/>
  <c r="BQ31" i="9"/>
  <c r="CP31" i="9" s="1"/>
  <c r="CV31" i="9" s="1"/>
  <c r="AG22" i="10"/>
  <c r="BA21" i="10"/>
  <c r="BQ21" i="10" s="1"/>
  <c r="AL20" i="10"/>
  <c r="BB20" i="10"/>
  <c r="BA17" i="10"/>
  <c r="BQ17" i="10" s="1"/>
  <c r="CF91" i="9"/>
  <c r="CF90" i="9"/>
  <c r="CF59" i="9"/>
  <c r="CC15" i="9"/>
  <c r="CH15" i="9"/>
  <c r="EO17" i="11"/>
  <c r="FE17" i="11"/>
  <c r="DI15" i="8"/>
  <c r="CG86" i="9"/>
  <c r="CB86" i="9"/>
  <c r="CG84" i="9"/>
  <c r="CB84" i="9"/>
  <c r="CG80" i="9"/>
  <c r="CB79" i="9"/>
  <c r="CG78" i="9"/>
  <c r="CF77" i="9"/>
  <c r="CD76" i="9"/>
  <c r="CG74" i="9"/>
  <c r="CG69" i="9"/>
  <c r="CG68" i="9"/>
  <c r="CG63" i="9"/>
  <c r="CG58" i="9"/>
  <c r="CB57" i="9"/>
  <c r="CG56" i="9"/>
  <c r="CG55" i="9"/>
  <c r="CG54" i="9"/>
  <c r="CB54" i="9"/>
  <c r="CG46" i="9"/>
  <c r="CB46" i="9"/>
  <c r="CG42" i="9"/>
  <c r="CG39" i="9"/>
  <c r="BR38" i="9"/>
  <c r="CG38" i="9"/>
  <c r="BQ33" i="9"/>
  <c r="CF33" i="9"/>
  <c r="CB32" i="9"/>
  <c r="CG29" i="9"/>
  <c r="CB29" i="9"/>
  <c r="CG26" i="9"/>
  <c r="CF58" i="9"/>
  <c r="CF52" i="9"/>
  <c r="CF46" i="9"/>
  <c r="FA22" i="11"/>
  <c r="GF22" i="11" s="1"/>
  <c r="EK22" i="11"/>
  <c r="GG22" i="11" s="1"/>
  <c r="FE18" i="11"/>
  <c r="EO18" i="11"/>
  <c r="FP18" i="11"/>
  <c r="MO23" i="11"/>
  <c r="FT22" i="11"/>
  <c r="MZ22" i="11"/>
  <c r="FE22" i="11"/>
  <c r="GK22" i="11" s="1"/>
  <c r="EZ22" i="11"/>
  <c r="EN22" i="11"/>
  <c r="EY17" i="11"/>
  <c r="NA17" i="11"/>
  <c r="BA21" i="11"/>
  <c r="BQ21" i="11" s="1"/>
  <c r="AG19" i="11"/>
  <c r="FC18" i="11"/>
  <c r="GH18" i="11" s="1"/>
  <c r="EJ17" i="11"/>
  <c r="FD27" i="11"/>
  <c r="GI27" i="11" s="1"/>
  <c r="AH17" i="10"/>
  <c r="BQ68" i="14"/>
  <c r="BL57" i="14"/>
  <c r="CB23" i="14"/>
  <c r="CH70" i="14"/>
  <c r="CF49" i="14"/>
  <c r="BP39" i="14"/>
  <c r="CH54" i="14"/>
  <c r="BR54" i="14"/>
  <c r="BM43" i="14"/>
  <c r="CH17" i="1"/>
  <c r="BR17" i="1"/>
  <c r="AF22" i="10"/>
  <c r="BL33" i="9"/>
  <c r="BQ49" i="9"/>
  <c r="CP49" i="9" s="1"/>
  <c r="CV49" i="9" s="1"/>
  <c r="BQ42" i="9"/>
  <c r="CP42" i="9" s="1"/>
  <c r="CV42" i="9" s="1"/>
  <c r="FS22" i="11"/>
  <c r="AH16" i="10"/>
  <c r="BN42" i="14"/>
  <c r="AK18" i="11"/>
  <c r="NE16" i="11"/>
  <c r="MN22" i="11"/>
  <c r="OJ22" i="11" s="1"/>
  <c r="MO26" i="11"/>
  <c r="OK26" i="11" s="1"/>
  <c r="NE22" i="11"/>
  <c r="NE25" i="11"/>
  <c r="OK25" i="11" s="1"/>
  <c r="AL23" i="11"/>
  <c r="NA24" i="11"/>
  <c r="NA18" i="11"/>
  <c r="MJ16" i="11"/>
  <c r="OF16" i="11" s="1"/>
  <c r="AW25" i="11"/>
  <c r="CC25" i="11" s="1"/>
  <c r="EQ25" i="11" s="1"/>
  <c r="FW25" i="11" s="1"/>
  <c r="MZ17" i="11"/>
  <c r="AW18" i="11"/>
  <c r="BM18" i="11" s="1"/>
  <c r="AV25" i="11"/>
  <c r="NT21" i="11"/>
  <c r="AZ26" i="11"/>
  <c r="BP26" i="11" s="1"/>
  <c r="BA17" i="11"/>
  <c r="ND18" i="11"/>
  <c r="OJ18" i="11" s="1"/>
  <c r="ND20" i="11"/>
  <c r="GG17" i="10"/>
  <c r="GG20" i="10"/>
  <c r="CC62" i="14"/>
  <c r="CF63" i="14"/>
  <c r="CG39" i="14"/>
  <c r="BN70" i="14"/>
  <c r="CF17" i="14"/>
  <c r="CD49" i="14"/>
  <c r="GE17" i="10"/>
  <c r="KO17" i="10" s="1"/>
  <c r="KQ17" i="10" s="1"/>
  <c r="KR17" i="10" s="1"/>
  <c r="CB59" i="14"/>
  <c r="BQ55" i="14"/>
  <c r="BQ54" i="14"/>
  <c r="CG30" i="14"/>
  <c r="CD20" i="14"/>
  <c r="GE24" i="10"/>
  <c r="KO24" i="10" s="1"/>
  <c r="KQ24" i="10" s="1"/>
  <c r="KR24" i="10" s="1"/>
  <c r="GE20" i="10"/>
  <c r="KO20" i="10" s="1"/>
  <c r="KQ20" i="10" s="1"/>
  <c r="KR20" i="10" s="1"/>
  <c r="CC79" i="14"/>
  <c r="CC34" i="14"/>
  <c r="FS16" i="10"/>
  <c r="BQ51" i="9"/>
  <c r="BR65" i="14"/>
  <c r="BP51" i="14"/>
  <c r="CF31" i="14"/>
  <c r="CD53" i="9"/>
  <c r="CD35" i="9"/>
  <c r="CD33" i="9"/>
  <c r="CC39" i="14"/>
  <c r="BB23" i="10"/>
  <c r="BR23" i="10" s="1"/>
  <c r="MI15" i="10"/>
  <c r="MY15" i="10"/>
  <c r="BQ93" i="9"/>
  <c r="ND15" i="10"/>
  <c r="MM15" i="10"/>
  <c r="NC15" i="10"/>
  <c r="MJ15" i="10"/>
  <c r="MZ15" i="10"/>
  <c r="GG21" i="10"/>
  <c r="GF22" i="10"/>
  <c r="FE17" i="10"/>
  <c r="FU17" i="10" s="1"/>
  <c r="GK25" i="10"/>
  <c r="FE20" i="10"/>
  <c r="GK20" i="10" s="1"/>
  <c r="BR25" i="14"/>
  <c r="CH20" i="14"/>
  <c r="FE24" i="10"/>
  <c r="FU24" i="10" s="1"/>
  <c r="GJ20" i="10"/>
  <c r="FD18" i="10"/>
  <c r="FT18" i="10" s="1"/>
  <c r="EN17" i="10"/>
  <c r="GJ17" i="10" s="1"/>
  <c r="FC17" i="10"/>
  <c r="FS17" i="10" s="1"/>
  <c r="BP24" i="14"/>
  <c r="BP18" i="14"/>
  <c r="EK18" i="10"/>
  <c r="GG18" i="10" s="1"/>
  <c r="MJ21" i="10"/>
  <c r="OF21" i="10" s="1"/>
  <c r="EI22" i="10"/>
  <c r="GE22" i="10" s="1"/>
  <c r="KO22" i="10" s="1"/>
  <c r="KQ22" i="10" s="1"/>
  <c r="KR22" i="10" s="1"/>
  <c r="EY18" i="10"/>
  <c r="EY25" i="10"/>
  <c r="MH24" i="10"/>
  <c r="OD24" i="10" s="1"/>
  <c r="MH19" i="10"/>
  <c r="OD19" i="10" s="1"/>
  <c r="CB16" i="14"/>
  <c r="EI19" i="10"/>
  <c r="GE19" i="10" s="1"/>
  <c r="KO19" i="10" s="1"/>
  <c r="KQ19" i="10" s="1"/>
  <c r="KR19" i="10" s="1"/>
  <c r="BL19" i="14"/>
  <c r="MH21" i="10"/>
  <c r="OD21" i="10" s="1"/>
  <c r="EI21" i="10"/>
  <c r="GE21" i="10" s="1"/>
  <c r="KO21" i="10" s="1"/>
  <c r="KQ21" i="10" s="1"/>
  <c r="KR21" i="10" s="1"/>
  <c r="BN29" i="1"/>
  <c r="CD29" i="1"/>
  <c r="BP69" i="14"/>
  <c r="BP57" i="14"/>
  <c r="BP34" i="14"/>
  <c r="BR34" i="14"/>
  <c r="CH34" i="14"/>
  <c r="CC21" i="14"/>
  <c r="CO21" i="14"/>
  <c r="CU21" i="14" s="1"/>
  <c r="CG75" i="14"/>
  <c r="BN69" i="14"/>
  <c r="BP62" i="14"/>
  <c r="BN52" i="14"/>
  <c r="BN39" i="14"/>
  <c r="CD39" i="14"/>
  <c r="BN34" i="14"/>
  <c r="BP32" i="14"/>
  <c r="CF32" i="14"/>
  <c r="CO25" i="14"/>
  <c r="CU25" i="14" s="1"/>
  <c r="CB22" i="14"/>
  <c r="CO22" i="14"/>
  <c r="CU22" i="14" s="1"/>
  <c r="CC19" i="14"/>
  <c r="CO19" i="14"/>
  <c r="CU19" i="14" s="1"/>
  <c r="BP71" i="14"/>
  <c r="CF71" i="14"/>
  <c r="BM67" i="14"/>
  <c r="CC67" i="14"/>
  <c r="BQ63" i="14"/>
  <c r="BP61" i="14"/>
  <c r="CF61" i="14"/>
  <c r="BP46" i="14"/>
  <c r="CF46" i="14"/>
  <c r="CD17" i="14"/>
  <c r="CO17" i="14"/>
  <c r="CU17" i="14" s="1"/>
  <c r="BL63" i="14"/>
  <c r="CB63" i="14"/>
  <c r="GF24" i="10"/>
  <c r="FC19" i="10"/>
  <c r="FS19" i="10" s="1"/>
  <c r="BN88" i="9"/>
  <c r="BN78" i="9"/>
  <c r="BR69" i="9"/>
  <c r="CG28" i="9"/>
  <c r="BQ28" i="9"/>
  <c r="CD16" i="9"/>
  <c r="BN16" i="9"/>
  <c r="BB24" i="10"/>
  <c r="BR24" i="10" s="1"/>
  <c r="GE23" i="10"/>
  <c r="KO23" i="10" s="1"/>
  <c r="KQ23" i="10" s="1"/>
  <c r="KR23" i="10" s="1"/>
  <c r="EO22" i="10"/>
  <c r="GK22" i="10" s="1"/>
  <c r="AW19" i="10"/>
  <c r="BM19" i="10" s="1"/>
  <c r="BQ99" i="9"/>
  <c r="CD99" i="9"/>
  <c r="CD97" i="9"/>
  <c r="CD95" i="9"/>
  <c r="CD92" i="9"/>
  <c r="CD91" i="9"/>
  <c r="CD90" i="9"/>
  <c r="BN87" i="9"/>
  <c r="CD52" i="9"/>
  <c r="CD41" i="9"/>
  <c r="CD30" i="9"/>
  <c r="CD23" i="9"/>
  <c r="CD22" i="9"/>
  <c r="DI20" i="14"/>
  <c r="DI18" i="14"/>
  <c r="CO16" i="14"/>
  <c r="CU16" i="14" s="1"/>
  <c r="BA24" i="10"/>
  <c r="BQ24" i="10" s="1"/>
  <c r="FD23" i="10"/>
  <c r="FT23" i="10" s="1"/>
  <c r="FD21" i="10"/>
  <c r="FT21" i="10" s="1"/>
  <c r="AW17" i="10"/>
  <c r="BM17" i="10" s="1"/>
  <c r="CD93" i="9"/>
  <c r="CD82" i="9"/>
  <c r="CG79" i="9"/>
  <c r="CD75" i="9"/>
  <c r="CD70" i="9"/>
  <c r="CD69" i="9"/>
  <c r="CD64" i="9"/>
  <c r="CD61" i="9"/>
  <c r="CD57" i="9"/>
  <c r="CD56" i="9"/>
  <c r="CD46" i="9"/>
  <c r="CD42" i="9"/>
  <c r="CD39" i="9"/>
  <c r="CG32" i="9"/>
  <c r="CD31" i="9"/>
  <c r="CD24" i="9"/>
  <c r="CD55" i="9"/>
  <c r="CH52" i="9"/>
  <c r="CD50" i="9"/>
  <c r="CH49" i="9"/>
  <c r="CD44" i="9"/>
  <c r="CD43" i="9"/>
  <c r="CH42" i="9"/>
  <c r="CH31" i="9"/>
  <c r="CD27" i="9"/>
  <c r="CH26" i="9"/>
  <c r="CH24" i="9"/>
  <c r="CD18" i="9"/>
  <c r="CF15" i="9"/>
  <c r="AL20" i="11"/>
  <c r="CH57" i="9"/>
  <c r="CH55" i="9"/>
  <c r="CD54" i="9"/>
  <c r="CD45" i="9"/>
  <c r="CH43" i="9"/>
  <c r="CC43" i="9"/>
  <c r="CD38" i="9"/>
  <c r="CH33" i="9"/>
  <c r="CC33" i="9"/>
  <c r="CD28" i="9"/>
  <c r="CH27" i="9"/>
  <c r="CD20" i="9"/>
  <c r="CH18" i="9"/>
  <c r="CD17" i="9"/>
  <c r="BB25" i="11"/>
  <c r="BR25" i="11" s="1"/>
  <c r="AL25" i="11"/>
  <c r="MI17" i="11"/>
  <c r="MY17" i="11"/>
  <c r="BB18" i="11"/>
  <c r="CH18" i="11" s="1"/>
  <c r="EV18" i="11" s="1"/>
  <c r="GB18" i="11" s="1"/>
  <c r="FE27" i="11"/>
  <c r="AV26" i="11"/>
  <c r="BB21" i="11"/>
  <c r="BR21" i="11" s="1"/>
  <c r="AG21" i="11"/>
  <c r="AW21" i="11"/>
  <c r="BM21" i="11" s="1"/>
  <c r="GC19" i="11"/>
  <c r="EN18" i="11"/>
  <c r="FD18" i="11"/>
  <c r="EY18" i="11"/>
  <c r="FA17" i="11"/>
  <c r="BB17" i="11"/>
  <c r="CH17" i="11" s="1"/>
  <c r="EV17" i="11" s="1"/>
  <c r="GB17" i="11" s="1"/>
  <c r="AW17" i="11"/>
  <c r="BM17" i="11" s="1"/>
  <c r="MM25" i="11"/>
  <c r="NC25" i="11"/>
  <c r="MZ19" i="11"/>
  <c r="OF19" i="11" s="1"/>
  <c r="AK17" i="11"/>
  <c r="DI16" i="14"/>
  <c r="DI25" i="14"/>
  <c r="DI22" i="14"/>
  <c r="DI21" i="14"/>
  <c r="DI19" i="14"/>
  <c r="DI17" i="14"/>
  <c r="FD17" i="11"/>
  <c r="FD15" i="11"/>
  <c r="GJ15" i="11" s="1"/>
  <c r="AK26" i="11"/>
  <c r="BA26" i="11"/>
  <c r="BQ26" i="11" s="1"/>
  <c r="FS23" i="11"/>
  <c r="BB23" i="11"/>
  <c r="FQ21" i="11"/>
  <c r="MI27" i="11"/>
  <c r="MY27" i="11"/>
  <c r="NE18" i="11"/>
  <c r="MM23" i="11"/>
  <c r="NC23" i="11"/>
  <c r="FE15" i="11"/>
  <c r="GK15" i="11" s="1"/>
  <c r="NC24" i="11"/>
  <c r="MM24" i="11"/>
  <c r="AL27" i="11"/>
  <c r="CH27" i="11" s="1"/>
  <c r="EV27" i="11" s="1"/>
  <c r="GB27" i="11" s="1"/>
  <c r="AW23" i="11"/>
  <c r="BM23" i="11" s="1"/>
  <c r="AG23" i="11"/>
  <c r="FP16" i="11"/>
  <c r="GC27" i="11"/>
  <c r="CB27" i="11"/>
  <c r="EP27" i="11" s="1"/>
  <c r="FV27" i="11" s="1"/>
  <c r="AK24" i="11"/>
  <c r="NE23" i="11"/>
  <c r="MO17" i="11"/>
  <c r="OK17" i="11" s="1"/>
  <c r="BA24" i="11"/>
  <c r="BQ24" i="11" s="1"/>
  <c r="AZ21" i="11"/>
  <c r="BP21" i="11" s="1"/>
  <c r="AJ20" i="11"/>
  <c r="CF20" i="11" s="1"/>
  <c r="ET20" i="11" s="1"/>
  <c r="FZ20" i="11" s="1"/>
  <c r="AW19" i="11"/>
  <c r="BM19" i="11" s="1"/>
  <c r="ND25" i="11"/>
  <c r="OJ25" i="11" s="1"/>
  <c r="MZ23" i="11"/>
  <c r="MY21" i="11"/>
  <c r="OE21" i="11" s="1"/>
  <c r="AV23" i="10"/>
  <c r="FD22" i="10"/>
  <c r="FT22" i="10" s="1"/>
  <c r="EN22" i="10"/>
  <c r="EN24" i="10"/>
  <c r="GJ24" i="10" s="1"/>
  <c r="FE19" i="10"/>
  <c r="FU19" i="10" s="1"/>
  <c r="CG67" i="14"/>
  <c r="BN63" i="14"/>
  <c r="BR58" i="14"/>
  <c r="CB54" i="14"/>
  <c r="CF50" i="14"/>
  <c r="BN47" i="14"/>
  <c r="BP42" i="14"/>
  <c r="CF19" i="14"/>
  <c r="CF20" i="1"/>
  <c r="BP64" i="14"/>
  <c r="BQ49" i="14"/>
  <c r="CG31" i="14"/>
  <c r="BQ24" i="14"/>
  <c r="CG69" i="14"/>
  <c r="BN57" i="14"/>
  <c r="BR39" i="14"/>
  <c r="CB31" i="14"/>
  <c r="BM25" i="14"/>
  <c r="BN99" i="9"/>
  <c r="BN86" i="9"/>
  <c r="BR41" i="9"/>
  <c r="BM40" i="9"/>
  <c r="BQ23" i="9"/>
  <c r="AK22" i="10"/>
  <c r="AG19" i="10"/>
  <c r="MM18" i="10"/>
  <c r="OI18" i="10" s="1"/>
  <c r="CG100" i="9"/>
  <c r="BR95" i="9"/>
  <c r="BR83" i="9"/>
  <c r="CH75" i="9"/>
  <c r="BN69" i="9"/>
  <c r="CH54" i="9"/>
  <c r="BN34" i="9"/>
  <c r="CG18" i="9"/>
  <c r="BN17" i="9"/>
  <c r="AX24" i="10"/>
  <c r="BN24" i="10" s="1"/>
  <c r="AX19" i="10"/>
  <c r="BN19" i="10" s="1"/>
  <c r="BQ95" i="9"/>
  <c r="BN48" i="9"/>
  <c r="BQ46" i="9"/>
  <c r="BN27" i="9"/>
  <c r="CF26" i="9"/>
  <c r="BQ16" i="9"/>
  <c r="BR67" i="14"/>
  <c r="BR45" i="14"/>
  <c r="CH38" i="14"/>
  <c r="BR18" i="14"/>
  <c r="CH16" i="14"/>
  <c r="BR36" i="9"/>
  <c r="BR24" i="9"/>
  <c r="BR55" i="9"/>
  <c r="CH47" i="9"/>
  <c r="BR47" i="14"/>
  <c r="BM62" i="14"/>
  <c r="CC61" i="14"/>
  <c r="BM51" i="14"/>
  <c r="BM47" i="14"/>
  <c r="BM32" i="14"/>
  <c r="FP23" i="11"/>
  <c r="BM52" i="14"/>
  <c r="BM43" i="9"/>
  <c r="BL22" i="1"/>
  <c r="BL19" i="1"/>
  <c r="BL29" i="9"/>
  <c r="BL67" i="14"/>
  <c r="BL60" i="14"/>
  <c r="BL39" i="14"/>
  <c r="BL30" i="14"/>
  <c r="BL17" i="1"/>
  <c r="BL72" i="14"/>
  <c r="CB51" i="14"/>
  <c r="BL81" i="14"/>
  <c r="BL54" i="9"/>
  <c r="BL40" i="9"/>
  <c r="BB19" i="10"/>
  <c r="BR19" i="10" s="1"/>
  <c r="BB21" i="10"/>
  <c r="BR21" i="10" s="1"/>
  <c r="AL17" i="10"/>
  <c r="BR26" i="1"/>
  <c r="BB17" i="10"/>
  <c r="AL21" i="10"/>
  <c r="MN20" i="10"/>
  <c r="OJ20" i="10" s="1"/>
  <c r="BA23" i="10"/>
  <c r="ML25" i="10"/>
  <c r="OH25" i="10" s="1"/>
  <c r="CF30" i="1"/>
  <c r="CD31" i="1"/>
  <c r="MJ16" i="10"/>
  <c r="OF16" i="10" s="1"/>
  <c r="CD27" i="1"/>
  <c r="DI30" i="1"/>
  <c r="NP25" i="11"/>
  <c r="NU21" i="11"/>
  <c r="FT25" i="11"/>
  <c r="FO23" i="11"/>
  <c r="FO16" i="11"/>
  <c r="NO20" i="11"/>
  <c r="BQ45" i="9"/>
  <c r="BN97" i="9"/>
  <c r="CH84" i="9"/>
  <c r="BN73" i="9"/>
  <c r="BQ68" i="9"/>
  <c r="BN55" i="9"/>
  <c r="BR52" i="9"/>
  <c r="CH46" i="9"/>
  <c r="BQ39" i="9"/>
  <c r="BN38" i="9"/>
  <c r="BR26" i="9"/>
  <c r="BR23" i="9"/>
  <c r="BN18" i="9"/>
  <c r="BR16" i="9"/>
  <c r="FU24" i="11"/>
  <c r="FQ23" i="11"/>
  <c r="FU21" i="11"/>
  <c r="FP21" i="11"/>
  <c r="BR94" i="9"/>
  <c r="CG36" i="9"/>
  <c r="BN82" i="9"/>
  <c r="BQ30" i="9"/>
  <c r="FQ26" i="11"/>
  <c r="BN91" i="9"/>
  <c r="CG87" i="9"/>
  <c r="BQ78" i="9"/>
  <c r="CD71" i="9"/>
  <c r="BN68" i="9"/>
  <c r="BN64" i="9"/>
  <c r="CH63" i="9"/>
  <c r="BN60" i="9"/>
  <c r="CG59" i="9"/>
  <c r="BQ55" i="9"/>
  <c r="CC46" i="9"/>
  <c r="BQ38" i="9"/>
  <c r="BN37" i="9"/>
  <c r="BN20" i="9"/>
  <c r="FS20" i="11"/>
  <c r="BL72" i="9"/>
  <c r="BL53" i="9"/>
  <c r="CB66" i="9"/>
  <c r="BL98" i="9"/>
  <c r="BL46" i="9"/>
  <c r="CH78" i="9"/>
  <c r="BR78" i="9"/>
  <c r="BR89" i="9"/>
  <c r="CH89" i="9"/>
  <c r="BR81" i="9"/>
  <c r="CG60" i="9"/>
  <c r="BQ60" i="9"/>
  <c r="CD72" i="9"/>
  <c r="BN72" i="9"/>
  <c r="CG37" i="9"/>
  <c r="BQ37" i="9"/>
  <c r="CF94" i="9"/>
  <c r="BP94" i="9"/>
  <c r="CD74" i="9"/>
  <c r="BN74" i="9"/>
  <c r="CD66" i="9"/>
  <c r="BN66" i="9"/>
  <c r="CG64" i="9"/>
  <c r="CG57" i="9"/>
  <c r="BQ57" i="9"/>
  <c r="BQ48" i="9"/>
  <c r="CG48" i="9"/>
  <c r="BR25" i="9"/>
  <c r="CH25" i="9"/>
  <c r="CG20" i="9"/>
  <c r="BQ20" i="9"/>
  <c r="CD19" i="9"/>
  <c r="CH97" i="9"/>
  <c r="BR97" i="9"/>
  <c r="CH30" i="9"/>
  <c r="BR30" i="9"/>
  <c r="CF95" i="9"/>
  <c r="BP95" i="9"/>
  <c r="CF84" i="9"/>
  <c r="BQ52" i="9"/>
  <c r="CG52" i="9"/>
  <c r="CF47" i="9"/>
  <c r="BP47" i="9"/>
  <c r="CH40" i="9"/>
  <c r="BR40" i="9"/>
  <c r="CH28" i="9"/>
  <c r="BR28" i="9"/>
  <c r="BN21" i="9"/>
  <c r="CD21" i="9"/>
  <c r="CH17" i="9"/>
  <c r="BR17" i="9"/>
  <c r="BR88" i="9"/>
  <c r="BR80" i="9"/>
  <c r="BP77" i="9"/>
  <c r="BQ74" i="9"/>
  <c r="BR67" i="9"/>
  <c r="BN56" i="9"/>
  <c r="CG47" i="9"/>
  <c r="BN45" i="9"/>
  <c r="BR35" i="9"/>
  <c r="BQ34" i="9"/>
  <c r="FS17" i="11"/>
  <c r="BQ82" i="9"/>
  <c r="BR76" i="9"/>
  <c r="CR62" i="9"/>
  <c r="CS62" i="9" s="1"/>
  <c r="BQ61" i="9"/>
  <c r="CD58" i="9"/>
  <c r="BP52" i="9"/>
  <c r="BR51" i="9"/>
  <c r="BQ27" i="9"/>
  <c r="BQ70" i="9"/>
  <c r="BQ54" i="9"/>
  <c r="BP46" i="9"/>
  <c r="BN43" i="9"/>
  <c r="BQ24" i="9"/>
  <c r="CD96" i="9"/>
  <c r="BQ94" i="9"/>
  <c r="BP91" i="9"/>
  <c r="BQ88" i="9"/>
  <c r="BR86" i="9"/>
  <c r="CH82" i="9"/>
  <c r="BN80" i="9"/>
  <c r="CG76" i="9"/>
  <c r="CG67" i="9"/>
  <c r="CG65" i="9"/>
  <c r="BQ63" i="9"/>
  <c r="CH60" i="9"/>
  <c r="CH59" i="9"/>
  <c r="BR58" i="9"/>
  <c r="BR45" i="9"/>
  <c r="CD40" i="9"/>
  <c r="BQ35" i="9"/>
  <c r="BR27" i="9"/>
  <c r="BQ25" i="9"/>
  <c r="CH22" i="9"/>
  <c r="BR22" i="9"/>
  <c r="BQ97" i="9"/>
  <c r="BR68" i="9"/>
  <c r="BN52" i="9"/>
  <c r="BR37" i="9"/>
  <c r="BN30" i="9"/>
  <c r="BN92" i="9"/>
  <c r="BQ62" i="9"/>
  <c r="BQ58" i="9"/>
  <c r="CH29" i="9"/>
  <c r="BR99" i="9"/>
  <c r="BN95" i="9"/>
  <c r="BQ75" i="9"/>
  <c r="BR66" i="9"/>
  <c r="BN51" i="9"/>
  <c r="BQ44" i="9"/>
  <c r="BQ41" i="9"/>
  <c r="CR96" i="9"/>
  <c r="CS96" i="9" s="1"/>
  <c r="BN94" i="9"/>
  <c r="BR90" i="9"/>
  <c r="BR87" i="9"/>
  <c r="BQ80" i="9"/>
  <c r="CH77" i="9"/>
  <c r="BN76" i="9"/>
  <c r="CR74" i="9"/>
  <c r="CS74" i="9" s="1"/>
  <c r="BR74" i="9"/>
  <c r="BN62" i="9"/>
  <c r="BQ43" i="9"/>
  <c r="BP27" i="9"/>
  <c r="CD26" i="9"/>
  <c r="BN25" i="9"/>
  <c r="BQ19" i="9"/>
  <c r="CC35" i="9"/>
  <c r="CC30" i="9"/>
  <c r="CC25" i="9"/>
  <c r="CC23" i="9"/>
  <c r="FP20" i="11"/>
  <c r="FU25" i="11"/>
  <c r="FP25" i="11"/>
  <c r="BL57" i="9"/>
  <c r="CB94" i="9"/>
  <c r="BL82" i="9"/>
  <c r="CB19" i="9"/>
  <c r="FO20" i="11"/>
  <c r="CR70" i="9"/>
  <c r="CS70" i="9" s="1"/>
  <c r="CB15" i="9"/>
  <c r="BN100" i="9"/>
  <c r="BN98" i="9"/>
  <c r="BQ83" i="9"/>
  <c r="FS19" i="11"/>
  <c r="BN93" i="9"/>
  <c r="BR91" i="9"/>
  <c r="CG89" i="9"/>
  <c r="BQ84" i="9"/>
  <c r="CD81" i="9"/>
  <c r="BR72" i="9"/>
  <c r="CH72" i="9"/>
  <c r="BR71" i="9"/>
  <c r="CH71" i="9"/>
  <c r="CH20" i="9"/>
  <c r="BR20" i="9"/>
  <c r="BQ90" i="9"/>
  <c r="BR79" i="9"/>
  <c r="CH79" i="9"/>
  <c r="BQ69" i="9"/>
  <c r="CD67" i="9"/>
  <c r="BN67" i="9"/>
  <c r="BP58" i="9"/>
  <c r="CH56" i="9"/>
  <c r="BR56" i="9"/>
  <c r="CF32" i="9"/>
  <c r="BP32" i="9"/>
  <c r="BR100" i="9"/>
  <c r="BR98" i="9"/>
  <c r="CH92" i="9"/>
  <c r="CR86" i="9"/>
  <c r="BN85" i="9"/>
  <c r="BR44" i="9"/>
  <c r="CH44" i="9"/>
  <c r="CG22" i="9"/>
  <c r="BQ22" i="9"/>
  <c r="CG77" i="9"/>
  <c r="BQ77" i="9"/>
  <c r="BP64" i="9"/>
  <c r="CF64" i="9"/>
  <c r="BN59" i="9"/>
  <c r="BN47" i="9"/>
  <c r="FQ20" i="11"/>
  <c r="NT27" i="11"/>
  <c r="CB92" i="9"/>
  <c r="BP65" i="9"/>
  <c r="CF65" i="9"/>
  <c r="BR50" i="9"/>
  <c r="CH50" i="9"/>
  <c r="CH39" i="9"/>
  <c r="BR39" i="9"/>
  <c r="CH34" i="9"/>
  <c r="BR34" i="9"/>
  <c r="CR76" i="9"/>
  <c r="CS76" i="9" s="1"/>
  <c r="CH32" i="9"/>
  <c r="CH19" i="9"/>
  <c r="CB88" i="9"/>
  <c r="CB87" i="9"/>
  <c r="GC22" i="11"/>
  <c r="BR73" i="9"/>
  <c r="BR65" i="9"/>
  <c r="BR57" i="9"/>
  <c r="BQ29" i="9"/>
  <c r="CC19" i="9"/>
  <c r="GI18" i="10"/>
  <c r="FO20" i="10"/>
  <c r="GG22" i="10"/>
  <c r="BR68" i="14"/>
  <c r="BM57" i="14"/>
  <c r="BQ45" i="14"/>
  <c r="BM78" i="14"/>
  <c r="CF73" i="14"/>
  <c r="BM64" i="14"/>
  <c r="CH63" i="14"/>
  <c r="CC63" i="14"/>
  <c r="BM55" i="14"/>
  <c r="CD54" i="14"/>
  <c r="BN51" i="14"/>
  <c r="BR49" i="14"/>
  <c r="BM49" i="14"/>
  <c r="BP47" i="14"/>
  <c r="BM42" i="14"/>
  <c r="BR40" i="14"/>
  <c r="BP38" i="14"/>
  <c r="BR35" i="14"/>
  <c r="BN32" i="14"/>
  <c r="CD31" i="14"/>
  <c r="CG28" i="14"/>
  <c r="BR24" i="14"/>
  <c r="CG72" i="14"/>
  <c r="BP37" i="14"/>
  <c r="CH31" i="14"/>
  <c r="CC31" i="14"/>
  <c r="CG29" i="14"/>
  <c r="CD25" i="14"/>
  <c r="CD18" i="14"/>
  <c r="BQ16" i="14"/>
  <c r="BN74" i="14"/>
  <c r="BM66" i="14"/>
  <c r="BQ77" i="14"/>
  <c r="CG59" i="14"/>
  <c r="CH56" i="14"/>
  <c r="BR55" i="14"/>
  <c r="CC50" i="14"/>
  <c r="BL64" i="14"/>
  <c r="BL35" i="14"/>
  <c r="BL34" i="14"/>
  <c r="BL25" i="14"/>
  <c r="BL79" i="14"/>
  <c r="BL46" i="14"/>
  <c r="BL38" i="14"/>
  <c r="CP38" i="14" s="1"/>
  <c r="CV38" i="14" s="1"/>
  <c r="BL32" i="14"/>
  <c r="BL65" i="14"/>
  <c r="BL78" i="14"/>
  <c r="BL77" i="14"/>
  <c r="BL55" i="14"/>
  <c r="BL47" i="14"/>
  <c r="BL42" i="14"/>
  <c r="BL58" i="14"/>
  <c r="BL49" i="14"/>
  <c r="BP76" i="14"/>
  <c r="CF76" i="14"/>
  <c r="BP59" i="14"/>
  <c r="CF59" i="14"/>
  <c r="BR41" i="14"/>
  <c r="CH41" i="14"/>
  <c r="BN30" i="14"/>
  <c r="CD30" i="14"/>
  <c r="CG74" i="14"/>
  <c r="BQ74" i="14"/>
  <c r="CF75" i="14"/>
  <c r="BP75" i="14"/>
  <c r="BP70" i="14"/>
  <c r="CF70" i="14"/>
  <c r="CD60" i="14"/>
  <c r="BN60" i="14"/>
  <c r="CG46" i="14"/>
  <c r="CG82" i="14"/>
  <c r="BQ82" i="14"/>
  <c r="CH62" i="14"/>
  <c r="BR62" i="14"/>
  <c r="CG37" i="14"/>
  <c r="BQ37" i="14"/>
  <c r="CF55" i="14"/>
  <c r="BP55" i="14"/>
  <c r="BR36" i="14"/>
  <c r="CH36" i="14"/>
  <c r="BN24" i="14"/>
  <c r="BR71" i="14"/>
  <c r="CF25" i="14"/>
  <c r="CF21" i="14"/>
  <c r="CD19" i="14"/>
  <c r="BP16" i="14"/>
  <c r="BN75" i="14"/>
  <c r="BN72" i="14"/>
  <c r="BR64" i="14"/>
  <c r="BQ62" i="14"/>
  <c r="BP56" i="14"/>
  <c r="BQ36" i="14"/>
  <c r="CH19" i="14"/>
  <c r="BN17" i="14"/>
  <c r="CD76" i="14"/>
  <c r="CG73" i="14"/>
  <c r="CG48" i="14"/>
  <c r="CB45" i="14"/>
  <c r="CH32" i="14"/>
  <c r="BN21" i="14"/>
  <c r="GI25" i="10"/>
  <c r="FU25" i="10"/>
  <c r="BN80" i="14"/>
  <c r="CD22" i="14"/>
  <c r="FQ20" i="10"/>
  <c r="BN66" i="14"/>
  <c r="BN64" i="14"/>
  <c r="BN62" i="14"/>
  <c r="BN55" i="14"/>
  <c r="BN16" i="14"/>
  <c r="CD43" i="14"/>
  <c r="BN56" i="14"/>
  <c r="BN25" i="14"/>
  <c r="CG80" i="14"/>
  <c r="BQ80" i="14"/>
  <c r="BM58" i="14"/>
  <c r="CC58" i="14"/>
  <c r="BQ34" i="14"/>
  <c r="CG34" i="14"/>
  <c r="BQ22" i="14"/>
  <c r="BR73" i="14"/>
  <c r="CH73" i="14"/>
  <c r="BM73" i="14"/>
  <c r="CC73" i="14"/>
  <c r="CG66" i="14"/>
  <c r="BQ66" i="14"/>
  <c r="CH76" i="14"/>
  <c r="BR76" i="14"/>
  <c r="CC76" i="14"/>
  <c r="BM76" i="14"/>
  <c r="BR46" i="14"/>
  <c r="CH46" i="14"/>
  <c r="BM46" i="14"/>
  <c r="CC46" i="14"/>
  <c r="CO20" i="14"/>
  <c r="CU20" i="14" s="1"/>
  <c r="CC20" i="14"/>
  <c r="BQ70" i="14"/>
  <c r="CG70" i="14"/>
  <c r="CF60" i="14"/>
  <c r="BP60" i="14"/>
  <c r="BQ51" i="14"/>
  <c r="CG51" i="14"/>
  <c r="BP33" i="14"/>
  <c r="CF33" i="14"/>
  <c r="CH51" i="14"/>
  <c r="CC35" i="14"/>
  <c r="GG25" i="10"/>
  <c r="GG24" i="10"/>
  <c r="GF20" i="10"/>
  <c r="GF17" i="10"/>
  <c r="FT16" i="10"/>
  <c r="CG41" i="14"/>
  <c r="BQ33" i="14"/>
  <c r="BP17" i="14"/>
  <c r="BR60" i="14"/>
  <c r="BM60" i="14"/>
  <c r="BQ42" i="14"/>
  <c r="CG42" i="14"/>
  <c r="CH82" i="14"/>
  <c r="CG81" i="14"/>
  <c r="BP77" i="14"/>
  <c r="BR75" i="14"/>
  <c r="BQ71" i="14"/>
  <c r="BP68" i="14"/>
  <c r="CF68" i="14"/>
  <c r="CD50" i="14"/>
  <c r="BM75" i="14"/>
  <c r="CD45" i="14"/>
  <c r="BN45" i="14"/>
  <c r="BN44" i="14"/>
  <c r="BP35" i="14"/>
  <c r="CF35" i="14"/>
  <c r="CH30" i="14"/>
  <c r="BR30" i="14"/>
  <c r="FQ16" i="10"/>
  <c r="GG16" i="10"/>
  <c r="CH80" i="14"/>
  <c r="BP48" i="14"/>
  <c r="CF48" i="14"/>
  <c r="CF40" i="14"/>
  <c r="BP40" i="14"/>
  <c r="BR37" i="14"/>
  <c r="CH37" i="14"/>
  <c r="BR33" i="14"/>
  <c r="CH33" i="14"/>
  <c r="CC30" i="14"/>
  <c r="CH22" i="14"/>
  <c r="CG76" i="14"/>
  <c r="BM72" i="14"/>
  <c r="BM59" i="14"/>
  <c r="CB73" i="14"/>
  <c r="CD41" i="14"/>
  <c r="BN41" i="14"/>
  <c r="BQ17" i="14"/>
  <c r="CG58" i="14"/>
  <c r="BQ43" i="14"/>
  <c r="CF41" i="14"/>
  <c r="CF36" i="14"/>
  <c r="CH17" i="14"/>
  <c r="CC68" i="14"/>
  <c r="CD65" i="14"/>
  <c r="CD59" i="14"/>
  <c r="CF54" i="14"/>
  <c r="CD48" i="14"/>
  <c r="CC41" i="14"/>
  <c r="CB37" i="14"/>
  <c r="BQ81" i="9"/>
  <c r="BQ73" i="9"/>
  <c r="BR70" i="9"/>
  <c r="BR64" i="9"/>
  <c r="BP59" i="9"/>
  <c r="BQ56" i="9"/>
  <c r="BR43" i="9"/>
  <c r="BQ26" i="9"/>
  <c r="BN22" i="9"/>
  <c r="NT17" i="11"/>
  <c r="CR100" i="9"/>
  <c r="CS100" i="9" s="1"/>
  <c r="CF100" i="9"/>
  <c r="CR98" i="9"/>
  <c r="CH96" i="9"/>
  <c r="CR94" i="9"/>
  <c r="CS94" i="9" s="1"/>
  <c r="CD89" i="9"/>
  <c r="CR88" i="9"/>
  <c r="CD84" i="9"/>
  <c r="CR83" i="9"/>
  <c r="CS83" i="9" s="1"/>
  <c r="CR82" i="9"/>
  <c r="CS82" i="9" s="1"/>
  <c r="CD79" i="9"/>
  <c r="CD77" i="9"/>
  <c r="CR64" i="9"/>
  <c r="BL96" i="9"/>
  <c r="BQ92" i="9"/>
  <c r="BQ86" i="9"/>
  <c r="BR62" i="9"/>
  <c r="BQ50" i="9"/>
  <c r="CG91" i="9"/>
  <c r="CD65" i="9"/>
  <c r="BQ98" i="9"/>
  <c r="BQ85" i="9"/>
  <c r="BL85" i="9"/>
  <c r="BQ71" i="9"/>
  <c r="CC32" i="9"/>
  <c r="BN29" i="9"/>
  <c r="BR18" i="9"/>
  <c r="CR91" i="9"/>
  <c r="CR90" i="9"/>
  <c r="CS90" i="9" s="1"/>
  <c r="CR66" i="9"/>
  <c r="CS66" i="9" s="1"/>
  <c r="CR68" i="9"/>
  <c r="CS68" i="9" s="1"/>
  <c r="BR15" i="9"/>
  <c r="CC100" i="9"/>
  <c r="CC99" i="9"/>
  <c r="CC98" i="9"/>
  <c r="CC97" i="9"/>
  <c r="CC96" i="9"/>
  <c r="CC95" i="9"/>
  <c r="CC94" i="9"/>
  <c r="CC92" i="9"/>
  <c r="CC91" i="9"/>
  <c r="CC90" i="9"/>
  <c r="CC89" i="9"/>
  <c r="CC88" i="9"/>
  <c r="CC87" i="9"/>
  <c r="CC86" i="9"/>
  <c r="CC85" i="9"/>
  <c r="CC84" i="9"/>
  <c r="CC83" i="9"/>
  <c r="CC82" i="9"/>
  <c r="CC81" i="9"/>
  <c r="CC80" i="9"/>
  <c r="CC79" i="9"/>
  <c r="CC78" i="9"/>
  <c r="CC77" i="9"/>
  <c r="CC76" i="9"/>
  <c r="CC75" i="9"/>
  <c r="CC74" i="9"/>
  <c r="CC73" i="9"/>
  <c r="CC72" i="9"/>
  <c r="CC71" i="9"/>
  <c r="CC70" i="9"/>
  <c r="CC69" i="9"/>
  <c r="CC68" i="9"/>
  <c r="CC67" i="9"/>
  <c r="CC66" i="9"/>
  <c r="CC65" i="9"/>
  <c r="CC64" i="9"/>
  <c r="CC63" i="9"/>
  <c r="CC62" i="9"/>
  <c r="CC60" i="9"/>
  <c r="CC59" i="9"/>
  <c r="CC58" i="9"/>
  <c r="CC57" i="9"/>
  <c r="CC56" i="9"/>
  <c r="CC55" i="9"/>
  <c r="CC54" i="9"/>
  <c r="CC53" i="9"/>
  <c r="CC52" i="9"/>
  <c r="CC51" i="9"/>
  <c r="CC50" i="9"/>
  <c r="CC49" i="9"/>
  <c r="CC47" i="9"/>
  <c r="CC45" i="9"/>
  <c r="CC44" i="9"/>
  <c r="CC42" i="9"/>
  <c r="CC41" i="9"/>
  <c r="CC39" i="9"/>
  <c r="CC38" i="9"/>
  <c r="CC37" i="9"/>
  <c r="CC36" i="9"/>
  <c r="CC34" i="9"/>
  <c r="CC31" i="9"/>
  <c r="CC29" i="9"/>
  <c r="CC28" i="9"/>
  <c r="CC27" i="9"/>
  <c r="CC26" i="9"/>
  <c r="CC24" i="9"/>
  <c r="CC22" i="9"/>
  <c r="CC20" i="9"/>
  <c r="CC18" i="9"/>
  <c r="CC17" i="9"/>
  <c r="CC16" i="9"/>
  <c r="FT20" i="11"/>
  <c r="NT19" i="11"/>
  <c r="CB83" i="9"/>
  <c r="CB81" i="9"/>
  <c r="CB80" i="9"/>
  <c r="CB78" i="9"/>
  <c r="CB77" i="9"/>
  <c r="CB76" i="9"/>
  <c r="CB75" i="9"/>
  <c r="CB74" i="9"/>
  <c r="CB73" i="9"/>
  <c r="CB71" i="9"/>
  <c r="CB70" i="9"/>
  <c r="CB69" i="9"/>
  <c r="CB68" i="9"/>
  <c r="CB67" i="9"/>
  <c r="CB65" i="9"/>
  <c r="CB64" i="9"/>
  <c r="CB63" i="9"/>
  <c r="CB62" i="9"/>
  <c r="CB61" i="9"/>
  <c r="CB60" i="9"/>
  <c r="CB59" i="9"/>
  <c r="CB58" i="9"/>
  <c r="CB56" i="9"/>
  <c r="CB55" i="9"/>
  <c r="CB52" i="9"/>
  <c r="CB51" i="9"/>
  <c r="CB49" i="9"/>
  <c r="CB48" i="9"/>
  <c r="CB45" i="9"/>
  <c r="CB44" i="9"/>
  <c r="CB42" i="9"/>
  <c r="CB41" i="9"/>
  <c r="CB39" i="9"/>
  <c r="CB38" i="9"/>
  <c r="CB36" i="9"/>
  <c r="CB35" i="9"/>
  <c r="CB34" i="9"/>
  <c r="CB31" i="9"/>
  <c r="CB30" i="9"/>
  <c r="CB28" i="9"/>
  <c r="CB27" i="9"/>
  <c r="CB26" i="9"/>
  <c r="CB25" i="9"/>
  <c r="CB23" i="9"/>
  <c r="CB22" i="9"/>
  <c r="CB20" i="9"/>
  <c r="CB18" i="9"/>
  <c r="CB17" i="9"/>
  <c r="CB16" i="9"/>
  <c r="NT22" i="11"/>
  <c r="CG15" i="9"/>
  <c r="FU16" i="10"/>
  <c r="GK16" i="10"/>
  <c r="BR57" i="14"/>
  <c r="CH43" i="14"/>
  <c r="CH42" i="14"/>
  <c r="GK18" i="10"/>
  <c r="CH78" i="14"/>
  <c r="BR78" i="14"/>
  <c r="CR75" i="14"/>
  <c r="DA75" i="14" s="1"/>
  <c r="CH69" i="14"/>
  <c r="CH48" i="14"/>
  <c r="CR73" i="14"/>
  <c r="DA73" i="14" s="1"/>
  <c r="CH59" i="14"/>
  <c r="CH29" i="14"/>
  <c r="CG61" i="14"/>
  <c r="CG40" i="14"/>
  <c r="GJ25" i="10"/>
  <c r="FT17" i="10"/>
  <c r="BQ57" i="14"/>
  <c r="BQ78" i="14"/>
  <c r="BQ65" i="14"/>
  <c r="BQ35" i="14"/>
  <c r="CG32" i="14"/>
  <c r="BQ30" i="14"/>
  <c r="FT20" i="10"/>
  <c r="BQ56" i="14"/>
  <c r="CF78" i="14"/>
  <c r="BP78" i="14"/>
  <c r="BP30" i="14"/>
  <c r="CF30" i="14"/>
  <c r="CF82" i="14"/>
  <c r="BP82" i="14"/>
  <c r="CF22" i="14"/>
  <c r="BP65" i="14"/>
  <c r="CF45" i="14"/>
  <c r="CF43" i="14"/>
  <c r="CF58" i="14"/>
  <c r="CR74" i="14"/>
  <c r="DA74" i="14" s="1"/>
  <c r="BP80" i="14"/>
  <c r="BN78" i="14"/>
  <c r="CD23" i="1"/>
  <c r="CD77" i="14"/>
  <c r="CD58" i="14"/>
  <c r="CD40" i="14"/>
  <c r="CD82" i="14"/>
  <c r="CD73" i="14"/>
  <c r="BN71" i="14"/>
  <c r="CD61" i="14"/>
  <c r="CD46" i="14"/>
  <c r="BN37" i="14"/>
  <c r="CD35" i="14"/>
  <c r="BN33" i="14"/>
  <c r="FQ17" i="10"/>
  <c r="BN21" i="1"/>
  <c r="BN32" i="1"/>
  <c r="BN68" i="14"/>
  <c r="BM71" i="14"/>
  <c r="CC65" i="14"/>
  <c r="BM28" i="1"/>
  <c r="CC54" i="14"/>
  <c r="CC45" i="14"/>
  <c r="BM40" i="14"/>
  <c r="BM17" i="14"/>
  <c r="FP16" i="10"/>
  <c r="BM80" i="14"/>
  <c r="BM48" i="14"/>
  <c r="CR62" i="14"/>
  <c r="CS62" i="14" s="1"/>
  <c r="CC33" i="14"/>
  <c r="FP22" i="10"/>
  <c r="CC37" i="14"/>
  <c r="GF25" i="10"/>
  <c r="GF18" i="10"/>
  <c r="BL50" i="14"/>
  <c r="BL41" i="14"/>
  <c r="CB17" i="14"/>
  <c r="GE16" i="10"/>
  <c r="KO16" i="10" s="1"/>
  <c r="KQ16" i="10" s="1"/>
  <c r="KR16" i="10" s="1"/>
  <c r="CB40" i="14"/>
  <c r="BL68" i="14"/>
  <c r="FO17" i="10"/>
  <c r="CR77" i="14"/>
  <c r="CS77" i="14" s="1"/>
  <c r="CR76" i="14"/>
  <c r="DA76" i="14" s="1"/>
  <c r="CR71" i="14"/>
  <c r="CS71" i="14" s="1"/>
  <c r="CR66" i="14"/>
  <c r="DA66" i="14" s="1"/>
  <c r="CR52" i="14"/>
  <c r="CS52" i="14" s="1"/>
  <c r="BL28" i="1"/>
  <c r="CR80" i="14"/>
  <c r="DA80" i="14" s="1"/>
  <c r="CR61" i="14"/>
  <c r="CS61" i="14" s="1"/>
  <c r="CR51" i="14"/>
  <c r="CS51" i="14" s="1"/>
  <c r="CR47" i="14"/>
  <c r="CS47" i="14" s="1"/>
  <c r="CR46" i="14"/>
  <c r="DA46" i="14" s="1"/>
  <c r="CR45" i="14"/>
  <c r="DA45" i="14" s="1"/>
  <c r="BR20" i="1"/>
  <c r="CH79" i="14"/>
  <c r="BP74" i="14"/>
  <c r="CF74" i="14"/>
  <c r="CH81" i="14"/>
  <c r="CR79" i="14"/>
  <c r="CS79" i="14" s="1"/>
  <c r="CF79" i="14"/>
  <c r="CD81" i="14"/>
  <c r="CR78" i="14"/>
  <c r="CS78" i="14" s="1"/>
  <c r="CR56" i="14"/>
  <c r="CS56" i="14" s="1"/>
  <c r="CR49" i="14"/>
  <c r="DA49" i="14" s="1"/>
  <c r="CH28" i="14"/>
  <c r="CR72" i="14"/>
  <c r="CS72" i="14" s="1"/>
  <c r="CR58" i="14"/>
  <c r="DA58" i="14" s="1"/>
  <c r="CR53" i="14"/>
  <c r="CS53" i="14" s="1"/>
  <c r="CG52" i="14"/>
  <c r="CG44" i="14"/>
  <c r="FP24" i="10"/>
  <c r="FQ21" i="10"/>
  <c r="GG23" i="10"/>
  <c r="BQ31" i="1"/>
  <c r="CG31" i="1"/>
  <c r="CF33" i="1"/>
  <c r="BM25" i="1"/>
  <c r="AZ24" i="10"/>
  <c r="AH22" i="10"/>
  <c r="AZ17" i="10"/>
  <c r="MM16" i="10"/>
  <c r="OI16" i="10" s="1"/>
  <c r="AF19" i="10"/>
  <c r="MJ25" i="10"/>
  <c r="OF25" i="10" s="1"/>
  <c r="AH23" i="10"/>
  <c r="AW22" i="10"/>
  <c r="AL22" i="10"/>
  <c r="AJ17" i="10"/>
  <c r="BL25" i="1"/>
  <c r="AX22" i="10"/>
  <c r="AJ18" i="10"/>
  <c r="CF25" i="1"/>
  <c r="BM20" i="1"/>
  <c r="CC16" i="1"/>
  <c r="AZ21" i="10"/>
  <c r="AZ18" i="10"/>
  <c r="BP18" i="10" s="1"/>
  <c r="CH35" i="1"/>
  <c r="BR35" i="1"/>
  <c r="CH29" i="1"/>
  <c r="BB22" i="10"/>
  <c r="BR32" i="1"/>
  <c r="AL23" i="10"/>
  <c r="AL18" i="10"/>
  <c r="CG35" i="1"/>
  <c r="BA18" i="10"/>
  <c r="BQ18" i="10" s="1"/>
  <c r="AK18" i="10"/>
  <c r="MM17" i="10"/>
  <c r="OI17" i="10" s="1"/>
  <c r="BQ21" i="1"/>
  <c r="BA19" i="10"/>
  <c r="AJ23" i="10"/>
  <c r="BP32" i="1"/>
  <c r="BP28" i="1"/>
  <c r="CF19" i="1"/>
  <c r="AZ22" i="10"/>
  <c r="AX21" i="10"/>
  <c r="BM32" i="1"/>
  <c r="BL31" i="1"/>
  <c r="DI35" i="1"/>
  <c r="CH27" i="1"/>
  <c r="CB26" i="1"/>
  <c r="BR18" i="1"/>
  <c r="BQ30" i="1"/>
  <c r="BR21" i="1"/>
  <c r="BP18" i="1"/>
  <c r="DI33" i="1"/>
  <c r="DI22" i="1"/>
  <c r="DI28" i="1"/>
  <c r="DI17" i="1"/>
  <c r="CH34" i="1"/>
  <c r="CH16" i="1"/>
  <c r="CH33" i="1"/>
  <c r="CH31" i="1"/>
  <c r="BR30" i="1"/>
  <c r="CG29" i="1"/>
  <c r="BQ22" i="1"/>
  <c r="BQ18" i="1"/>
  <c r="BP26" i="1"/>
  <c r="BN30" i="1"/>
  <c r="CD28" i="1"/>
  <c r="BN35" i="1"/>
  <c r="CC26" i="1"/>
  <c r="BL33" i="1"/>
  <c r="CB32" i="1"/>
  <c r="CW32" i="1" s="1"/>
  <c r="CB35" i="1"/>
  <c r="DI31" i="1"/>
  <c r="DI18" i="1"/>
  <c r="AZ22" i="11"/>
  <c r="BP22" i="11" s="1"/>
  <c r="BR27" i="11"/>
  <c r="AL26" i="11"/>
  <c r="BB26" i="11"/>
  <c r="AW26" i="11"/>
  <c r="CC26" i="11" s="1"/>
  <c r="EQ26" i="11" s="1"/>
  <c r="FW26" i="11" s="1"/>
  <c r="CC24" i="11"/>
  <c r="EQ24" i="11" s="1"/>
  <c r="FW24" i="11" s="1"/>
  <c r="BM24" i="11"/>
  <c r="AX21" i="11"/>
  <c r="BN21" i="11" s="1"/>
  <c r="GC25" i="11"/>
  <c r="AZ24" i="11"/>
  <c r="BP24" i="11" s="1"/>
  <c r="AJ24" i="11"/>
  <c r="AV20" i="11"/>
  <c r="AL16" i="11"/>
  <c r="NA19" i="11"/>
  <c r="MK19" i="11"/>
  <c r="AW27" i="11"/>
  <c r="CC27" i="11" s="1"/>
  <c r="EQ27" i="11" s="1"/>
  <c r="FW27" i="11" s="1"/>
  <c r="AK19" i="11"/>
  <c r="BA19" i="11"/>
  <c r="BQ19" i="11" s="1"/>
  <c r="BB16" i="11"/>
  <c r="AK27" i="11"/>
  <c r="CG27" i="11" s="1"/>
  <c r="EU27" i="11" s="1"/>
  <c r="GA27" i="11" s="1"/>
  <c r="BQ27" i="11"/>
  <c r="BL27" i="11"/>
  <c r="AK25" i="11"/>
  <c r="CG25" i="11" s="1"/>
  <c r="EU25" i="11" s="1"/>
  <c r="GA25" i="11" s="1"/>
  <c r="AK20" i="11"/>
  <c r="BA20" i="11"/>
  <c r="BQ20" i="11" s="1"/>
  <c r="GC17" i="11"/>
  <c r="AX17" i="11"/>
  <c r="BN17" i="11" s="1"/>
  <c r="BB24" i="11"/>
  <c r="CH24" i="11" s="1"/>
  <c r="EV24" i="11" s="1"/>
  <c r="GB24" i="11" s="1"/>
  <c r="AV24" i="11"/>
  <c r="BQ23" i="11"/>
  <c r="AK23" i="11"/>
  <c r="CG23" i="11" s="1"/>
  <c r="EU23" i="11" s="1"/>
  <c r="GA23" i="11" s="1"/>
  <c r="BL22" i="11"/>
  <c r="BA22" i="11"/>
  <c r="AJ21" i="11"/>
  <c r="BB20" i="11"/>
  <c r="BB19" i="11"/>
  <c r="AL19" i="11"/>
  <c r="BA18" i="11"/>
  <c r="AV17" i="11"/>
  <c r="NC18" i="11"/>
  <c r="MM18" i="11"/>
  <c r="NU27" i="11"/>
  <c r="NT26" i="11"/>
  <c r="MN26" i="11"/>
  <c r="OJ26" i="11" s="1"/>
  <c r="MI26" i="11"/>
  <c r="MY26" i="11"/>
  <c r="NA25" i="11"/>
  <c r="OG25" i="11" s="1"/>
  <c r="ND23" i="11"/>
  <c r="MN23" i="11"/>
  <c r="NE20" i="11"/>
  <c r="MO20" i="11"/>
  <c r="NU19" i="11"/>
  <c r="NT16" i="11"/>
  <c r="BR22" i="11"/>
  <c r="AH19" i="11"/>
  <c r="AV18" i="11"/>
  <c r="MO24" i="11"/>
  <c r="NE24" i="11"/>
  <c r="MM17" i="11"/>
  <c r="NC17" i="11"/>
  <c r="NS26" i="11"/>
  <c r="NA23" i="11"/>
  <c r="NS20" i="11"/>
  <c r="NC19" i="11"/>
  <c r="MK26" i="11"/>
  <c r="OG26" i="11" s="1"/>
  <c r="ND24" i="11"/>
  <c r="OJ24" i="11" s="1"/>
  <c r="NO18" i="11"/>
  <c r="FU21" i="10"/>
  <c r="CH21" i="14"/>
  <c r="BM21" i="14"/>
  <c r="FT24" i="10"/>
  <c r="FU23" i="10"/>
  <c r="EZ23" i="10"/>
  <c r="GF23" i="10" s="1"/>
  <c r="EO23" i="10"/>
  <c r="GK23" i="10" s="1"/>
  <c r="FO23" i="10"/>
  <c r="EZ21" i="10"/>
  <c r="GF21" i="10" s="1"/>
  <c r="EO21" i="10"/>
  <c r="GK21" i="10" s="1"/>
  <c r="FO21" i="10"/>
  <c r="GI20" i="10"/>
  <c r="FD19" i="10"/>
  <c r="FO19" i="10"/>
  <c r="FO24" i="10"/>
  <c r="FO22" i="10"/>
  <c r="CC35" i="1"/>
  <c r="CC30" i="1"/>
  <c r="CQ30" i="1" s="1"/>
  <c r="BN20" i="1"/>
  <c r="CD20" i="1"/>
  <c r="MN21" i="10"/>
  <c r="OJ21" i="10" s="1"/>
  <c r="BP21" i="1"/>
  <c r="CD18" i="1"/>
  <c r="CC31" i="1"/>
  <c r="BR22" i="1"/>
  <c r="CH22" i="1"/>
  <c r="MN17" i="10"/>
  <c r="OJ17" i="10" s="1"/>
  <c r="BN25" i="1"/>
  <c r="CD25" i="1"/>
  <c r="BR25" i="1"/>
  <c r="CB20" i="1"/>
  <c r="CH19" i="1"/>
  <c r="MY19" i="11"/>
  <c r="MY24" i="11"/>
  <c r="MI24" i="11"/>
  <c r="MY23" i="11"/>
  <c r="MI19" i="11"/>
  <c r="AV23" i="11"/>
  <c r="AF23" i="11"/>
  <c r="AV21" i="11"/>
  <c r="AF21" i="11"/>
  <c r="AF18" i="11"/>
  <c r="NO25" i="11"/>
  <c r="MI23" i="11"/>
  <c r="MY16" i="11"/>
  <c r="MI16" i="11"/>
  <c r="AF22" i="11"/>
  <c r="CB22" i="11" s="1"/>
  <c r="EP22" i="11" s="1"/>
  <c r="FV22" i="11" s="1"/>
  <c r="AF20" i="11"/>
  <c r="AV19" i="11"/>
  <c r="AF19" i="11"/>
  <c r="AV16" i="11"/>
  <c r="DS15" i="12"/>
  <c r="AF16" i="11"/>
  <c r="MY22" i="11"/>
  <c r="OE22" i="11" s="1"/>
  <c r="AW22" i="11"/>
  <c r="BM22" i="11" s="1"/>
  <c r="AG22" i="11"/>
  <c r="AW20" i="11"/>
  <c r="AG20" i="11"/>
  <c r="AW16" i="11"/>
  <c r="MZ27" i="11"/>
  <c r="OF27" i="11" s="1"/>
  <c r="MZ26" i="11"/>
  <c r="OF26" i="11" s="1"/>
  <c r="MZ21" i="11"/>
  <c r="OF21" i="11" s="1"/>
  <c r="MZ20" i="11"/>
  <c r="OF20" i="11" s="1"/>
  <c r="NP16" i="11"/>
  <c r="AG16" i="11"/>
  <c r="MZ24" i="11"/>
  <c r="OF24" i="11" s="1"/>
  <c r="MZ18" i="11"/>
  <c r="OF18" i="11" s="1"/>
  <c r="AJ17" i="11"/>
  <c r="MM26" i="11"/>
  <c r="OI26" i="11" s="1"/>
  <c r="MM22" i="11"/>
  <c r="OI22" i="11" s="1"/>
  <c r="MM20" i="11"/>
  <c r="OI20" i="11" s="1"/>
  <c r="MM16" i="11"/>
  <c r="OI16" i="11" s="1"/>
  <c r="AZ23" i="11"/>
  <c r="AJ26" i="11"/>
  <c r="AJ23" i="11"/>
  <c r="NC27" i="11"/>
  <c r="OI27" i="11" s="1"/>
  <c r="NC21" i="11"/>
  <c r="OI21" i="11" s="1"/>
  <c r="AJ22" i="11"/>
  <c r="AZ19" i="11"/>
  <c r="AJ19" i="11"/>
  <c r="AZ27" i="11"/>
  <c r="AJ27" i="11"/>
  <c r="AZ25" i="11"/>
  <c r="AJ25" i="11"/>
  <c r="AZ18" i="11"/>
  <c r="AJ18" i="11"/>
  <c r="AZ17" i="11"/>
  <c r="NS22" i="11"/>
  <c r="NS16" i="11"/>
  <c r="NQ26" i="11"/>
  <c r="AH20" i="11"/>
  <c r="AH18" i="11"/>
  <c r="AH16" i="11"/>
  <c r="MK27" i="11"/>
  <c r="OG27" i="11" s="1"/>
  <c r="MK22" i="11"/>
  <c r="OG22" i="11" s="1"/>
  <c r="MK21" i="11"/>
  <c r="OG21" i="11" s="1"/>
  <c r="MK16" i="11"/>
  <c r="OG16" i="11" s="1"/>
  <c r="BN26" i="11"/>
  <c r="AX23" i="11"/>
  <c r="BN23" i="11" s="1"/>
  <c r="AX22" i="11"/>
  <c r="AX19" i="11"/>
  <c r="AX24" i="11"/>
  <c r="AH23" i="11"/>
  <c r="AH22" i="11"/>
  <c r="AH21" i="11"/>
  <c r="AH17" i="11"/>
  <c r="NQ22" i="11"/>
  <c r="NQ16" i="11"/>
  <c r="AX27" i="11"/>
  <c r="CD27" i="11" s="1"/>
  <c r="ER27" i="11" s="1"/>
  <c r="FX27" i="11" s="1"/>
  <c r="AH26" i="11"/>
  <c r="CD26" i="11" s="1"/>
  <c r="ER26" i="11" s="1"/>
  <c r="FX26" i="11" s="1"/>
  <c r="AX25" i="11"/>
  <c r="AH24" i="11"/>
  <c r="NQ27" i="11"/>
  <c r="NQ21" i="11"/>
  <c r="AX20" i="11"/>
  <c r="AX18" i="11"/>
  <c r="MZ15" i="11"/>
  <c r="OF15" i="11" s="1"/>
  <c r="NA15" i="11"/>
  <c r="NQ15" i="11" s="1"/>
  <c r="CC15" i="8"/>
  <c r="NC15" i="11"/>
  <c r="NS15" i="11" s="1"/>
  <c r="CO18" i="14"/>
  <c r="CU18" i="14" s="1"/>
  <c r="CP28" i="14"/>
  <c r="CV28" i="14" s="1"/>
  <c r="CO28" i="14"/>
  <c r="CU28" i="14" s="1"/>
  <c r="CB21" i="14"/>
  <c r="FC24" i="10"/>
  <c r="GI24" i="10" s="1"/>
  <c r="FC23" i="10"/>
  <c r="GI23" i="10" s="1"/>
  <c r="FC21" i="10"/>
  <c r="GI21" i="10" s="1"/>
  <c r="ML21" i="10"/>
  <c r="OH21" i="10" s="1"/>
  <c r="FC22" i="10"/>
  <c r="GI22" i="10" s="1"/>
  <c r="ML22" i="10"/>
  <c r="OH22" i="10" s="1"/>
  <c r="GF19" i="10"/>
  <c r="CO24" i="14"/>
  <c r="CU24" i="14" s="1"/>
  <c r="CO23" i="14"/>
  <c r="CU23" i="14" s="1"/>
  <c r="MJ17" i="10"/>
  <c r="OF17" i="10" s="1"/>
  <c r="DI24" i="14"/>
  <c r="BQ15" i="14"/>
  <c r="DI23" i="14"/>
  <c r="BL34" i="1"/>
  <c r="BQ33" i="1"/>
  <c r="AK16" i="10"/>
  <c r="CO32" i="1"/>
  <c r="DI21" i="1"/>
  <c r="DI15" i="1"/>
  <c r="DI32" i="1"/>
  <c r="DI34" i="1"/>
  <c r="DI25" i="1"/>
  <c r="DI16" i="1"/>
  <c r="BP31" i="1"/>
  <c r="CV31" i="1" s="1"/>
  <c r="BP29" i="1"/>
  <c r="CP29" i="1" s="1"/>
  <c r="BP19" i="1"/>
  <c r="CV19" i="1" s="1"/>
  <c r="BP33" i="1"/>
  <c r="AZ25" i="10"/>
  <c r="BP22" i="1"/>
  <c r="CF35" i="1"/>
  <c r="AG15" i="12"/>
  <c r="CC29" i="1"/>
  <c r="BN34" i="1"/>
  <c r="CD24" i="1"/>
  <c r="CO19" i="1"/>
  <c r="DI24" i="1"/>
  <c r="DI23" i="1"/>
  <c r="DI20" i="1"/>
  <c r="DI19" i="1"/>
  <c r="DI27" i="1"/>
  <c r="DI26" i="1"/>
  <c r="CC23" i="1"/>
  <c r="MN25" i="10"/>
  <c r="OJ25" i="10" s="1"/>
  <c r="BN33" i="1"/>
  <c r="CC33" i="1"/>
  <c r="BR28" i="1"/>
  <c r="CD26" i="1"/>
  <c r="CH23" i="1"/>
  <c r="BN22" i="1"/>
  <c r="CC21" i="1"/>
  <c r="BQ34" i="1"/>
  <c r="CF17" i="1"/>
  <c r="CB16" i="1"/>
  <c r="BB16" i="10"/>
  <c r="BR16" i="10" s="1"/>
  <c r="CG28" i="1"/>
  <c r="CG25" i="1"/>
  <c r="CD19" i="1"/>
  <c r="CD17" i="1"/>
  <c r="BM34" i="1"/>
  <c r="CO24" i="1"/>
  <c r="AV25" i="10"/>
  <c r="CO31" i="1"/>
  <c r="CO29" i="1"/>
  <c r="CO17" i="1"/>
  <c r="CO34" i="1"/>
  <c r="CO25" i="1"/>
  <c r="CF34" i="1"/>
  <c r="CO35" i="1"/>
  <c r="BP23" i="1"/>
  <c r="CO22" i="1"/>
  <c r="CO21" i="1"/>
  <c r="CO20" i="1"/>
  <c r="BP34" i="1"/>
  <c r="CO23" i="1"/>
  <c r="CO30" i="1"/>
  <c r="CO28" i="1"/>
  <c r="CF24" i="1"/>
  <c r="CF16" i="1"/>
  <c r="BM24" i="1"/>
  <c r="BM23" i="1"/>
  <c r="CV23" i="1" s="1"/>
  <c r="CC22" i="1"/>
  <c r="BM22" i="1"/>
  <c r="BM17" i="1"/>
  <c r="CO33" i="1"/>
  <c r="CC17" i="1"/>
  <c r="CO26" i="1"/>
  <c r="CC19" i="1"/>
  <c r="CO16" i="1"/>
  <c r="CO27" i="1"/>
  <c r="CD16" i="1"/>
  <c r="AX25" i="10"/>
  <c r="BN25" i="10" s="1"/>
  <c r="CR87" i="9"/>
  <c r="CR78" i="9"/>
  <c r="CS78" i="9" s="1"/>
  <c r="CR72" i="9"/>
  <c r="CS72" i="9" s="1"/>
  <c r="CR67" i="9"/>
  <c r="CR95" i="9"/>
  <c r="CR80" i="9"/>
  <c r="CR60" i="9"/>
  <c r="CS60" i="9" s="1"/>
  <c r="CR92" i="9"/>
  <c r="CR84" i="9"/>
  <c r="CR60" i="14"/>
  <c r="DA60" i="14" s="1"/>
  <c r="CR67" i="14"/>
  <c r="CS67" i="14" s="1"/>
  <c r="CR63" i="14"/>
  <c r="CS63" i="14" s="1"/>
  <c r="CR44" i="14"/>
  <c r="DA44" i="14" s="1"/>
  <c r="CR70" i="14"/>
  <c r="CS70" i="14" s="1"/>
  <c r="CR69" i="14"/>
  <c r="DA69" i="14" s="1"/>
  <c r="CR59" i="14"/>
  <c r="CS59" i="14" s="1"/>
  <c r="CR55" i="14"/>
  <c r="DA55" i="14" s="1"/>
  <c r="CR50" i="14"/>
  <c r="CS50" i="14" s="1"/>
  <c r="CR68" i="14"/>
  <c r="CS68" i="14" s="1"/>
  <c r="CR65" i="14"/>
  <c r="CS65" i="14" s="1"/>
  <c r="CR64" i="14"/>
  <c r="CS64" i="14" s="1"/>
  <c r="CR57" i="14"/>
  <c r="CS57" i="14" s="1"/>
  <c r="CR54" i="14"/>
  <c r="CS54" i="14" s="1"/>
  <c r="CR48" i="14"/>
  <c r="CS48" i="14" s="1"/>
  <c r="JR15" i="10"/>
  <c r="KH15" i="10"/>
  <c r="AK15" i="10"/>
  <c r="FA15" i="10"/>
  <c r="JQ15" i="10"/>
  <c r="KG15" i="10"/>
  <c r="CF81" i="14"/>
  <c r="CG79" i="14"/>
  <c r="CH77" i="14"/>
  <c r="CH72" i="14"/>
  <c r="CH52" i="14"/>
  <c r="CF15" i="1"/>
  <c r="AX15" i="14"/>
  <c r="CR82" i="14"/>
  <c r="CS82" i="14" s="1"/>
  <c r="CR81" i="14"/>
  <c r="DA81" i="14" s="1"/>
  <c r="CC81" i="14"/>
  <c r="CD79" i="14"/>
  <c r="CF72" i="14"/>
  <c r="CH66" i="14"/>
  <c r="CF52" i="14"/>
  <c r="EZ15" i="10"/>
  <c r="GF15" i="10" s="1"/>
  <c r="CF15" i="14"/>
  <c r="KM15" i="10"/>
  <c r="JW15" i="10"/>
  <c r="JV15" i="10"/>
  <c r="KL15" i="10"/>
  <c r="CF66" i="14"/>
  <c r="BR44" i="14"/>
  <c r="AX15" i="10"/>
  <c r="BN15" i="10" s="1"/>
  <c r="FE15" i="10"/>
  <c r="BB15" i="14"/>
  <c r="CH15" i="14" s="1"/>
  <c r="JU15" i="10"/>
  <c r="KK15" i="10"/>
  <c r="CH74" i="14"/>
  <c r="AG15" i="10"/>
  <c r="AZ15" i="10"/>
  <c r="FD15" i="10"/>
  <c r="GJ15" i="10" s="1"/>
  <c r="JS15" i="10"/>
  <c r="KI15" i="10"/>
  <c r="AH15" i="10"/>
  <c r="BA15" i="10"/>
  <c r="FC15" i="10"/>
  <c r="CG96" i="9"/>
  <c r="BQ96" i="9"/>
  <c r="DU15" i="12"/>
  <c r="AX15" i="11"/>
  <c r="AH15" i="11"/>
  <c r="AL25" i="10"/>
  <c r="FA19" i="10"/>
  <c r="GG19" i="10" s="1"/>
  <c r="AW16" i="10"/>
  <c r="MH15" i="10"/>
  <c r="AK25" i="10"/>
  <c r="FP19" i="10"/>
  <c r="AV16" i="10"/>
  <c r="CC61" i="9"/>
  <c r="CC48" i="9"/>
  <c r="BB25" i="10"/>
  <c r="BR25" i="10" s="1"/>
  <c r="AH25" i="10"/>
  <c r="AG25" i="10"/>
  <c r="AL16" i="10"/>
  <c r="ML15" i="10"/>
  <c r="BR85" i="9"/>
  <c r="CH85" i="9"/>
  <c r="CH53" i="9"/>
  <c r="BR53" i="9"/>
  <c r="FC15" i="11"/>
  <c r="EM15" i="11"/>
  <c r="AJ16" i="10"/>
  <c r="CR75" i="9"/>
  <c r="EZ15" i="12"/>
  <c r="EJ15" i="12"/>
  <c r="CR79" i="9"/>
  <c r="BQ53" i="9"/>
  <c r="BR21" i="9"/>
  <c r="AF15" i="11"/>
  <c r="AV15" i="11"/>
  <c r="CH61" i="9"/>
  <c r="BQ21" i="9"/>
  <c r="AG15" i="11"/>
  <c r="AW15" i="11"/>
  <c r="CH93" i="9"/>
  <c r="BM15" i="9"/>
  <c r="EY15" i="11"/>
  <c r="GE15" i="11" s="1"/>
  <c r="EK27" i="11"/>
  <c r="GG27" i="11" s="1"/>
  <c r="FA27" i="11"/>
  <c r="BN15" i="9"/>
  <c r="AJ15" i="11"/>
  <c r="AZ15" i="11"/>
  <c r="BP15" i="11" s="1"/>
  <c r="EJ15" i="11"/>
  <c r="EZ15" i="11"/>
  <c r="CR99" i="9"/>
  <c r="CR71" i="9"/>
  <c r="CR63" i="9"/>
  <c r="BR48" i="9"/>
  <c r="BQ40" i="9"/>
  <c r="BP15" i="9"/>
  <c r="CF99" i="9"/>
  <c r="CF98" i="9"/>
  <c r="CF97" i="9"/>
  <c r="CF96" i="9"/>
  <c r="CF93" i="9"/>
  <c r="CF92" i="9"/>
  <c r="CF89" i="9"/>
  <c r="CF88" i="9"/>
  <c r="CF87" i="9"/>
  <c r="CF86" i="9"/>
  <c r="CF85" i="9"/>
  <c r="CF83" i="9"/>
  <c r="CF82" i="9"/>
  <c r="CF81" i="9"/>
  <c r="CF80" i="9"/>
  <c r="CF79" i="9"/>
  <c r="CF78" i="9"/>
  <c r="CF76" i="9"/>
  <c r="CF75" i="9"/>
  <c r="CF74" i="9"/>
  <c r="CF73" i="9"/>
  <c r="CF72" i="9"/>
  <c r="CF71" i="9"/>
  <c r="CF70" i="9"/>
  <c r="CF69" i="9"/>
  <c r="CF68" i="9"/>
  <c r="CF67" i="9"/>
  <c r="CF66" i="9"/>
  <c r="CF63" i="9"/>
  <c r="CF62" i="9"/>
  <c r="CF61" i="9"/>
  <c r="CF60" i="9"/>
  <c r="CF57" i="9"/>
  <c r="CF56" i="9"/>
  <c r="CF55" i="9"/>
  <c r="CF54" i="9"/>
  <c r="CF53" i="9"/>
  <c r="CF51" i="9"/>
  <c r="CF50" i="9"/>
  <c r="CF49" i="9"/>
  <c r="CF48" i="9"/>
  <c r="CF45" i="9"/>
  <c r="CF44" i="9"/>
  <c r="CF43" i="9"/>
  <c r="CF42" i="9"/>
  <c r="CF41" i="9"/>
  <c r="CF40" i="9"/>
  <c r="CF39" i="9"/>
  <c r="CF38" i="9"/>
  <c r="CF37" i="9"/>
  <c r="CF36" i="9"/>
  <c r="CF35" i="9"/>
  <c r="CF34" i="9"/>
  <c r="CF31" i="9"/>
  <c r="CF30" i="9"/>
  <c r="CF29" i="9"/>
  <c r="CF28" i="9"/>
  <c r="CF25" i="9"/>
  <c r="CF24" i="9"/>
  <c r="CF23" i="9"/>
  <c r="CF22" i="9"/>
  <c r="CF21" i="9"/>
  <c r="CF20" i="9"/>
  <c r="CF19" i="9"/>
  <c r="CF18" i="9"/>
  <c r="CF17" i="9"/>
  <c r="CF16" i="9"/>
  <c r="AK15" i="11"/>
  <c r="BA15" i="11"/>
  <c r="BQ15" i="11" s="1"/>
  <c r="EK15" i="11"/>
  <c r="FA15" i="11"/>
  <c r="CC93" i="9"/>
  <c r="AL15" i="11"/>
  <c r="BB15" i="11"/>
  <c r="BR15" i="11" s="1"/>
  <c r="EZ27" i="11"/>
  <c r="GE27" i="11" s="1"/>
  <c r="FC27" i="11"/>
  <c r="GH27" i="11" s="1"/>
  <c r="FQ19" i="11"/>
  <c r="FT19" i="11"/>
  <c r="FU20" i="11"/>
  <c r="KI15" i="11"/>
  <c r="EZ19" i="11"/>
  <c r="GE19" i="11" s="1"/>
  <c r="FO19" i="11"/>
  <c r="AK16" i="11"/>
  <c r="AJ16" i="11"/>
  <c r="ND15" i="11"/>
  <c r="FE19" i="11"/>
  <c r="BA16" i="11"/>
  <c r="AX16" i="11"/>
  <c r="AZ16" i="11"/>
  <c r="CR93" i="9"/>
  <c r="CR85" i="9"/>
  <c r="CR77" i="9"/>
  <c r="CR69" i="9"/>
  <c r="CR61" i="9"/>
  <c r="CC21" i="9"/>
  <c r="CR97" i="9"/>
  <c r="CR89" i="9"/>
  <c r="CR81" i="9"/>
  <c r="CR73" i="9"/>
  <c r="CR65" i="9"/>
  <c r="AW25" i="10"/>
  <c r="AZ16" i="10"/>
  <c r="BP15" i="14"/>
  <c r="CC15" i="14"/>
  <c r="CB15" i="14"/>
  <c r="CF44" i="14"/>
  <c r="BM15" i="1"/>
  <c r="BP15" i="1"/>
  <c r="CD15" i="1"/>
  <c r="CD23" i="12" l="1"/>
  <c r="CG18" i="12"/>
  <c r="CQ23" i="14"/>
  <c r="CW23" i="14" s="1"/>
  <c r="CP20" i="14"/>
  <c r="CV20" i="14" s="1"/>
  <c r="CH24" i="12"/>
  <c r="CD22" i="12"/>
  <c r="CV24" i="1"/>
  <c r="CW19" i="1"/>
  <c r="CZ19" i="1" s="1"/>
  <c r="CD16" i="12"/>
  <c r="CG24" i="12"/>
  <c r="CD19" i="12"/>
  <c r="CF20" i="12"/>
  <c r="CF21" i="12"/>
  <c r="BN22" i="12"/>
  <c r="CC24" i="10"/>
  <c r="CH16" i="12"/>
  <c r="CG22" i="12"/>
  <c r="CF24" i="12"/>
  <c r="CC18" i="12"/>
  <c r="AG20" i="12"/>
  <c r="AW20" i="12"/>
  <c r="BM20" i="12" s="1"/>
  <c r="CG21" i="12"/>
  <c r="AV24" i="12"/>
  <c r="BL24" i="12" s="1"/>
  <c r="AF24" i="12"/>
  <c r="CB20" i="12"/>
  <c r="AF17" i="12"/>
  <c r="AV17" i="12"/>
  <c r="BL17" i="12" s="1"/>
  <c r="CF19" i="12"/>
  <c r="CH21" i="12"/>
  <c r="CB19" i="12"/>
  <c r="CO19" i="12"/>
  <c r="CC22" i="12"/>
  <c r="CD24" i="12"/>
  <c r="AG23" i="12"/>
  <c r="AW23" i="12"/>
  <c r="BM23" i="12" s="1"/>
  <c r="BR16" i="12"/>
  <c r="CF17" i="12"/>
  <c r="BN19" i="12"/>
  <c r="AF21" i="12"/>
  <c r="AV21" i="12"/>
  <c r="BL21" i="12" s="1"/>
  <c r="BN23" i="12"/>
  <c r="CO16" i="12"/>
  <c r="CB16" i="12"/>
  <c r="CC19" i="12"/>
  <c r="BN16" i="12"/>
  <c r="AH18" i="12"/>
  <c r="AX18" i="12"/>
  <c r="BN18" i="12" s="1"/>
  <c r="AG21" i="12"/>
  <c r="AW21" i="12"/>
  <c r="BM21" i="12" s="1"/>
  <c r="BQ22" i="12"/>
  <c r="CF23" i="12"/>
  <c r="BR24" i="12"/>
  <c r="CC17" i="12"/>
  <c r="CF18" i="12"/>
  <c r="CD21" i="12"/>
  <c r="CG23" i="12"/>
  <c r="BQ18" i="12"/>
  <c r="CH19" i="12"/>
  <c r="BP21" i="12"/>
  <c r="CB23" i="12"/>
  <c r="CC16" i="12"/>
  <c r="BM18" i="12"/>
  <c r="CH18" i="12"/>
  <c r="CH20" i="12"/>
  <c r="BQ21" i="12"/>
  <c r="CF22" i="12"/>
  <c r="BQ24" i="12"/>
  <c r="BL20" i="12"/>
  <c r="CH23" i="12"/>
  <c r="CH17" i="12"/>
  <c r="BP19" i="12"/>
  <c r="CD20" i="12"/>
  <c r="BR21" i="12"/>
  <c r="CO22" i="12"/>
  <c r="CB22" i="12"/>
  <c r="AG24" i="12"/>
  <c r="AW24" i="12"/>
  <c r="BM24" i="12" s="1"/>
  <c r="CF16" i="12"/>
  <c r="BM17" i="12"/>
  <c r="BL19" i="12"/>
  <c r="CG19" i="12"/>
  <c r="BM22" i="12"/>
  <c r="CH22" i="12"/>
  <c r="BN24" i="12"/>
  <c r="CD17" i="12"/>
  <c r="AK20" i="12"/>
  <c r="BA20" i="12"/>
  <c r="CG16" i="12"/>
  <c r="CB18" i="12"/>
  <c r="OJ15" i="11"/>
  <c r="CQ21" i="1"/>
  <c r="CW18" i="1"/>
  <c r="CZ18" i="1" s="1"/>
  <c r="CV20" i="1"/>
  <c r="CX20" i="1" s="1"/>
  <c r="CW26" i="1"/>
  <c r="CP35" i="1"/>
  <c r="CV34" i="1"/>
  <c r="CX34" i="1" s="1"/>
  <c r="CY34" i="1" s="1"/>
  <c r="CV26" i="1"/>
  <c r="CX26" i="1" s="1"/>
  <c r="CP27" i="1"/>
  <c r="CW25" i="1"/>
  <c r="CZ25" i="1" s="1"/>
  <c r="CV22" i="1"/>
  <c r="CX22" i="1" s="1"/>
  <c r="CY22" i="1" s="1"/>
  <c r="CV27" i="1"/>
  <c r="CX27" i="1" s="1"/>
  <c r="CW31" i="1"/>
  <c r="CW23" i="1"/>
  <c r="CZ23" i="1" s="1"/>
  <c r="CW16" i="1"/>
  <c r="CZ16" i="1" s="1"/>
  <c r="CV30" i="1"/>
  <c r="CX30" i="1" s="1"/>
  <c r="CY30" i="1" s="1"/>
  <c r="CZ26" i="1"/>
  <c r="CV32" i="1"/>
  <c r="CX32" i="1" s="1"/>
  <c r="CV28" i="1"/>
  <c r="CX28" i="1" s="1"/>
  <c r="CY28" i="1" s="1"/>
  <c r="CV18" i="1"/>
  <c r="CX18" i="1" s="1"/>
  <c r="CY18" i="1" s="1"/>
  <c r="CW27" i="1"/>
  <c r="CZ27" i="1" s="1"/>
  <c r="CW17" i="1"/>
  <c r="CZ17" i="1" s="1"/>
  <c r="CW24" i="1"/>
  <c r="CZ24" i="1" s="1"/>
  <c r="CW34" i="1"/>
  <c r="CZ34" i="1" s="1"/>
  <c r="CW29" i="1"/>
  <c r="CW30" i="1"/>
  <c r="CV29" i="1"/>
  <c r="CX29" i="1" s="1"/>
  <c r="CW20" i="1"/>
  <c r="CZ20" i="1" s="1"/>
  <c r="CV33" i="1"/>
  <c r="CV25" i="1"/>
  <c r="CX25" i="1" s="1"/>
  <c r="CW35" i="1"/>
  <c r="CZ35" i="1" s="1"/>
  <c r="CV21" i="1"/>
  <c r="CX21" i="1" s="1"/>
  <c r="CV17" i="1"/>
  <c r="CW22" i="1"/>
  <c r="CZ22" i="1" s="1"/>
  <c r="CW33" i="1"/>
  <c r="CZ33" i="1" s="1"/>
  <c r="CW28" i="1"/>
  <c r="CV35" i="1"/>
  <c r="CW21" i="1"/>
  <c r="CZ21" i="1" s="1"/>
  <c r="CZ28" i="1"/>
  <c r="CZ30" i="1"/>
  <c r="CZ31" i="1"/>
  <c r="CZ29" i="1"/>
  <c r="CZ32" i="1"/>
  <c r="NT15" i="11"/>
  <c r="GG15" i="11"/>
  <c r="GF15" i="11"/>
  <c r="GK17" i="11"/>
  <c r="GI15" i="11"/>
  <c r="GJ27" i="11"/>
  <c r="GK27" i="11"/>
  <c r="GK18" i="11"/>
  <c r="GJ19" i="11"/>
  <c r="GK19" i="11"/>
  <c r="CR31" i="14"/>
  <c r="CS31" i="14" s="1"/>
  <c r="CX20" i="14"/>
  <c r="CY20" i="14" s="1"/>
  <c r="FL22" i="11"/>
  <c r="EI15" i="12"/>
  <c r="FP15" i="11"/>
  <c r="FS15" i="11"/>
  <c r="FQ17" i="11"/>
  <c r="GF17" i="11"/>
  <c r="FP22" i="11"/>
  <c r="GE22" i="11"/>
  <c r="FU18" i="11"/>
  <c r="GJ18" i="11"/>
  <c r="FQ15" i="11"/>
  <c r="FT17" i="11"/>
  <c r="GI17" i="11"/>
  <c r="FT18" i="11"/>
  <c r="GI18" i="11"/>
  <c r="FO17" i="11"/>
  <c r="FQ27" i="11"/>
  <c r="GF27" i="11"/>
  <c r="FU15" i="11"/>
  <c r="FT15" i="11"/>
  <c r="FU22" i="11"/>
  <c r="GJ22" i="11"/>
  <c r="FU17" i="11"/>
  <c r="GJ17" i="11"/>
  <c r="CX60" i="9"/>
  <c r="DA60" i="9" s="1"/>
  <c r="CX96" i="9"/>
  <c r="DA96" i="9" s="1"/>
  <c r="CX64" i="9"/>
  <c r="CY64" i="9" s="1"/>
  <c r="CX69" i="9"/>
  <c r="CY69" i="9" s="1"/>
  <c r="CX74" i="9"/>
  <c r="CY74" i="9" s="1"/>
  <c r="CX81" i="9"/>
  <c r="CY81" i="9" s="1"/>
  <c r="CX85" i="9"/>
  <c r="DA85" i="9" s="1"/>
  <c r="CX17" i="1"/>
  <c r="CY17" i="1" s="1"/>
  <c r="CX61" i="9"/>
  <c r="DA61" i="9" s="1"/>
  <c r="CX65" i="9"/>
  <c r="DA65" i="9" s="1"/>
  <c r="CX33" i="1"/>
  <c r="CY33" i="1" s="1"/>
  <c r="CX63" i="9"/>
  <c r="CY63" i="9" s="1"/>
  <c r="CX80" i="9"/>
  <c r="CY80" i="9" s="1"/>
  <c r="CX42" i="9"/>
  <c r="CY42" i="9" s="1"/>
  <c r="CX92" i="9"/>
  <c r="DA92" i="9" s="1"/>
  <c r="CX31" i="9"/>
  <c r="CY31" i="9" s="1"/>
  <c r="CX79" i="9"/>
  <c r="DA79" i="9" s="1"/>
  <c r="CX72" i="9"/>
  <c r="CY72" i="9" s="1"/>
  <c r="CX71" i="9"/>
  <c r="CY71" i="9" s="1"/>
  <c r="CX75" i="9"/>
  <c r="CY75" i="9" s="1"/>
  <c r="CX86" i="9"/>
  <c r="DA86" i="9" s="1"/>
  <c r="CX89" i="9"/>
  <c r="CY89" i="9" s="1"/>
  <c r="CX94" i="9"/>
  <c r="DA94" i="9" s="1"/>
  <c r="CX99" i="9"/>
  <c r="CY99" i="9" s="1"/>
  <c r="CX82" i="9"/>
  <c r="DA82" i="9" s="1"/>
  <c r="CX31" i="14"/>
  <c r="CY31" i="14" s="1"/>
  <c r="CR38" i="14"/>
  <c r="CS38" i="14" s="1"/>
  <c r="CX47" i="14"/>
  <c r="CY47" i="14" s="1"/>
  <c r="CX51" i="14"/>
  <c r="CY51" i="14" s="1"/>
  <c r="CX55" i="14"/>
  <c r="CY55" i="14" s="1"/>
  <c r="CX59" i="14"/>
  <c r="CY59" i="14" s="1"/>
  <c r="CX63" i="14"/>
  <c r="CY63" i="14" s="1"/>
  <c r="CX58" i="14"/>
  <c r="CY58" i="14" s="1"/>
  <c r="CX62" i="14"/>
  <c r="CY62" i="14" s="1"/>
  <c r="CX66" i="14"/>
  <c r="CY66" i="14" s="1"/>
  <c r="CX70" i="14"/>
  <c r="CY70" i="14" s="1"/>
  <c r="CX60" i="14"/>
  <c r="CY60" i="14" s="1"/>
  <c r="CX64" i="14"/>
  <c r="CY64" i="14" s="1"/>
  <c r="CX68" i="14"/>
  <c r="CY68" i="14" s="1"/>
  <c r="CX73" i="14"/>
  <c r="CY73" i="14" s="1"/>
  <c r="CX28" i="14"/>
  <c r="CY28" i="14" s="1"/>
  <c r="CX48" i="14"/>
  <c r="CY48" i="14" s="1"/>
  <c r="CX52" i="14"/>
  <c r="CY52" i="14" s="1"/>
  <c r="CX56" i="14"/>
  <c r="CY56" i="14" s="1"/>
  <c r="CX46" i="14"/>
  <c r="CY46" i="14" s="1"/>
  <c r="CX50" i="14"/>
  <c r="CY50" i="14" s="1"/>
  <c r="CX54" i="14"/>
  <c r="CY54" i="14" s="1"/>
  <c r="CZ23" i="14"/>
  <c r="CX49" i="9"/>
  <c r="CX38" i="14"/>
  <c r="CY38" i="14" s="1"/>
  <c r="CQ28" i="14"/>
  <c r="CW28" i="14" s="1"/>
  <c r="CZ28" i="14" s="1"/>
  <c r="DA99" i="9"/>
  <c r="DA71" i="9"/>
  <c r="CY96" i="9"/>
  <c r="CP33" i="14"/>
  <c r="CQ36" i="14"/>
  <c r="CW36" i="14" s="1"/>
  <c r="CZ36" i="14" s="1"/>
  <c r="CQ41" i="14"/>
  <c r="CQ35" i="14"/>
  <c r="CQ39" i="14"/>
  <c r="CQ38" i="14"/>
  <c r="CX67" i="9"/>
  <c r="CX83" i="9"/>
  <c r="CX76" i="9"/>
  <c r="CX84" i="9"/>
  <c r="CX87" i="9"/>
  <c r="CP40" i="14"/>
  <c r="CQ32" i="14"/>
  <c r="CQ34" i="14"/>
  <c r="CX68" i="9"/>
  <c r="CX73" i="9"/>
  <c r="CX78" i="9"/>
  <c r="CX88" i="9"/>
  <c r="CX90" i="9"/>
  <c r="CX93" i="9"/>
  <c r="CX100" i="9"/>
  <c r="CX45" i="14"/>
  <c r="CY45" i="14" s="1"/>
  <c r="CX49" i="14"/>
  <c r="CY49" i="14" s="1"/>
  <c r="CX53" i="14"/>
  <c r="CY53" i="14" s="1"/>
  <c r="CX57" i="14"/>
  <c r="CY57" i="14" s="1"/>
  <c r="CX61" i="14"/>
  <c r="CY61" i="14" s="1"/>
  <c r="CX65" i="14"/>
  <c r="CY65" i="14" s="1"/>
  <c r="CX69" i="14"/>
  <c r="CY69" i="14" s="1"/>
  <c r="CX72" i="14"/>
  <c r="CY72" i="14" s="1"/>
  <c r="CX91" i="9"/>
  <c r="CX95" i="9"/>
  <c r="CO15" i="14"/>
  <c r="CU15" i="14" s="1"/>
  <c r="CX71" i="14"/>
  <c r="CY71" i="14" s="1"/>
  <c r="CX62" i="9"/>
  <c r="CX77" i="9"/>
  <c r="CX66" i="9"/>
  <c r="CX70" i="9"/>
  <c r="CY92" i="9"/>
  <c r="CX97" i="9"/>
  <c r="CX98" i="9"/>
  <c r="CX67" i="14"/>
  <c r="CY67" i="14" s="1"/>
  <c r="CX31" i="1"/>
  <c r="CX35" i="1"/>
  <c r="CX24" i="1"/>
  <c r="CX23" i="1"/>
  <c r="CX16" i="1"/>
  <c r="CX19" i="1"/>
  <c r="FL27" i="11"/>
  <c r="FL18" i="11"/>
  <c r="FH26" i="11"/>
  <c r="FL24" i="11"/>
  <c r="FM17" i="11"/>
  <c r="FG26" i="11"/>
  <c r="FM22" i="11"/>
  <c r="FJ20" i="11"/>
  <c r="FM27" i="11"/>
  <c r="FG25" i="11"/>
  <c r="FF27" i="11"/>
  <c r="FH27" i="11"/>
  <c r="FK23" i="11"/>
  <c r="FK25" i="11"/>
  <c r="FK27" i="11"/>
  <c r="FG27" i="11"/>
  <c r="FM25" i="11"/>
  <c r="FL17" i="11"/>
  <c r="FF22" i="11"/>
  <c r="FG24" i="11"/>
  <c r="FM19" i="11"/>
  <c r="BL23" i="11"/>
  <c r="BL20" i="11"/>
  <c r="BL26" i="11"/>
  <c r="BL15" i="11"/>
  <c r="BL18" i="11"/>
  <c r="BL21" i="11"/>
  <c r="CB17" i="11"/>
  <c r="EP17" i="11" s="1"/>
  <c r="FV17" i="11" s="1"/>
  <c r="CB25" i="11"/>
  <c r="CK27" i="11"/>
  <c r="CN27" i="11" s="1"/>
  <c r="CQ50" i="9"/>
  <c r="CP50" i="9"/>
  <c r="CP39" i="9"/>
  <c r="CP59" i="9"/>
  <c r="CP36" i="9"/>
  <c r="CV36" i="9" s="1"/>
  <c r="CX36" i="9" s="1"/>
  <c r="CQ58" i="9"/>
  <c r="CP56" i="9"/>
  <c r="CR49" i="9"/>
  <c r="CQ52" i="9"/>
  <c r="CQ59" i="9"/>
  <c r="CQ47" i="9"/>
  <c r="CP55" i="9"/>
  <c r="CP58" i="9"/>
  <c r="CP30" i="9"/>
  <c r="CP45" i="9"/>
  <c r="CQ48" i="9"/>
  <c r="CQ55" i="9"/>
  <c r="CQ53" i="9"/>
  <c r="CP46" i="9"/>
  <c r="CP53" i="9"/>
  <c r="CQ49" i="9"/>
  <c r="CQ56" i="9"/>
  <c r="CP57" i="9"/>
  <c r="CP51" i="9"/>
  <c r="CQ51" i="9"/>
  <c r="CP44" i="9"/>
  <c r="CV44" i="9" s="1"/>
  <c r="CX44" i="9" s="1"/>
  <c r="CP54" i="9"/>
  <c r="CQ54" i="9"/>
  <c r="CQ57" i="9"/>
  <c r="CQ45" i="9"/>
  <c r="CP47" i="9"/>
  <c r="CP52" i="9"/>
  <c r="CP48" i="9"/>
  <c r="CQ46" i="9"/>
  <c r="FO18" i="10"/>
  <c r="BL19" i="10"/>
  <c r="BL22" i="10"/>
  <c r="BL17" i="10"/>
  <c r="BL23" i="10"/>
  <c r="BL24" i="10"/>
  <c r="CB25" i="10"/>
  <c r="BL21" i="10"/>
  <c r="BL18" i="10"/>
  <c r="BL20" i="10"/>
  <c r="CX44" i="14"/>
  <c r="CQ43" i="14"/>
  <c r="CQ42" i="14"/>
  <c r="CP36" i="14"/>
  <c r="CT36" i="14"/>
  <c r="CQ40" i="14"/>
  <c r="CW40" i="14" s="1"/>
  <c r="CZ40" i="14" s="1"/>
  <c r="CQ29" i="14"/>
  <c r="CW29" i="14" s="1"/>
  <c r="CZ29" i="14" s="1"/>
  <c r="CP42" i="14"/>
  <c r="CP43" i="14"/>
  <c r="CP41" i="14"/>
  <c r="CP37" i="14"/>
  <c r="CQ37" i="14"/>
  <c r="CQ30" i="14"/>
  <c r="CP34" i="14"/>
  <c r="CP30" i="14"/>
  <c r="CQ31" i="14"/>
  <c r="CP32" i="14"/>
  <c r="CP35" i="14"/>
  <c r="CP39" i="14"/>
  <c r="CP29" i="14"/>
  <c r="CV29" i="14" s="1"/>
  <c r="CX29" i="14" s="1"/>
  <c r="CY29" i="14" s="1"/>
  <c r="CQ33" i="14"/>
  <c r="CP23" i="14"/>
  <c r="CV23" i="14" s="1"/>
  <c r="CX23" i="14" s="1"/>
  <c r="CY23" i="14" s="1"/>
  <c r="CB24" i="10"/>
  <c r="FD15" i="12"/>
  <c r="GJ15" i="12" s="1"/>
  <c r="BR17" i="11"/>
  <c r="FC15" i="12"/>
  <c r="FS15" i="12" s="1"/>
  <c r="FU27" i="11"/>
  <c r="EO15" i="12"/>
  <c r="GK15" i="12" s="1"/>
  <c r="CQ27" i="9"/>
  <c r="CP19" i="9"/>
  <c r="CP26" i="9"/>
  <c r="CQ21" i="9"/>
  <c r="CQ26" i="9"/>
  <c r="CP22" i="9"/>
  <c r="CP24" i="9"/>
  <c r="CC18" i="11"/>
  <c r="EQ18" i="11" s="1"/>
  <c r="FW18" i="11" s="1"/>
  <c r="OE23" i="11"/>
  <c r="OI17" i="11"/>
  <c r="OK24" i="11"/>
  <c r="OG19" i="11"/>
  <c r="CF22" i="10"/>
  <c r="CB19" i="10"/>
  <c r="CB20" i="10"/>
  <c r="CB18" i="10"/>
  <c r="CF20" i="10"/>
  <c r="CB17" i="10"/>
  <c r="CD20" i="10"/>
  <c r="CH23" i="10"/>
  <c r="CC18" i="10"/>
  <c r="CB16" i="10"/>
  <c r="CD17" i="10"/>
  <c r="BM24" i="10"/>
  <c r="CH18" i="10"/>
  <c r="CF23" i="10"/>
  <c r="CB21" i="10"/>
  <c r="CC21" i="10"/>
  <c r="CC17" i="10"/>
  <c r="CC16" i="10"/>
  <c r="BM18" i="10"/>
  <c r="CG22" i="10"/>
  <c r="CG23" i="10"/>
  <c r="CF19" i="10"/>
  <c r="CP26" i="1"/>
  <c r="CR26" i="1" s="1"/>
  <c r="CS26" i="1" s="1"/>
  <c r="GK24" i="10"/>
  <c r="GJ22" i="10"/>
  <c r="FU20" i="10"/>
  <c r="CD19" i="10"/>
  <c r="GK19" i="10"/>
  <c r="CR42" i="9"/>
  <c r="CS42" i="9" s="1"/>
  <c r="GI17" i="10"/>
  <c r="OE17" i="11"/>
  <c r="NP17" i="11"/>
  <c r="OF17" i="11"/>
  <c r="NP23" i="11"/>
  <c r="OF23" i="11"/>
  <c r="NP22" i="11"/>
  <c r="OF22" i="11"/>
  <c r="OE16" i="11"/>
  <c r="NS19" i="11"/>
  <c r="OI19" i="11"/>
  <c r="NQ23" i="11"/>
  <c r="OG23" i="11"/>
  <c r="OI18" i="11"/>
  <c r="NU23" i="11"/>
  <c r="OK23" i="11"/>
  <c r="NO27" i="11"/>
  <c r="OE27" i="11"/>
  <c r="NS25" i="11"/>
  <c r="OI25" i="11"/>
  <c r="NU22" i="11"/>
  <c r="OK22" i="11"/>
  <c r="NU20" i="11"/>
  <c r="OK20" i="11"/>
  <c r="OJ23" i="11"/>
  <c r="NO26" i="11"/>
  <c r="OE26" i="11"/>
  <c r="NS24" i="11"/>
  <c r="OI24" i="11"/>
  <c r="NS23" i="11"/>
  <c r="OI23" i="11"/>
  <c r="NQ18" i="11"/>
  <c r="OG18" i="11"/>
  <c r="NQ20" i="11"/>
  <c r="OG20" i="11"/>
  <c r="NO24" i="11"/>
  <c r="OE24" i="11"/>
  <c r="OE19" i="11"/>
  <c r="NT20" i="11"/>
  <c r="OJ20" i="11"/>
  <c r="NU18" i="11"/>
  <c r="OK18" i="11"/>
  <c r="NQ24" i="11"/>
  <c r="OG24" i="11"/>
  <c r="NU16" i="11"/>
  <c r="OK16" i="11"/>
  <c r="NQ17" i="11"/>
  <c r="OG17" i="11"/>
  <c r="NU25" i="11"/>
  <c r="FS18" i="11"/>
  <c r="CF26" i="11"/>
  <c r="ET26" i="11" s="1"/>
  <c r="FZ26" i="11" s="1"/>
  <c r="CF21" i="11"/>
  <c r="ET21" i="11" s="1"/>
  <c r="FZ21" i="11" s="1"/>
  <c r="CB26" i="11"/>
  <c r="GC26" i="11"/>
  <c r="CP40" i="9"/>
  <c r="CP38" i="9"/>
  <c r="CP41" i="9"/>
  <c r="CQ37" i="9"/>
  <c r="CP43" i="9"/>
  <c r="CP37" i="9"/>
  <c r="CR31" i="9"/>
  <c r="CS31" i="9" s="1"/>
  <c r="CQ44" i="9"/>
  <c r="CQ39" i="9"/>
  <c r="CQ40" i="9"/>
  <c r="CQ42" i="9"/>
  <c r="CQ38" i="9"/>
  <c r="CQ43" i="9"/>
  <c r="CQ41" i="9"/>
  <c r="CH25" i="11"/>
  <c r="EV25" i="11" s="1"/>
  <c r="GB25" i="11" s="1"/>
  <c r="CT28" i="14"/>
  <c r="CH20" i="10"/>
  <c r="CG21" i="10"/>
  <c r="CD16" i="10"/>
  <c r="CC20" i="10"/>
  <c r="CC19" i="10"/>
  <c r="CD25" i="10"/>
  <c r="CG16" i="10"/>
  <c r="CD23" i="10"/>
  <c r="CC23" i="10"/>
  <c r="BR20" i="10"/>
  <c r="CD24" i="10"/>
  <c r="CG24" i="10"/>
  <c r="CH19" i="10"/>
  <c r="CB22" i="10"/>
  <c r="CG25" i="10"/>
  <c r="CF25" i="10"/>
  <c r="CH20" i="11"/>
  <c r="EV20" i="11" s="1"/>
  <c r="GB20" i="11" s="1"/>
  <c r="CH23" i="11"/>
  <c r="EV23" i="11" s="1"/>
  <c r="GB23" i="11" s="1"/>
  <c r="EY15" i="12"/>
  <c r="CP25" i="9"/>
  <c r="CP35" i="9"/>
  <c r="NT18" i="11"/>
  <c r="FO18" i="11"/>
  <c r="CP33" i="9"/>
  <c r="CP17" i="9"/>
  <c r="CP23" i="9"/>
  <c r="CP28" i="9"/>
  <c r="CP18" i="9"/>
  <c r="CQ33" i="9"/>
  <c r="CQ15" i="9"/>
  <c r="CP34" i="9"/>
  <c r="CP21" i="9"/>
  <c r="CP20" i="9"/>
  <c r="CP16" i="9"/>
  <c r="CQ20" i="9"/>
  <c r="CQ31" i="9"/>
  <c r="CP27" i="9"/>
  <c r="CQ16" i="9"/>
  <c r="CQ22" i="9"/>
  <c r="CQ34" i="9"/>
  <c r="CQ17" i="9"/>
  <c r="CQ23" i="9"/>
  <c r="CQ28" i="9"/>
  <c r="CQ35" i="9"/>
  <c r="CQ24" i="9"/>
  <c r="CP32" i="9"/>
  <c r="CQ18" i="9"/>
  <c r="CQ25" i="9"/>
  <c r="CQ30" i="9"/>
  <c r="CQ36" i="9"/>
  <c r="CP29" i="9"/>
  <c r="CP15" i="9"/>
  <c r="CQ19" i="9"/>
  <c r="CQ32" i="9"/>
  <c r="CQ29" i="9"/>
  <c r="NP19" i="11"/>
  <c r="CC19" i="11"/>
  <c r="EQ19" i="11" s="1"/>
  <c r="FW19" i="11" s="1"/>
  <c r="BM25" i="11"/>
  <c r="CS64" i="9"/>
  <c r="CS79" i="9"/>
  <c r="CQ26" i="1"/>
  <c r="CT26" i="1" s="1"/>
  <c r="CQ33" i="1"/>
  <c r="CT33" i="1" s="1"/>
  <c r="CQ35" i="1"/>
  <c r="CT35" i="1" s="1"/>
  <c r="CF17" i="11"/>
  <c r="ET17" i="11" s="1"/>
  <c r="FZ17" i="11" s="1"/>
  <c r="CP21" i="1"/>
  <c r="CR21" i="1" s="1"/>
  <c r="CS21" i="1" s="1"/>
  <c r="BR23" i="11"/>
  <c r="CG17" i="10"/>
  <c r="CP18" i="1"/>
  <c r="CR18" i="1" s="1"/>
  <c r="CS18" i="1" s="1"/>
  <c r="CQ20" i="1"/>
  <c r="CT20" i="1" s="1"/>
  <c r="CQ18" i="14"/>
  <c r="CQ16" i="14"/>
  <c r="CQ18" i="1"/>
  <c r="CT18" i="1" s="1"/>
  <c r="CB23" i="10"/>
  <c r="CG21" i="11"/>
  <c r="EU21" i="11" s="1"/>
  <c r="GA21" i="11" s="1"/>
  <c r="CH24" i="10"/>
  <c r="CC23" i="11"/>
  <c r="EQ23" i="11" s="1"/>
  <c r="FW23" i="11" s="1"/>
  <c r="FQ22" i="11"/>
  <c r="CG17" i="11"/>
  <c r="EU17" i="11" s="1"/>
  <c r="GA17" i="11" s="1"/>
  <c r="CD18" i="11"/>
  <c r="ER18" i="11" s="1"/>
  <c r="FX18" i="11" s="1"/>
  <c r="CH21" i="11"/>
  <c r="EV21" i="11" s="1"/>
  <c r="GB21" i="11" s="1"/>
  <c r="FT27" i="11"/>
  <c r="GC24" i="11"/>
  <c r="NT25" i="11"/>
  <c r="CH16" i="11"/>
  <c r="EV16" i="11" s="1"/>
  <c r="GB16" i="11" s="1"/>
  <c r="CP17" i="14"/>
  <c r="CP19" i="14"/>
  <c r="CS80" i="9"/>
  <c r="GE18" i="10"/>
  <c r="KO18" i="10" s="1"/>
  <c r="KQ18" i="10" s="1"/>
  <c r="KR18" i="10" s="1"/>
  <c r="CC21" i="11"/>
  <c r="EQ21" i="11" s="1"/>
  <c r="FW21" i="11" s="1"/>
  <c r="CP23" i="1"/>
  <c r="CR23" i="1" s="1"/>
  <c r="CS23" i="1" s="1"/>
  <c r="CQ32" i="1"/>
  <c r="CT32" i="1" s="1"/>
  <c r="NO17" i="11"/>
  <c r="CP20" i="1"/>
  <c r="CR20" i="1" s="1"/>
  <c r="CS20" i="1" s="1"/>
  <c r="GC20" i="11"/>
  <c r="CP17" i="1"/>
  <c r="BQ17" i="11"/>
  <c r="BR18" i="11"/>
  <c r="BP17" i="11"/>
  <c r="BL25" i="11"/>
  <c r="CF16" i="11"/>
  <c r="ET16" i="11" s="1"/>
  <c r="FZ16" i="11" s="1"/>
  <c r="CC17" i="11"/>
  <c r="CD20" i="11"/>
  <c r="ER20" i="11" s="1"/>
  <c r="FX20" i="11" s="1"/>
  <c r="CG26" i="11"/>
  <c r="EU26" i="11" s="1"/>
  <c r="GA26" i="11" s="1"/>
  <c r="CG24" i="11"/>
  <c r="EU24" i="11" s="1"/>
  <c r="GA24" i="11" s="1"/>
  <c r="CQ25" i="14"/>
  <c r="CP24" i="14"/>
  <c r="CD22" i="10"/>
  <c r="CP18" i="14"/>
  <c r="CH16" i="10"/>
  <c r="CP24" i="1"/>
  <c r="CR24" i="1" s="1"/>
  <c r="CS24" i="1" s="1"/>
  <c r="CQ17" i="1"/>
  <c r="CT17" i="1" s="1"/>
  <c r="CQ31" i="1"/>
  <c r="CT31" i="1" s="1"/>
  <c r="CP16" i="14"/>
  <c r="GK17" i="10"/>
  <c r="GJ21" i="10"/>
  <c r="GJ18" i="10"/>
  <c r="CQ21" i="14"/>
  <c r="CP22" i="14"/>
  <c r="CQ24" i="14"/>
  <c r="CQ22" i="14"/>
  <c r="CQ17" i="14"/>
  <c r="CP25" i="14"/>
  <c r="GJ23" i="10"/>
  <c r="GI19" i="10"/>
  <c r="CR20" i="14"/>
  <c r="CS20" i="14" s="1"/>
  <c r="CP21" i="14"/>
  <c r="FO25" i="10"/>
  <c r="GE25" i="10"/>
  <c r="KO25" i="10" s="1"/>
  <c r="KQ25" i="10" s="1"/>
  <c r="KR25" i="10" s="1"/>
  <c r="GC21" i="11"/>
  <c r="CQ20" i="14"/>
  <c r="CT23" i="14"/>
  <c r="CC20" i="11"/>
  <c r="EQ20" i="11" s="1"/>
  <c r="FW20" i="11" s="1"/>
  <c r="CQ19" i="14"/>
  <c r="NO21" i="11"/>
  <c r="CF27" i="11"/>
  <c r="ET27" i="11" s="1"/>
  <c r="FZ27" i="11" s="1"/>
  <c r="CB16" i="11"/>
  <c r="EP16" i="11" s="1"/>
  <c r="FV16" i="11" s="1"/>
  <c r="BQ23" i="10"/>
  <c r="CQ23" i="1"/>
  <c r="CT23" i="1" s="1"/>
  <c r="CP31" i="1"/>
  <c r="CR31" i="1" s="1"/>
  <c r="CS31" i="1" s="1"/>
  <c r="CP25" i="1"/>
  <c r="CR25" i="1" s="1"/>
  <c r="CS25" i="1" s="1"/>
  <c r="CP19" i="1"/>
  <c r="CR19" i="1" s="1"/>
  <c r="CS19" i="1" s="1"/>
  <c r="CQ28" i="1"/>
  <c r="CT28" i="1" s="1"/>
  <c r="CQ27" i="1"/>
  <c r="CT27" i="1" s="1"/>
  <c r="CQ29" i="1"/>
  <c r="CT29" i="1" s="1"/>
  <c r="CQ22" i="1"/>
  <c r="CT22" i="1" s="1"/>
  <c r="CH21" i="10"/>
  <c r="CS71" i="9"/>
  <c r="CP28" i="1"/>
  <c r="CR28" i="1" s="1"/>
  <c r="CS28" i="1" s="1"/>
  <c r="BL25" i="10"/>
  <c r="BR17" i="10"/>
  <c r="CH17" i="10"/>
  <c r="CP33" i="1"/>
  <c r="CR33" i="1" s="1"/>
  <c r="CS33" i="1" s="1"/>
  <c r="CP30" i="1"/>
  <c r="CR30" i="1" s="1"/>
  <c r="CS30" i="1" s="1"/>
  <c r="CF17" i="10"/>
  <c r="CP32" i="1"/>
  <c r="CR32" i="1" s="1"/>
  <c r="CS32" i="1" s="1"/>
  <c r="CQ25" i="1"/>
  <c r="CT25" i="1" s="1"/>
  <c r="OG15" i="11"/>
  <c r="OI15" i="11"/>
  <c r="CS92" i="9"/>
  <c r="FP27" i="11"/>
  <c r="CS86" i="9"/>
  <c r="CS67" i="9"/>
  <c r="CS95" i="9"/>
  <c r="CS84" i="9"/>
  <c r="CS88" i="9"/>
  <c r="CS87" i="9"/>
  <c r="BR24" i="11"/>
  <c r="CS98" i="9"/>
  <c r="CF24" i="11"/>
  <c r="ET24" i="11" s="1"/>
  <c r="FZ24" i="11" s="1"/>
  <c r="CS75" i="9"/>
  <c r="BL17" i="11"/>
  <c r="BL16" i="11"/>
  <c r="NP15" i="11"/>
  <c r="BR20" i="11"/>
  <c r="CS99" i="9"/>
  <c r="BM27" i="11"/>
  <c r="CD21" i="11"/>
  <c r="ER21" i="11" s="1"/>
  <c r="FX21" i="11" s="1"/>
  <c r="CS73" i="14"/>
  <c r="CS55" i="14"/>
  <c r="DA57" i="14"/>
  <c r="DA62" i="14"/>
  <c r="FS23" i="10"/>
  <c r="DA54" i="14"/>
  <c r="CS44" i="14"/>
  <c r="DA64" i="14"/>
  <c r="CS91" i="9"/>
  <c r="BR16" i="11"/>
  <c r="FP19" i="11"/>
  <c r="CF22" i="11"/>
  <c r="ET22" i="11" s="1"/>
  <c r="FZ22" i="11" s="1"/>
  <c r="CB18" i="11"/>
  <c r="NU24" i="11"/>
  <c r="BM26" i="11"/>
  <c r="CB20" i="11"/>
  <c r="EP20" i="11" s="1"/>
  <c r="FV20" i="11" s="1"/>
  <c r="DA61" i="14"/>
  <c r="DA72" i="14"/>
  <c r="CS45" i="14"/>
  <c r="CS75" i="14"/>
  <c r="CS66" i="14"/>
  <c r="CS49" i="14"/>
  <c r="DA52" i="14"/>
  <c r="DA77" i="14"/>
  <c r="CS76" i="14"/>
  <c r="DA51" i="14"/>
  <c r="CS58" i="14"/>
  <c r="DA82" i="14"/>
  <c r="BR15" i="14"/>
  <c r="CS60" i="14"/>
  <c r="DA79" i="14"/>
  <c r="DA63" i="14"/>
  <c r="CS80" i="14"/>
  <c r="CS69" i="14"/>
  <c r="CS74" i="14"/>
  <c r="CS46" i="14"/>
  <c r="DA67" i="14"/>
  <c r="DA50" i="14"/>
  <c r="DA68" i="14"/>
  <c r="DA78" i="14"/>
  <c r="DA53" i="14"/>
  <c r="DA70" i="14"/>
  <c r="DA65" i="14"/>
  <c r="CS81" i="14"/>
  <c r="DA47" i="14"/>
  <c r="DA71" i="14"/>
  <c r="DA56" i="14"/>
  <c r="BP22" i="10"/>
  <c r="FP21" i="10"/>
  <c r="BN22" i="10"/>
  <c r="CR29" i="1"/>
  <c r="CS29" i="1" s="1"/>
  <c r="BP25" i="10"/>
  <c r="CF21" i="10"/>
  <c r="BP21" i="10"/>
  <c r="BP17" i="10"/>
  <c r="CC22" i="10"/>
  <c r="BM22" i="10"/>
  <c r="BP24" i="10"/>
  <c r="CF24" i="10"/>
  <c r="CF16" i="10"/>
  <c r="CF18" i="10"/>
  <c r="BR22" i="10"/>
  <c r="CH22" i="10"/>
  <c r="BQ19" i="10"/>
  <c r="CG19" i="10"/>
  <c r="CQ16" i="1"/>
  <c r="CT16" i="1" s="1"/>
  <c r="CG18" i="10"/>
  <c r="BN21" i="10"/>
  <c r="CD21" i="10"/>
  <c r="CR35" i="1"/>
  <c r="CS35" i="1" s="1"/>
  <c r="CQ24" i="1"/>
  <c r="CT24" i="1" s="1"/>
  <c r="CP22" i="1"/>
  <c r="CP34" i="1"/>
  <c r="CR34" i="1" s="1"/>
  <c r="CS34" i="1" s="1"/>
  <c r="CB24" i="11"/>
  <c r="BL24" i="11"/>
  <c r="GC18" i="11"/>
  <c r="GC16" i="11"/>
  <c r="NS18" i="11"/>
  <c r="NS27" i="11"/>
  <c r="NT24" i="11"/>
  <c r="CH19" i="11"/>
  <c r="EV19" i="11" s="1"/>
  <c r="GB19" i="11" s="1"/>
  <c r="BR19" i="11"/>
  <c r="BR26" i="11"/>
  <c r="CH26" i="11"/>
  <c r="EV26" i="11" s="1"/>
  <c r="GB26" i="11" s="1"/>
  <c r="CF25" i="11"/>
  <c r="ET25" i="11" s="1"/>
  <c r="FZ25" i="11" s="1"/>
  <c r="NP18" i="11"/>
  <c r="CC22" i="11"/>
  <c r="NS17" i="11"/>
  <c r="NQ25" i="11"/>
  <c r="CG20" i="11"/>
  <c r="EU20" i="11" s="1"/>
  <c r="GA20" i="11" s="1"/>
  <c r="GC23" i="11"/>
  <c r="NQ19" i="11"/>
  <c r="BN20" i="11"/>
  <c r="CD17" i="11"/>
  <c r="ER17" i="11" s="1"/>
  <c r="FX17" i="11" s="1"/>
  <c r="CF18" i="11"/>
  <c r="ET18" i="11" s="1"/>
  <c r="FZ18" i="11" s="1"/>
  <c r="CB19" i="11"/>
  <c r="NT23" i="11"/>
  <c r="CG18" i="11"/>
  <c r="EU18" i="11" s="1"/>
  <c r="GA18" i="11" s="1"/>
  <c r="BQ18" i="11"/>
  <c r="CG22" i="11"/>
  <c r="EU22" i="11" s="1"/>
  <c r="GA22" i="11" s="1"/>
  <c r="BQ22" i="11"/>
  <c r="CG19" i="11"/>
  <c r="EU19" i="11" s="1"/>
  <c r="GA19" i="11" s="1"/>
  <c r="CR28" i="14"/>
  <c r="CS28" i="14" s="1"/>
  <c r="GJ19" i="10"/>
  <c r="FT19" i="10"/>
  <c r="FP23" i="10"/>
  <c r="AJ15" i="12"/>
  <c r="CF15" i="12" s="1"/>
  <c r="BL19" i="11"/>
  <c r="CB21" i="11"/>
  <c r="EP21" i="11" s="1"/>
  <c r="FV21" i="11" s="1"/>
  <c r="NO22" i="11"/>
  <c r="CB23" i="11"/>
  <c r="NO19" i="11"/>
  <c r="NO16" i="11"/>
  <c r="NO23" i="11"/>
  <c r="NP21" i="11"/>
  <c r="NP20" i="11"/>
  <c r="CC16" i="11"/>
  <c r="EQ16" i="11" s="1"/>
  <c r="FW16" i="11" s="1"/>
  <c r="BM16" i="11"/>
  <c r="NP27" i="11"/>
  <c r="NP26" i="11"/>
  <c r="NP24" i="11"/>
  <c r="BM20" i="11"/>
  <c r="BP18" i="11"/>
  <c r="BP27" i="11"/>
  <c r="NS21" i="11"/>
  <c r="BP19" i="11"/>
  <c r="CF19" i="11"/>
  <c r="ET19" i="11" s="1"/>
  <c r="FZ19" i="11" s="1"/>
  <c r="CF23" i="11"/>
  <c r="ET23" i="11" s="1"/>
  <c r="FZ23" i="11" s="1"/>
  <c r="BP23" i="11"/>
  <c r="BP25" i="11"/>
  <c r="BP16" i="11"/>
  <c r="CD25" i="11"/>
  <c r="ER25" i="11" s="1"/>
  <c r="FX25" i="11" s="1"/>
  <c r="BN25" i="11"/>
  <c r="BN19" i="11"/>
  <c r="CD19" i="11"/>
  <c r="ER19" i="11" s="1"/>
  <c r="FX19" i="11" s="1"/>
  <c r="BN22" i="11"/>
  <c r="CD22" i="11"/>
  <c r="ER22" i="11" s="1"/>
  <c r="FX22" i="11" s="1"/>
  <c r="CD23" i="11"/>
  <c r="ER23" i="11" s="1"/>
  <c r="FX23" i="11" s="1"/>
  <c r="BN18" i="11"/>
  <c r="CD24" i="11"/>
  <c r="ER24" i="11" s="1"/>
  <c r="FX24" i="11" s="1"/>
  <c r="BN24" i="11"/>
  <c r="BN27" i="11"/>
  <c r="CC15" i="11"/>
  <c r="EQ15" i="11" s="1"/>
  <c r="FW15" i="11" s="1"/>
  <c r="CD15" i="11"/>
  <c r="ER15" i="11" s="1"/>
  <c r="FX15" i="11" s="1"/>
  <c r="BM15" i="11"/>
  <c r="FS22" i="10"/>
  <c r="FS21" i="10"/>
  <c r="FS24" i="10"/>
  <c r="AW15" i="12"/>
  <c r="CC15" i="12" s="1"/>
  <c r="CQ34" i="1"/>
  <c r="CT34" i="1" s="1"/>
  <c r="BM16" i="10"/>
  <c r="CT21" i="1"/>
  <c r="AH15" i="12"/>
  <c r="CD15" i="12" s="1"/>
  <c r="CR27" i="1"/>
  <c r="CS27" i="1" s="1"/>
  <c r="CR16" i="1"/>
  <c r="CS16" i="1" s="1"/>
  <c r="BL16" i="10"/>
  <c r="CT30" i="1"/>
  <c r="CQ19" i="1"/>
  <c r="CT19" i="1" s="1"/>
  <c r="BA15" i="12"/>
  <c r="CG15" i="12" s="1"/>
  <c r="CG15" i="10"/>
  <c r="CS63" i="9"/>
  <c r="DA59" i="14"/>
  <c r="DA48" i="14"/>
  <c r="GI15" i="10"/>
  <c r="FS15" i="10"/>
  <c r="FT15" i="10"/>
  <c r="FP15" i="10"/>
  <c r="BQ15" i="10"/>
  <c r="NO15" i="11"/>
  <c r="CD15" i="14"/>
  <c r="BN15" i="14"/>
  <c r="BP16" i="10"/>
  <c r="CG15" i="11"/>
  <c r="EU15" i="11" s="1"/>
  <c r="GA15" i="11" s="1"/>
  <c r="CF15" i="11"/>
  <c r="ET15" i="11" s="1"/>
  <c r="FZ15" i="11" s="1"/>
  <c r="FQ19" i="10"/>
  <c r="CH25" i="10"/>
  <c r="GG15" i="10"/>
  <c r="FQ15" i="10"/>
  <c r="BN15" i="11"/>
  <c r="BP15" i="10"/>
  <c r="BQ16" i="11"/>
  <c r="CG16" i="11"/>
  <c r="EU16" i="11" s="1"/>
  <c r="GA16" i="11" s="1"/>
  <c r="FA15" i="12"/>
  <c r="EK15" i="12"/>
  <c r="GK15" i="10"/>
  <c r="FU15" i="10"/>
  <c r="CC15" i="10"/>
  <c r="CD16" i="11"/>
  <c r="ER16" i="11" s="1"/>
  <c r="FX16" i="11" s="1"/>
  <c r="BN16" i="11"/>
  <c r="FU15" i="12"/>
  <c r="FS27" i="11"/>
  <c r="GF15" i="12"/>
  <c r="CD15" i="10"/>
  <c r="FU19" i="11"/>
  <c r="CH15" i="11"/>
  <c r="CB15" i="11"/>
  <c r="EP15" i="11" s="1"/>
  <c r="FV15" i="11" s="1"/>
  <c r="FP15" i="12"/>
  <c r="FO15" i="11"/>
  <c r="CS49" i="9"/>
  <c r="CS81" i="9"/>
  <c r="CS77" i="9"/>
  <c r="CS73" i="9"/>
  <c r="CS69" i="9"/>
  <c r="CS89" i="9"/>
  <c r="CS85" i="9"/>
  <c r="CS65" i="9"/>
  <c r="CS97" i="9"/>
  <c r="CS61" i="9"/>
  <c r="CS93" i="9"/>
  <c r="BM25" i="10"/>
  <c r="CC25" i="10"/>
  <c r="CY26" i="1" l="1"/>
  <c r="CY27" i="1"/>
  <c r="CO23" i="12"/>
  <c r="CJ19" i="12"/>
  <c r="CL19" i="12" s="1"/>
  <c r="CM19" i="12" s="1"/>
  <c r="CO18" i="12"/>
  <c r="CJ22" i="12"/>
  <c r="CL22" i="12" s="1"/>
  <c r="CM22" i="12" s="1"/>
  <c r="CJ17" i="12"/>
  <c r="CL17" i="12" s="1"/>
  <c r="CM17" i="12" s="1"/>
  <c r="CP16" i="12"/>
  <c r="CP22" i="12"/>
  <c r="CR22" i="12" s="1"/>
  <c r="CS22" i="12" s="1"/>
  <c r="CP21" i="12"/>
  <c r="CJ21" i="12"/>
  <c r="CL21" i="12" s="1"/>
  <c r="CM21" i="12" s="1"/>
  <c r="CP23" i="12"/>
  <c r="CR23" i="12" s="1"/>
  <c r="CS23" i="12" s="1"/>
  <c r="CJ23" i="12"/>
  <c r="CL23" i="12" s="1"/>
  <c r="CM23" i="12" s="1"/>
  <c r="CP18" i="12"/>
  <c r="CR18" i="12" s="1"/>
  <c r="CS18" i="12" s="1"/>
  <c r="CQ16" i="12"/>
  <c r="CT16" i="12" s="1"/>
  <c r="CK16" i="12"/>
  <c r="CN16" i="12" s="1"/>
  <c r="CB21" i="12"/>
  <c r="CO21" i="12"/>
  <c r="CP24" i="12"/>
  <c r="CJ24" i="12"/>
  <c r="CL24" i="12" s="1"/>
  <c r="CM24" i="12" s="1"/>
  <c r="BQ20" i="12"/>
  <c r="CP20" i="12" s="1"/>
  <c r="CC24" i="12"/>
  <c r="CJ20" i="12"/>
  <c r="CL20" i="12" s="1"/>
  <c r="CM20" i="12" s="1"/>
  <c r="CJ18" i="12"/>
  <c r="CL18" i="12" s="1"/>
  <c r="CM18" i="12" s="1"/>
  <c r="CJ16" i="12"/>
  <c r="CL16" i="12" s="1"/>
  <c r="CM16" i="12" s="1"/>
  <c r="CD18" i="12"/>
  <c r="CR16" i="12"/>
  <c r="CS16" i="12" s="1"/>
  <c r="CO20" i="12"/>
  <c r="CC20" i="12"/>
  <c r="CG20" i="12"/>
  <c r="CP17" i="12"/>
  <c r="CQ22" i="12"/>
  <c r="CT22" i="12" s="1"/>
  <c r="CK22" i="12"/>
  <c r="CN22" i="12" s="1"/>
  <c r="CC21" i="12"/>
  <c r="CC23" i="12"/>
  <c r="CQ19" i="12"/>
  <c r="CT19" i="12" s="1"/>
  <c r="CK19" i="12"/>
  <c r="CN19" i="12" s="1"/>
  <c r="CB17" i="12"/>
  <c r="CO17" i="12"/>
  <c r="CO24" i="12"/>
  <c r="CB24" i="12"/>
  <c r="CP19" i="12"/>
  <c r="CR19" i="12" s="1"/>
  <c r="CS19" i="12" s="1"/>
  <c r="DA69" i="9"/>
  <c r="GM20" i="10"/>
  <c r="GO20" i="10" s="1"/>
  <c r="GP20" i="10" s="1"/>
  <c r="GM16" i="10"/>
  <c r="GO16" i="10" s="1"/>
  <c r="GP16" i="10" s="1"/>
  <c r="GM17" i="10"/>
  <c r="GO17" i="10" s="1"/>
  <c r="GP17" i="10" s="1"/>
  <c r="GM19" i="10"/>
  <c r="GO19" i="10" s="1"/>
  <c r="GP19" i="10" s="1"/>
  <c r="GM21" i="10"/>
  <c r="GO21" i="10" s="1"/>
  <c r="GP21" i="10" s="1"/>
  <c r="GM22" i="10"/>
  <c r="GO22" i="10" s="1"/>
  <c r="GP22" i="10" s="1"/>
  <c r="GM24" i="10"/>
  <c r="GO24" i="10" s="1"/>
  <c r="GP24" i="10" s="1"/>
  <c r="GM23" i="10"/>
  <c r="GO23" i="10" s="1"/>
  <c r="GP23" i="10" s="1"/>
  <c r="GM18" i="10"/>
  <c r="GO18" i="10" s="1"/>
  <c r="GP18" i="10" s="1"/>
  <c r="GM25" i="10"/>
  <c r="GO25" i="10" s="1"/>
  <c r="GP25" i="10" s="1"/>
  <c r="CW25" i="10"/>
  <c r="DA64" i="9"/>
  <c r="EV15" i="11"/>
  <c r="GB15" i="11" s="1"/>
  <c r="CY61" i="9"/>
  <c r="CY60" i="9"/>
  <c r="CR23" i="14"/>
  <c r="CS23" i="14" s="1"/>
  <c r="DA89" i="9"/>
  <c r="DA74" i="9"/>
  <c r="CR44" i="9"/>
  <c r="CS44" i="9" s="1"/>
  <c r="CY94" i="9"/>
  <c r="CR36" i="9"/>
  <c r="CS36" i="9" s="1"/>
  <c r="DA72" i="9"/>
  <c r="CY65" i="9"/>
  <c r="FO15" i="12"/>
  <c r="GE15" i="12"/>
  <c r="CY79" i="9"/>
  <c r="DA81" i="9"/>
  <c r="CY86" i="9"/>
  <c r="DA80" i="9"/>
  <c r="DA75" i="9"/>
  <c r="DA63" i="9"/>
  <c r="CY85" i="9"/>
  <c r="CY82" i="9"/>
  <c r="CY44" i="9"/>
  <c r="CY36" i="9"/>
  <c r="CR21" i="14"/>
  <c r="CS21" i="14" s="1"/>
  <c r="CV21" i="14"/>
  <c r="CX21" i="14" s="1"/>
  <c r="CY21" i="14" s="1"/>
  <c r="CT16" i="14"/>
  <c r="CW16" i="14"/>
  <c r="CZ16" i="14" s="1"/>
  <c r="CT32" i="9"/>
  <c r="CW32" i="9"/>
  <c r="CZ32" i="9" s="1"/>
  <c r="CT36" i="9"/>
  <c r="CW36" i="9"/>
  <c r="CZ36" i="9" s="1"/>
  <c r="CR32" i="9"/>
  <c r="CS32" i="9" s="1"/>
  <c r="CV32" i="9"/>
  <c r="CX32" i="9" s="1"/>
  <c r="CT23" i="9"/>
  <c r="CW23" i="9"/>
  <c r="CZ23" i="9" s="1"/>
  <c r="CT16" i="9"/>
  <c r="CW16" i="9"/>
  <c r="CZ16" i="9" s="1"/>
  <c r="CR16" i="9"/>
  <c r="CS16" i="9" s="1"/>
  <c r="CV16" i="9"/>
  <c r="CX16" i="9" s="1"/>
  <c r="CR34" i="9"/>
  <c r="CS34" i="9" s="1"/>
  <c r="CV34" i="9"/>
  <c r="CX34" i="9" s="1"/>
  <c r="CR28" i="9"/>
  <c r="CS28" i="9" s="1"/>
  <c r="CV28" i="9"/>
  <c r="CX28" i="9" s="1"/>
  <c r="CR25" i="9"/>
  <c r="CS25" i="9" s="1"/>
  <c r="CV25" i="9"/>
  <c r="CX25" i="9" s="1"/>
  <c r="CT38" i="9"/>
  <c r="CW38" i="9"/>
  <c r="CZ38" i="9" s="1"/>
  <c r="CT44" i="9"/>
  <c r="CW44" i="9"/>
  <c r="CZ44" i="9" s="1"/>
  <c r="CT37" i="9"/>
  <c r="CW37" i="9"/>
  <c r="CZ37" i="9" s="1"/>
  <c r="CT26" i="9"/>
  <c r="CW26" i="9"/>
  <c r="CZ26" i="9" s="1"/>
  <c r="CR35" i="14"/>
  <c r="CS35" i="14" s="1"/>
  <c r="CV35" i="14"/>
  <c r="CX35" i="14" s="1"/>
  <c r="CY35" i="14" s="1"/>
  <c r="CR34" i="14"/>
  <c r="CS34" i="14" s="1"/>
  <c r="CV34" i="14"/>
  <c r="CX34" i="14" s="1"/>
  <c r="CY34" i="14" s="1"/>
  <c r="CR41" i="14"/>
  <c r="CS41" i="14" s="1"/>
  <c r="CV41" i="14"/>
  <c r="CX41" i="14" s="1"/>
  <c r="CY41" i="14" s="1"/>
  <c r="CR48" i="9"/>
  <c r="CS48" i="9" s="1"/>
  <c r="CV48" i="9"/>
  <c r="CX48" i="9" s="1"/>
  <c r="CT57" i="9"/>
  <c r="CW57" i="9"/>
  <c r="CZ57" i="9" s="1"/>
  <c r="CT51" i="9"/>
  <c r="CW51" i="9"/>
  <c r="CZ51" i="9" s="1"/>
  <c r="CT49" i="9"/>
  <c r="CW49" i="9"/>
  <c r="CZ49" i="9" s="1"/>
  <c r="CT55" i="9"/>
  <c r="CW55" i="9"/>
  <c r="CZ55" i="9" s="1"/>
  <c r="CR58" i="9"/>
  <c r="CS58" i="9" s="1"/>
  <c r="CV58" i="9"/>
  <c r="CX58" i="9" s="1"/>
  <c r="CT52" i="9"/>
  <c r="CW52" i="9"/>
  <c r="CZ52" i="9" s="1"/>
  <c r="CT50" i="9"/>
  <c r="CW50" i="9"/>
  <c r="CZ50" i="9" s="1"/>
  <c r="DA95" i="9"/>
  <c r="CY95" i="9"/>
  <c r="CY100" i="9"/>
  <c r="DA100" i="9"/>
  <c r="DA78" i="9"/>
  <c r="CY78" i="9"/>
  <c r="CT32" i="14"/>
  <c r="CW32" i="14"/>
  <c r="CZ32" i="14" s="1"/>
  <c r="DA67" i="9"/>
  <c r="CY67" i="9"/>
  <c r="CT19" i="14"/>
  <c r="CW19" i="14"/>
  <c r="CZ19" i="14" s="1"/>
  <c r="CR25" i="14"/>
  <c r="CS25" i="14" s="1"/>
  <c r="CV25" i="14"/>
  <c r="CX25" i="14" s="1"/>
  <c r="CY25" i="14" s="1"/>
  <c r="CT24" i="14"/>
  <c r="CW24" i="14"/>
  <c r="CZ24" i="14" s="1"/>
  <c r="CR18" i="14"/>
  <c r="CS18" i="14" s="1"/>
  <c r="CV18" i="14"/>
  <c r="CX18" i="14" s="1"/>
  <c r="CR19" i="14"/>
  <c r="CS19" i="14" s="1"/>
  <c r="CV19" i="14"/>
  <c r="CX19" i="14" s="1"/>
  <c r="CY19" i="14" s="1"/>
  <c r="CT18" i="14"/>
  <c r="CW18" i="14"/>
  <c r="CZ18" i="14" s="1"/>
  <c r="CT19" i="9"/>
  <c r="CW19" i="9"/>
  <c r="CZ19" i="9" s="1"/>
  <c r="CT30" i="9"/>
  <c r="CW30" i="9"/>
  <c r="CZ30" i="9" s="1"/>
  <c r="CT24" i="9"/>
  <c r="CW24" i="9"/>
  <c r="CZ24" i="9" s="1"/>
  <c r="CT17" i="9"/>
  <c r="CW17" i="9"/>
  <c r="CZ17" i="9" s="1"/>
  <c r="CR27" i="9"/>
  <c r="CS27" i="9" s="1"/>
  <c r="CV27" i="9"/>
  <c r="CX27" i="9" s="1"/>
  <c r="CT15" i="9"/>
  <c r="CW15" i="9"/>
  <c r="CZ15" i="9" s="1"/>
  <c r="CR23" i="9"/>
  <c r="CS23" i="9" s="1"/>
  <c r="CV23" i="9"/>
  <c r="CX23" i="9" s="1"/>
  <c r="CT42" i="9"/>
  <c r="CW42" i="9"/>
  <c r="CZ42" i="9" s="1"/>
  <c r="CR41" i="9"/>
  <c r="CS41" i="9" s="1"/>
  <c r="CV41" i="9"/>
  <c r="CX41" i="9" s="1"/>
  <c r="CT21" i="9"/>
  <c r="CW21" i="9"/>
  <c r="CZ21" i="9" s="1"/>
  <c r="CR19" i="9"/>
  <c r="CS19" i="9" s="1"/>
  <c r="CV19" i="9"/>
  <c r="CX19" i="9" s="1"/>
  <c r="CT33" i="14"/>
  <c r="CW33" i="14"/>
  <c r="CZ33" i="14" s="1"/>
  <c r="CR32" i="14"/>
  <c r="CS32" i="14" s="1"/>
  <c r="CV32" i="14"/>
  <c r="CX32" i="14" s="1"/>
  <c r="CY32" i="14" s="1"/>
  <c r="CT30" i="14"/>
  <c r="CW30" i="14"/>
  <c r="CZ30" i="14" s="1"/>
  <c r="CR43" i="14"/>
  <c r="CS43" i="14" s="1"/>
  <c r="CV43" i="14"/>
  <c r="CX43" i="14" s="1"/>
  <c r="CY43" i="14" s="1"/>
  <c r="CT43" i="14"/>
  <c r="CW43" i="14"/>
  <c r="CZ43" i="14" s="1"/>
  <c r="CR52" i="9"/>
  <c r="CS52" i="9" s="1"/>
  <c r="CV52" i="9"/>
  <c r="CX52" i="9" s="1"/>
  <c r="CT54" i="9"/>
  <c r="CW54" i="9"/>
  <c r="CZ54" i="9" s="1"/>
  <c r="CR51" i="9"/>
  <c r="CS51" i="9" s="1"/>
  <c r="CV51" i="9"/>
  <c r="CX51" i="9" s="1"/>
  <c r="CR53" i="9"/>
  <c r="CS53" i="9" s="1"/>
  <c r="CV53" i="9"/>
  <c r="CX53" i="9" s="1"/>
  <c r="CT48" i="9"/>
  <c r="CW48" i="9"/>
  <c r="CZ48" i="9" s="1"/>
  <c r="CR55" i="9"/>
  <c r="CS55" i="9" s="1"/>
  <c r="CV55" i="9"/>
  <c r="CX55" i="9" s="1"/>
  <c r="CR59" i="9"/>
  <c r="CS59" i="9" s="1"/>
  <c r="CV59" i="9"/>
  <c r="CX59" i="9" s="1"/>
  <c r="DA91" i="9"/>
  <c r="CY91" i="9"/>
  <c r="CY93" i="9"/>
  <c r="DA93" i="9"/>
  <c r="CY73" i="9"/>
  <c r="DA73" i="9"/>
  <c r="CR40" i="14"/>
  <c r="CS40" i="14" s="1"/>
  <c r="CV40" i="14"/>
  <c r="CX40" i="14" s="1"/>
  <c r="CT39" i="14"/>
  <c r="CW39" i="14"/>
  <c r="CZ39" i="14" s="1"/>
  <c r="CR33" i="14"/>
  <c r="CS33" i="14" s="1"/>
  <c r="CV33" i="14"/>
  <c r="CX33" i="14" s="1"/>
  <c r="CY33" i="14" s="1"/>
  <c r="CT17" i="14"/>
  <c r="CW17" i="14"/>
  <c r="CZ17" i="14" s="1"/>
  <c r="CT22" i="14"/>
  <c r="CW22" i="14"/>
  <c r="CZ22" i="14" s="1"/>
  <c r="CR22" i="14"/>
  <c r="CS22" i="14" s="1"/>
  <c r="CV22" i="14"/>
  <c r="CX22" i="14" s="1"/>
  <c r="CR24" i="14"/>
  <c r="CS24" i="14" s="1"/>
  <c r="CV24" i="14"/>
  <c r="CX24" i="14" s="1"/>
  <c r="CY24" i="14" s="1"/>
  <c r="CT25" i="14"/>
  <c r="CW25" i="14"/>
  <c r="CZ25" i="14" s="1"/>
  <c r="CR17" i="14"/>
  <c r="CS17" i="14" s="1"/>
  <c r="CV17" i="14"/>
  <c r="CX17" i="14" s="1"/>
  <c r="CR15" i="9"/>
  <c r="CS15" i="9" s="1"/>
  <c r="CV15" i="9"/>
  <c r="CX15" i="9" s="1"/>
  <c r="CT25" i="9"/>
  <c r="CW25" i="9"/>
  <c r="CZ25" i="9" s="1"/>
  <c r="CT35" i="9"/>
  <c r="CW35" i="9"/>
  <c r="CZ35" i="9" s="1"/>
  <c r="CT34" i="9"/>
  <c r="CW34" i="9"/>
  <c r="CZ34" i="9" s="1"/>
  <c r="CT31" i="9"/>
  <c r="CW31" i="9"/>
  <c r="CZ31" i="9" s="1"/>
  <c r="CR20" i="9"/>
  <c r="CS20" i="9" s="1"/>
  <c r="CV20" i="9"/>
  <c r="CX20" i="9" s="1"/>
  <c r="CT33" i="9"/>
  <c r="CW33" i="9"/>
  <c r="CZ33" i="9" s="1"/>
  <c r="CR17" i="9"/>
  <c r="CS17" i="9" s="1"/>
  <c r="CV17" i="9"/>
  <c r="CX17" i="9" s="1"/>
  <c r="CT41" i="9"/>
  <c r="CW41" i="9"/>
  <c r="CZ41" i="9" s="1"/>
  <c r="CT40" i="9"/>
  <c r="CW40" i="9"/>
  <c r="CZ40" i="9" s="1"/>
  <c r="CR37" i="9"/>
  <c r="CS37" i="9" s="1"/>
  <c r="CV37" i="9"/>
  <c r="CX37" i="9" s="1"/>
  <c r="CR38" i="9"/>
  <c r="CS38" i="9" s="1"/>
  <c r="CV38" i="9"/>
  <c r="CX38" i="9" s="1"/>
  <c r="CR24" i="9"/>
  <c r="CS24" i="9" s="1"/>
  <c r="CV24" i="9"/>
  <c r="CX24" i="9" s="1"/>
  <c r="CR26" i="9"/>
  <c r="CS26" i="9" s="1"/>
  <c r="CV26" i="9"/>
  <c r="CX26" i="9" s="1"/>
  <c r="CT27" i="9"/>
  <c r="CW27" i="9"/>
  <c r="CZ27" i="9" s="1"/>
  <c r="CT31" i="14"/>
  <c r="CW31" i="14"/>
  <c r="CZ31" i="14" s="1"/>
  <c r="CT37" i="14"/>
  <c r="CW37" i="14"/>
  <c r="CZ37" i="14" s="1"/>
  <c r="CR42" i="14"/>
  <c r="CS42" i="14" s="1"/>
  <c r="CV42" i="14"/>
  <c r="CX42" i="14" s="1"/>
  <c r="CT40" i="14"/>
  <c r="CR36" i="14"/>
  <c r="CS36" i="14" s="1"/>
  <c r="CV36" i="14"/>
  <c r="CX36" i="14" s="1"/>
  <c r="CY36" i="14" s="1"/>
  <c r="CR47" i="9"/>
  <c r="CS47" i="9" s="1"/>
  <c r="CV47" i="9"/>
  <c r="CX47" i="9" s="1"/>
  <c r="CR54" i="9"/>
  <c r="CS54" i="9" s="1"/>
  <c r="CV54" i="9"/>
  <c r="CX54" i="9" s="1"/>
  <c r="CR57" i="9"/>
  <c r="CS57" i="9" s="1"/>
  <c r="CV57" i="9"/>
  <c r="CX57" i="9" s="1"/>
  <c r="CR46" i="9"/>
  <c r="CS46" i="9" s="1"/>
  <c r="CV46" i="9"/>
  <c r="CX46" i="9" s="1"/>
  <c r="CR45" i="9"/>
  <c r="CS45" i="9" s="1"/>
  <c r="CV45" i="9"/>
  <c r="CX45" i="9" s="1"/>
  <c r="CT47" i="9"/>
  <c r="CW47" i="9"/>
  <c r="CZ47" i="9" s="1"/>
  <c r="CR56" i="9"/>
  <c r="CS56" i="9" s="1"/>
  <c r="CV56" i="9"/>
  <c r="CX56" i="9" s="1"/>
  <c r="CR39" i="9"/>
  <c r="CS39" i="9" s="1"/>
  <c r="CV39" i="9"/>
  <c r="CX39" i="9" s="1"/>
  <c r="DA98" i="9"/>
  <c r="CY98" i="9"/>
  <c r="DA70" i="9"/>
  <c r="CY70" i="9"/>
  <c r="DA62" i="9"/>
  <c r="CY62" i="9"/>
  <c r="DA90" i="9"/>
  <c r="CY90" i="9"/>
  <c r="CY68" i="9"/>
  <c r="DA68" i="9"/>
  <c r="CT34" i="14"/>
  <c r="CW34" i="14"/>
  <c r="CZ34" i="14" s="1"/>
  <c r="DA87" i="9"/>
  <c r="CY87" i="9"/>
  <c r="CY76" i="9"/>
  <c r="DA76" i="9"/>
  <c r="CT35" i="14"/>
  <c r="CW35" i="14"/>
  <c r="CZ35" i="14" s="1"/>
  <c r="CT20" i="14"/>
  <c r="CW20" i="14"/>
  <c r="CZ20" i="14" s="1"/>
  <c r="CT21" i="14"/>
  <c r="CW21" i="14"/>
  <c r="CZ21" i="14" s="1"/>
  <c r="CR16" i="14"/>
  <c r="CS16" i="14" s="1"/>
  <c r="CV16" i="14"/>
  <c r="CX16" i="14" s="1"/>
  <c r="CY16" i="14" s="1"/>
  <c r="CT29" i="9"/>
  <c r="CW29" i="9"/>
  <c r="CZ29" i="9" s="1"/>
  <c r="CR29" i="9"/>
  <c r="CS29" i="9" s="1"/>
  <c r="CV29" i="9"/>
  <c r="CX29" i="9" s="1"/>
  <c r="CT18" i="9"/>
  <c r="CW18" i="9"/>
  <c r="CZ18" i="9" s="1"/>
  <c r="CT28" i="9"/>
  <c r="CW28" i="9"/>
  <c r="CZ28" i="9" s="1"/>
  <c r="CT22" i="9"/>
  <c r="CW22" i="9"/>
  <c r="CZ22" i="9" s="1"/>
  <c r="CT20" i="9"/>
  <c r="CW20" i="9"/>
  <c r="CZ20" i="9" s="1"/>
  <c r="CR21" i="9"/>
  <c r="CS21" i="9" s="1"/>
  <c r="CV21" i="9"/>
  <c r="CX21" i="9" s="1"/>
  <c r="CR18" i="9"/>
  <c r="CS18" i="9" s="1"/>
  <c r="CV18" i="9"/>
  <c r="CX18" i="9" s="1"/>
  <c r="CR33" i="9"/>
  <c r="CS33" i="9" s="1"/>
  <c r="CV33" i="9"/>
  <c r="CX33" i="9" s="1"/>
  <c r="CR35" i="9"/>
  <c r="CS35" i="9" s="1"/>
  <c r="CV35" i="9"/>
  <c r="CX35" i="9" s="1"/>
  <c r="CT43" i="9"/>
  <c r="CW43" i="9"/>
  <c r="CZ43" i="9" s="1"/>
  <c r="CT39" i="9"/>
  <c r="CW39" i="9"/>
  <c r="CZ39" i="9" s="1"/>
  <c r="CR43" i="9"/>
  <c r="CS43" i="9" s="1"/>
  <c r="CV43" i="9"/>
  <c r="CX43" i="9" s="1"/>
  <c r="CR40" i="9"/>
  <c r="CS40" i="9" s="1"/>
  <c r="CV40" i="9"/>
  <c r="CX40" i="9" s="1"/>
  <c r="CR22" i="9"/>
  <c r="CS22" i="9" s="1"/>
  <c r="CV22" i="9"/>
  <c r="CX22" i="9" s="1"/>
  <c r="CR39" i="14"/>
  <c r="CS39" i="14" s="1"/>
  <c r="CV39" i="14"/>
  <c r="CX39" i="14" s="1"/>
  <c r="CR30" i="14"/>
  <c r="CS30" i="14" s="1"/>
  <c r="CV30" i="14"/>
  <c r="CX30" i="14" s="1"/>
  <c r="CY30" i="14" s="1"/>
  <c r="CR37" i="14"/>
  <c r="CS37" i="14" s="1"/>
  <c r="CV37" i="14"/>
  <c r="CX37" i="14" s="1"/>
  <c r="CT42" i="14"/>
  <c r="CW42" i="14"/>
  <c r="CZ42" i="14" s="1"/>
  <c r="CT46" i="9"/>
  <c r="CW46" i="9"/>
  <c r="CZ46" i="9" s="1"/>
  <c r="CT45" i="9"/>
  <c r="CW45" i="9"/>
  <c r="CZ45" i="9" s="1"/>
  <c r="CT56" i="9"/>
  <c r="CW56" i="9"/>
  <c r="CZ56" i="9" s="1"/>
  <c r="CT53" i="9"/>
  <c r="CW53" i="9"/>
  <c r="CZ53" i="9" s="1"/>
  <c r="CR30" i="9"/>
  <c r="CS30" i="9" s="1"/>
  <c r="CV30" i="9"/>
  <c r="CX30" i="9" s="1"/>
  <c r="CT59" i="9"/>
  <c r="CW59" i="9"/>
  <c r="CZ59" i="9" s="1"/>
  <c r="CT58" i="9"/>
  <c r="CW58" i="9"/>
  <c r="CZ58" i="9" s="1"/>
  <c r="CR50" i="9"/>
  <c r="CS50" i="9" s="1"/>
  <c r="CV50" i="9"/>
  <c r="CX50" i="9" s="1"/>
  <c r="CY97" i="9"/>
  <c r="DA97" i="9"/>
  <c r="DA66" i="9"/>
  <c r="CY66" i="9"/>
  <c r="CY77" i="9"/>
  <c r="DA77" i="9"/>
  <c r="CY88" i="9"/>
  <c r="DA88" i="9"/>
  <c r="CY84" i="9"/>
  <c r="DA84" i="9"/>
  <c r="DA83" i="9"/>
  <c r="CY83" i="9"/>
  <c r="CT38" i="14"/>
  <c r="CW38" i="14"/>
  <c r="CZ38" i="14" s="1"/>
  <c r="CT41" i="14"/>
  <c r="CW41" i="14"/>
  <c r="CZ41" i="14" s="1"/>
  <c r="CY49" i="9"/>
  <c r="CY25" i="1"/>
  <c r="CY23" i="1"/>
  <c r="CY24" i="1"/>
  <c r="CY16" i="1"/>
  <c r="CR22" i="1"/>
  <c r="CS22" i="1" s="1"/>
  <c r="CY21" i="1"/>
  <c r="CY20" i="1"/>
  <c r="CY19" i="1"/>
  <c r="CY32" i="1"/>
  <c r="CY35" i="1"/>
  <c r="CY29" i="1"/>
  <c r="CY31" i="1"/>
  <c r="KT20" i="11"/>
  <c r="GL21" i="11"/>
  <c r="GL27" i="11"/>
  <c r="GL20" i="11"/>
  <c r="GL16" i="11"/>
  <c r="FJ15" i="11"/>
  <c r="FL16" i="11"/>
  <c r="FJ21" i="11"/>
  <c r="FK16" i="11"/>
  <c r="FH24" i="11"/>
  <c r="FH25" i="11"/>
  <c r="FK19" i="11"/>
  <c r="FK18" i="11"/>
  <c r="FJ18" i="11"/>
  <c r="FL19" i="11"/>
  <c r="FM16" i="11"/>
  <c r="FM18" i="11"/>
  <c r="FF20" i="11"/>
  <c r="FJ22" i="11"/>
  <c r="FJ27" i="11"/>
  <c r="FG21" i="11"/>
  <c r="FL21" i="11"/>
  <c r="FK17" i="11"/>
  <c r="FK21" i="11"/>
  <c r="FJ17" i="11"/>
  <c r="FJ26" i="11"/>
  <c r="FK15" i="11"/>
  <c r="FJ23" i="11"/>
  <c r="FK20" i="11"/>
  <c r="FF16" i="11"/>
  <c r="FH16" i="11"/>
  <c r="FG15" i="11"/>
  <c r="FH23" i="11"/>
  <c r="FH22" i="11"/>
  <c r="FJ19" i="11"/>
  <c r="FF21" i="11"/>
  <c r="FH17" i="11"/>
  <c r="FJ25" i="11"/>
  <c r="FJ24" i="11"/>
  <c r="FK26" i="11"/>
  <c r="FH20" i="11"/>
  <c r="FJ16" i="11"/>
  <c r="FM20" i="11"/>
  <c r="FG19" i="11"/>
  <c r="FL20" i="11"/>
  <c r="FF17" i="11"/>
  <c r="FH15" i="11"/>
  <c r="FH19" i="11"/>
  <c r="GN19" i="11"/>
  <c r="FL26" i="11"/>
  <c r="FH21" i="11"/>
  <c r="FL25" i="11"/>
  <c r="FF15" i="11"/>
  <c r="FG16" i="11"/>
  <c r="FK22" i="11"/>
  <c r="FM23" i="11"/>
  <c r="FG20" i="11"/>
  <c r="FM21" i="11"/>
  <c r="FK24" i="11"/>
  <c r="FM24" i="11"/>
  <c r="FH18" i="11"/>
  <c r="FG23" i="11"/>
  <c r="FL23" i="11"/>
  <c r="FM26" i="11"/>
  <c r="FG18" i="11"/>
  <c r="CK17" i="11"/>
  <c r="CN17" i="11" s="1"/>
  <c r="EQ17" i="11"/>
  <c r="CK23" i="11"/>
  <c r="CN23" i="11" s="1"/>
  <c r="EP23" i="11"/>
  <c r="FV23" i="11" s="1"/>
  <c r="CK19" i="11"/>
  <c r="CN19" i="11" s="1"/>
  <c r="EP19" i="11"/>
  <c r="FV19" i="11" s="1"/>
  <c r="CK24" i="11"/>
  <c r="CN24" i="11" s="1"/>
  <c r="EP24" i="11"/>
  <c r="FV24" i="11" s="1"/>
  <c r="CK18" i="11"/>
  <c r="CN18" i="11" s="1"/>
  <c r="EP18" i="11"/>
  <c r="FV18" i="11" s="1"/>
  <c r="CK26" i="11"/>
  <c r="CN26" i="11" s="1"/>
  <c r="EP26" i="11"/>
  <c r="FV26" i="11" s="1"/>
  <c r="CK22" i="11"/>
  <c r="CN22" i="11" s="1"/>
  <c r="EQ22" i="11"/>
  <c r="FW22" i="11" s="1"/>
  <c r="CK25" i="11"/>
  <c r="CN25" i="11" s="1"/>
  <c r="EP25" i="11"/>
  <c r="FV25" i="11" s="1"/>
  <c r="CK21" i="11"/>
  <c r="CN21" i="11" s="1"/>
  <c r="CK20" i="11"/>
  <c r="CN20" i="11" s="1"/>
  <c r="CK16" i="11"/>
  <c r="CN16" i="11" s="1"/>
  <c r="CY44" i="14"/>
  <c r="CR29" i="14"/>
  <c r="CS29" i="14" s="1"/>
  <c r="CT29" i="14"/>
  <c r="CR17" i="1"/>
  <c r="CS17" i="1" s="1"/>
  <c r="FT15" i="12"/>
  <c r="GI15" i="12"/>
  <c r="CQ15" i="14"/>
  <c r="CP15" i="14"/>
  <c r="GG15" i="12"/>
  <c r="FQ15" i="12"/>
  <c r="JD16" i="11"/>
  <c r="JT16" i="11" s="1"/>
  <c r="JD17" i="11"/>
  <c r="JT17" i="11" s="1"/>
  <c r="JD18" i="11"/>
  <c r="JT18" i="11" s="1"/>
  <c r="JD19" i="11"/>
  <c r="JT19" i="11" s="1"/>
  <c r="JD20" i="11"/>
  <c r="JT20" i="11" s="1"/>
  <c r="JD21" i="11"/>
  <c r="JT21" i="11" s="1"/>
  <c r="JD22" i="11"/>
  <c r="JT22" i="11" s="1"/>
  <c r="JD23" i="11"/>
  <c r="JT23" i="11" s="1"/>
  <c r="JD24" i="11"/>
  <c r="JT24" i="11" s="1"/>
  <c r="JD25" i="11"/>
  <c r="JT25" i="11" s="1"/>
  <c r="JD26" i="11"/>
  <c r="JT26" i="11" s="1"/>
  <c r="JD27" i="11"/>
  <c r="JT27" i="11" s="1"/>
  <c r="JC16" i="11"/>
  <c r="JS16" i="11" s="1"/>
  <c r="JC17" i="11"/>
  <c r="JS17" i="11" s="1"/>
  <c r="JC18" i="11"/>
  <c r="JS18" i="11" s="1"/>
  <c r="JC19" i="11"/>
  <c r="JS19" i="11" s="1"/>
  <c r="JC20" i="11"/>
  <c r="JS20" i="11" s="1"/>
  <c r="JC21" i="11"/>
  <c r="JS21" i="11" s="1"/>
  <c r="JC22" i="11"/>
  <c r="JS22" i="11" s="1"/>
  <c r="JC23" i="11"/>
  <c r="JS23" i="11" s="1"/>
  <c r="JC24" i="11"/>
  <c r="JS24" i="11" s="1"/>
  <c r="JC25" i="11"/>
  <c r="JS25" i="11" s="1"/>
  <c r="JC26" i="11"/>
  <c r="JS26" i="11" s="1"/>
  <c r="JC27" i="11"/>
  <c r="JS27" i="11" s="1"/>
  <c r="JB16" i="11"/>
  <c r="JR16" i="11" s="1"/>
  <c r="JB17" i="11"/>
  <c r="JR17" i="11" s="1"/>
  <c r="JB18" i="11"/>
  <c r="JR18" i="11" s="1"/>
  <c r="JB19" i="11"/>
  <c r="JR19" i="11" s="1"/>
  <c r="JB20" i="11"/>
  <c r="JR20" i="11" s="1"/>
  <c r="JB21" i="11"/>
  <c r="JR21" i="11" s="1"/>
  <c r="JB22" i="11"/>
  <c r="JR22" i="11" s="1"/>
  <c r="JB23" i="11"/>
  <c r="JR23" i="11" s="1"/>
  <c r="JB24" i="11"/>
  <c r="JR24" i="11" s="1"/>
  <c r="JB25" i="11"/>
  <c r="JR25" i="11" s="1"/>
  <c r="JB26" i="11"/>
  <c r="JR26" i="11" s="1"/>
  <c r="JB27" i="11"/>
  <c r="JR27" i="11" s="1"/>
  <c r="JH16" i="11"/>
  <c r="JX16" i="11" s="1"/>
  <c r="JH17" i="11"/>
  <c r="JX17" i="11" s="1"/>
  <c r="JH18" i="11"/>
  <c r="JX18" i="11" s="1"/>
  <c r="JH19" i="11"/>
  <c r="JX19" i="11" s="1"/>
  <c r="JH20" i="11"/>
  <c r="JX20" i="11" s="1"/>
  <c r="JH21" i="11"/>
  <c r="JX21" i="11" s="1"/>
  <c r="JH22" i="11"/>
  <c r="JX22" i="11" s="1"/>
  <c r="JH23" i="11"/>
  <c r="JX23" i="11" s="1"/>
  <c r="JH24" i="11"/>
  <c r="JX24" i="11" s="1"/>
  <c r="JH25" i="11"/>
  <c r="JX25" i="11" s="1"/>
  <c r="JH26" i="11"/>
  <c r="JX26" i="11" s="1"/>
  <c r="JH27" i="11"/>
  <c r="JX27" i="11" s="1"/>
  <c r="JF16" i="11"/>
  <c r="JV16" i="11" s="1"/>
  <c r="JF17" i="11"/>
  <c r="JV17" i="11" s="1"/>
  <c r="JF18" i="11"/>
  <c r="JV18" i="11" s="1"/>
  <c r="JF19" i="11"/>
  <c r="JV19" i="11" s="1"/>
  <c r="JF20" i="11"/>
  <c r="JV20" i="11" s="1"/>
  <c r="JF21" i="11"/>
  <c r="JV21" i="11" s="1"/>
  <c r="JF22" i="11"/>
  <c r="JV22" i="11" s="1"/>
  <c r="JF23" i="11"/>
  <c r="JV23" i="11" s="1"/>
  <c r="JF24" i="11"/>
  <c r="JV24" i="11" s="1"/>
  <c r="JF25" i="11"/>
  <c r="JV25" i="11" s="1"/>
  <c r="JF26" i="11"/>
  <c r="JV26" i="11" s="1"/>
  <c r="JF27" i="11"/>
  <c r="JV27" i="11" s="1"/>
  <c r="JG16" i="11"/>
  <c r="JW16" i="11" s="1"/>
  <c r="JG17" i="11"/>
  <c r="JW17" i="11" s="1"/>
  <c r="JG18" i="11"/>
  <c r="JW18" i="11" s="1"/>
  <c r="JG19" i="11"/>
  <c r="JW19" i="11" s="1"/>
  <c r="JG20" i="11"/>
  <c r="JW20" i="11" s="1"/>
  <c r="JG21" i="11"/>
  <c r="JW21" i="11" s="1"/>
  <c r="JG22" i="11"/>
  <c r="JW22" i="11" s="1"/>
  <c r="JG23" i="11"/>
  <c r="JW23" i="11" s="1"/>
  <c r="JG24" i="11"/>
  <c r="JW24" i="11" s="1"/>
  <c r="JG25" i="11"/>
  <c r="JW25" i="11" s="1"/>
  <c r="JG26" i="11"/>
  <c r="JW26" i="11" s="1"/>
  <c r="JG27" i="11"/>
  <c r="JW27" i="11" s="1"/>
  <c r="JG18" i="10"/>
  <c r="JV18" i="10" s="1"/>
  <c r="JB16" i="10"/>
  <c r="JC16" i="10"/>
  <c r="JD16" i="10"/>
  <c r="JF16" i="10"/>
  <c r="JG16" i="10"/>
  <c r="JV16" i="10" s="1"/>
  <c r="JH16" i="10"/>
  <c r="JW16" i="10" s="1"/>
  <c r="JB17" i="10"/>
  <c r="JC17" i="10"/>
  <c r="JD17" i="10"/>
  <c r="JF17" i="10"/>
  <c r="JG17" i="10"/>
  <c r="JH17" i="10"/>
  <c r="JW17" i="10" s="1"/>
  <c r="JB18" i="10"/>
  <c r="JC18" i="10"/>
  <c r="JD18" i="10"/>
  <c r="JF18" i="10"/>
  <c r="JH18" i="10"/>
  <c r="JW18" i="10" s="1"/>
  <c r="JB19" i="10"/>
  <c r="JC19" i="10"/>
  <c r="JD19" i="10"/>
  <c r="JF19" i="10"/>
  <c r="JG19" i="10"/>
  <c r="JH19" i="10"/>
  <c r="JW19" i="10" s="1"/>
  <c r="JB20" i="10"/>
  <c r="JC20" i="10"/>
  <c r="JD20" i="10"/>
  <c r="JF20" i="10"/>
  <c r="JG20" i="10"/>
  <c r="JV20" i="10" s="1"/>
  <c r="JH20" i="10"/>
  <c r="JW20" i="10" s="1"/>
  <c r="JB21" i="10"/>
  <c r="JC21" i="10"/>
  <c r="JD21" i="10"/>
  <c r="JF21" i="10"/>
  <c r="JG21" i="10"/>
  <c r="JH21" i="10"/>
  <c r="JW21" i="10" s="1"/>
  <c r="JB22" i="10"/>
  <c r="JC22" i="10"/>
  <c r="JD22" i="10"/>
  <c r="JF22" i="10"/>
  <c r="JG22" i="10"/>
  <c r="JH22" i="10"/>
  <c r="JW22" i="10" s="1"/>
  <c r="JB23" i="10"/>
  <c r="JC23" i="10"/>
  <c r="JD23" i="10"/>
  <c r="JF23" i="10"/>
  <c r="JG23" i="10"/>
  <c r="JH23" i="10"/>
  <c r="JW23" i="10" s="1"/>
  <c r="JB24" i="10"/>
  <c r="JC24" i="10"/>
  <c r="JD24" i="10"/>
  <c r="JF24" i="10"/>
  <c r="JG24" i="10"/>
  <c r="JV24" i="10" s="1"/>
  <c r="JH24" i="10"/>
  <c r="JW24" i="10" s="1"/>
  <c r="JB25" i="10"/>
  <c r="JC25" i="10"/>
  <c r="JD25" i="10"/>
  <c r="JF25" i="10"/>
  <c r="JG25" i="10"/>
  <c r="JH25" i="10"/>
  <c r="JW25" i="10" s="1"/>
  <c r="IR16" i="10"/>
  <c r="IR17" i="10"/>
  <c r="IR18" i="10"/>
  <c r="IR19" i="10"/>
  <c r="IR20" i="10"/>
  <c r="IR21" i="10"/>
  <c r="IR22" i="10"/>
  <c r="IR23" i="10"/>
  <c r="IR24" i="10"/>
  <c r="IR25" i="10"/>
  <c r="IQ16" i="10"/>
  <c r="IQ17" i="10"/>
  <c r="IQ18" i="10"/>
  <c r="IQ19" i="10"/>
  <c r="IQ20" i="10"/>
  <c r="IQ21" i="10"/>
  <c r="IQ22" i="10"/>
  <c r="IQ23" i="10"/>
  <c r="IQ24" i="10"/>
  <c r="IQ25" i="10"/>
  <c r="BB15" i="8"/>
  <c r="CH15" i="8" s="1"/>
  <c r="BA16" i="8"/>
  <c r="BB16" i="8"/>
  <c r="BA17" i="8"/>
  <c r="BB17" i="8"/>
  <c r="BR17" i="8" s="1"/>
  <c r="BA18" i="8"/>
  <c r="BB18" i="8"/>
  <c r="BA19" i="8"/>
  <c r="BB19" i="8"/>
  <c r="BA20" i="8"/>
  <c r="BQ20" i="8" s="1"/>
  <c r="BB20" i="8"/>
  <c r="BR20" i="8" s="1"/>
  <c r="BA21" i="8"/>
  <c r="BB21" i="8"/>
  <c r="BA22" i="8"/>
  <c r="BB22" i="8"/>
  <c r="BA23" i="8"/>
  <c r="BQ23" i="8" s="1"/>
  <c r="BB23" i="8"/>
  <c r="BA24" i="8"/>
  <c r="BB24" i="8"/>
  <c r="BA25" i="8"/>
  <c r="BB25" i="8"/>
  <c r="BR25" i="8" s="1"/>
  <c r="BA26" i="8"/>
  <c r="BQ26" i="8" s="1"/>
  <c r="BB26" i="8"/>
  <c r="BA27" i="8"/>
  <c r="BB27" i="8"/>
  <c r="BA28" i="8"/>
  <c r="BQ28" i="8" s="1"/>
  <c r="BB28" i="8"/>
  <c r="BR28" i="8" s="1"/>
  <c r="BA29" i="8"/>
  <c r="BB29" i="8"/>
  <c r="BA30" i="8"/>
  <c r="BQ30" i="8" s="1"/>
  <c r="BB30" i="8"/>
  <c r="BR30" i="8" s="1"/>
  <c r="BA31" i="8"/>
  <c r="BB31" i="8"/>
  <c r="BA32" i="8"/>
  <c r="BB32" i="8"/>
  <c r="BR32" i="8" s="1"/>
  <c r="BA33" i="8"/>
  <c r="BB33" i="8"/>
  <c r="BA34" i="8"/>
  <c r="BB34" i="8"/>
  <c r="BA35" i="8"/>
  <c r="BQ35" i="8" s="1"/>
  <c r="BB35" i="8"/>
  <c r="BR35" i="8" s="1"/>
  <c r="BA36" i="8"/>
  <c r="BB36" i="8"/>
  <c r="BA37" i="8"/>
  <c r="BB37" i="8"/>
  <c r="BA38" i="8"/>
  <c r="BQ38" i="8" s="1"/>
  <c r="BB38" i="8"/>
  <c r="BA39" i="8"/>
  <c r="BB39" i="8"/>
  <c r="BA40" i="8"/>
  <c r="BB40" i="8"/>
  <c r="BR40" i="8" s="1"/>
  <c r="BA41" i="8"/>
  <c r="BB41" i="8"/>
  <c r="BA42" i="8"/>
  <c r="BB42" i="8"/>
  <c r="BA43" i="8"/>
  <c r="BB43" i="8"/>
  <c r="BR43" i="8" s="1"/>
  <c r="BA44" i="8"/>
  <c r="BQ44" i="8" s="1"/>
  <c r="BB44" i="8"/>
  <c r="BR44" i="8" s="1"/>
  <c r="BA45" i="8"/>
  <c r="BB45" i="8"/>
  <c r="BA46" i="8"/>
  <c r="BQ46" i="8" s="1"/>
  <c r="BB46" i="8"/>
  <c r="BA47" i="8"/>
  <c r="BB47" i="8"/>
  <c r="BA48" i="8"/>
  <c r="BB48" i="8"/>
  <c r="BA49" i="8"/>
  <c r="BB49" i="8"/>
  <c r="BA50" i="8"/>
  <c r="BB50" i="8"/>
  <c r="BA51" i="8"/>
  <c r="BQ51" i="8" s="1"/>
  <c r="BB51" i="8"/>
  <c r="BR51" i="8" s="1"/>
  <c r="BA52" i="8"/>
  <c r="BQ52" i="8" s="1"/>
  <c r="BB52" i="8"/>
  <c r="BR52" i="8" s="1"/>
  <c r="BA53" i="8"/>
  <c r="BB53" i="8"/>
  <c r="BA54" i="8"/>
  <c r="BQ54" i="8" s="1"/>
  <c r="BB54" i="8"/>
  <c r="BA55" i="8"/>
  <c r="BQ55" i="8" s="1"/>
  <c r="BB55" i="8"/>
  <c r="BA56" i="8"/>
  <c r="BB56" i="8"/>
  <c r="BA57" i="8"/>
  <c r="BB57" i="8"/>
  <c r="BA58" i="8"/>
  <c r="BB58" i="8"/>
  <c r="BA59" i="8"/>
  <c r="BB59" i="8"/>
  <c r="BR59" i="8" s="1"/>
  <c r="BA60" i="8"/>
  <c r="BB60" i="8"/>
  <c r="BR60" i="8" s="1"/>
  <c r="BA61" i="8"/>
  <c r="BB61" i="8"/>
  <c r="BA62" i="8"/>
  <c r="BQ62" i="8" s="1"/>
  <c r="BB62" i="8"/>
  <c r="BA63" i="8"/>
  <c r="BQ63" i="8" s="1"/>
  <c r="BB63" i="8"/>
  <c r="BA64" i="8"/>
  <c r="BB64" i="8"/>
  <c r="BA65" i="8"/>
  <c r="BB65" i="8"/>
  <c r="BA66" i="8"/>
  <c r="BB66" i="8"/>
  <c r="BA67" i="8"/>
  <c r="BQ67" i="8" s="1"/>
  <c r="BB67" i="8"/>
  <c r="BR67" i="8" s="1"/>
  <c r="BA68" i="8"/>
  <c r="BB68" i="8"/>
  <c r="BA69" i="8"/>
  <c r="BB69" i="8"/>
  <c r="BA70" i="8"/>
  <c r="BQ70" i="8" s="1"/>
  <c r="BB70" i="8"/>
  <c r="BA71" i="8"/>
  <c r="BQ71" i="8" s="1"/>
  <c r="BB71" i="8"/>
  <c r="BA72" i="8"/>
  <c r="BB72" i="8"/>
  <c r="BA73" i="8"/>
  <c r="BB73" i="8"/>
  <c r="BR73" i="8" s="1"/>
  <c r="BA74" i="8"/>
  <c r="BB74" i="8"/>
  <c r="BA75" i="8"/>
  <c r="BB75" i="8"/>
  <c r="BR75" i="8" s="1"/>
  <c r="BA76" i="8"/>
  <c r="BQ76" i="8" s="1"/>
  <c r="BB76" i="8"/>
  <c r="BR76" i="8" s="1"/>
  <c r="BA77" i="8"/>
  <c r="BB77" i="8"/>
  <c r="BA78" i="8"/>
  <c r="BQ78" i="8" s="1"/>
  <c r="BB78" i="8"/>
  <c r="BA79" i="8"/>
  <c r="BB79" i="8"/>
  <c r="BA80" i="8"/>
  <c r="BB80" i="8"/>
  <c r="BA81" i="8"/>
  <c r="BB81" i="8"/>
  <c r="BA82" i="8"/>
  <c r="BB82" i="8"/>
  <c r="BA83" i="8"/>
  <c r="BB83" i="8"/>
  <c r="BR83" i="8" s="1"/>
  <c r="BA84" i="8"/>
  <c r="BQ84" i="8" s="1"/>
  <c r="BB84" i="8"/>
  <c r="BR84" i="8" s="1"/>
  <c r="BA85" i="8"/>
  <c r="BB85" i="8"/>
  <c r="BA86" i="8"/>
  <c r="BQ86" i="8" s="1"/>
  <c r="BB86" i="8"/>
  <c r="BA87" i="8"/>
  <c r="BQ87" i="8" s="1"/>
  <c r="BB87" i="8"/>
  <c r="BA88" i="8"/>
  <c r="BB88" i="8"/>
  <c r="BR88" i="8" s="1"/>
  <c r="BA89" i="8"/>
  <c r="BB89" i="8"/>
  <c r="BA90" i="8"/>
  <c r="BB90" i="8"/>
  <c r="BA91" i="8"/>
  <c r="BB91" i="8"/>
  <c r="BA92" i="8"/>
  <c r="BB92" i="8"/>
  <c r="BA93" i="8"/>
  <c r="BB93" i="8"/>
  <c r="BR93" i="8" s="1"/>
  <c r="BA94" i="8"/>
  <c r="BQ94" i="8" s="1"/>
  <c r="BB94" i="8"/>
  <c r="BA95" i="8"/>
  <c r="BQ95" i="8" s="1"/>
  <c r="BB95" i="8"/>
  <c r="BA96" i="8"/>
  <c r="BB96" i="8"/>
  <c r="BA97" i="8"/>
  <c r="BB97" i="8"/>
  <c r="BA98" i="8"/>
  <c r="BB98" i="8"/>
  <c r="BA99" i="8"/>
  <c r="BQ99" i="8" s="1"/>
  <c r="BB99" i="8"/>
  <c r="BR99" i="8" s="1"/>
  <c r="BA15" i="8"/>
  <c r="CG15" i="8" s="1"/>
  <c r="AK16" i="8"/>
  <c r="AL16" i="8"/>
  <c r="AK17" i="8"/>
  <c r="AL17" i="8"/>
  <c r="AK18" i="8"/>
  <c r="AL18" i="8"/>
  <c r="AK19" i="8"/>
  <c r="AL19" i="8"/>
  <c r="AK20" i="8"/>
  <c r="AL20" i="8"/>
  <c r="AK21" i="8"/>
  <c r="AL21" i="8"/>
  <c r="AK22" i="8"/>
  <c r="AL22" i="8"/>
  <c r="AK23" i="8"/>
  <c r="AL23" i="8"/>
  <c r="AK24" i="8"/>
  <c r="AL24" i="8"/>
  <c r="AK25" i="8"/>
  <c r="AL25" i="8"/>
  <c r="AK26" i="8"/>
  <c r="AL26" i="8"/>
  <c r="AK27" i="8"/>
  <c r="AL27" i="8"/>
  <c r="AK28" i="8"/>
  <c r="AL28" i="8"/>
  <c r="AK29" i="8"/>
  <c r="AL29" i="8"/>
  <c r="AK30" i="8"/>
  <c r="AL30" i="8"/>
  <c r="AK31" i="8"/>
  <c r="AL31" i="8"/>
  <c r="AK32" i="8"/>
  <c r="AL32" i="8"/>
  <c r="AK33" i="8"/>
  <c r="AL33" i="8"/>
  <c r="AK34" i="8"/>
  <c r="AL34" i="8"/>
  <c r="AK35" i="8"/>
  <c r="AL35" i="8"/>
  <c r="AK36" i="8"/>
  <c r="AL36" i="8"/>
  <c r="AK37" i="8"/>
  <c r="AL37" i="8"/>
  <c r="AK38" i="8"/>
  <c r="AL38" i="8"/>
  <c r="AK39" i="8"/>
  <c r="AL39" i="8"/>
  <c r="AK40" i="8"/>
  <c r="AL40" i="8"/>
  <c r="AK41" i="8"/>
  <c r="AL41" i="8"/>
  <c r="AK42" i="8"/>
  <c r="AL42" i="8"/>
  <c r="AK43" i="8"/>
  <c r="AL43" i="8"/>
  <c r="AK44" i="8"/>
  <c r="AL44" i="8"/>
  <c r="AK45" i="8"/>
  <c r="AL45" i="8"/>
  <c r="AK46" i="8"/>
  <c r="AL46" i="8"/>
  <c r="AK47" i="8"/>
  <c r="AL47" i="8"/>
  <c r="AK48" i="8"/>
  <c r="AL48" i="8"/>
  <c r="AK49" i="8"/>
  <c r="AL49" i="8"/>
  <c r="AK50" i="8"/>
  <c r="AL50" i="8"/>
  <c r="AK51" i="8"/>
  <c r="AL51" i="8"/>
  <c r="AK52" i="8"/>
  <c r="AL52" i="8"/>
  <c r="AK53" i="8"/>
  <c r="AL53" i="8"/>
  <c r="AK54" i="8"/>
  <c r="AL54" i="8"/>
  <c r="AK55" i="8"/>
  <c r="AL55" i="8"/>
  <c r="AK56" i="8"/>
  <c r="AL56" i="8"/>
  <c r="AK57" i="8"/>
  <c r="AL57" i="8"/>
  <c r="AK58" i="8"/>
  <c r="AL58" i="8"/>
  <c r="AK59" i="8"/>
  <c r="AL59" i="8"/>
  <c r="AK60" i="8"/>
  <c r="AL60" i="8"/>
  <c r="AK61" i="8"/>
  <c r="AL61" i="8"/>
  <c r="AK62" i="8"/>
  <c r="AL62" i="8"/>
  <c r="AK63" i="8"/>
  <c r="AL63" i="8"/>
  <c r="AK64" i="8"/>
  <c r="AL64" i="8"/>
  <c r="AK65" i="8"/>
  <c r="AL65" i="8"/>
  <c r="AK66" i="8"/>
  <c r="AL66" i="8"/>
  <c r="AK67" i="8"/>
  <c r="AL67" i="8"/>
  <c r="AK68" i="8"/>
  <c r="AL68" i="8"/>
  <c r="AK69" i="8"/>
  <c r="AL69" i="8"/>
  <c r="AK70" i="8"/>
  <c r="AL70" i="8"/>
  <c r="AK71" i="8"/>
  <c r="AL71" i="8"/>
  <c r="AK72" i="8"/>
  <c r="AL72" i="8"/>
  <c r="AK73" i="8"/>
  <c r="AL73" i="8"/>
  <c r="AK74" i="8"/>
  <c r="AL74" i="8"/>
  <c r="AK75" i="8"/>
  <c r="AL75" i="8"/>
  <c r="AK76" i="8"/>
  <c r="AL76" i="8"/>
  <c r="AK77" i="8"/>
  <c r="AL77" i="8"/>
  <c r="AK78" i="8"/>
  <c r="AL78" i="8"/>
  <c r="AK79" i="8"/>
  <c r="AL79" i="8"/>
  <c r="AK80" i="8"/>
  <c r="AL80" i="8"/>
  <c r="AK81" i="8"/>
  <c r="AL81" i="8"/>
  <c r="AK82" i="8"/>
  <c r="AL82" i="8"/>
  <c r="AK83" i="8"/>
  <c r="AL83" i="8"/>
  <c r="AK84" i="8"/>
  <c r="AL84" i="8"/>
  <c r="AK85" i="8"/>
  <c r="AL85" i="8"/>
  <c r="AK86" i="8"/>
  <c r="AL86" i="8"/>
  <c r="AK87" i="8"/>
  <c r="AL87" i="8"/>
  <c r="AK88" i="8"/>
  <c r="AL88" i="8"/>
  <c r="AK89" i="8"/>
  <c r="AL89" i="8"/>
  <c r="AK90" i="8"/>
  <c r="AL90" i="8"/>
  <c r="AK91" i="8"/>
  <c r="AL91" i="8"/>
  <c r="AK92" i="8"/>
  <c r="AL92" i="8"/>
  <c r="AK93" i="8"/>
  <c r="AL93" i="8"/>
  <c r="AK94" i="8"/>
  <c r="AL94" i="8"/>
  <c r="AK95" i="8"/>
  <c r="AL95" i="8"/>
  <c r="AK96" i="8"/>
  <c r="AL96" i="8"/>
  <c r="AK97" i="8"/>
  <c r="AL97" i="8"/>
  <c r="AK98" i="8"/>
  <c r="AL98" i="8"/>
  <c r="AK99" i="8"/>
  <c r="AL99" i="8"/>
  <c r="V15" i="10"/>
  <c r="BB15" i="1"/>
  <c r="BA15" i="1"/>
  <c r="CG15" i="1" s="1"/>
  <c r="CR17" i="12" l="1"/>
  <c r="CS17" i="12" s="1"/>
  <c r="FL15" i="11"/>
  <c r="CR24" i="12"/>
  <c r="CS24" i="12" s="1"/>
  <c r="CQ20" i="12"/>
  <c r="CT20" i="12" s="1"/>
  <c r="CQ17" i="12"/>
  <c r="CT17" i="12" s="1"/>
  <c r="CK17" i="12"/>
  <c r="CN17" i="12" s="1"/>
  <c r="CR20" i="12"/>
  <c r="CS20" i="12" s="1"/>
  <c r="CQ18" i="12"/>
  <c r="CT18" i="12" s="1"/>
  <c r="CQ24" i="12"/>
  <c r="CT24" i="12" s="1"/>
  <c r="CK24" i="12"/>
  <c r="CN24" i="12" s="1"/>
  <c r="CK20" i="12"/>
  <c r="CN20" i="12" s="1"/>
  <c r="CK18" i="12"/>
  <c r="CN18" i="12" s="1"/>
  <c r="CK23" i="12"/>
  <c r="CN23" i="12" s="1"/>
  <c r="CR21" i="12"/>
  <c r="CS21" i="12" s="1"/>
  <c r="CQ23" i="12"/>
  <c r="CT23" i="12" s="1"/>
  <c r="CQ21" i="12"/>
  <c r="CT21" i="12" s="1"/>
  <c r="CK21" i="12"/>
  <c r="CN21" i="12" s="1"/>
  <c r="CO15" i="1"/>
  <c r="V15" i="12"/>
  <c r="AL15" i="10"/>
  <c r="GL17" i="11"/>
  <c r="FW17" i="11"/>
  <c r="CY40" i="14"/>
  <c r="CY37" i="14"/>
  <c r="CY39" i="14"/>
  <c r="CY42" i="14"/>
  <c r="CY17" i="14"/>
  <c r="CY22" i="14"/>
  <c r="CY18" i="14"/>
  <c r="DA36" i="9"/>
  <c r="CR15" i="14"/>
  <c r="CS15" i="14" s="1"/>
  <c r="CV15" i="14"/>
  <c r="CX15" i="14" s="1"/>
  <c r="CY30" i="9"/>
  <c r="DA30" i="9"/>
  <c r="CY22" i="9"/>
  <c r="DA22" i="9"/>
  <c r="CY43" i="9"/>
  <c r="DA43" i="9"/>
  <c r="CY35" i="9"/>
  <c r="DA35" i="9"/>
  <c r="CY18" i="9"/>
  <c r="DA18" i="9"/>
  <c r="CY29" i="9"/>
  <c r="DA29" i="9"/>
  <c r="CY56" i="9"/>
  <c r="DA56" i="9"/>
  <c r="CY45" i="9"/>
  <c r="DA45" i="9"/>
  <c r="CY57" i="9"/>
  <c r="DA57" i="9"/>
  <c r="CY47" i="9"/>
  <c r="DA47" i="9"/>
  <c r="CY55" i="9"/>
  <c r="DA55" i="9"/>
  <c r="CY53" i="9"/>
  <c r="DA53" i="9"/>
  <c r="CY58" i="9"/>
  <c r="DA58" i="9"/>
  <c r="CY25" i="9"/>
  <c r="DA25" i="9"/>
  <c r="CY34" i="9"/>
  <c r="DA34" i="9"/>
  <c r="CY32" i="9"/>
  <c r="DA32" i="9"/>
  <c r="CY37" i="9"/>
  <c r="DA37" i="9"/>
  <c r="DA15" i="9"/>
  <c r="CY15" i="9"/>
  <c r="DA42" i="9"/>
  <c r="DA31" i="9"/>
  <c r="CT15" i="14"/>
  <c r="CW15" i="14"/>
  <c r="CZ15" i="14" s="1"/>
  <c r="CY26" i="9"/>
  <c r="DA26" i="9"/>
  <c r="CY38" i="9"/>
  <c r="DA38" i="9"/>
  <c r="CY17" i="9"/>
  <c r="DA17" i="9"/>
  <c r="CY20" i="9"/>
  <c r="DA20" i="9"/>
  <c r="DA44" i="9"/>
  <c r="CY24" i="9"/>
  <c r="DA24" i="9"/>
  <c r="CU15" i="1"/>
  <c r="DA49" i="9"/>
  <c r="CY50" i="9"/>
  <c r="DA50" i="9"/>
  <c r="CY40" i="9"/>
  <c r="DA40" i="9"/>
  <c r="CY33" i="9"/>
  <c r="DA33" i="9"/>
  <c r="CY21" i="9"/>
  <c r="DA21" i="9"/>
  <c r="CY39" i="9"/>
  <c r="DA39" i="9"/>
  <c r="CY46" i="9"/>
  <c r="DA46" i="9"/>
  <c r="CY54" i="9"/>
  <c r="DA54" i="9"/>
  <c r="CY59" i="9"/>
  <c r="DA59" i="9"/>
  <c r="CY51" i="9"/>
  <c r="DA51" i="9"/>
  <c r="CY52" i="9"/>
  <c r="DA52" i="9"/>
  <c r="CY19" i="9"/>
  <c r="DA19" i="9"/>
  <c r="CY41" i="9"/>
  <c r="DA41" i="9"/>
  <c r="CY23" i="9"/>
  <c r="DA23" i="9"/>
  <c r="CY27" i="9"/>
  <c r="DA27" i="9"/>
  <c r="CY48" i="9"/>
  <c r="DA48" i="9"/>
  <c r="CY28" i="9"/>
  <c r="DA28" i="9"/>
  <c r="CY16" i="9"/>
  <c r="DA16" i="9"/>
  <c r="KT16" i="11"/>
  <c r="KT23" i="11"/>
  <c r="KT26" i="11"/>
  <c r="KT27" i="11"/>
  <c r="KT24" i="11"/>
  <c r="KT25" i="11"/>
  <c r="KT19" i="11"/>
  <c r="KT17" i="11"/>
  <c r="KT22" i="11"/>
  <c r="KT18" i="11"/>
  <c r="KT21" i="11"/>
  <c r="GL24" i="11"/>
  <c r="GL23" i="11"/>
  <c r="GL25" i="11"/>
  <c r="GL22" i="11"/>
  <c r="GL26" i="11"/>
  <c r="GL18" i="11"/>
  <c r="GL19" i="11"/>
  <c r="GQ19" i="11" s="1"/>
  <c r="GN18" i="11"/>
  <c r="GN26" i="11"/>
  <c r="GN27" i="11"/>
  <c r="GQ27" i="11" s="1"/>
  <c r="GM27" i="11"/>
  <c r="GO27" i="11" s="1"/>
  <c r="GP27" i="11" s="1"/>
  <c r="GN21" i="11"/>
  <c r="GQ21" i="11" s="1"/>
  <c r="GN20" i="11"/>
  <c r="GQ20" i="11" s="1"/>
  <c r="GN22" i="11"/>
  <c r="GN23" i="11"/>
  <c r="GM16" i="11"/>
  <c r="GO16" i="11" s="1"/>
  <c r="GP16" i="11" s="1"/>
  <c r="GN17" i="11"/>
  <c r="GN16" i="11"/>
  <c r="GQ16" i="11" s="1"/>
  <c r="GN25" i="11"/>
  <c r="GN24" i="11"/>
  <c r="GM21" i="11"/>
  <c r="GO21" i="11" s="1"/>
  <c r="GP21" i="11" s="1"/>
  <c r="GM20" i="11"/>
  <c r="GO20" i="11" s="1"/>
  <c r="GP20" i="11" s="1"/>
  <c r="FF23" i="11"/>
  <c r="FF25" i="11"/>
  <c r="FG22" i="11"/>
  <c r="FF24" i="11"/>
  <c r="FF26" i="11"/>
  <c r="FF18" i="11"/>
  <c r="FF19" i="11"/>
  <c r="FG17" i="11"/>
  <c r="DA38" i="14"/>
  <c r="DA31" i="14"/>
  <c r="DA42" i="14"/>
  <c r="DA40" i="14"/>
  <c r="DA30" i="14"/>
  <c r="DA39" i="14"/>
  <c r="DA43" i="14"/>
  <c r="DA41" i="14"/>
  <c r="DA33" i="14"/>
  <c r="DA36" i="14"/>
  <c r="DA37" i="14"/>
  <c r="DA35" i="14"/>
  <c r="DA32" i="14"/>
  <c r="DA34" i="14"/>
  <c r="KU26" i="11"/>
  <c r="KU24" i="11"/>
  <c r="KU20" i="11"/>
  <c r="KU16" i="11"/>
  <c r="KU22" i="11"/>
  <c r="KU27" i="11"/>
  <c r="KU23" i="11"/>
  <c r="KU19" i="11"/>
  <c r="KU18" i="11"/>
  <c r="KU25" i="11"/>
  <c r="KU21" i="11"/>
  <c r="KU17" i="11"/>
  <c r="KM17" i="10"/>
  <c r="KL18" i="10"/>
  <c r="CH89" i="8"/>
  <c r="CG68" i="8"/>
  <c r="BQ68" i="8"/>
  <c r="CH97" i="8"/>
  <c r="CH81" i="8"/>
  <c r="CH65" i="8"/>
  <c r="CH49" i="8"/>
  <c r="BR89" i="8"/>
  <c r="BB15" i="10"/>
  <c r="CG41" i="8"/>
  <c r="CH38" i="8"/>
  <c r="CG33" i="8"/>
  <c r="CH30" i="8"/>
  <c r="CG26" i="8"/>
  <c r="CH23" i="8"/>
  <c r="CG18" i="8"/>
  <c r="KN17" i="11"/>
  <c r="CH96" i="8"/>
  <c r="CG91" i="8"/>
  <c r="CG83" i="8"/>
  <c r="CH80" i="8"/>
  <c r="CG75" i="8"/>
  <c r="CH72" i="8"/>
  <c r="CH64" i="8"/>
  <c r="CG59" i="8"/>
  <c r="CH56" i="8"/>
  <c r="CH48" i="8"/>
  <c r="CG43" i="8"/>
  <c r="BQ41" i="8"/>
  <c r="CH57" i="8"/>
  <c r="CH91" i="8"/>
  <c r="CG96" i="8"/>
  <c r="CH93" i="8"/>
  <c r="CG88" i="8"/>
  <c r="CH85" i="8"/>
  <c r="CG80" i="8"/>
  <c r="CH77" i="8"/>
  <c r="CG72" i="8"/>
  <c r="CH69" i="8"/>
  <c r="CG64" i="8"/>
  <c r="CH61" i="8"/>
  <c r="CG56" i="8"/>
  <c r="CH53" i="8"/>
  <c r="CG48" i="8"/>
  <c r="CH45" i="8"/>
  <c r="CG84" i="8"/>
  <c r="CG92" i="8"/>
  <c r="CH73" i="8"/>
  <c r="CG60" i="8"/>
  <c r="CG44" i="8"/>
  <c r="BR57" i="8"/>
  <c r="BR65" i="8"/>
  <c r="CG98" i="8"/>
  <c r="CH95" i="8"/>
  <c r="CG90" i="8"/>
  <c r="BR81" i="8"/>
  <c r="BQ60" i="8"/>
  <c r="BR49" i="8"/>
  <c r="KM22" i="11"/>
  <c r="CG76" i="8"/>
  <c r="CG52" i="8"/>
  <c r="CG95" i="8"/>
  <c r="CH92" i="8"/>
  <c r="CG87" i="8"/>
  <c r="CH84" i="8"/>
  <c r="CG79" i="8"/>
  <c r="CH76" i="8"/>
  <c r="CG71" i="8"/>
  <c r="CH68" i="8"/>
  <c r="CG63" i="8"/>
  <c r="CH60" i="8"/>
  <c r="CG55" i="8"/>
  <c r="CH52" i="8"/>
  <c r="CG47" i="8"/>
  <c r="CH44" i="8"/>
  <c r="BQ79" i="8"/>
  <c r="BR68" i="8"/>
  <c r="BQ47" i="8"/>
  <c r="KM21" i="11"/>
  <c r="KN23" i="11"/>
  <c r="KM24" i="11"/>
  <c r="KM20" i="11"/>
  <c r="KM16" i="11"/>
  <c r="KN26" i="11"/>
  <c r="KN22" i="11"/>
  <c r="KN18" i="11"/>
  <c r="KM18" i="11"/>
  <c r="KM25" i="11"/>
  <c r="KN19" i="11"/>
  <c r="KM27" i="11"/>
  <c r="KM23" i="11"/>
  <c r="KM19" i="11"/>
  <c r="KN25" i="11"/>
  <c r="KM17" i="11"/>
  <c r="KN27" i="11"/>
  <c r="KN24" i="11"/>
  <c r="KN20" i="11"/>
  <c r="KN16" i="11"/>
  <c r="KN21" i="11"/>
  <c r="KM26" i="11"/>
  <c r="BR87" i="8"/>
  <c r="CH87" i="8"/>
  <c r="BQ82" i="8"/>
  <c r="CG82" i="8"/>
  <c r="BR79" i="8"/>
  <c r="CH79" i="8"/>
  <c r="BQ66" i="8"/>
  <c r="CG66" i="8"/>
  <c r="BQ58" i="8"/>
  <c r="CG58" i="8"/>
  <c r="BR55" i="8"/>
  <c r="CH55" i="8"/>
  <c r="BQ50" i="8"/>
  <c r="CG50" i="8"/>
  <c r="BR47" i="8"/>
  <c r="CH47" i="8"/>
  <c r="BQ42" i="8"/>
  <c r="CG42" i="8"/>
  <c r="BR39" i="8"/>
  <c r="CH39" i="8"/>
  <c r="BQ34" i="8"/>
  <c r="CG34" i="8"/>
  <c r="BR31" i="8"/>
  <c r="CH31" i="8"/>
  <c r="BQ27" i="8"/>
  <c r="CG27" i="8"/>
  <c r="BR24" i="8"/>
  <c r="CH24" i="8"/>
  <c r="BQ19" i="8"/>
  <c r="CG19" i="8"/>
  <c r="BR16" i="8"/>
  <c r="CH16" i="8"/>
  <c r="BR91" i="8"/>
  <c r="CH99" i="8"/>
  <c r="CG94" i="8"/>
  <c r="CH83" i="8"/>
  <c r="CG78" i="8"/>
  <c r="CH67" i="8"/>
  <c r="CG62" i="8"/>
  <c r="CH51" i="8"/>
  <c r="CG46" i="8"/>
  <c r="CH35" i="8"/>
  <c r="CG30" i="8"/>
  <c r="CH20" i="8"/>
  <c r="BQ31" i="8"/>
  <c r="CG31" i="8"/>
  <c r="BR29" i="8"/>
  <c r="CH29" i="8"/>
  <c r="BQ24" i="8"/>
  <c r="CG24" i="8"/>
  <c r="BQ98" i="8"/>
  <c r="BR96" i="8"/>
  <c r="CG99" i="8"/>
  <c r="CH88" i="8"/>
  <c r="CG67" i="8"/>
  <c r="CG51" i="8"/>
  <c r="CH40" i="8"/>
  <c r="CG20" i="8"/>
  <c r="BR41" i="8"/>
  <c r="CH41" i="8"/>
  <c r="BQ40" i="8"/>
  <c r="CG40" i="8"/>
  <c r="BR37" i="8"/>
  <c r="CH37" i="8"/>
  <c r="BQ36" i="8"/>
  <c r="CG36" i="8"/>
  <c r="BR33" i="8"/>
  <c r="CH33" i="8"/>
  <c r="BQ32" i="8"/>
  <c r="CG32" i="8"/>
  <c r="BQ29" i="8"/>
  <c r="CG29" i="8"/>
  <c r="BR26" i="8"/>
  <c r="CH26" i="8"/>
  <c r="BQ25" i="8"/>
  <c r="CG25" i="8"/>
  <c r="BR22" i="8"/>
  <c r="CH22" i="8"/>
  <c r="BQ21" i="8"/>
  <c r="CG21" i="8"/>
  <c r="BR18" i="8"/>
  <c r="CH18" i="8"/>
  <c r="BQ17" i="8"/>
  <c r="CG17" i="8"/>
  <c r="BQ96" i="8"/>
  <c r="BR92" i="8"/>
  <c r="BQ83" i="8"/>
  <c r="BR80" i="8"/>
  <c r="BQ75" i="8"/>
  <c r="BR72" i="8"/>
  <c r="BR64" i="8"/>
  <c r="BQ59" i="8"/>
  <c r="BR56" i="8"/>
  <c r="BR48" i="8"/>
  <c r="BQ43" i="8"/>
  <c r="BR38" i="8"/>
  <c r="BQ33" i="8"/>
  <c r="BR23" i="8"/>
  <c r="BQ18" i="8"/>
  <c r="CG86" i="8"/>
  <c r="CH75" i="8"/>
  <c r="CG70" i="8"/>
  <c r="CH59" i="8"/>
  <c r="CG54" i="8"/>
  <c r="CH43" i="8"/>
  <c r="CG38" i="8"/>
  <c r="CH28" i="8"/>
  <c r="CG23" i="8"/>
  <c r="BQ74" i="8"/>
  <c r="CG74" i="8"/>
  <c r="BR71" i="8"/>
  <c r="CH71" i="8"/>
  <c r="BR63" i="8"/>
  <c r="CH63" i="8"/>
  <c r="BQ39" i="8"/>
  <c r="CG39" i="8"/>
  <c r="BR36" i="8"/>
  <c r="CH36" i="8"/>
  <c r="BR21" i="8"/>
  <c r="CH21" i="8"/>
  <c r="BQ16" i="8"/>
  <c r="CG16" i="8"/>
  <c r="BQ91" i="8"/>
  <c r="CG35" i="8"/>
  <c r="CH25" i="8"/>
  <c r="CH98" i="8"/>
  <c r="BR98" i="8"/>
  <c r="CG97" i="8"/>
  <c r="BQ97" i="8"/>
  <c r="CH94" i="8"/>
  <c r="BR94" i="8"/>
  <c r="CG93" i="8"/>
  <c r="BQ93" i="8"/>
  <c r="CH90" i="8"/>
  <c r="BR90" i="8"/>
  <c r="CG89" i="8"/>
  <c r="BQ89" i="8"/>
  <c r="CH86" i="8"/>
  <c r="BR86" i="8"/>
  <c r="CG85" i="8"/>
  <c r="BQ85" i="8"/>
  <c r="CH82" i="8"/>
  <c r="BR82" i="8"/>
  <c r="CG81" i="8"/>
  <c r="BQ81" i="8"/>
  <c r="CH78" i="8"/>
  <c r="BR78" i="8"/>
  <c r="CG77" i="8"/>
  <c r="BQ77" i="8"/>
  <c r="CH74" i="8"/>
  <c r="BR74" i="8"/>
  <c r="CG73" i="8"/>
  <c r="BQ73" i="8"/>
  <c r="CH70" i="8"/>
  <c r="BR70" i="8"/>
  <c r="CG69" i="8"/>
  <c r="BQ69" i="8"/>
  <c r="CH66" i="8"/>
  <c r="BR66" i="8"/>
  <c r="CG65" i="8"/>
  <c r="BQ65" i="8"/>
  <c r="CH62" i="8"/>
  <c r="BR62" i="8"/>
  <c r="CG61" i="8"/>
  <c r="BQ61" i="8"/>
  <c r="CH58" i="8"/>
  <c r="BR58" i="8"/>
  <c r="CG57" i="8"/>
  <c r="BQ57" i="8"/>
  <c r="CH54" i="8"/>
  <c r="BR54" i="8"/>
  <c r="CG53" i="8"/>
  <c r="BQ53" i="8"/>
  <c r="CH50" i="8"/>
  <c r="BR50" i="8"/>
  <c r="CG49" i="8"/>
  <c r="BQ49" i="8"/>
  <c r="CH46" i="8"/>
  <c r="BR46" i="8"/>
  <c r="CG45" i="8"/>
  <c r="BQ45" i="8"/>
  <c r="CH42" i="8"/>
  <c r="BR42" i="8"/>
  <c r="CG37" i="8"/>
  <c r="BQ37" i="8"/>
  <c r="CH34" i="8"/>
  <c r="BR34" i="8"/>
  <c r="CH27" i="8"/>
  <c r="BR27" i="8"/>
  <c r="CG22" i="8"/>
  <c r="BQ22" i="8"/>
  <c r="CH19" i="8"/>
  <c r="BR19" i="8"/>
  <c r="BR97" i="8"/>
  <c r="BR95" i="8"/>
  <c r="BQ92" i="8"/>
  <c r="BQ90" i="8"/>
  <c r="BQ88" i="8"/>
  <c r="BR85" i="8"/>
  <c r="BQ80" i="8"/>
  <c r="BR77" i="8"/>
  <c r="BQ72" i="8"/>
  <c r="BR69" i="8"/>
  <c r="BQ64" i="8"/>
  <c r="BR61" i="8"/>
  <c r="BQ56" i="8"/>
  <c r="BR53" i="8"/>
  <c r="BQ48" i="8"/>
  <c r="BR45" i="8"/>
  <c r="CH32" i="8"/>
  <c r="CG28" i="8"/>
  <c r="CH17" i="8"/>
  <c r="BR15" i="8"/>
  <c r="BQ15" i="8"/>
  <c r="KM24" i="10"/>
  <c r="KM20" i="10"/>
  <c r="BR15" i="1"/>
  <c r="CH15" i="1"/>
  <c r="CW15" i="1" s="1"/>
  <c r="BQ15" i="1"/>
  <c r="KM16" i="10"/>
  <c r="KM23" i="10"/>
  <c r="KM19" i="10"/>
  <c r="KM22" i="10"/>
  <c r="KM18" i="10"/>
  <c r="KM25" i="10"/>
  <c r="KM21" i="10"/>
  <c r="KL16" i="10"/>
  <c r="JV25" i="10"/>
  <c r="KL25" i="10"/>
  <c r="JV22" i="10"/>
  <c r="KL22" i="10"/>
  <c r="KL24" i="10"/>
  <c r="JV23" i="10"/>
  <c r="KL23" i="10"/>
  <c r="JV21" i="10"/>
  <c r="KL21" i="10"/>
  <c r="JV19" i="10"/>
  <c r="KL19" i="10"/>
  <c r="JV17" i="10"/>
  <c r="KL17" i="10"/>
  <c r="KL20" i="10"/>
  <c r="AJ15" i="10"/>
  <c r="CF15" i="10" s="1"/>
  <c r="DA26" i="14" l="1"/>
  <c r="DA27" i="14"/>
  <c r="GQ17" i="11"/>
  <c r="CZ15" i="1"/>
  <c r="CP15" i="1"/>
  <c r="CR15" i="1" s="1"/>
  <c r="CS15" i="1" s="1"/>
  <c r="CH15" i="10"/>
  <c r="CQ15" i="1"/>
  <c r="CT15" i="1" s="1"/>
  <c r="CV15" i="1"/>
  <c r="CX15" i="1" s="1"/>
  <c r="AL15" i="12"/>
  <c r="BB15" i="12"/>
  <c r="BR15" i="12" s="1"/>
  <c r="CY15" i="14"/>
  <c r="DA20" i="14"/>
  <c r="DA21" i="14"/>
  <c r="DA22" i="14"/>
  <c r="DA23" i="14"/>
  <c r="DA24" i="14"/>
  <c r="DA25" i="14"/>
  <c r="DA28" i="14"/>
  <c r="DA15" i="14"/>
  <c r="DA29" i="14"/>
  <c r="DA16" i="14"/>
  <c r="DA17" i="14"/>
  <c r="DA18" i="14"/>
  <c r="DA19" i="14"/>
  <c r="GQ18" i="11"/>
  <c r="GQ22" i="11"/>
  <c r="GQ26" i="11"/>
  <c r="GM17" i="11"/>
  <c r="GO17" i="11" s="1"/>
  <c r="GP17" i="11" s="1"/>
  <c r="GM19" i="11"/>
  <c r="GO19" i="11" s="1"/>
  <c r="GP19" i="11" s="1"/>
  <c r="GM18" i="11"/>
  <c r="GO18" i="11" s="1"/>
  <c r="GP18" i="11" s="1"/>
  <c r="GM25" i="11"/>
  <c r="GO25" i="11" s="1"/>
  <c r="GP25" i="11" s="1"/>
  <c r="GQ24" i="11"/>
  <c r="GQ23" i="11"/>
  <c r="GQ25" i="11"/>
  <c r="GM26" i="11"/>
  <c r="GO26" i="11" s="1"/>
  <c r="GP26" i="11" s="1"/>
  <c r="GM24" i="11"/>
  <c r="GO24" i="11" s="1"/>
  <c r="GP24" i="11" s="1"/>
  <c r="GM22" i="11"/>
  <c r="GO22" i="11" s="1"/>
  <c r="GP22" i="11" s="1"/>
  <c r="GM23" i="11"/>
  <c r="GO23" i="11" s="1"/>
  <c r="GP23" i="11" s="1"/>
  <c r="BR15" i="10"/>
  <c r="BQ15" i="12"/>
  <c r="DA15" i="1" l="1"/>
  <c r="DA26" i="1"/>
  <c r="DA22" i="1"/>
  <c r="DA28" i="1"/>
  <c r="DA20" i="1"/>
  <c r="DA18" i="1"/>
  <c r="DA24" i="1"/>
  <c r="DA31" i="1"/>
  <c r="DA34" i="1"/>
  <c r="DA17" i="1"/>
  <c r="DA23" i="1"/>
  <c r="DA19" i="1"/>
  <c r="DA32" i="1"/>
  <c r="DA29" i="1"/>
  <c r="DA33" i="1"/>
  <c r="DA27" i="1"/>
  <c r="DA30" i="1"/>
  <c r="DA25" i="1"/>
  <c r="DA16" i="1"/>
  <c r="DA21" i="1"/>
  <c r="DA35" i="1"/>
  <c r="CY15" i="1"/>
  <c r="CH15" i="12"/>
  <c r="IL16" i="11" l="1"/>
  <c r="KH16" i="11" s="1"/>
  <c r="IM16" i="11"/>
  <c r="KI16" i="11" s="1"/>
  <c r="IL17" i="11"/>
  <c r="IM17" i="11"/>
  <c r="IL18" i="11"/>
  <c r="IM18" i="11"/>
  <c r="IL19" i="11"/>
  <c r="IM19" i="11"/>
  <c r="IL20" i="11"/>
  <c r="IM20" i="11"/>
  <c r="IL21" i="11"/>
  <c r="IM21" i="11"/>
  <c r="IL22" i="11"/>
  <c r="IM22" i="11"/>
  <c r="IL23" i="11"/>
  <c r="IM23" i="11"/>
  <c r="IL24" i="11"/>
  <c r="IM24" i="11"/>
  <c r="IL25" i="11"/>
  <c r="IM25" i="11"/>
  <c r="IL26" i="11"/>
  <c r="IM26" i="11"/>
  <c r="IL27" i="11"/>
  <c r="IM27" i="11"/>
  <c r="KL16" i="11" l="1"/>
  <c r="KV16" i="11" l="1"/>
  <c r="KX16" i="11" s="1"/>
  <c r="IL16" i="10"/>
  <c r="IM16" i="10"/>
  <c r="IN16" i="10"/>
  <c r="IP16" i="10"/>
  <c r="JQ16" i="10"/>
  <c r="JR16" i="10"/>
  <c r="JU16" i="10"/>
  <c r="IL17" i="10"/>
  <c r="KG17" i="10" s="1"/>
  <c r="IM17" i="10"/>
  <c r="IN17" i="10"/>
  <c r="IP17" i="10"/>
  <c r="JS17" i="10"/>
  <c r="JU17" i="10"/>
  <c r="IL18" i="10"/>
  <c r="IM18" i="10"/>
  <c r="IN18" i="10"/>
  <c r="IP18" i="10"/>
  <c r="JR18" i="10"/>
  <c r="JS18" i="10"/>
  <c r="IL19" i="10"/>
  <c r="IM19" i="10"/>
  <c r="KH19" i="10" s="1"/>
  <c r="IN19" i="10"/>
  <c r="KI19" i="10" s="1"/>
  <c r="IP19" i="10"/>
  <c r="JQ19" i="10"/>
  <c r="IL20" i="10"/>
  <c r="IM20" i="10"/>
  <c r="KH20" i="10" s="1"/>
  <c r="IN20" i="10"/>
  <c r="IP20" i="10"/>
  <c r="JQ20" i="10"/>
  <c r="JU20" i="10"/>
  <c r="IL21" i="10"/>
  <c r="IM21" i="10"/>
  <c r="IN21" i="10"/>
  <c r="IP21" i="10"/>
  <c r="JQ21" i="10"/>
  <c r="JS21" i="10"/>
  <c r="IL22" i="10"/>
  <c r="IM22" i="10"/>
  <c r="IN22" i="10"/>
  <c r="IP22" i="10"/>
  <c r="JR22" i="10"/>
  <c r="JS22" i="10"/>
  <c r="JU22" i="10"/>
  <c r="IL23" i="10"/>
  <c r="IM23" i="10"/>
  <c r="KH23" i="10" s="1"/>
  <c r="IN23" i="10"/>
  <c r="KI23" i="10" s="1"/>
  <c r="IP23" i="10"/>
  <c r="JQ23" i="10"/>
  <c r="IL24" i="10"/>
  <c r="IM24" i="10"/>
  <c r="KH24" i="10" s="1"/>
  <c r="IN24" i="10"/>
  <c r="IP24" i="10"/>
  <c r="JQ24" i="10"/>
  <c r="JU24" i="10"/>
  <c r="IL25" i="10"/>
  <c r="IM25" i="10"/>
  <c r="IN25" i="10"/>
  <c r="IP25" i="10"/>
  <c r="JQ25" i="10"/>
  <c r="JS25" i="10"/>
  <c r="JU25" i="10"/>
  <c r="EY15" i="10"/>
  <c r="DI63" i="8"/>
  <c r="DI64" i="8"/>
  <c r="DI65" i="8"/>
  <c r="DI66" i="8"/>
  <c r="DI67" i="8"/>
  <c r="DI68" i="8"/>
  <c r="DI69" i="8"/>
  <c r="DI70" i="8"/>
  <c r="DI71" i="8"/>
  <c r="DI72" i="8"/>
  <c r="DI73" i="8"/>
  <c r="DI74" i="8"/>
  <c r="DI75" i="8"/>
  <c r="DI76" i="8"/>
  <c r="DI77" i="8"/>
  <c r="DI78" i="8"/>
  <c r="DI79" i="8"/>
  <c r="DI80" i="8"/>
  <c r="DI81" i="8"/>
  <c r="DI82" i="8"/>
  <c r="DI83" i="8"/>
  <c r="DI84" i="8"/>
  <c r="DI85" i="8"/>
  <c r="DI86" i="8"/>
  <c r="DI87" i="8"/>
  <c r="DI88" i="8"/>
  <c r="DI89" i="8"/>
  <c r="DI90" i="8"/>
  <c r="DI91" i="8"/>
  <c r="DI92" i="8"/>
  <c r="DI93" i="8"/>
  <c r="DI94" i="8"/>
  <c r="DI95" i="8"/>
  <c r="DI96" i="8"/>
  <c r="DI97" i="8"/>
  <c r="DI98" i="8"/>
  <c r="DI99" i="8"/>
  <c r="DD16" i="8"/>
  <c r="DD17" i="8"/>
  <c r="DD18" i="8"/>
  <c r="DD19" i="8"/>
  <c r="DD20" i="8"/>
  <c r="DD21" i="8"/>
  <c r="DD22" i="8"/>
  <c r="DD23" i="8"/>
  <c r="DD24" i="8"/>
  <c r="DD25" i="8"/>
  <c r="DD26" i="8"/>
  <c r="DD27" i="8"/>
  <c r="DD28" i="8"/>
  <c r="DD29" i="8"/>
  <c r="DD30" i="8"/>
  <c r="DD31" i="8"/>
  <c r="DD32" i="8"/>
  <c r="DD33" i="8"/>
  <c r="DD34" i="8"/>
  <c r="DD35" i="8"/>
  <c r="DD36" i="8"/>
  <c r="DD37" i="8"/>
  <c r="DD38" i="8"/>
  <c r="DD39" i="8"/>
  <c r="DD40" i="8"/>
  <c r="DD41" i="8"/>
  <c r="DD42" i="8"/>
  <c r="DD43" i="8"/>
  <c r="DD44" i="8"/>
  <c r="DD45" i="8"/>
  <c r="DD46" i="8"/>
  <c r="DD47" i="8"/>
  <c r="DD48" i="8"/>
  <c r="DD49" i="8"/>
  <c r="DD50" i="8"/>
  <c r="DD51" i="8"/>
  <c r="DD52" i="8"/>
  <c r="DD53" i="8"/>
  <c r="DD54" i="8"/>
  <c r="DD55" i="8"/>
  <c r="DD56" i="8"/>
  <c r="DD57" i="8"/>
  <c r="DD58" i="8"/>
  <c r="DD59" i="8"/>
  <c r="DD60" i="8"/>
  <c r="DD61" i="8"/>
  <c r="DD62" i="8"/>
  <c r="DD63" i="8"/>
  <c r="DD64" i="8"/>
  <c r="DD65" i="8"/>
  <c r="DD66" i="8"/>
  <c r="DD67" i="8"/>
  <c r="DD68" i="8"/>
  <c r="DD69" i="8"/>
  <c r="DD70" i="8"/>
  <c r="DD71" i="8"/>
  <c r="DD72" i="8"/>
  <c r="DD73" i="8"/>
  <c r="DD74" i="8"/>
  <c r="DD75" i="8"/>
  <c r="DD76" i="8"/>
  <c r="DD77" i="8"/>
  <c r="DD78" i="8"/>
  <c r="DD79" i="8"/>
  <c r="DD80" i="8"/>
  <c r="DD81" i="8"/>
  <c r="DD82" i="8"/>
  <c r="DD83" i="8"/>
  <c r="DD84" i="8"/>
  <c r="DD85" i="8"/>
  <c r="DD86" i="8"/>
  <c r="DD87" i="8"/>
  <c r="DD88" i="8"/>
  <c r="DD89" i="8"/>
  <c r="DD90" i="8"/>
  <c r="DD91" i="8"/>
  <c r="DD92" i="8"/>
  <c r="DD93" i="8"/>
  <c r="DD94" i="8"/>
  <c r="DD95" i="8"/>
  <c r="DD96" i="8"/>
  <c r="DD97" i="8"/>
  <c r="DD98" i="8"/>
  <c r="DD99" i="8"/>
  <c r="DB16" i="8"/>
  <c r="DC16" i="8"/>
  <c r="DB17" i="8"/>
  <c r="DC17" i="8"/>
  <c r="DB18" i="8"/>
  <c r="DC18" i="8"/>
  <c r="DB19" i="8"/>
  <c r="DC19" i="8"/>
  <c r="DB20" i="8"/>
  <c r="DC20" i="8"/>
  <c r="DB21" i="8"/>
  <c r="DC21" i="8"/>
  <c r="DB22" i="8"/>
  <c r="DC22" i="8"/>
  <c r="DB23" i="8"/>
  <c r="DC23" i="8"/>
  <c r="DB24" i="8"/>
  <c r="DC24" i="8"/>
  <c r="DB25" i="8"/>
  <c r="DC25" i="8"/>
  <c r="DB26" i="8"/>
  <c r="DC26" i="8"/>
  <c r="DB27" i="8"/>
  <c r="DC27" i="8"/>
  <c r="DB28" i="8"/>
  <c r="DC28" i="8"/>
  <c r="DB29" i="8"/>
  <c r="DC29" i="8"/>
  <c r="DB30" i="8"/>
  <c r="DC30" i="8"/>
  <c r="DB31" i="8"/>
  <c r="DC31" i="8"/>
  <c r="DB32" i="8"/>
  <c r="DC32" i="8"/>
  <c r="DB33" i="8"/>
  <c r="DC33" i="8"/>
  <c r="DB34" i="8"/>
  <c r="DC34" i="8"/>
  <c r="DB35" i="8"/>
  <c r="DC35" i="8"/>
  <c r="DB36" i="8"/>
  <c r="DC36" i="8"/>
  <c r="DB37" i="8"/>
  <c r="DC37" i="8"/>
  <c r="DB38" i="8"/>
  <c r="DC38" i="8"/>
  <c r="DB39" i="8"/>
  <c r="DC39" i="8"/>
  <c r="DB40" i="8"/>
  <c r="DC40" i="8"/>
  <c r="DB41" i="8"/>
  <c r="DC41" i="8"/>
  <c r="DB42" i="8"/>
  <c r="DC42" i="8"/>
  <c r="DB43" i="8"/>
  <c r="DC43" i="8"/>
  <c r="DB44" i="8"/>
  <c r="DC44" i="8"/>
  <c r="DB45" i="8"/>
  <c r="DC45" i="8"/>
  <c r="DB46" i="8"/>
  <c r="DC46" i="8"/>
  <c r="DB47" i="8"/>
  <c r="DC47" i="8"/>
  <c r="DB48" i="8"/>
  <c r="DC48" i="8"/>
  <c r="DB49" i="8"/>
  <c r="DC49" i="8"/>
  <c r="DB50" i="8"/>
  <c r="DC50" i="8"/>
  <c r="DB51" i="8"/>
  <c r="DC51" i="8"/>
  <c r="DB52" i="8"/>
  <c r="DC52" i="8"/>
  <c r="DB53" i="8"/>
  <c r="DC53" i="8"/>
  <c r="DB54" i="8"/>
  <c r="DC54" i="8"/>
  <c r="DB55" i="8"/>
  <c r="DC55" i="8"/>
  <c r="DB56" i="8"/>
  <c r="DC56" i="8"/>
  <c r="DB57" i="8"/>
  <c r="DC57" i="8"/>
  <c r="DB58" i="8"/>
  <c r="DC58" i="8"/>
  <c r="DB59" i="8"/>
  <c r="DC59" i="8"/>
  <c r="DB60" i="8"/>
  <c r="DC60" i="8"/>
  <c r="DB61" i="8"/>
  <c r="DC61" i="8"/>
  <c r="DB62" i="8"/>
  <c r="DC62" i="8"/>
  <c r="DB63" i="8"/>
  <c r="DC63" i="8"/>
  <c r="DB64" i="8"/>
  <c r="DC64" i="8"/>
  <c r="DB65" i="8"/>
  <c r="DC65" i="8"/>
  <c r="DB66" i="8"/>
  <c r="DC66" i="8"/>
  <c r="DB67" i="8"/>
  <c r="DC67" i="8"/>
  <c r="DB68" i="8"/>
  <c r="DC68" i="8"/>
  <c r="DB69" i="8"/>
  <c r="DC69" i="8"/>
  <c r="DB70" i="8"/>
  <c r="DC70" i="8"/>
  <c r="DB71" i="8"/>
  <c r="DC71" i="8"/>
  <c r="DB72" i="8"/>
  <c r="DC72" i="8"/>
  <c r="DB73" i="8"/>
  <c r="DC73" i="8"/>
  <c r="DB74" i="8"/>
  <c r="DC74" i="8"/>
  <c r="DB75" i="8"/>
  <c r="DC75" i="8"/>
  <c r="DB76" i="8"/>
  <c r="DC76" i="8"/>
  <c r="DB77" i="8"/>
  <c r="DC77" i="8"/>
  <c r="DB78" i="8"/>
  <c r="DC78" i="8"/>
  <c r="DB79" i="8"/>
  <c r="DC79" i="8"/>
  <c r="DB80" i="8"/>
  <c r="DC80" i="8"/>
  <c r="DB81" i="8"/>
  <c r="DC81" i="8"/>
  <c r="DB82" i="8"/>
  <c r="DC82" i="8"/>
  <c r="DB83" i="8"/>
  <c r="DC83" i="8"/>
  <c r="DB84" i="8"/>
  <c r="DC84" i="8"/>
  <c r="DB85" i="8"/>
  <c r="DC85" i="8"/>
  <c r="DB86" i="8"/>
  <c r="DC86" i="8"/>
  <c r="DB87" i="8"/>
  <c r="DC87" i="8"/>
  <c r="DB88" i="8"/>
  <c r="DC88" i="8"/>
  <c r="DB89" i="8"/>
  <c r="DC89" i="8"/>
  <c r="DB90" i="8"/>
  <c r="DC90" i="8"/>
  <c r="DB91" i="8"/>
  <c r="DC91" i="8"/>
  <c r="DB92" i="8"/>
  <c r="DC92" i="8"/>
  <c r="DB93" i="8"/>
  <c r="DC93" i="8"/>
  <c r="DB94" i="8"/>
  <c r="DC94" i="8"/>
  <c r="DB95" i="8"/>
  <c r="DC95" i="8"/>
  <c r="DB96" i="8"/>
  <c r="DC96" i="8"/>
  <c r="DB97" i="8"/>
  <c r="DC97" i="8"/>
  <c r="DB98" i="8"/>
  <c r="DC98" i="8"/>
  <c r="DB99" i="8"/>
  <c r="DC99" i="8"/>
  <c r="CO60" i="8"/>
  <c r="CP60" i="8"/>
  <c r="CQ60" i="8"/>
  <c r="CT60" i="8"/>
  <c r="CO61" i="8"/>
  <c r="CP61" i="8"/>
  <c r="CQ61" i="8"/>
  <c r="CT61" i="8"/>
  <c r="CO62" i="8"/>
  <c r="CP62" i="8"/>
  <c r="CQ62" i="8"/>
  <c r="CT62" i="8"/>
  <c r="CO63" i="8"/>
  <c r="CP63" i="8"/>
  <c r="CQ63" i="8"/>
  <c r="CT63" i="8"/>
  <c r="CO64" i="8"/>
  <c r="CP64" i="8"/>
  <c r="CQ64" i="8"/>
  <c r="CT64" i="8"/>
  <c r="CO65" i="8"/>
  <c r="CP65" i="8"/>
  <c r="CQ65" i="8"/>
  <c r="CT65" i="8"/>
  <c r="CO66" i="8"/>
  <c r="CP66" i="8"/>
  <c r="CQ66" i="8"/>
  <c r="CT66" i="8"/>
  <c r="CO67" i="8"/>
  <c r="CP67" i="8"/>
  <c r="CQ67" i="8"/>
  <c r="CT67" i="8"/>
  <c r="CO68" i="8"/>
  <c r="CP68" i="8"/>
  <c r="CQ68" i="8"/>
  <c r="CT68" i="8"/>
  <c r="CO69" i="8"/>
  <c r="CP69" i="8"/>
  <c r="CQ69" i="8"/>
  <c r="CT69" i="8"/>
  <c r="CO70" i="8"/>
  <c r="CP70" i="8"/>
  <c r="CQ70" i="8"/>
  <c r="CT70" i="8"/>
  <c r="CO71" i="8"/>
  <c r="CP71" i="8"/>
  <c r="CQ71" i="8"/>
  <c r="CT71" i="8"/>
  <c r="CO72" i="8"/>
  <c r="CP72" i="8"/>
  <c r="CQ72" i="8"/>
  <c r="CT72" i="8"/>
  <c r="CO73" i="8"/>
  <c r="CP73" i="8"/>
  <c r="CQ73" i="8"/>
  <c r="CT73" i="8"/>
  <c r="CO74" i="8"/>
  <c r="CP74" i="8"/>
  <c r="CQ74" i="8"/>
  <c r="CT74" i="8"/>
  <c r="CO75" i="8"/>
  <c r="CP75" i="8"/>
  <c r="CQ75" i="8"/>
  <c r="CT75" i="8"/>
  <c r="CO76" i="8"/>
  <c r="CP76" i="8"/>
  <c r="CQ76" i="8"/>
  <c r="CT76" i="8"/>
  <c r="CO77" i="8"/>
  <c r="CP77" i="8"/>
  <c r="CQ77" i="8"/>
  <c r="CT77" i="8"/>
  <c r="CO78" i="8"/>
  <c r="CP78" i="8"/>
  <c r="CQ78" i="8"/>
  <c r="CT78" i="8"/>
  <c r="CO79" i="8"/>
  <c r="CP79" i="8"/>
  <c r="CQ79" i="8"/>
  <c r="CT79" i="8"/>
  <c r="CO80" i="8"/>
  <c r="CP80" i="8"/>
  <c r="CQ80" i="8"/>
  <c r="CT80" i="8"/>
  <c r="CO81" i="8"/>
  <c r="CP81" i="8"/>
  <c r="CQ81" i="8"/>
  <c r="CT81" i="8"/>
  <c r="CO82" i="8"/>
  <c r="CP82" i="8"/>
  <c r="CQ82" i="8"/>
  <c r="CT82" i="8"/>
  <c r="CO83" i="8"/>
  <c r="CP83" i="8"/>
  <c r="CQ83" i="8"/>
  <c r="CT83" i="8"/>
  <c r="CO84" i="8"/>
  <c r="CP84" i="8"/>
  <c r="CQ84" i="8"/>
  <c r="CT84" i="8"/>
  <c r="CO85" i="8"/>
  <c r="CP85" i="8"/>
  <c r="CQ85" i="8"/>
  <c r="CT85" i="8"/>
  <c r="CO86" i="8"/>
  <c r="CP86" i="8"/>
  <c r="CQ86" i="8"/>
  <c r="CT86" i="8"/>
  <c r="CO87" i="8"/>
  <c r="CP87" i="8"/>
  <c r="CQ87" i="8"/>
  <c r="CT87" i="8"/>
  <c r="CO88" i="8"/>
  <c r="CP88" i="8"/>
  <c r="CQ88" i="8"/>
  <c r="CT88" i="8"/>
  <c r="CO89" i="8"/>
  <c r="CP89" i="8"/>
  <c r="CQ89" i="8"/>
  <c r="CT89" i="8"/>
  <c r="CO90" i="8"/>
  <c r="CP90" i="8"/>
  <c r="CQ90" i="8"/>
  <c r="CT90" i="8"/>
  <c r="CO91" i="8"/>
  <c r="CP91" i="8"/>
  <c r="CQ91" i="8"/>
  <c r="CT91" i="8"/>
  <c r="CO92" i="8"/>
  <c r="CP92" i="8"/>
  <c r="CQ92" i="8"/>
  <c r="CT92" i="8"/>
  <c r="CO93" i="8"/>
  <c r="CP93" i="8"/>
  <c r="CQ93" i="8"/>
  <c r="CT93" i="8"/>
  <c r="CO94" i="8"/>
  <c r="CP94" i="8"/>
  <c r="CQ94" i="8"/>
  <c r="CT94" i="8"/>
  <c r="CO95" i="8"/>
  <c r="CP95" i="8"/>
  <c r="CQ95" i="8"/>
  <c r="CT95" i="8"/>
  <c r="CO96" i="8"/>
  <c r="CP96" i="8"/>
  <c r="CQ96" i="8"/>
  <c r="CT96" i="8"/>
  <c r="CO97" i="8"/>
  <c r="CP97" i="8"/>
  <c r="CQ97" i="8"/>
  <c r="CT97" i="8"/>
  <c r="CO98" i="8"/>
  <c r="CP98" i="8"/>
  <c r="CQ98" i="8"/>
  <c r="CT98" i="8"/>
  <c r="CO99" i="8"/>
  <c r="CP99" i="8"/>
  <c r="CQ99" i="8"/>
  <c r="CT99" i="8"/>
  <c r="AW16" i="8"/>
  <c r="AX16" i="8"/>
  <c r="BN16" i="8" s="1"/>
  <c r="AZ16" i="8"/>
  <c r="AW17" i="8"/>
  <c r="AX17" i="8"/>
  <c r="AZ17" i="8"/>
  <c r="BL18" i="8"/>
  <c r="AW18" i="8"/>
  <c r="AX18" i="8"/>
  <c r="AZ18" i="8"/>
  <c r="AW19" i="8"/>
  <c r="AX19" i="8"/>
  <c r="AZ19" i="8"/>
  <c r="BP19" i="8" s="1"/>
  <c r="AW20" i="8"/>
  <c r="AX20" i="8"/>
  <c r="BN20" i="8" s="1"/>
  <c r="AZ20" i="8"/>
  <c r="BP20" i="8" s="1"/>
  <c r="AW21" i="8"/>
  <c r="AX21" i="8"/>
  <c r="AZ21" i="8"/>
  <c r="BL22" i="8"/>
  <c r="AW22" i="8"/>
  <c r="AX22" i="8"/>
  <c r="AZ22" i="8"/>
  <c r="AW23" i="8"/>
  <c r="AX23" i="8"/>
  <c r="AZ23" i="8"/>
  <c r="BP23" i="8" s="1"/>
  <c r="AW24" i="8"/>
  <c r="AX24" i="8"/>
  <c r="BN24" i="8" s="1"/>
  <c r="AZ24" i="8"/>
  <c r="AW25" i="8"/>
  <c r="AX25" i="8"/>
  <c r="AZ25" i="8"/>
  <c r="BL26" i="8"/>
  <c r="AW26" i="8"/>
  <c r="AX26" i="8"/>
  <c r="AZ26" i="8"/>
  <c r="BL27" i="8"/>
  <c r="AW27" i="8"/>
  <c r="AX27" i="8"/>
  <c r="AZ27" i="8"/>
  <c r="BP27" i="8" s="1"/>
  <c r="AW28" i="8"/>
  <c r="AX28" i="8"/>
  <c r="BN28" i="8" s="1"/>
  <c r="AZ28" i="8"/>
  <c r="AW29" i="8"/>
  <c r="AX29" i="8"/>
  <c r="AZ29" i="8"/>
  <c r="AW30" i="8"/>
  <c r="AX30" i="8"/>
  <c r="AZ30" i="8"/>
  <c r="BP30" i="8" s="1"/>
  <c r="AW31" i="8"/>
  <c r="AX31" i="8"/>
  <c r="BN31" i="8" s="1"/>
  <c r="AZ31" i="8"/>
  <c r="AW32" i="8"/>
  <c r="AX32" i="8"/>
  <c r="AZ32" i="8"/>
  <c r="BL33" i="8"/>
  <c r="AW33" i="8"/>
  <c r="AX33" i="8"/>
  <c r="AZ33" i="8"/>
  <c r="AW34" i="8"/>
  <c r="AX34" i="8"/>
  <c r="AZ34" i="8"/>
  <c r="BP34" i="8" s="1"/>
  <c r="AW35" i="8"/>
  <c r="AX35" i="8"/>
  <c r="BN35" i="8" s="1"/>
  <c r="AZ35" i="8"/>
  <c r="BP35" i="8" s="1"/>
  <c r="AW36" i="8"/>
  <c r="AX36" i="8"/>
  <c r="AZ36" i="8"/>
  <c r="BL37" i="8"/>
  <c r="AW37" i="8"/>
  <c r="AX37" i="8"/>
  <c r="AZ37" i="8"/>
  <c r="AW38" i="8"/>
  <c r="AX38" i="8"/>
  <c r="AZ38" i="8"/>
  <c r="BP38" i="8" s="1"/>
  <c r="AW39" i="8"/>
  <c r="AX39" i="8"/>
  <c r="BN39" i="8" s="1"/>
  <c r="AZ39" i="8"/>
  <c r="AW40" i="8"/>
  <c r="AX40" i="8"/>
  <c r="AZ40" i="8"/>
  <c r="BL41" i="8"/>
  <c r="AW41" i="8"/>
  <c r="AX41" i="8"/>
  <c r="AZ41" i="8"/>
  <c r="AW42" i="8"/>
  <c r="AX42" i="8"/>
  <c r="AZ42" i="8"/>
  <c r="BP42" i="8" s="1"/>
  <c r="AW43" i="8"/>
  <c r="AX43" i="8"/>
  <c r="BN43" i="8" s="1"/>
  <c r="AZ43" i="8"/>
  <c r="AW44" i="8"/>
  <c r="AX44" i="8"/>
  <c r="AZ44" i="8"/>
  <c r="BL45" i="8"/>
  <c r="AW45" i="8"/>
  <c r="AX45" i="8"/>
  <c r="AZ45" i="8"/>
  <c r="AW46" i="8"/>
  <c r="AX46" i="8"/>
  <c r="AZ46" i="8"/>
  <c r="BP46" i="8" s="1"/>
  <c r="AW47" i="8"/>
  <c r="AX47" i="8"/>
  <c r="BN47" i="8" s="1"/>
  <c r="AZ47" i="8"/>
  <c r="AW48" i="8"/>
  <c r="AX48" i="8"/>
  <c r="BN48" i="8" s="1"/>
  <c r="AZ48" i="8"/>
  <c r="BL49" i="8"/>
  <c r="AW49" i="8"/>
  <c r="AX49" i="8"/>
  <c r="AZ49" i="8"/>
  <c r="AW50" i="8"/>
  <c r="AX50" i="8"/>
  <c r="AZ50" i="8"/>
  <c r="BP50" i="8" s="1"/>
  <c r="AW51" i="8"/>
  <c r="AX51" i="8"/>
  <c r="BN51" i="8" s="1"/>
  <c r="AZ51" i="8"/>
  <c r="AW52" i="8"/>
  <c r="AX52" i="8"/>
  <c r="AZ52" i="8"/>
  <c r="BL53" i="8"/>
  <c r="AW53" i="8"/>
  <c r="AX53" i="8"/>
  <c r="AZ53" i="8"/>
  <c r="AW54" i="8"/>
  <c r="AX54" i="8"/>
  <c r="AZ54" i="8"/>
  <c r="BP54" i="8" s="1"/>
  <c r="AW55" i="8"/>
  <c r="AX55" i="8"/>
  <c r="BN55" i="8" s="1"/>
  <c r="AZ55" i="8"/>
  <c r="AW56" i="8"/>
  <c r="AX56" i="8"/>
  <c r="AZ56" i="8"/>
  <c r="BL57" i="8"/>
  <c r="AW57" i="8"/>
  <c r="AX57" i="8"/>
  <c r="AZ57" i="8"/>
  <c r="AW58" i="8"/>
  <c r="AX58" i="8"/>
  <c r="AZ58" i="8"/>
  <c r="BP58" i="8" s="1"/>
  <c r="AW59" i="8"/>
  <c r="AX59" i="8"/>
  <c r="BN59" i="8" s="1"/>
  <c r="AZ59" i="8"/>
  <c r="AW60" i="8"/>
  <c r="AX60" i="8"/>
  <c r="BN60" i="8" s="1"/>
  <c r="AZ60" i="8"/>
  <c r="BL61" i="8"/>
  <c r="AW61" i="8"/>
  <c r="AX61" i="8"/>
  <c r="AZ61" i="8"/>
  <c r="AW62" i="8"/>
  <c r="AX62" i="8"/>
  <c r="AZ62" i="8"/>
  <c r="AW63" i="8"/>
  <c r="AX63" i="8"/>
  <c r="BN63" i="8" s="1"/>
  <c r="AZ63" i="8"/>
  <c r="AW64" i="8"/>
  <c r="AX64" i="8"/>
  <c r="AZ64" i="8"/>
  <c r="BL65" i="8"/>
  <c r="AW65" i="8"/>
  <c r="AX65" i="8"/>
  <c r="AZ65" i="8"/>
  <c r="AW66" i="8"/>
  <c r="AX66" i="8"/>
  <c r="AZ66" i="8"/>
  <c r="BP66" i="8" s="1"/>
  <c r="AW67" i="8"/>
  <c r="AX67" i="8"/>
  <c r="BN67" i="8" s="1"/>
  <c r="AZ67" i="8"/>
  <c r="AW68" i="8"/>
  <c r="AX68" i="8"/>
  <c r="AZ68" i="8"/>
  <c r="AW69" i="8"/>
  <c r="AX69" i="8"/>
  <c r="AZ69" i="8"/>
  <c r="AW70" i="8"/>
  <c r="AX70" i="8"/>
  <c r="AZ70" i="8"/>
  <c r="AW71" i="8"/>
  <c r="AX71" i="8"/>
  <c r="AZ71" i="8"/>
  <c r="AW72" i="8"/>
  <c r="AX72" i="8"/>
  <c r="AZ72" i="8"/>
  <c r="AW73" i="8"/>
  <c r="AX73" i="8"/>
  <c r="AZ73" i="8"/>
  <c r="AW74" i="8"/>
  <c r="AX74" i="8"/>
  <c r="AZ74" i="8"/>
  <c r="AW75" i="8"/>
  <c r="AX75" i="8"/>
  <c r="AZ75" i="8"/>
  <c r="AW76" i="8"/>
  <c r="AX76" i="8"/>
  <c r="AZ76" i="8"/>
  <c r="AW77" i="8"/>
  <c r="AX77" i="8"/>
  <c r="AZ77" i="8"/>
  <c r="AW78" i="8"/>
  <c r="AX78" i="8"/>
  <c r="AZ78" i="8"/>
  <c r="AW79" i="8"/>
  <c r="AX79" i="8"/>
  <c r="BN79" i="8" s="1"/>
  <c r="AZ79" i="8"/>
  <c r="AW80" i="8"/>
  <c r="AX80" i="8"/>
  <c r="AZ80" i="8"/>
  <c r="AW81" i="8"/>
  <c r="AX81" i="8"/>
  <c r="AZ81" i="8"/>
  <c r="AW82" i="8"/>
  <c r="AX82" i="8"/>
  <c r="AZ82" i="8"/>
  <c r="AW83" i="8"/>
  <c r="AX83" i="8"/>
  <c r="AZ83" i="8"/>
  <c r="AW84" i="8"/>
  <c r="AX84" i="8"/>
  <c r="AZ84" i="8"/>
  <c r="AW85" i="8"/>
  <c r="AX85" i="8"/>
  <c r="AZ85" i="8"/>
  <c r="AW86" i="8"/>
  <c r="AX86" i="8"/>
  <c r="AZ86" i="8"/>
  <c r="BP86" i="8" s="1"/>
  <c r="AW87" i="8"/>
  <c r="AX87" i="8"/>
  <c r="AZ87" i="8"/>
  <c r="AW88" i="8"/>
  <c r="AX88" i="8"/>
  <c r="AZ88" i="8"/>
  <c r="BL89" i="8"/>
  <c r="AW89" i="8"/>
  <c r="AX89" i="8"/>
  <c r="AZ89" i="8"/>
  <c r="AW90" i="8"/>
  <c r="AX90" i="8"/>
  <c r="AZ90" i="8"/>
  <c r="BP90" i="8" s="1"/>
  <c r="AW91" i="8"/>
  <c r="AX91" i="8"/>
  <c r="AZ91" i="8"/>
  <c r="AW92" i="8"/>
  <c r="AX92" i="8"/>
  <c r="AZ92" i="8"/>
  <c r="BL93" i="8"/>
  <c r="AW93" i="8"/>
  <c r="AX93" i="8"/>
  <c r="AZ93" i="8"/>
  <c r="AW94" i="8"/>
  <c r="AX94" i="8"/>
  <c r="AZ94" i="8"/>
  <c r="AW95" i="8"/>
  <c r="AX95" i="8"/>
  <c r="AZ95" i="8"/>
  <c r="AW96" i="8"/>
  <c r="AX96" i="8"/>
  <c r="AZ96" i="8"/>
  <c r="AW97" i="8"/>
  <c r="AX97" i="8"/>
  <c r="AZ97" i="8"/>
  <c r="AW98" i="8"/>
  <c r="AX98" i="8"/>
  <c r="AZ98" i="8"/>
  <c r="AW99" i="8"/>
  <c r="AX99" i="8"/>
  <c r="BN99" i="8" s="1"/>
  <c r="AZ99" i="8"/>
  <c r="AF16" i="8"/>
  <c r="AG16" i="8"/>
  <c r="AH16" i="8"/>
  <c r="AJ16" i="8"/>
  <c r="AF17" i="8"/>
  <c r="AG17" i="8"/>
  <c r="AH17" i="8"/>
  <c r="AJ17" i="8"/>
  <c r="AF18" i="8"/>
  <c r="AG18" i="8"/>
  <c r="AH18" i="8"/>
  <c r="AJ18" i="8"/>
  <c r="AF19" i="8"/>
  <c r="AG19" i="8"/>
  <c r="AH19" i="8"/>
  <c r="AJ19" i="8"/>
  <c r="AF20" i="8"/>
  <c r="AG20" i="8"/>
  <c r="AH20" i="8"/>
  <c r="AJ20" i="8"/>
  <c r="AF21" i="8"/>
  <c r="AG21" i="8"/>
  <c r="AH21" i="8"/>
  <c r="AJ21" i="8"/>
  <c r="AF22" i="8"/>
  <c r="AG22" i="8"/>
  <c r="AH22" i="8"/>
  <c r="AJ22" i="8"/>
  <c r="AF23" i="8"/>
  <c r="AG23" i="8"/>
  <c r="AH23" i="8"/>
  <c r="AJ23" i="8"/>
  <c r="AF24" i="8"/>
  <c r="AG24" i="8"/>
  <c r="AH24" i="8"/>
  <c r="AJ24" i="8"/>
  <c r="AF25" i="8"/>
  <c r="AG25" i="8"/>
  <c r="AH25" i="8"/>
  <c r="AJ25" i="8"/>
  <c r="AF26" i="8"/>
  <c r="AG26" i="8"/>
  <c r="AH26" i="8"/>
  <c r="AJ26" i="8"/>
  <c r="AF27" i="8"/>
  <c r="AG27" i="8"/>
  <c r="AH27" i="8"/>
  <c r="AJ27" i="8"/>
  <c r="AF28" i="8"/>
  <c r="AG28" i="8"/>
  <c r="AH28" i="8"/>
  <c r="AJ28" i="8"/>
  <c r="AF29" i="8"/>
  <c r="AG29" i="8"/>
  <c r="AH29" i="8"/>
  <c r="AJ29" i="8"/>
  <c r="AF30" i="8"/>
  <c r="AG30" i="8"/>
  <c r="AH30" i="8"/>
  <c r="AJ30" i="8"/>
  <c r="AF31" i="8"/>
  <c r="AG31" i="8"/>
  <c r="AH31" i="8"/>
  <c r="AJ31" i="8"/>
  <c r="AF32" i="8"/>
  <c r="AG32" i="8"/>
  <c r="AH32" i="8"/>
  <c r="AJ32" i="8"/>
  <c r="AF33" i="8"/>
  <c r="AG33" i="8"/>
  <c r="AH33" i="8"/>
  <c r="AJ33" i="8"/>
  <c r="AF34" i="8"/>
  <c r="AG34" i="8"/>
  <c r="AH34" i="8"/>
  <c r="AJ34" i="8"/>
  <c r="AF35" i="8"/>
  <c r="AG35" i="8"/>
  <c r="AH35" i="8"/>
  <c r="AJ35" i="8"/>
  <c r="AF36" i="8"/>
  <c r="AG36" i="8"/>
  <c r="AH36" i="8"/>
  <c r="AJ36" i="8"/>
  <c r="AF37" i="8"/>
  <c r="AG37" i="8"/>
  <c r="AH37" i="8"/>
  <c r="AJ37" i="8"/>
  <c r="AF38" i="8"/>
  <c r="AG38" i="8"/>
  <c r="AH38" i="8"/>
  <c r="AJ38" i="8"/>
  <c r="AF39" i="8"/>
  <c r="AG39" i="8"/>
  <c r="AH39" i="8"/>
  <c r="AJ39" i="8"/>
  <c r="AF40" i="8"/>
  <c r="AG40" i="8"/>
  <c r="AH40" i="8"/>
  <c r="AJ40" i="8"/>
  <c r="AF41" i="8"/>
  <c r="AG41" i="8"/>
  <c r="AH41" i="8"/>
  <c r="AJ41" i="8"/>
  <c r="AF42" i="8"/>
  <c r="AG42" i="8"/>
  <c r="AH42" i="8"/>
  <c r="AJ42" i="8"/>
  <c r="AF43" i="8"/>
  <c r="AG43" i="8"/>
  <c r="AH43" i="8"/>
  <c r="AJ43" i="8"/>
  <c r="AF44" i="8"/>
  <c r="AG44" i="8"/>
  <c r="AH44" i="8"/>
  <c r="AJ44" i="8"/>
  <c r="AF45" i="8"/>
  <c r="AG45" i="8"/>
  <c r="AH45" i="8"/>
  <c r="AJ45" i="8"/>
  <c r="AF46" i="8"/>
  <c r="AG46" i="8"/>
  <c r="AH46" i="8"/>
  <c r="AJ46" i="8"/>
  <c r="AF47" i="8"/>
  <c r="AG47" i="8"/>
  <c r="AH47" i="8"/>
  <c r="AJ47" i="8"/>
  <c r="AF48" i="8"/>
  <c r="AG48" i="8"/>
  <c r="AH48" i="8"/>
  <c r="AJ48" i="8"/>
  <c r="AF49" i="8"/>
  <c r="AG49" i="8"/>
  <c r="AH49" i="8"/>
  <c r="AJ49" i="8"/>
  <c r="AF50" i="8"/>
  <c r="AG50" i="8"/>
  <c r="AH50" i="8"/>
  <c r="AJ50" i="8"/>
  <c r="AF51" i="8"/>
  <c r="AG51" i="8"/>
  <c r="AH51" i="8"/>
  <c r="AJ51" i="8"/>
  <c r="AF52" i="8"/>
  <c r="AG52" i="8"/>
  <c r="AH52" i="8"/>
  <c r="AJ52" i="8"/>
  <c r="AF53" i="8"/>
  <c r="AG53" i="8"/>
  <c r="AH53" i="8"/>
  <c r="AJ53" i="8"/>
  <c r="AF54" i="8"/>
  <c r="AG54" i="8"/>
  <c r="AH54" i="8"/>
  <c r="AJ54" i="8"/>
  <c r="AF55" i="8"/>
  <c r="AG55" i="8"/>
  <c r="AH55" i="8"/>
  <c r="AJ55" i="8"/>
  <c r="AF56" i="8"/>
  <c r="AG56" i="8"/>
  <c r="AH56" i="8"/>
  <c r="AJ56" i="8"/>
  <c r="AF57" i="8"/>
  <c r="AG57" i="8"/>
  <c r="AH57" i="8"/>
  <c r="AJ57" i="8"/>
  <c r="AF58" i="8"/>
  <c r="AG58" i="8"/>
  <c r="AH58" i="8"/>
  <c r="AJ58" i="8"/>
  <c r="AF59" i="8"/>
  <c r="AG59" i="8"/>
  <c r="AH59" i="8"/>
  <c r="AJ59" i="8"/>
  <c r="AF60" i="8"/>
  <c r="AG60" i="8"/>
  <c r="AH60" i="8"/>
  <c r="AJ60" i="8"/>
  <c r="AF61" i="8"/>
  <c r="AG61" i="8"/>
  <c r="AH61" i="8"/>
  <c r="AJ61" i="8"/>
  <c r="AF62" i="8"/>
  <c r="AG62" i="8"/>
  <c r="AH62" i="8"/>
  <c r="AJ62" i="8"/>
  <c r="AF63" i="8"/>
  <c r="AG63" i="8"/>
  <c r="AH63" i="8"/>
  <c r="AJ63" i="8"/>
  <c r="AF64" i="8"/>
  <c r="AG64" i="8"/>
  <c r="AH64" i="8"/>
  <c r="AJ64" i="8"/>
  <c r="AF65" i="8"/>
  <c r="AG65" i="8"/>
  <c r="AH65" i="8"/>
  <c r="AJ65" i="8"/>
  <c r="AF66" i="8"/>
  <c r="AG66" i="8"/>
  <c r="AH66" i="8"/>
  <c r="AJ66" i="8"/>
  <c r="AF67" i="8"/>
  <c r="AG67" i="8"/>
  <c r="AH67" i="8"/>
  <c r="AJ67" i="8"/>
  <c r="AF68" i="8"/>
  <c r="AG68" i="8"/>
  <c r="AH68" i="8"/>
  <c r="AJ68" i="8"/>
  <c r="AF69" i="8"/>
  <c r="AG69" i="8"/>
  <c r="AH69" i="8"/>
  <c r="AJ69" i="8"/>
  <c r="AF70" i="8"/>
  <c r="AG70" i="8"/>
  <c r="AH70" i="8"/>
  <c r="AJ70" i="8"/>
  <c r="AF71" i="8"/>
  <c r="AG71" i="8"/>
  <c r="AH71" i="8"/>
  <c r="AJ71" i="8"/>
  <c r="AF72" i="8"/>
  <c r="AG72" i="8"/>
  <c r="AH72" i="8"/>
  <c r="AJ72" i="8"/>
  <c r="AF73" i="8"/>
  <c r="AG73" i="8"/>
  <c r="AH73" i="8"/>
  <c r="AJ73" i="8"/>
  <c r="AF74" i="8"/>
  <c r="AG74" i="8"/>
  <c r="AH74" i="8"/>
  <c r="AJ74" i="8"/>
  <c r="AF75" i="8"/>
  <c r="AG75" i="8"/>
  <c r="AH75" i="8"/>
  <c r="AJ75" i="8"/>
  <c r="AF76" i="8"/>
  <c r="AG76" i="8"/>
  <c r="AH76" i="8"/>
  <c r="AJ76" i="8"/>
  <c r="AF77" i="8"/>
  <c r="AG77" i="8"/>
  <c r="AH77" i="8"/>
  <c r="AJ77" i="8"/>
  <c r="AF78" i="8"/>
  <c r="AG78" i="8"/>
  <c r="AH78" i="8"/>
  <c r="AJ78" i="8"/>
  <c r="AF79" i="8"/>
  <c r="AG79" i="8"/>
  <c r="AH79" i="8"/>
  <c r="AJ79" i="8"/>
  <c r="AF80" i="8"/>
  <c r="AG80" i="8"/>
  <c r="AH80" i="8"/>
  <c r="AJ80" i="8"/>
  <c r="AF81" i="8"/>
  <c r="AG81" i="8"/>
  <c r="AH81" i="8"/>
  <c r="AJ81" i="8"/>
  <c r="AF82" i="8"/>
  <c r="AG82" i="8"/>
  <c r="AH82" i="8"/>
  <c r="AJ82" i="8"/>
  <c r="AF83" i="8"/>
  <c r="AG83" i="8"/>
  <c r="AH83" i="8"/>
  <c r="AJ83" i="8"/>
  <c r="AF84" i="8"/>
  <c r="AG84" i="8"/>
  <c r="AH84" i="8"/>
  <c r="AJ84" i="8"/>
  <c r="AF85" i="8"/>
  <c r="AG85" i="8"/>
  <c r="AH85" i="8"/>
  <c r="AJ85" i="8"/>
  <c r="AF86" i="8"/>
  <c r="AG86" i="8"/>
  <c r="AH86" i="8"/>
  <c r="AJ86" i="8"/>
  <c r="AF87" i="8"/>
  <c r="AG87" i="8"/>
  <c r="AH87" i="8"/>
  <c r="AJ87" i="8"/>
  <c r="AF88" i="8"/>
  <c r="AG88" i="8"/>
  <c r="AH88" i="8"/>
  <c r="AJ88" i="8"/>
  <c r="AF89" i="8"/>
  <c r="AG89" i="8"/>
  <c r="AH89" i="8"/>
  <c r="AJ89" i="8"/>
  <c r="AF90" i="8"/>
  <c r="AG90" i="8"/>
  <c r="AH90" i="8"/>
  <c r="AJ90" i="8"/>
  <c r="AF91" i="8"/>
  <c r="AG91" i="8"/>
  <c r="AH91" i="8"/>
  <c r="AJ91" i="8"/>
  <c r="AF92" i="8"/>
  <c r="AG92" i="8"/>
  <c r="AH92" i="8"/>
  <c r="AJ92" i="8"/>
  <c r="AF93" i="8"/>
  <c r="AG93" i="8"/>
  <c r="AH93" i="8"/>
  <c r="AJ93" i="8"/>
  <c r="AF94" i="8"/>
  <c r="AG94" i="8"/>
  <c r="AH94" i="8"/>
  <c r="AJ94" i="8"/>
  <c r="AF95" i="8"/>
  <c r="AG95" i="8"/>
  <c r="AH95" i="8"/>
  <c r="AJ95" i="8"/>
  <c r="AF96" i="8"/>
  <c r="AG96" i="8"/>
  <c r="AH96" i="8"/>
  <c r="AJ96" i="8"/>
  <c r="AF97" i="8"/>
  <c r="AG97" i="8"/>
  <c r="AH97" i="8"/>
  <c r="AJ97" i="8"/>
  <c r="AF98" i="8"/>
  <c r="AG98" i="8"/>
  <c r="AH98" i="8"/>
  <c r="AJ98" i="8"/>
  <c r="AF99" i="8"/>
  <c r="AG99" i="8"/>
  <c r="AH99" i="8"/>
  <c r="AJ99" i="8"/>
  <c r="CW87" i="8" l="1"/>
  <c r="CV87" i="8"/>
  <c r="CU87" i="8"/>
  <c r="CU83" i="8"/>
  <c r="CW83" i="8"/>
  <c r="CV83" i="8"/>
  <c r="BM80" i="8"/>
  <c r="CW80" i="8"/>
  <c r="CU80" i="8"/>
  <c r="CV80" i="8"/>
  <c r="CU77" i="8"/>
  <c r="CW77" i="8"/>
  <c r="CV77" i="8"/>
  <c r="CV74" i="8"/>
  <c r="CW74" i="8"/>
  <c r="CU74" i="8"/>
  <c r="CV72" i="8"/>
  <c r="CW72" i="8"/>
  <c r="CU72" i="8"/>
  <c r="CW69" i="8"/>
  <c r="CV69" i="8"/>
  <c r="CU69" i="8"/>
  <c r="CU67" i="8"/>
  <c r="CW67" i="8"/>
  <c r="CV67" i="8"/>
  <c r="CU65" i="8"/>
  <c r="CW65" i="8"/>
  <c r="CV65" i="8"/>
  <c r="BM35" i="8"/>
  <c r="BM33" i="8"/>
  <c r="CW64" i="8"/>
  <c r="CU64" i="8"/>
  <c r="CV64" i="8"/>
  <c r="CU63" i="8"/>
  <c r="CW63" i="8"/>
  <c r="CV63" i="8"/>
  <c r="CW62" i="8"/>
  <c r="CU62" i="8"/>
  <c r="CV62" i="8"/>
  <c r="CU61" i="8"/>
  <c r="CW61" i="8"/>
  <c r="CV61" i="8"/>
  <c r="BM48" i="8"/>
  <c r="BM32" i="8"/>
  <c r="BM31" i="8"/>
  <c r="BM30" i="8"/>
  <c r="BM29" i="8"/>
  <c r="BM28" i="8"/>
  <c r="BM27" i="8"/>
  <c r="BM17" i="8"/>
  <c r="BM16" i="8"/>
  <c r="CV86" i="8"/>
  <c r="CW86" i="8"/>
  <c r="CU86" i="8"/>
  <c r="CV84" i="8"/>
  <c r="CW84" i="8"/>
  <c r="CU84" i="8"/>
  <c r="CU81" i="8"/>
  <c r="CW81" i="8"/>
  <c r="CV81" i="8"/>
  <c r="CW78" i="8"/>
  <c r="CU78" i="8"/>
  <c r="CV78" i="8"/>
  <c r="CW75" i="8"/>
  <c r="CV75" i="8"/>
  <c r="CU75" i="8"/>
  <c r="CW73" i="8"/>
  <c r="CV73" i="8"/>
  <c r="CU73" i="8"/>
  <c r="CV70" i="8"/>
  <c r="CW70" i="8"/>
  <c r="CU70" i="8"/>
  <c r="CV68" i="8"/>
  <c r="CW68" i="8"/>
  <c r="CU68" i="8"/>
  <c r="CW66" i="8"/>
  <c r="CU66" i="8"/>
  <c r="CV66" i="8"/>
  <c r="BM36" i="8"/>
  <c r="BM21" i="8"/>
  <c r="BM19" i="8"/>
  <c r="CU99" i="8"/>
  <c r="CW99" i="8"/>
  <c r="CV99" i="8"/>
  <c r="CW98" i="8"/>
  <c r="CU98" i="8"/>
  <c r="CV98" i="8"/>
  <c r="CU97" i="8"/>
  <c r="CW97" i="8"/>
  <c r="CV97" i="8"/>
  <c r="CW96" i="8"/>
  <c r="CU96" i="8"/>
  <c r="CV96" i="8"/>
  <c r="CU95" i="8"/>
  <c r="CW95" i="8"/>
  <c r="CV95" i="8"/>
  <c r="CW94" i="8"/>
  <c r="CU94" i="8"/>
  <c r="CV94" i="8"/>
  <c r="CU93" i="8"/>
  <c r="CW93" i="8"/>
  <c r="CV93" i="8"/>
  <c r="BM60" i="8"/>
  <c r="CW60" i="8"/>
  <c r="CU60" i="8"/>
  <c r="CV60" i="8"/>
  <c r="BM57" i="8"/>
  <c r="BM44" i="8"/>
  <c r="BM43" i="8"/>
  <c r="BM42" i="8"/>
  <c r="BM41" i="8"/>
  <c r="BM26" i="8"/>
  <c r="CV88" i="8"/>
  <c r="CW88" i="8"/>
  <c r="CU88" i="8"/>
  <c r="CW85" i="8"/>
  <c r="CV85" i="8"/>
  <c r="CU85" i="8"/>
  <c r="CW82" i="8"/>
  <c r="CU82" i="8"/>
  <c r="CV82" i="8"/>
  <c r="CU79" i="8"/>
  <c r="CW79" i="8"/>
  <c r="CV79" i="8"/>
  <c r="BM76" i="8"/>
  <c r="CW76" i="8"/>
  <c r="CU76" i="8"/>
  <c r="CV76" i="8"/>
  <c r="CW71" i="8"/>
  <c r="CV71" i="8"/>
  <c r="CU71" i="8"/>
  <c r="BM52" i="8"/>
  <c r="BM34" i="8"/>
  <c r="BM20" i="8"/>
  <c r="BM18" i="8"/>
  <c r="BM92" i="8"/>
  <c r="CW92" i="8"/>
  <c r="CU92" i="8"/>
  <c r="CV92" i="8"/>
  <c r="CW91" i="8"/>
  <c r="CV91" i="8"/>
  <c r="CU91" i="8"/>
  <c r="CV90" i="8"/>
  <c r="CW90" i="8"/>
  <c r="CU90" i="8"/>
  <c r="CW89" i="8"/>
  <c r="CV89" i="8"/>
  <c r="CU89" i="8"/>
  <c r="BM56" i="8"/>
  <c r="BM40" i="8"/>
  <c r="BM39" i="8"/>
  <c r="BM38" i="8"/>
  <c r="BM37" i="8"/>
  <c r="BM25" i="8"/>
  <c r="BM24" i="8"/>
  <c r="BM23" i="8"/>
  <c r="BM22" i="8"/>
  <c r="CO56" i="8"/>
  <c r="CU56" i="8" s="1"/>
  <c r="CO52" i="8"/>
  <c r="CU52" i="8" s="1"/>
  <c r="CO48" i="8"/>
  <c r="CU48" i="8" s="1"/>
  <c r="CO59" i="8"/>
  <c r="CU59" i="8" s="1"/>
  <c r="CO55" i="8"/>
  <c r="CU55" i="8" s="1"/>
  <c r="CO51" i="8"/>
  <c r="CU51" i="8" s="1"/>
  <c r="CO47" i="8"/>
  <c r="CU47" i="8" s="1"/>
  <c r="CO58" i="8"/>
  <c r="CU58" i="8" s="1"/>
  <c r="CO54" i="8"/>
  <c r="CU54" i="8" s="1"/>
  <c r="CO50" i="8"/>
  <c r="CU50" i="8" s="1"/>
  <c r="CO57" i="8"/>
  <c r="CU57" i="8" s="1"/>
  <c r="CO53" i="8"/>
  <c r="CU53" i="8" s="1"/>
  <c r="CO49" i="8"/>
  <c r="CU49" i="8" s="1"/>
  <c r="FO15" i="10"/>
  <c r="GE15" i="10"/>
  <c r="KO15" i="10" s="1"/>
  <c r="KQ15" i="10" s="1"/>
  <c r="KR15" i="10" s="1"/>
  <c r="KY16" i="11"/>
  <c r="CO42" i="8"/>
  <c r="CU42" i="8" s="1"/>
  <c r="CO44" i="8"/>
  <c r="CU44" i="8" s="1"/>
  <c r="CO27" i="8"/>
  <c r="CU27" i="8" s="1"/>
  <c r="CF98" i="8"/>
  <c r="CB97" i="8"/>
  <c r="CD95" i="8"/>
  <c r="CD87" i="8"/>
  <c r="CC84" i="8"/>
  <c r="CF82" i="8"/>
  <c r="CB81" i="8"/>
  <c r="CF74" i="8"/>
  <c r="CB73" i="8"/>
  <c r="CD71" i="8"/>
  <c r="CC68" i="8"/>
  <c r="CO17" i="8"/>
  <c r="CU17" i="8" s="1"/>
  <c r="CO31" i="8"/>
  <c r="CU31" i="8" s="1"/>
  <c r="CO32" i="8"/>
  <c r="CU32" i="8" s="1"/>
  <c r="CO21" i="8"/>
  <c r="CU21" i="8" s="1"/>
  <c r="CO36" i="8"/>
  <c r="CU36" i="8" s="1"/>
  <c r="CO30" i="8"/>
  <c r="CU30" i="8" s="1"/>
  <c r="CO19" i="8"/>
  <c r="CU19" i="8" s="1"/>
  <c r="CR96" i="8"/>
  <c r="CS96" i="8" s="1"/>
  <c r="CR90" i="8"/>
  <c r="CR88" i="8"/>
  <c r="CR80" i="8"/>
  <c r="CS80" i="8" s="1"/>
  <c r="CO46" i="8"/>
  <c r="CU46" i="8" s="1"/>
  <c r="CO40" i="8"/>
  <c r="CU40" i="8" s="1"/>
  <c r="CO34" i="8"/>
  <c r="CU34" i="8" s="1"/>
  <c r="CO29" i="8"/>
  <c r="CU29" i="8" s="1"/>
  <c r="CO23" i="8"/>
  <c r="CU23" i="8" s="1"/>
  <c r="CO38" i="8"/>
  <c r="CU38" i="8" s="1"/>
  <c r="CO20" i="8"/>
  <c r="CU20" i="8" s="1"/>
  <c r="CO43" i="8"/>
  <c r="CU43" i="8" s="1"/>
  <c r="CO25" i="8"/>
  <c r="CU25" i="8" s="1"/>
  <c r="CO39" i="8"/>
  <c r="CU39" i="8" s="1"/>
  <c r="CO28" i="8"/>
  <c r="CU28" i="8" s="1"/>
  <c r="CO16" i="8"/>
  <c r="CU16" i="8" s="1"/>
  <c r="CO35" i="8"/>
  <c r="CU35" i="8" s="1"/>
  <c r="CO24" i="8"/>
  <c r="CU24" i="8" s="1"/>
  <c r="CO45" i="8"/>
  <c r="CU45" i="8" s="1"/>
  <c r="CO41" i="8"/>
  <c r="CU41" i="8" s="1"/>
  <c r="CO37" i="8"/>
  <c r="CU37" i="8" s="1"/>
  <c r="CO33" i="8"/>
  <c r="CU33" i="8" s="1"/>
  <c r="CO26" i="8"/>
  <c r="CU26" i="8" s="1"/>
  <c r="CO22" i="8"/>
  <c r="CU22" i="8" s="1"/>
  <c r="CO18" i="8"/>
  <c r="CU18" i="8" s="1"/>
  <c r="CR95" i="8"/>
  <c r="CS95" i="8" s="1"/>
  <c r="CR87" i="8"/>
  <c r="CS87" i="8" s="1"/>
  <c r="CB55" i="8"/>
  <c r="CD53" i="8"/>
  <c r="CC50" i="8"/>
  <c r="CF48" i="8"/>
  <c r="CB47" i="8"/>
  <c r="CD45" i="8"/>
  <c r="CC42" i="8"/>
  <c r="CF40" i="8"/>
  <c r="CB39" i="8"/>
  <c r="CD37" i="8"/>
  <c r="CC34" i="8"/>
  <c r="CF32" i="8"/>
  <c r="CB31" i="8"/>
  <c r="CC27" i="8"/>
  <c r="CF25" i="8"/>
  <c r="CB24" i="8"/>
  <c r="CD22" i="8"/>
  <c r="CC19" i="8"/>
  <c r="CF17" i="8"/>
  <c r="CB16" i="8"/>
  <c r="BN87" i="8"/>
  <c r="BL81" i="8"/>
  <c r="BP74" i="8"/>
  <c r="BM68" i="8"/>
  <c r="CC92" i="8"/>
  <c r="CD79" i="8"/>
  <c r="CF66" i="8"/>
  <c r="CB41" i="8"/>
  <c r="CC29" i="8"/>
  <c r="CF99" i="8"/>
  <c r="CB98" i="8"/>
  <c r="CD96" i="8"/>
  <c r="CC93" i="8"/>
  <c r="CF91" i="8"/>
  <c r="CB90" i="8"/>
  <c r="CD88" i="8"/>
  <c r="CC85" i="8"/>
  <c r="CF83" i="8"/>
  <c r="CB82" i="8"/>
  <c r="CD80" i="8"/>
  <c r="CC77" i="8"/>
  <c r="CF75" i="8"/>
  <c r="CB74" i="8"/>
  <c r="CD72" i="8"/>
  <c r="CC69" i="8"/>
  <c r="CF67" i="8"/>
  <c r="CB66" i="8"/>
  <c r="CD64" i="8"/>
  <c r="CC61" i="8"/>
  <c r="CF59" i="8"/>
  <c r="CB58" i="8"/>
  <c r="CD56" i="8"/>
  <c r="CC53" i="8"/>
  <c r="CF51" i="8"/>
  <c r="CB50" i="8"/>
  <c r="CD48" i="8"/>
  <c r="CC45" i="8"/>
  <c r="CF43" i="8"/>
  <c r="CB42" i="8"/>
  <c r="CD40" i="8"/>
  <c r="CC37" i="8"/>
  <c r="CF35" i="8"/>
  <c r="CB34" i="8"/>
  <c r="CD32" i="8"/>
  <c r="CF28" i="8"/>
  <c r="CB27" i="8"/>
  <c r="CD25" i="8"/>
  <c r="CC22" i="8"/>
  <c r="CF20" i="8"/>
  <c r="CB19" i="8"/>
  <c r="CD17" i="8"/>
  <c r="BP59" i="8"/>
  <c r="BL34" i="8"/>
  <c r="CF90" i="8"/>
  <c r="CB65" i="8"/>
  <c r="CC52" i="8"/>
  <c r="CD39" i="8"/>
  <c r="CF27" i="8"/>
  <c r="CR77" i="8"/>
  <c r="CS77" i="8" s="1"/>
  <c r="CR75" i="8"/>
  <c r="CS75" i="8" s="1"/>
  <c r="CR65" i="8"/>
  <c r="CS65" i="8" s="1"/>
  <c r="CR63" i="8"/>
  <c r="CS63" i="8" s="1"/>
  <c r="CR61" i="8"/>
  <c r="CS61" i="8" s="1"/>
  <c r="CD99" i="8"/>
  <c r="CC96" i="8"/>
  <c r="CF86" i="8"/>
  <c r="CD83" i="8"/>
  <c r="CC80" i="8"/>
  <c r="CF78" i="8"/>
  <c r="CB77" i="8"/>
  <c r="CD75" i="8"/>
  <c r="CF70" i="8"/>
  <c r="CB69" i="8"/>
  <c r="CD67" i="8"/>
  <c r="CC64" i="8"/>
  <c r="CF62" i="8"/>
  <c r="BP98" i="8"/>
  <c r="BL73" i="8"/>
  <c r="BM45" i="8"/>
  <c r="BN32" i="8"/>
  <c r="CB89" i="8"/>
  <c r="CC76" i="8"/>
  <c r="CD63" i="8"/>
  <c r="CF50" i="8"/>
  <c r="CB26" i="8"/>
  <c r="CB93" i="8"/>
  <c r="CD91" i="8"/>
  <c r="CC88" i="8"/>
  <c r="CB85" i="8"/>
  <c r="CC72" i="8"/>
  <c r="CC99" i="8"/>
  <c r="CF97" i="8"/>
  <c r="CF18" i="8"/>
  <c r="CB17" i="8"/>
  <c r="BN91" i="8"/>
  <c r="BL85" i="8"/>
  <c r="BP78" i="8"/>
  <c r="BM72" i="8"/>
  <c r="BN56" i="8"/>
  <c r="BP43" i="8"/>
  <c r="BL19" i="8"/>
  <c r="CB49" i="8"/>
  <c r="CC36" i="8"/>
  <c r="CD24" i="8"/>
  <c r="CF94" i="8"/>
  <c r="CF60" i="8"/>
  <c r="CD57" i="8"/>
  <c r="CD18" i="8"/>
  <c r="BL97" i="8"/>
  <c r="BM84" i="8"/>
  <c r="BN71" i="8"/>
  <c r="BL42" i="8"/>
  <c r="CC60" i="8"/>
  <c r="CD47" i="8"/>
  <c r="CF34" i="8"/>
  <c r="CC97" i="8"/>
  <c r="CF95" i="8"/>
  <c r="CB94" i="8"/>
  <c r="CD92" i="8"/>
  <c r="CC89" i="8"/>
  <c r="CF87" i="8"/>
  <c r="CB86" i="8"/>
  <c r="CD84" i="8"/>
  <c r="CC81" i="8"/>
  <c r="CF79" i="8"/>
  <c r="CB78" i="8"/>
  <c r="CD76" i="8"/>
  <c r="CC73" i="8"/>
  <c r="CF71" i="8"/>
  <c r="CB70" i="8"/>
  <c r="CD68" i="8"/>
  <c r="CC65" i="8"/>
  <c r="CF63" i="8"/>
  <c r="CB62" i="8"/>
  <c r="CD60" i="8"/>
  <c r="CC57" i="8"/>
  <c r="CF55" i="8"/>
  <c r="CB54" i="8"/>
  <c r="CD52" i="8"/>
  <c r="CC49" i="8"/>
  <c r="CF47" i="8"/>
  <c r="CB46" i="8"/>
  <c r="CD44" i="8"/>
  <c r="CC41" i="8"/>
  <c r="CF39" i="8"/>
  <c r="CB38" i="8"/>
  <c r="CD36" i="8"/>
  <c r="CC33" i="8"/>
  <c r="CF31" i="8"/>
  <c r="CB30" i="8"/>
  <c r="CD29" i="8"/>
  <c r="CC26" i="8"/>
  <c r="CF24" i="8"/>
  <c r="CB23" i="8"/>
  <c r="CD21" i="8"/>
  <c r="CC18" i="8"/>
  <c r="CF16" i="8"/>
  <c r="BM96" i="8"/>
  <c r="BN83" i="8"/>
  <c r="BL77" i="8"/>
  <c r="BP70" i="8"/>
  <c r="BM64" i="8"/>
  <c r="BM53" i="8"/>
  <c r="BN40" i="8"/>
  <c r="BP28" i="8"/>
  <c r="CF58" i="8"/>
  <c r="CB33" i="8"/>
  <c r="CC21" i="8"/>
  <c r="CR70" i="8"/>
  <c r="CS70" i="8" s="1"/>
  <c r="CR66" i="8"/>
  <c r="CS66" i="8" s="1"/>
  <c r="BN95" i="8"/>
  <c r="BP82" i="8"/>
  <c r="BP51" i="8"/>
  <c r="CB57" i="8"/>
  <c r="CC44" i="8"/>
  <c r="CD31" i="8"/>
  <c r="CF19" i="8"/>
  <c r="CD98" i="8"/>
  <c r="CF61" i="8"/>
  <c r="CD58" i="8"/>
  <c r="CC16" i="8"/>
  <c r="BP94" i="8"/>
  <c r="BM88" i="8"/>
  <c r="BN75" i="8"/>
  <c r="BL69" i="8"/>
  <c r="BP62" i="8"/>
  <c r="BL50" i="8"/>
  <c r="BN25" i="8"/>
  <c r="CD55" i="8"/>
  <c r="CF42" i="8"/>
  <c r="AV15" i="10"/>
  <c r="CB96" i="8"/>
  <c r="BL96" i="8"/>
  <c r="CD94" i="8"/>
  <c r="BN94" i="8"/>
  <c r="CB92" i="8"/>
  <c r="BL92" i="8"/>
  <c r="CF89" i="8"/>
  <c r="BP89" i="8"/>
  <c r="CB88" i="8"/>
  <c r="BL88" i="8"/>
  <c r="CD86" i="8"/>
  <c r="BN86" i="8"/>
  <c r="CD82" i="8"/>
  <c r="BN82" i="8"/>
  <c r="CB80" i="8"/>
  <c r="BL80" i="8"/>
  <c r="CD78" i="8"/>
  <c r="BN78" i="8"/>
  <c r="CB76" i="8"/>
  <c r="BL76" i="8"/>
  <c r="CF73" i="8"/>
  <c r="BP73" i="8"/>
  <c r="CC71" i="8"/>
  <c r="BM71" i="8"/>
  <c r="CD66" i="8"/>
  <c r="BN66" i="8"/>
  <c r="CC63" i="8"/>
  <c r="BM63" i="8"/>
  <c r="CD62" i="8"/>
  <c r="BN62" i="8"/>
  <c r="CB60" i="8"/>
  <c r="BL60" i="8"/>
  <c r="CC59" i="8"/>
  <c r="BM59" i="8"/>
  <c r="CF57" i="8"/>
  <c r="BP57" i="8"/>
  <c r="BM55" i="8"/>
  <c r="CC55" i="8"/>
  <c r="BP53" i="8"/>
  <c r="CF53" i="8"/>
  <c r="BM51" i="8"/>
  <c r="CC51" i="8"/>
  <c r="BN46" i="8"/>
  <c r="CD46" i="8"/>
  <c r="BL44" i="8"/>
  <c r="CB44" i="8"/>
  <c r="BP41" i="8"/>
  <c r="CF41" i="8"/>
  <c r="BL40" i="8"/>
  <c r="CB40" i="8"/>
  <c r="BN38" i="8"/>
  <c r="CD38" i="8"/>
  <c r="BL36" i="8"/>
  <c r="CB36" i="8"/>
  <c r="BN34" i="8"/>
  <c r="CD34" i="8"/>
  <c r="BL32" i="8"/>
  <c r="CB32" i="8"/>
  <c r="CC28" i="8"/>
  <c r="BP26" i="8"/>
  <c r="CF26" i="8"/>
  <c r="BL25" i="8"/>
  <c r="CB25" i="8"/>
  <c r="BP22" i="8"/>
  <c r="CF22" i="8"/>
  <c r="BL21" i="8"/>
  <c r="CB21" i="8"/>
  <c r="CC20" i="8"/>
  <c r="BN19" i="8"/>
  <c r="CD19" i="8"/>
  <c r="CB99" i="8"/>
  <c r="BL99" i="8"/>
  <c r="CF96" i="8"/>
  <c r="BP96" i="8"/>
  <c r="CC94" i="8"/>
  <c r="BM94" i="8"/>
  <c r="CD89" i="8"/>
  <c r="BN89" i="8"/>
  <c r="CD85" i="8"/>
  <c r="BN85" i="8"/>
  <c r="CB83" i="8"/>
  <c r="BL83" i="8"/>
  <c r="CD81" i="8"/>
  <c r="BN81" i="8"/>
  <c r="CB79" i="8"/>
  <c r="BL79" i="8"/>
  <c r="CF76" i="8"/>
  <c r="BP76" i="8"/>
  <c r="CC74" i="8"/>
  <c r="BM74" i="8"/>
  <c r="CF72" i="8"/>
  <c r="BP72" i="8"/>
  <c r="CC70" i="8"/>
  <c r="BM70" i="8"/>
  <c r="CF68" i="8"/>
  <c r="BP68" i="8"/>
  <c r="CC66" i="8"/>
  <c r="BM66" i="8"/>
  <c r="CF64" i="8"/>
  <c r="BP64" i="8"/>
  <c r="CC62" i="8"/>
  <c r="BM62" i="8"/>
  <c r="CD61" i="8"/>
  <c r="BN61" i="8"/>
  <c r="CC54" i="8"/>
  <c r="BM54" i="8"/>
  <c r="CB51" i="8"/>
  <c r="BL51" i="8"/>
  <c r="CD49" i="8"/>
  <c r="BN49" i="8"/>
  <c r="CD41" i="8"/>
  <c r="BN41" i="8"/>
  <c r="CB35" i="8"/>
  <c r="BL35" i="8"/>
  <c r="CF21" i="8"/>
  <c r="BP21" i="8"/>
  <c r="CB20" i="8"/>
  <c r="BL20" i="8"/>
  <c r="BN58" i="8"/>
  <c r="BP48" i="8"/>
  <c r="BL24" i="8"/>
  <c r="BP60" i="8"/>
  <c r="BN57" i="8"/>
  <c r="BM95" i="8"/>
  <c r="CC95" i="8"/>
  <c r="CF93" i="8"/>
  <c r="BP93" i="8"/>
  <c r="CC91" i="8"/>
  <c r="BM91" i="8"/>
  <c r="CD90" i="8"/>
  <c r="BN90" i="8"/>
  <c r="CC87" i="8"/>
  <c r="BM87" i="8"/>
  <c r="CF85" i="8"/>
  <c r="BP85" i="8"/>
  <c r="CB84" i="8"/>
  <c r="BL84" i="8"/>
  <c r="CC83" i="8"/>
  <c r="BM83" i="8"/>
  <c r="CF81" i="8"/>
  <c r="BP81" i="8"/>
  <c r="CC79" i="8"/>
  <c r="BM79" i="8"/>
  <c r="CF77" i="8"/>
  <c r="BP77" i="8"/>
  <c r="CC75" i="8"/>
  <c r="BM75" i="8"/>
  <c r="BN74" i="8"/>
  <c r="CD74" i="8"/>
  <c r="CB72" i="8"/>
  <c r="BL72" i="8"/>
  <c r="CD70" i="8"/>
  <c r="BN70" i="8"/>
  <c r="CF69" i="8"/>
  <c r="BP69" i="8"/>
  <c r="CB68" i="8"/>
  <c r="BL68" i="8"/>
  <c r="CC67" i="8"/>
  <c r="BM67" i="8"/>
  <c r="CF65" i="8"/>
  <c r="BP65" i="8"/>
  <c r="CB64" i="8"/>
  <c r="BL64" i="8"/>
  <c r="CB56" i="8"/>
  <c r="BL56" i="8"/>
  <c r="BN54" i="8"/>
  <c r="CD54" i="8"/>
  <c r="BL52" i="8"/>
  <c r="CB52" i="8"/>
  <c r="BN50" i="8"/>
  <c r="CD50" i="8"/>
  <c r="BP49" i="8"/>
  <c r="CF49" i="8"/>
  <c r="BL48" i="8"/>
  <c r="CB48" i="8"/>
  <c r="BM47" i="8"/>
  <c r="CC47" i="8"/>
  <c r="BP45" i="8"/>
  <c r="CF45" i="8"/>
  <c r="CC43" i="8"/>
  <c r="BN42" i="8"/>
  <c r="CD42" i="8"/>
  <c r="CC39" i="8"/>
  <c r="BP37" i="8"/>
  <c r="CF37" i="8"/>
  <c r="CC35" i="8"/>
  <c r="BP33" i="8"/>
  <c r="CF33" i="8"/>
  <c r="CC31" i="8"/>
  <c r="BN30" i="8"/>
  <c r="CD30" i="8"/>
  <c r="BL29" i="8"/>
  <c r="CB29" i="8"/>
  <c r="BN27" i="8"/>
  <c r="CD27" i="8"/>
  <c r="CC24" i="8"/>
  <c r="BN23" i="8"/>
  <c r="CD23" i="8"/>
  <c r="CC98" i="8"/>
  <c r="BM98" i="8"/>
  <c r="CD97" i="8"/>
  <c r="BN97" i="8"/>
  <c r="CB95" i="8"/>
  <c r="BL95" i="8"/>
  <c r="CD93" i="8"/>
  <c r="BN93" i="8"/>
  <c r="CF92" i="8"/>
  <c r="BP92" i="8"/>
  <c r="CB91" i="8"/>
  <c r="BL91" i="8"/>
  <c r="CC90" i="8"/>
  <c r="BM90" i="8"/>
  <c r="CF88" i="8"/>
  <c r="BP88" i="8"/>
  <c r="CB87" i="8"/>
  <c r="BL87" i="8"/>
  <c r="CC86" i="8"/>
  <c r="BM86" i="8"/>
  <c r="CF84" i="8"/>
  <c r="BP84" i="8"/>
  <c r="CC82" i="8"/>
  <c r="BM82" i="8"/>
  <c r="CF80" i="8"/>
  <c r="BP80" i="8"/>
  <c r="CC78" i="8"/>
  <c r="BM78" i="8"/>
  <c r="CD77" i="8"/>
  <c r="BN77" i="8"/>
  <c r="CB75" i="8"/>
  <c r="BL75" i="8"/>
  <c r="CD73" i="8"/>
  <c r="BN73" i="8"/>
  <c r="CB71" i="8"/>
  <c r="BL71" i="8"/>
  <c r="CD69" i="8"/>
  <c r="BN69" i="8"/>
  <c r="CB67" i="8"/>
  <c r="BL67" i="8"/>
  <c r="CD65" i="8"/>
  <c r="BN65" i="8"/>
  <c r="CB63" i="8"/>
  <c r="BL63" i="8"/>
  <c r="CB59" i="8"/>
  <c r="BL59" i="8"/>
  <c r="CC58" i="8"/>
  <c r="BM58" i="8"/>
  <c r="CF56" i="8"/>
  <c r="BP56" i="8"/>
  <c r="CF52" i="8"/>
  <c r="BP52" i="8"/>
  <c r="CC46" i="8"/>
  <c r="BM46" i="8"/>
  <c r="CF44" i="8"/>
  <c r="BP44" i="8"/>
  <c r="CB43" i="8"/>
  <c r="BL43" i="8"/>
  <c r="CC38" i="8"/>
  <c r="CF36" i="8"/>
  <c r="BP36" i="8"/>
  <c r="CD33" i="8"/>
  <c r="BN33" i="8"/>
  <c r="CC30" i="8"/>
  <c r="CF29" i="8"/>
  <c r="BP29" i="8"/>
  <c r="CB28" i="8"/>
  <c r="BL28" i="8"/>
  <c r="CD26" i="8"/>
  <c r="BN26" i="8"/>
  <c r="CC23" i="8"/>
  <c r="BN98" i="8"/>
  <c r="BP61" i="8"/>
  <c r="BL55" i="8"/>
  <c r="BN45" i="8"/>
  <c r="BL39" i="8"/>
  <c r="BP32" i="8"/>
  <c r="BM99" i="8"/>
  <c r="BP97" i="8"/>
  <c r="BN53" i="8"/>
  <c r="BM50" i="8"/>
  <c r="BL47" i="8"/>
  <c r="BP40" i="8"/>
  <c r="BN37" i="8"/>
  <c r="BL31" i="8"/>
  <c r="BP25" i="8"/>
  <c r="BN22" i="8"/>
  <c r="BM61" i="8"/>
  <c r="BL58" i="8"/>
  <c r="CB61" i="8"/>
  <c r="CD59" i="8"/>
  <c r="CC56" i="8"/>
  <c r="CF54" i="8"/>
  <c r="CB53" i="8"/>
  <c r="CD51" i="8"/>
  <c r="CC48" i="8"/>
  <c r="CF46" i="8"/>
  <c r="CB45" i="8"/>
  <c r="CD43" i="8"/>
  <c r="CC40" i="8"/>
  <c r="CF38" i="8"/>
  <c r="CB37" i="8"/>
  <c r="CD35" i="8"/>
  <c r="CC32" i="8"/>
  <c r="CF30" i="8"/>
  <c r="CD28" i="8"/>
  <c r="CC25" i="8"/>
  <c r="CF23" i="8"/>
  <c r="CB22" i="8"/>
  <c r="CD20" i="8"/>
  <c r="CR79" i="8"/>
  <c r="CS79" i="8" s="1"/>
  <c r="CR74" i="8"/>
  <c r="CS74" i="8" s="1"/>
  <c r="CR72" i="8"/>
  <c r="CR71" i="8"/>
  <c r="CS71" i="8" s="1"/>
  <c r="CR64" i="8"/>
  <c r="BP99" i="8"/>
  <c r="BL98" i="8"/>
  <c r="BM97" i="8"/>
  <c r="BN96" i="8"/>
  <c r="BP95" i="8"/>
  <c r="BL94" i="8"/>
  <c r="BM93" i="8"/>
  <c r="BN92" i="8"/>
  <c r="BP91" i="8"/>
  <c r="BL90" i="8"/>
  <c r="BM89" i="8"/>
  <c r="BN88" i="8"/>
  <c r="BP87" i="8"/>
  <c r="BL86" i="8"/>
  <c r="BM85" i="8"/>
  <c r="BN84" i="8"/>
  <c r="BP83" i="8"/>
  <c r="BL82" i="8"/>
  <c r="BM81" i="8"/>
  <c r="BN80" i="8"/>
  <c r="BP79" i="8"/>
  <c r="BL78" i="8"/>
  <c r="BM77" i="8"/>
  <c r="BN76" i="8"/>
  <c r="BP75" i="8"/>
  <c r="BL74" i="8"/>
  <c r="BM73" i="8"/>
  <c r="BN72" i="8"/>
  <c r="BP71" i="8"/>
  <c r="BL70" i="8"/>
  <c r="BM69" i="8"/>
  <c r="BN68" i="8"/>
  <c r="BP67" i="8"/>
  <c r="BL66" i="8"/>
  <c r="BM65" i="8"/>
  <c r="BN64" i="8"/>
  <c r="BP63" i="8"/>
  <c r="BL62" i="8"/>
  <c r="BP55" i="8"/>
  <c r="BL54" i="8"/>
  <c r="BN52" i="8"/>
  <c r="BM49" i="8"/>
  <c r="BP47" i="8"/>
  <c r="BL46" i="8"/>
  <c r="BN44" i="8"/>
  <c r="BP39" i="8"/>
  <c r="BL38" i="8"/>
  <c r="BN36" i="8"/>
  <c r="BP31" i="8"/>
  <c r="BL30" i="8"/>
  <c r="BN29" i="8"/>
  <c r="BP24" i="8"/>
  <c r="BL23" i="8"/>
  <c r="BN21" i="8"/>
  <c r="CR98" i="8"/>
  <c r="CS98" i="8" s="1"/>
  <c r="CR97" i="8"/>
  <c r="CS97" i="8" s="1"/>
  <c r="CR93" i="8"/>
  <c r="CR91" i="8"/>
  <c r="CS91" i="8" s="1"/>
  <c r="CR86" i="8"/>
  <c r="CS86" i="8" s="1"/>
  <c r="CR82" i="8"/>
  <c r="CS82" i="8" s="1"/>
  <c r="CR81" i="8"/>
  <c r="CR99" i="8"/>
  <c r="CS99" i="8" s="1"/>
  <c r="CR84" i="8"/>
  <c r="CR83" i="8"/>
  <c r="CS83" i="8" s="1"/>
  <c r="CR68" i="8"/>
  <c r="CS68" i="8" s="1"/>
  <c r="CR67" i="8"/>
  <c r="CS67" i="8" s="1"/>
  <c r="CR94" i="8"/>
  <c r="CR92" i="8"/>
  <c r="CS92" i="8" s="1"/>
  <c r="CR78" i="8"/>
  <c r="CS78" i="8" s="1"/>
  <c r="CR76" i="8"/>
  <c r="CS76" i="8" s="1"/>
  <c r="CR62" i="8"/>
  <c r="CS62" i="8" s="1"/>
  <c r="CR60" i="8"/>
  <c r="CS60" i="8" s="1"/>
  <c r="CR85" i="8"/>
  <c r="CS85" i="8" s="1"/>
  <c r="CR69" i="8"/>
  <c r="CR89" i="8"/>
  <c r="CR73" i="8"/>
  <c r="CS73" i="8" s="1"/>
  <c r="JS19" i="10"/>
  <c r="JR19" i="10"/>
  <c r="KK25" i="10"/>
  <c r="JR20" i="10"/>
  <c r="KK22" i="10"/>
  <c r="JR24" i="10"/>
  <c r="KG20" i="10"/>
  <c r="KG25" i="10"/>
  <c r="KI18" i="10"/>
  <c r="JQ17" i="10"/>
  <c r="JS23" i="10"/>
  <c r="KI22" i="10"/>
  <c r="KG21" i="10"/>
  <c r="JU18" i="10"/>
  <c r="KK18" i="10"/>
  <c r="KK21" i="10"/>
  <c r="JU21" i="10"/>
  <c r="JR23" i="10"/>
  <c r="KG24" i="10"/>
  <c r="KH16" i="10"/>
  <c r="BP18" i="8"/>
  <c r="BL17" i="8"/>
  <c r="CB18" i="8"/>
  <c r="CC17" i="8"/>
  <c r="CD16" i="8"/>
  <c r="BN18" i="8"/>
  <c r="BP17" i="8"/>
  <c r="BL16" i="8"/>
  <c r="BN17" i="8"/>
  <c r="BP16" i="8"/>
  <c r="KK16" i="10"/>
  <c r="KK17" i="10"/>
  <c r="KG16" i="10"/>
  <c r="JS16" i="10"/>
  <c r="KI16" i="10"/>
  <c r="JR25" i="10"/>
  <c r="KH25" i="10"/>
  <c r="JS24" i="10"/>
  <c r="KI24" i="10"/>
  <c r="JU23" i="10"/>
  <c r="KK23" i="10"/>
  <c r="JR21" i="10"/>
  <c r="KH21" i="10"/>
  <c r="JR17" i="10"/>
  <c r="KH17" i="10"/>
  <c r="JQ22" i="10"/>
  <c r="KG22" i="10"/>
  <c r="JS20" i="10"/>
  <c r="KI20" i="10"/>
  <c r="JU19" i="10"/>
  <c r="KK19" i="10"/>
  <c r="JQ18" i="10"/>
  <c r="KG18" i="10"/>
  <c r="KI25" i="10"/>
  <c r="KK24" i="10"/>
  <c r="KG23" i="10"/>
  <c r="KH22" i="10"/>
  <c r="KI21" i="10"/>
  <c r="KK20" i="10"/>
  <c r="KG19" i="10"/>
  <c r="KH18" i="10"/>
  <c r="KI17" i="10"/>
  <c r="AZ15" i="8"/>
  <c r="CX74" i="8" l="1"/>
  <c r="CX83" i="8"/>
  <c r="CX89" i="8"/>
  <c r="CY89" i="8" s="1"/>
  <c r="CX92" i="8"/>
  <c r="DA92" i="8" s="1"/>
  <c r="CX67" i="8"/>
  <c r="CY67" i="8" s="1"/>
  <c r="CX72" i="8"/>
  <c r="CY72" i="8" s="1"/>
  <c r="CX77" i="8"/>
  <c r="CY77" i="8" s="1"/>
  <c r="CX91" i="8"/>
  <c r="DA91" i="8" s="1"/>
  <c r="CX95" i="8"/>
  <c r="DA95" i="8" s="1"/>
  <c r="CX99" i="8"/>
  <c r="CY99" i="8" s="1"/>
  <c r="CX75" i="8"/>
  <c r="CY75" i="8" s="1"/>
  <c r="CX81" i="8"/>
  <c r="DA81" i="8" s="1"/>
  <c r="CX86" i="8"/>
  <c r="CY86" i="8" s="1"/>
  <c r="CX69" i="8"/>
  <c r="CY69" i="8" s="1"/>
  <c r="CX94" i="8"/>
  <c r="DA94" i="8" s="1"/>
  <c r="CX98" i="8"/>
  <c r="DA98" i="8" s="1"/>
  <c r="CX73" i="8"/>
  <c r="CY73" i="8" s="1"/>
  <c r="CX87" i="8"/>
  <c r="CY87" i="8" s="1"/>
  <c r="CX63" i="8"/>
  <c r="CY63" i="8" s="1"/>
  <c r="CX79" i="8"/>
  <c r="CY79" i="8" s="1"/>
  <c r="CX85" i="8"/>
  <c r="CY85" i="8" s="1"/>
  <c r="CX68" i="8"/>
  <c r="CY68" i="8" s="1"/>
  <c r="DA74" i="8"/>
  <c r="CY74" i="8"/>
  <c r="CX60" i="8"/>
  <c r="CX78" i="8"/>
  <c r="CX62" i="8"/>
  <c r="DA83" i="8"/>
  <c r="CY83" i="8"/>
  <c r="CX82" i="8"/>
  <c r="CX93" i="8"/>
  <c r="CX96" i="8"/>
  <c r="CX97" i="8"/>
  <c r="CX66" i="8"/>
  <c r="CX84" i="8"/>
  <c r="CX65" i="8"/>
  <c r="CX90" i="8"/>
  <c r="CX71" i="8"/>
  <c r="CX76" i="8"/>
  <c r="CX88" i="8"/>
  <c r="CX70" i="8"/>
  <c r="CX61" i="8"/>
  <c r="CX64" i="8"/>
  <c r="CX80" i="8"/>
  <c r="CP57" i="8"/>
  <c r="CP54" i="8"/>
  <c r="CQ53" i="8"/>
  <c r="CP37" i="8"/>
  <c r="CP42" i="8"/>
  <c r="CV42" i="8" s="1"/>
  <c r="CX42" i="8" s="1"/>
  <c r="CP49" i="8"/>
  <c r="CP48" i="8"/>
  <c r="CP53" i="8"/>
  <c r="CP55" i="8"/>
  <c r="CQ56" i="8"/>
  <c r="CQ59" i="8"/>
  <c r="CQ48" i="8"/>
  <c r="CP56" i="8"/>
  <c r="CQ51" i="8"/>
  <c r="CQ55" i="8"/>
  <c r="CP50" i="8"/>
  <c r="CQ57" i="8"/>
  <c r="CQ50" i="8"/>
  <c r="CP58" i="8"/>
  <c r="CP45" i="8"/>
  <c r="CQ52" i="8"/>
  <c r="CQ54" i="8"/>
  <c r="CQ58" i="8"/>
  <c r="CP47" i="8"/>
  <c r="CP59" i="8"/>
  <c r="CP52" i="8"/>
  <c r="CP51" i="8"/>
  <c r="CQ49" i="8"/>
  <c r="CQ47" i="8"/>
  <c r="BL15" i="10"/>
  <c r="CB15" i="10"/>
  <c r="CS88" i="8"/>
  <c r="CR42" i="8"/>
  <c r="CS42" i="8" s="1"/>
  <c r="CP43" i="8"/>
  <c r="CS90" i="8"/>
  <c r="CQ31" i="8"/>
  <c r="CS94" i="8"/>
  <c r="CP34" i="8"/>
  <c r="CP26" i="8"/>
  <c r="CP35" i="8"/>
  <c r="CS72" i="8"/>
  <c r="CS81" i="8"/>
  <c r="CS84" i="8"/>
  <c r="CS93" i="8"/>
  <c r="CS64" i="8"/>
  <c r="CP20" i="8"/>
  <c r="CQ21" i="8"/>
  <c r="CP28" i="8"/>
  <c r="CP23" i="8"/>
  <c r="CQ18" i="8"/>
  <c r="CQ26" i="8"/>
  <c r="CP41" i="8"/>
  <c r="CP27" i="8"/>
  <c r="CP18" i="8"/>
  <c r="CP19" i="8"/>
  <c r="CP22" i="8"/>
  <c r="CP24" i="8"/>
  <c r="CP33" i="8"/>
  <c r="CQ25" i="8"/>
  <c r="CQ29" i="8"/>
  <c r="CQ32" i="8"/>
  <c r="CQ40" i="8"/>
  <c r="CQ17" i="8"/>
  <c r="CQ30" i="8"/>
  <c r="CP16" i="8"/>
  <c r="CP31" i="8"/>
  <c r="CQ37" i="8"/>
  <c r="CP39" i="8"/>
  <c r="CQ36" i="8"/>
  <c r="CQ44" i="8"/>
  <c r="CQ42" i="8"/>
  <c r="CQ22" i="8"/>
  <c r="CP40" i="8"/>
  <c r="CQ45" i="8"/>
  <c r="CP38" i="8"/>
  <c r="CP46" i="8"/>
  <c r="CQ23" i="8"/>
  <c r="CP17" i="8"/>
  <c r="CQ24" i="8"/>
  <c r="CQ39" i="8"/>
  <c r="CP21" i="8"/>
  <c r="CP25" i="8"/>
  <c r="CP29" i="8"/>
  <c r="CP32" i="8"/>
  <c r="CP36" i="8"/>
  <c r="CP44" i="8"/>
  <c r="CQ34" i="8"/>
  <c r="CQ43" i="8"/>
  <c r="CQ41" i="8"/>
  <c r="CQ27" i="8"/>
  <c r="CQ46" i="8"/>
  <c r="CQ35" i="8"/>
  <c r="CQ33" i="8"/>
  <c r="CQ19" i="8"/>
  <c r="CP30" i="8"/>
  <c r="CQ38" i="8"/>
  <c r="CQ28" i="8"/>
  <c r="CQ16" i="8"/>
  <c r="CQ20" i="8"/>
  <c r="CS89" i="8"/>
  <c r="MX15" i="10"/>
  <c r="CF15" i="8"/>
  <c r="CO15" i="8"/>
  <c r="CU15" i="8" s="1"/>
  <c r="CS69" i="8"/>
  <c r="BN15" i="8"/>
  <c r="BP15" i="8"/>
  <c r="DA67" i="8" l="1"/>
  <c r="DA89" i="8"/>
  <c r="GM15" i="10"/>
  <c r="GO15" i="10" s="1"/>
  <c r="GP15" i="10" s="1"/>
  <c r="DA77" i="8"/>
  <c r="DA75" i="8"/>
  <c r="DA85" i="8"/>
  <c r="CY95" i="8"/>
  <c r="DA99" i="8"/>
  <c r="DA69" i="8"/>
  <c r="CY92" i="8"/>
  <c r="DA86" i="8"/>
  <c r="DA73" i="8"/>
  <c r="CY91" i="8"/>
  <c r="CY81" i="8"/>
  <c r="DA72" i="8"/>
  <c r="CY98" i="8"/>
  <c r="DA63" i="8"/>
  <c r="CY94" i="8"/>
  <c r="DA68" i="8"/>
  <c r="DA87" i="8"/>
  <c r="DA79" i="8"/>
  <c r="CY42" i="8"/>
  <c r="CR17" i="8"/>
  <c r="CS17" i="8" s="1"/>
  <c r="CV17" i="8"/>
  <c r="CX17" i="8" s="1"/>
  <c r="CR33" i="8"/>
  <c r="CS33" i="8" s="1"/>
  <c r="CV33" i="8"/>
  <c r="CX33" i="8" s="1"/>
  <c r="CR20" i="8"/>
  <c r="CS20" i="8" s="1"/>
  <c r="CV20" i="8"/>
  <c r="CX20" i="8" s="1"/>
  <c r="CT49" i="8"/>
  <c r="CW49" i="8"/>
  <c r="CZ49" i="8" s="1"/>
  <c r="CR47" i="8"/>
  <c r="CS47" i="8" s="1"/>
  <c r="CV47" i="8"/>
  <c r="CX47" i="8" s="1"/>
  <c r="CR45" i="8"/>
  <c r="CS45" i="8" s="1"/>
  <c r="CV45" i="8"/>
  <c r="CX45" i="8" s="1"/>
  <c r="CR50" i="8"/>
  <c r="CS50" i="8" s="1"/>
  <c r="CV50" i="8"/>
  <c r="CX50" i="8" s="1"/>
  <c r="CT48" i="8"/>
  <c r="CW48" i="8"/>
  <c r="CZ48" i="8" s="1"/>
  <c r="CR53" i="8"/>
  <c r="CS53" i="8" s="1"/>
  <c r="CV53" i="8"/>
  <c r="CX53" i="8" s="1"/>
  <c r="CR37" i="8"/>
  <c r="CS37" i="8" s="1"/>
  <c r="CV37" i="8"/>
  <c r="CX37" i="8" s="1"/>
  <c r="DA80" i="8"/>
  <c r="CY80" i="8"/>
  <c r="CY88" i="8"/>
  <c r="DA88" i="8"/>
  <c r="DA84" i="8"/>
  <c r="CY84" i="8"/>
  <c r="DA97" i="8"/>
  <c r="CY97" i="8"/>
  <c r="DA62" i="8"/>
  <c r="CY62" i="8"/>
  <c r="CY60" i="8"/>
  <c r="DA60" i="8"/>
  <c r="CT16" i="8"/>
  <c r="CW16" i="8"/>
  <c r="CZ16" i="8" s="1"/>
  <c r="CR44" i="8"/>
  <c r="CS44" i="8" s="1"/>
  <c r="CV44" i="8"/>
  <c r="CX44" i="8" s="1"/>
  <c r="CT44" i="8"/>
  <c r="CW44" i="8"/>
  <c r="CZ44" i="8" s="1"/>
  <c r="CT18" i="8"/>
  <c r="CW18" i="8"/>
  <c r="CZ18" i="8" s="1"/>
  <c r="CT33" i="8"/>
  <c r="CW33" i="8"/>
  <c r="CZ33" i="8" s="1"/>
  <c r="CT23" i="8"/>
  <c r="CW23" i="8"/>
  <c r="CZ23" i="8" s="1"/>
  <c r="CT36" i="8"/>
  <c r="CW36" i="8"/>
  <c r="CZ36" i="8" s="1"/>
  <c r="CT32" i="8"/>
  <c r="CW32" i="8"/>
  <c r="CZ32" i="8" s="1"/>
  <c r="CR27" i="8"/>
  <c r="CS27" i="8" s="1"/>
  <c r="CV27" i="8"/>
  <c r="CX27" i="8" s="1"/>
  <c r="CR34" i="8"/>
  <c r="CS34" i="8" s="1"/>
  <c r="CV34" i="8"/>
  <c r="CX34" i="8" s="1"/>
  <c r="CR51" i="8"/>
  <c r="CS51" i="8" s="1"/>
  <c r="CV51" i="8"/>
  <c r="CX51" i="8" s="1"/>
  <c r="CT58" i="8"/>
  <c r="CW58" i="8"/>
  <c r="CZ58" i="8" s="1"/>
  <c r="CR58" i="8"/>
  <c r="CS58" i="8" s="1"/>
  <c r="CV58" i="8"/>
  <c r="CX58" i="8" s="1"/>
  <c r="CT55" i="8"/>
  <c r="CW55" i="8"/>
  <c r="CZ55" i="8" s="1"/>
  <c r="CT59" i="8"/>
  <c r="CW59" i="8"/>
  <c r="CZ59" i="8" s="1"/>
  <c r="CR48" i="8"/>
  <c r="CS48" i="8" s="1"/>
  <c r="CV48" i="8"/>
  <c r="CX48" i="8" s="1"/>
  <c r="CT53" i="8"/>
  <c r="CW53" i="8"/>
  <c r="CZ53" i="8" s="1"/>
  <c r="DA64" i="8"/>
  <c r="CY64" i="8"/>
  <c r="CY76" i="8"/>
  <c r="DA76" i="8"/>
  <c r="DA96" i="8"/>
  <c r="CY96" i="8"/>
  <c r="DA78" i="8"/>
  <c r="CY78" i="8"/>
  <c r="CT27" i="8"/>
  <c r="CW27" i="8"/>
  <c r="CZ27" i="8" s="1"/>
  <c r="CT45" i="8"/>
  <c r="CW45" i="8"/>
  <c r="CZ45" i="8" s="1"/>
  <c r="CT40" i="8"/>
  <c r="CW40" i="8"/>
  <c r="CZ40" i="8" s="1"/>
  <c r="CT28" i="8"/>
  <c r="CW28" i="8"/>
  <c r="CZ28" i="8" s="1"/>
  <c r="CT41" i="8"/>
  <c r="CW41" i="8"/>
  <c r="CZ41" i="8" s="1"/>
  <c r="CR21" i="8"/>
  <c r="CS21" i="8" s="1"/>
  <c r="CV21" i="8"/>
  <c r="CX21" i="8" s="1"/>
  <c r="CR40" i="8"/>
  <c r="CV40" i="8"/>
  <c r="CX40" i="8" s="1"/>
  <c r="CR16" i="8"/>
  <c r="CS16" i="8" s="1"/>
  <c r="CV16" i="8"/>
  <c r="CX16" i="8" s="1"/>
  <c r="CR24" i="8"/>
  <c r="CS24" i="8" s="1"/>
  <c r="CV24" i="8"/>
  <c r="CX24" i="8" s="1"/>
  <c r="CR23" i="8"/>
  <c r="CS23" i="8" s="1"/>
  <c r="CV23" i="8"/>
  <c r="CX23" i="8" s="1"/>
  <c r="CT38" i="8"/>
  <c r="CW38" i="8"/>
  <c r="CZ38" i="8" s="1"/>
  <c r="CT35" i="8"/>
  <c r="CW35" i="8"/>
  <c r="CZ35" i="8" s="1"/>
  <c r="CT43" i="8"/>
  <c r="CW43" i="8"/>
  <c r="CZ43" i="8" s="1"/>
  <c r="CR32" i="8"/>
  <c r="CS32" i="8" s="1"/>
  <c r="CV32" i="8"/>
  <c r="CX32" i="8" s="1"/>
  <c r="CT39" i="8"/>
  <c r="CW39" i="8"/>
  <c r="CZ39" i="8" s="1"/>
  <c r="CR46" i="8"/>
  <c r="CS46" i="8" s="1"/>
  <c r="CV46" i="8"/>
  <c r="CX46" i="8" s="1"/>
  <c r="CT22" i="8"/>
  <c r="CW22" i="8"/>
  <c r="CZ22" i="8" s="1"/>
  <c r="CR39" i="8"/>
  <c r="CS39" i="8" s="1"/>
  <c r="CV39" i="8"/>
  <c r="CX39" i="8" s="1"/>
  <c r="CT30" i="8"/>
  <c r="CW30" i="8"/>
  <c r="CZ30" i="8" s="1"/>
  <c r="CT29" i="8"/>
  <c r="CW29" i="8"/>
  <c r="CZ29" i="8" s="1"/>
  <c r="CR22" i="8"/>
  <c r="CS22" i="8" s="1"/>
  <c r="CV22" i="8"/>
  <c r="CX22" i="8" s="1"/>
  <c r="CR41" i="8"/>
  <c r="CS41" i="8" s="1"/>
  <c r="CV41" i="8"/>
  <c r="CX41" i="8" s="1"/>
  <c r="CR28" i="8"/>
  <c r="CS28" i="8" s="1"/>
  <c r="CV28" i="8"/>
  <c r="CX28" i="8" s="1"/>
  <c r="CT31" i="8"/>
  <c r="CW31" i="8"/>
  <c r="CZ31" i="8" s="1"/>
  <c r="CR43" i="8"/>
  <c r="CS43" i="8" s="1"/>
  <c r="CV43" i="8"/>
  <c r="CX43" i="8" s="1"/>
  <c r="CR52" i="8"/>
  <c r="CS52" i="8" s="1"/>
  <c r="CV52" i="8"/>
  <c r="CX52" i="8" s="1"/>
  <c r="CT54" i="8"/>
  <c r="CW54" i="8"/>
  <c r="CZ54" i="8" s="1"/>
  <c r="CT50" i="8"/>
  <c r="CW50" i="8"/>
  <c r="CZ50" i="8" s="1"/>
  <c r="CT51" i="8"/>
  <c r="CW51" i="8"/>
  <c r="CZ51" i="8" s="1"/>
  <c r="CT56" i="8"/>
  <c r="CW56" i="8"/>
  <c r="CZ56" i="8" s="1"/>
  <c r="CR49" i="8"/>
  <c r="CS49" i="8" s="1"/>
  <c r="CV49" i="8"/>
  <c r="CX49" i="8" s="1"/>
  <c r="CR54" i="8"/>
  <c r="CS54" i="8" s="1"/>
  <c r="CV54" i="8"/>
  <c r="CX54" i="8" s="1"/>
  <c r="DA61" i="8"/>
  <c r="CY61" i="8"/>
  <c r="DA71" i="8"/>
  <c r="CY71" i="8"/>
  <c r="DA93" i="8"/>
  <c r="CY93" i="8"/>
  <c r="CT19" i="8"/>
  <c r="CW19" i="8"/>
  <c r="CZ19" i="8" s="1"/>
  <c r="CR25" i="8"/>
  <c r="CS25" i="8" s="1"/>
  <c r="CV25" i="8"/>
  <c r="CX25" i="8" s="1"/>
  <c r="CR31" i="8"/>
  <c r="CS31" i="8" s="1"/>
  <c r="CV31" i="8"/>
  <c r="CX31" i="8" s="1"/>
  <c r="CR18" i="8"/>
  <c r="CS18" i="8" s="1"/>
  <c r="CV18" i="8"/>
  <c r="CX18" i="8" s="1"/>
  <c r="CR26" i="8"/>
  <c r="CS26" i="8" s="1"/>
  <c r="CV26" i="8"/>
  <c r="CX26" i="8" s="1"/>
  <c r="CR36" i="8"/>
  <c r="CS36" i="8" s="1"/>
  <c r="CV36" i="8"/>
  <c r="CX36" i="8" s="1"/>
  <c r="CT20" i="8"/>
  <c r="CW20" i="8"/>
  <c r="CZ20" i="8" s="1"/>
  <c r="CR30" i="8"/>
  <c r="CS30" i="8" s="1"/>
  <c r="CV30" i="8"/>
  <c r="CX30" i="8" s="1"/>
  <c r="CT46" i="8"/>
  <c r="CW46" i="8"/>
  <c r="CZ46" i="8" s="1"/>
  <c r="CT34" i="8"/>
  <c r="CW34" i="8"/>
  <c r="CZ34" i="8" s="1"/>
  <c r="CR29" i="8"/>
  <c r="CS29" i="8" s="1"/>
  <c r="CV29" i="8"/>
  <c r="CX29" i="8" s="1"/>
  <c r="CT24" i="8"/>
  <c r="CW24" i="8"/>
  <c r="CZ24" i="8" s="1"/>
  <c r="CR38" i="8"/>
  <c r="CS38" i="8" s="1"/>
  <c r="CV38" i="8"/>
  <c r="CX38" i="8" s="1"/>
  <c r="CT42" i="8"/>
  <c r="CW42" i="8"/>
  <c r="CZ42" i="8" s="1"/>
  <c r="CT37" i="8"/>
  <c r="CW37" i="8"/>
  <c r="CZ37" i="8" s="1"/>
  <c r="CT17" i="8"/>
  <c r="CW17" i="8"/>
  <c r="CZ17" i="8" s="1"/>
  <c r="CT25" i="8"/>
  <c r="CW25" i="8"/>
  <c r="CZ25" i="8" s="1"/>
  <c r="CR19" i="8"/>
  <c r="CS19" i="8" s="1"/>
  <c r="CV19" i="8"/>
  <c r="CX19" i="8" s="1"/>
  <c r="CT26" i="8"/>
  <c r="CW26" i="8"/>
  <c r="CZ26" i="8" s="1"/>
  <c r="CT21" i="8"/>
  <c r="CW21" i="8"/>
  <c r="CZ21" i="8" s="1"/>
  <c r="CR35" i="8"/>
  <c r="CS35" i="8" s="1"/>
  <c r="CV35" i="8"/>
  <c r="CX35" i="8" s="1"/>
  <c r="CT47" i="8"/>
  <c r="CW47" i="8"/>
  <c r="CZ47" i="8" s="1"/>
  <c r="CR59" i="8"/>
  <c r="CS59" i="8" s="1"/>
  <c r="CV59" i="8"/>
  <c r="CX59" i="8" s="1"/>
  <c r="CT52" i="8"/>
  <c r="CW52" i="8"/>
  <c r="CZ52" i="8" s="1"/>
  <c r="CT57" i="8"/>
  <c r="CW57" i="8"/>
  <c r="CZ57" i="8" s="1"/>
  <c r="CR56" i="8"/>
  <c r="CS56" i="8" s="1"/>
  <c r="CV56" i="8"/>
  <c r="CX56" i="8" s="1"/>
  <c r="CR55" i="8"/>
  <c r="CS55" i="8" s="1"/>
  <c r="CV55" i="8"/>
  <c r="CX55" i="8" s="1"/>
  <c r="CR57" i="8"/>
  <c r="CS57" i="8" s="1"/>
  <c r="CV57" i="8"/>
  <c r="CX57" i="8" s="1"/>
  <c r="DA70" i="8"/>
  <c r="CY70" i="8"/>
  <c r="DA90" i="8"/>
  <c r="CY90" i="8"/>
  <c r="DA65" i="8"/>
  <c r="CY65" i="8"/>
  <c r="DA66" i="8"/>
  <c r="CY66" i="8"/>
  <c r="DA82" i="8"/>
  <c r="CY82" i="8"/>
  <c r="CS40" i="8"/>
  <c r="CQ15" i="8"/>
  <c r="OD15" i="10"/>
  <c r="NN15" i="10"/>
  <c r="OE15" i="10"/>
  <c r="NO15" i="10"/>
  <c r="OI15" i="10"/>
  <c r="NS15" i="10"/>
  <c r="OJ15" i="10"/>
  <c r="NT15" i="10"/>
  <c r="OF15" i="10"/>
  <c r="NP15" i="10"/>
  <c r="AV15" i="12"/>
  <c r="CP15" i="8"/>
  <c r="NR15" i="10"/>
  <c r="OH15" i="10"/>
  <c r="BL15" i="12" l="1"/>
  <c r="CB15" i="12"/>
  <c r="CY57" i="8"/>
  <c r="CY19" i="8"/>
  <c r="CY36" i="8"/>
  <c r="CY25" i="8"/>
  <c r="CY28" i="8"/>
  <c r="CY24" i="8"/>
  <c r="CY40" i="8"/>
  <c r="CY48" i="8"/>
  <c r="CY34" i="8"/>
  <c r="CY44" i="8"/>
  <c r="CY37" i="8"/>
  <c r="CY45" i="8"/>
  <c r="CY33" i="8"/>
  <c r="CY56" i="8"/>
  <c r="CY30" i="8"/>
  <c r="CY18" i="8"/>
  <c r="CY49" i="8"/>
  <c r="CY43" i="8"/>
  <c r="CY22" i="8"/>
  <c r="CY35" i="8"/>
  <c r="CY38" i="8"/>
  <c r="CY26" i="8"/>
  <c r="CY46" i="8"/>
  <c r="CY32" i="8"/>
  <c r="CY23" i="8"/>
  <c r="CY16" i="8"/>
  <c r="CY21" i="8"/>
  <c r="CY58" i="8"/>
  <c r="CY51" i="8"/>
  <c r="CY27" i="8"/>
  <c r="CY53" i="8"/>
  <c r="CY50" i="8"/>
  <c r="CY47" i="8"/>
  <c r="CY20" i="8"/>
  <c r="CY17" i="8"/>
  <c r="CR15" i="8"/>
  <c r="CS15" i="8" s="1"/>
  <c r="CV15" i="8"/>
  <c r="CX15" i="8" s="1"/>
  <c r="DA57" i="8" s="1"/>
  <c r="CY55" i="8"/>
  <c r="CY59" i="8"/>
  <c r="DA29" i="8"/>
  <c r="CY29" i="8"/>
  <c r="CY31" i="8"/>
  <c r="CY54" i="8"/>
  <c r="CY52" i="8"/>
  <c r="DA41" i="8"/>
  <c r="CY41" i="8"/>
  <c r="DA39" i="8"/>
  <c r="CY39" i="8"/>
  <c r="CT15" i="8"/>
  <c r="CW15" i="8"/>
  <c r="CZ15" i="8" s="1"/>
  <c r="B16" i="10"/>
  <c r="C16" i="10"/>
  <c r="F16" i="10"/>
  <c r="CW16" i="10" s="1"/>
  <c r="B17" i="10"/>
  <c r="C17" i="10"/>
  <c r="F17" i="10"/>
  <c r="CW17" i="10" s="1"/>
  <c r="B18" i="10"/>
  <c r="C18" i="10"/>
  <c r="F18" i="10"/>
  <c r="CW18" i="10" s="1"/>
  <c r="B15" i="10"/>
  <c r="PH26" i="10" l="1"/>
  <c r="PI27" i="10"/>
  <c r="PH27" i="10"/>
  <c r="PI26" i="10"/>
  <c r="CI15" i="10"/>
  <c r="DA31" i="8"/>
  <c r="DA17" i="8"/>
  <c r="DA53" i="8"/>
  <c r="DA21" i="8"/>
  <c r="DA46" i="8"/>
  <c r="DA22" i="8"/>
  <c r="DA30" i="8"/>
  <c r="DA37" i="8"/>
  <c r="DA36" i="8"/>
  <c r="DA54" i="8"/>
  <c r="DA55" i="8"/>
  <c r="DA50" i="8"/>
  <c r="DA58" i="8"/>
  <c r="DA32" i="8"/>
  <c r="DA35" i="8"/>
  <c r="DA18" i="8"/>
  <c r="DA45" i="8"/>
  <c r="DA48" i="8"/>
  <c r="DA28" i="8"/>
  <c r="DA25" i="8"/>
  <c r="DA52" i="8"/>
  <c r="DA59" i="8"/>
  <c r="DA47" i="8"/>
  <c r="DA51" i="8"/>
  <c r="DA23" i="8"/>
  <c r="DA38" i="8"/>
  <c r="DA49" i="8"/>
  <c r="DA56" i="8"/>
  <c r="DA33" i="8"/>
  <c r="DA44" i="8"/>
  <c r="DA34" i="8"/>
  <c r="DA24" i="8"/>
  <c r="DA15" i="8"/>
  <c r="CY15" i="8"/>
  <c r="DA42" i="8"/>
  <c r="DA20" i="8"/>
  <c r="DA27" i="8"/>
  <c r="DA16" i="8"/>
  <c r="DA26" i="8"/>
  <c r="DA43" i="8"/>
  <c r="DA40" i="8"/>
  <c r="DA19" i="8"/>
  <c r="LG18" i="10"/>
  <c r="LG17" i="10"/>
  <c r="LG16" i="10"/>
  <c r="PD15" i="10"/>
  <c r="LG15" i="10"/>
  <c r="OL16" i="10"/>
  <c r="OK16" i="10"/>
  <c r="OM16" i="10"/>
  <c r="OM17" i="10"/>
  <c r="OL17" i="10"/>
  <c r="OK17" i="10"/>
  <c r="OL15" i="10"/>
  <c r="OK15" i="10"/>
  <c r="OM15" i="10"/>
  <c r="OM18" i="10"/>
  <c r="OL18" i="10"/>
  <c r="OK18" i="10"/>
  <c r="KV17" i="10"/>
  <c r="LB17" i="10" s="1"/>
  <c r="KV16" i="10"/>
  <c r="LB16" i="10" s="1"/>
  <c r="KV18" i="10"/>
  <c r="LB18" i="10" s="1"/>
  <c r="GR15" i="10"/>
  <c r="HE15" i="10"/>
  <c r="HG15" i="10"/>
  <c r="CJ16" i="10"/>
  <c r="CJ18" i="10"/>
  <c r="CO17" i="10"/>
  <c r="CJ17" i="10"/>
  <c r="CI17" i="10"/>
  <c r="CP15" i="10"/>
  <c r="CO15" i="10"/>
  <c r="CQ15" i="10"/>
  <c r="CI16" i="10"/>
  <c r="CI18" i="10"/>
  <c r="PD17" i="10"/>
  <c r="PF17" i="10"/>
  <c r="OR17" i="10"/>
  <c r="OQ17" i="10"/>
  <c r="OS17" i="10"/>
  <c r="PF16" i="10"/>
  <c r="PD16" i="10"/>
  <c r="OQ16" i="10"/>
  <c r="OR16" i="10"/>
  <c r="OS16" i="10"/>
  <c r="PD18" i="10"/>
  <c r="PF18" i="10"/>
  <c r="OQ18" i="10"/>
  <c r="OR18" i="10"/>
  <c r="OS18" i="10"/>
  <c r="OY18" i="10" s="1"/>
  <c r="OS15" i="10"/>
  <c r="CQ18" i="10"/>
  <c r="DG18" i="10"/>
  <c r="HE18" i="10"/>
  <c r="HG18" i="10"/>
  <c r="DB18" i="10"/>
  <c r="GR18" i="10"/>
  <c r="GX18" i="10" s="1"/>
  <c r="GS18" i="10"/>
  <c r="GY18" i="10" s="1"/>
  <c r="HI18" i="10"/>
  <c r="DD18" i="10"/>
  <c r="GT18" i="10"/>
  <c r="GZ18" i="10" s="1"/>
  <c r="HJ18" i="10"/>
  <c r="CO18" i="10"/>
  <c r="CP18" i="10"/>
  <c r="DF18" i="10"/>
  <c r="HG16" i="10"/>
  <c r="DB16" i="10"/>
  <c r="GR16" i="10"/>
  <c r="GX16" i="10" s="1"/>
  <c r="HI16" i="10"/>
  <c r="GS16" i="10"/>
  <c r="GY16" i="10" s="1"/>
  <c r="HJ16" i="10"/>
  <c r="DD16" i="10"/>
  <c r="GT16" i="10"/>
  <c r="GZ16" i="10" s="1"/>
  <c r="CO16" i="10"/>
  <c r="CP16" i="10"/>
  <c r="DF16" i="10"/>
  <c r="HE16" i="10"/>
  <c r="CQ16" i="10"/>
  <c r="DG16" i="10"/>
  <c r="KV15" i="10"/>
  <c r="PF15" i="10"/>
  <c r="KU15" i="10"/>
  <c r="KT15" i="10"/>
  <c r="HJ15" i="10"/>
  <c r="DG15" i="10"/>
  <c r="HI15" i="10"/>
  <c r="DD15" i="10"/>
  <c r="GT15" i="10"/>
  <c r="GS15" i="10"/>
  <c r="DB15" i="10"/>
  <c r="DF15" i="10"/>
  <c r="OR15" i="10"/>
  <c r="OQ15" i="10"/>
  <c r="CQ17" i="10"/>
  <c r="HG17" i="10"/>
  <c r="DB17" i="10"/>
  <c r="GR17" i="10"/>
  <c r="GX17" i="10" s="1"/>
  <c r="HI17" i="10"/>
  <c r="GS17" i="10"/>
  <c r="GY17" i="10" s="1"/>
  <c r="HJ17" i="10"/>
  <c r="DD17" i="10"/>
  <c r="GT17" i="10"/>
  <c r="GZ17" i="10" s="1"/>
  <c r="DF17" i="10"/>
  <c r="HE17" i="10"/>
  <c r="CP17" i="10"/>
  <c r="DG17" i="10"/>
  <c r="KT17" i="10"/>
  <c r="KZ17" i="10" s="1"/>
  <c r="KU17" i="10"/>
  <c r="LA17" i="10" s="1"/>
  <c r="KT18" i="10"/>
  <c r="KZ18" i="10" s="1"/>
  <c r="KU18" i="10"/>
  <c r="LA18" i="10" s="1"/>
  <c r="KT16" i="10"/>
  <c r="KZ16" i="10" s="1"/>
  <c r="KU16" i="10"/>
  <c r="LA16" i="10" s="1"/>
  <c r="A15" i="10"/>
  <c r="PJ27" i="10" l="1"/>
  <c r="PK27" i="10" s="1"/>
  <c r="PJ26" i="10"/>
  <c r="PK26" i="10" s="1"/>
  <c r="OP16" i="10"/>
  <c r="OY16" i="10"/>
  <c r="PH15" i="10"/>
  <c r="OY17" i="10"/>
  <c r="PI15" i="10"/>
  <c r="OW18" i="10"/>
  <c r="PB18" i="10" s="1"/>
  <c r="OX18" i="10"/>
  <c r="OP18" i="10"/>
  <c r="ON17" i="10"/>
  <c r="OO17" i="10" s="1"/>
  <c r="OW17" i="10"/>
  <c r="ON16" i="10"/>
  <c r="OO16" i="10" s="1"/>
  <c r="OW16" i="10"/>
  <c r="OX17" i="10"/>
  <c r="OX16" i="10"/>
  <c r="ON18" i="10"/>
  <c r="OO18" i="10" s="1"/>
  <c r="ON15" i="10"/>
  <c r="OO15" i="10" s="1"/>
  <c r="OP17" i="10"/>
  <c r="OP15" i="10"/>
  <c r="LC17" i="10"/>
  <c r="LC16" i="10"/>
  <c r="LC18" i="10"/>
  <c r="LE18" i="10"/>
  <c r="LE16" i="10"/>
  <c r="KW15" i="10"/>
  <c r="KX15" i="10" s="1"/>
  <c r="LE17" i="10"/>
  <c r="HC18" i="10"/>
  <c r="HC16" i="10"/>
  <c r="HC17" i="10"/>
  <c r="HA18" i="10"/>
  <c r="HB18" i="10" s="1"/>
  <c r="HA17" i="10"/>
  <c r="HB17" i="10" s="1"/>
  <c r="HA16" i="10"/>
  <c r="HB16" i="10" s="1"/>
  <c r="CU17" i="10"/>
  <c r="DH18" i="10"/>
  <c r="DI18" i="10" s="1"/>
  <c r="CL18" i="10"/>
  <c r="CM18" i="10" s="1"/>
  <c r="CL16" i="10"/>
  <c r="CM16" i="10" s="1"/>
  <c r="CV16" i="10"/>
  <c r="CV17" i="10"/>
  <c r="CV18" i="10"/>
  <c r="CL17" i="10"/>
  <c r="CM17" i="10" s="1"/>
  <c r="CU16" i="10"/>
  <c r="CU18" i="10"/>
  <c r="CN16" i="10"/>
  <c r="CR15" i="10"/>
  <c r="CN18" i="10"/>
  <c r="CN17" i="10"/>
  <c r="PI16" i="10"/>
  <c r="OV18" i="10"/>
  <c r="OV17" i="10"/>
  <c r="OV16" i="10"/>
  <c r="OT16" i="10"/>
  <c r="OT17" i="10"/>
  <c r="OT18" i="10"/>
  <c r="GW18" i="10"/>
  <c r="PI18" i="10"/>
  <c r="HK18" i="10"/>
  <c r="HL18" i="10" s="1"/>
  <c r="PI17" i="10"/>
  <c r="HK17" i="10"/>
  <c r="HL17" i="10" s="1"/>
  <c r="CT16" i="10"/>
  <c r="KY16" i="10"/>
  <c r="HK16" i="10"/>
  <c r="HL16" i="10" s="1"/>
  <c r="GW16" i="10"/>
  <c r="PH18" i="10"/>
  <c r="DH15" i="10"/>
  <c r="DI15" i="10" s="1"/>
  <c r="CR18" i="10"/>
  <c r="CS18" i="10" s="1"/>
  <c r="DH16" i="10"/>
  <c r="DI16" i="10" s="1"/>
  <c r="GW17" i="10"/>
  <c r="CR16" i="10"/>
  <c r="CS16" i="10" s="1"/>
  <c r="CT17" i="10"/>
  <c r="KY17" i="10"/>
  <c r="PH17" i="10"/>
  <c r="DH17" i="10"/>
  <c r="DI17" i="10" s="1"/>
  <c r="CT15" i="10"/>
  <c r="PH16" i="10"/>
  <c r="CT18" i="10"/>
  <c r="KY15" i="10"/>
  <c r="GW15" i="10"/>
  <c r="OT15" i="10"/>
  <c r="OU15" i="10" s="1"/>
  <c r="GU16" i="10"/>
  <c r="GU15" i="10"/>
  <c r="GV15" i="10" s="1"/>
  <c r="HH15" i="10"/>
  <c r="DE15" i="10"/>
  <c r="GU17" i="10"/>
  <c r="CR17" i="10"/>
  <c r="HK15" i="10"/>
  <c r="GU18" i="10"/>
  <c r="OV15" i="10"/>
  <c r="KW16" i="10"/>
  <c r="KY18" i="10"/>
  <c r="KW17" i="10"/>
  <c r="KW18" i="10"/>
  <c r="BM15" i="12"/>
  <c r="DF16" i="12" l="1"/>
  <c r="DF17" i="12"/>
  <c r="DF18" i="12"/>
  <c r="DG18" i="12"/>
  <c r="DG16" i="12"/>
  <c r="DG17" i="12"/>
  <c r="CS15" i="10"/>
  <c r="PJ15" i="10"/>
  <c r="PK15" i="10" s="1"/>
  <c r="LD18" i="10"/>
  <c r="PB16" i="10"/>
  <c r="LD16" i="10"/>
  <c r="LD17" i="10"/>
  <c r="PB17" i="10"/>
  <c r="OZ18" i="10"/>
  <c r="PA18" i="10" s="1"/>
  <c r="PG15" i="10"/>
  <c r="OZ17" i="10"/>
  <c r="OZ16" i="10"/>
  <c r="CX17" i="10"/>
  <c r="CY17" i="10" s="1"/>
  <c r="CZ17" i="10"/>
  <c r="CX16" i="10"/>
  <c r="CY16" i="10" s="1"/>
  <c r="CX18" i="10"/>
  <c r="CY18" i="10" s="1"/>
  <c r="CZ18" i="10"/>
  <c r="CZ16" i="10"/>
  <c r="OU18" i="10"/>
  <c r="OU17" i="10"/>
  <c r="OU16" i="10"/>
  <c r="PJ17" i="10"/>
  <c r="PK17" i="10" s="1"/>
  <c r="PJ16" i="10"/>
  <c r="PK16" i="10" s="1"/>
  <c r="PJ18" i="10"/>
  <c r="PK18" i="10" s="1"/>
  <c r="GV18" i="10"/>
  <c r="KX16" i="10"/>
  <c r="CS17" i="10"/>
  <c r="GV17" i="10"/>
  <c r="GV16" i="10"/>
  <c r="KX17" i="10"/>
  <c r="KX18" i="10"/>
  <c r="BN15" i="12"/>
  <c r="DH18" i="12" l="1"/>
  <c r="DI18" i="12" s="1"/>
  <c r="DH17" i="12"/>
  <c r="DI17" i="12" s="1"/>
  <c r="DH16" i="12"/>
  <c r="DI16" i="12" s="1"/>
  <c r="PA16" i="10"/>
  <c r="PA17" i="10"/>
  <c r="DJ16" i="14"/>
  <c r="DJ17" i="14"/>
  <c r="DJ18" i="14"/>
  <c r="DJ19" i="14"/>
  <c r="DJ20" i="14"/>
  <c r="DJ21" i="14"/>
  <c r="DJ22" i="14"/>
  <c r="DJ23" i="14"/>
  <c r="DJ24" i="14"/>
  <c r="DJ25" i="14"/>
  <c r="DJ28" i="14"/>
  <c r="DJ29" i="14"/>
  <c r="DJ30" i="14"/>
  <c r="DJ31" i="14"/>
  <c r="DJ32" i="14"/>
  <c r="DJ33" i="14"/>
  <c r="DJ34" i="14"/>
  <c r="DJ35" i="14"/>
  <c r="DJ36" i="14"/>
  <c r="DJ37" i="14"/>
  <c r="DJ38" i="14"/>
  <c r="DJ39" i="14"/>
  <c r="DJ40" i="14"/>
  <c r="DJ41" i="14"/>
  <c r="DJ42" i="14"/>
  <c r="DJ43" i="14"/>
  <c r="DJ44" i="14"/>
  <c r="DJ45" i="14"/>
  <c r="DJ46" i="14"/>
  <c r="DJ47" i="14"/>
  <c r="DJ48" i="14"/>
  <c r="DJ49" i="14"/>
  <c r="DJ50" i="14"/>
  <c r="DJ51" i="14"/>
  <c r="DJ52" i="14"/>
  <c r="DJ53" i="14"/>
  <c r="DJ54" i="14"/>
  <c r="DJ55" i="14"/>
  <c r="DJ56" i="14"/>
  <c r="DJ57" i="14"/>
  <c r="DJ58" i="14"/>
  <c r="DJ59" i="14"/>
  <c r="DJ60" i="14"/>
  <c r="DJ61" i="14"/>
  <c r="DJ62" i="14"/>
  <c r="DJ63" i="14"/>
  <c r="DJ64" i="14"/>
  <c r="DJ65" i="14"/>
  <c r="DJ66" i="14"/>
  <c r="DJ67" i="14"/>
  <c r="DJ68" i="14"/>
  <c r="DJ69" i="14"/>
  <c r="DJ70" i="14"/>
  <c r="DJ71" i="14"/>
  <c r="DJ72" i="14"/>
  <c r="DJ73" i="14"/>
  <c r="DJ74" i="14"/>
  <c r="DJ75" i="14"/>
  <c r="DJ76" i="14"/>
  <c r="DJ77" i="14"/>
  <c r="DJ78" i="14"/>
  <c r="DJ79" i="14"/>
  <c r="DJ80" i="14"/>
  <c r="DJ81" i="14"/>
  <c r="DJ82" i="14"/>
  <c r="DJ16" i="8"/>
  <c r="DJ17" i="8"/>
  <c r="DJ18" i="8"/>
  <c r="DJ19" i="8"/>
  <c r="DJ20" i="8"/>
  <c r="DJ21" i="8"/>
  <c r="DJ22" i="8"/>
  <c r="DJ23" i="8"/>
  <c r="DJ24" i="8"/>
  <c r="DJ25" i="8"/>
  <c r="DJ26" i="8"/>
  <c r="DJ27" i="8"/>
  <c r="DJ28" i="8"/>
  <c r="DJ29" i="8"/>
  <c r="DJ30" i="8"/>
  <c r="DJ31" i="8"/>
  <c r="DJ32" i="8"/>
  <c r="DJ33" i="8"/>
  <c r="DJ34" i="8"/>
  <c r="DJ35" i="8"/>
  <c r="DJ36" i="8"/>
  <c r="DJ37" i="8"/>
  <c r="DJ38" i="8"/>
  <c r="DJ39" i="8"/>
  <c r="DJ40" i="8"/>
  <c r="DJ41" i="8"/>
  <c r="DJ42" i="8"/>
  <c r="DJ43" i="8"/>
  <c r="DJ44" i="8"/>
  <c r="DJ45" i="8"/>
  <c r="DJ46" i="8"/>
  <c r="DJ47" i="8"/>
  <c r="DJ48" i="8"/>
  <c r="DJ49" i="8"/>
  <c r="DJ50" i="8"/>
  <c r="DJ51" i="8"/>
  <c r="DJ52" i="8"/>
  <c r="DJ53" i="8"/>
  <c r="DJ54" i="8"/>
  <c r="DJ55" i="8"/>
  <c r="DJ56" i="8"/>
  <c r="DJ57" i="8"/>
  <c r="DJ58" i="8"/>
  <c r="DJ59" i="8"/>
  <c r="DJ60" i="8"/>
  <c r="DJ61" i="8"/>
  <c r="DJ62" i="8"/>
  <c r="DJ63" i="8"/>
  <c r="DJ64" i="8"/>
  <c r="DJ65" i="8"/>
  <c r="DJ66" i="8"/>
  <c r="DJ67" i="8"/>
  <c r="DJ68" i="8"/>
  <c r="DJ69" i="8"/>
  <c r="DJ70" i="8"/>
  <c r="DJ71" i="8"/>
  <c r="DJ72" i="8"/>
  <c r="DJ73" i="8"/>
  <c r="DJ74" i="8"/>
  <c r="DJ75" i="8"/>
  <c r="DJ76" i="8"/>
  <c r="DJ77" i="8"/>
  <c r="DJ78" i="8"/>
  <c r="DJ79" i="8"/>
  <c r="DJ80" i="8"/>
  <c r="DJ81" i="8"/>
  <c r="DJ82" i="8"/>
  <c r="DJ83" i="8"/>
  <c r="DJ84" i="8"/>
  <c r="DJ85" i="8"/>
  <c r="DJ86" i="8"/>
  <c r="DJ87" i="8"/>
  <c r="DJ88" i="8"/>
  <c r="DJ89" i="8"/>
  <c r="DJ90" i="8"/>
  <c r="DJ91" i="8"/>
  <c r="DJ92" i="8"/>
  <c r="DJ93" i="8"/>
  <c r="DJ94" i="8"/>
  <c r="DJ95" i="8"/>
  <c r="DJ96" i="8"/>
  <c r="DJ97" i="8"/>
  <c r="DJ98" i="8"/>
  <c r="DJ99" i="8"/>
  <c r="DJ15" i="8"/>
  <c r="DJ37" i="9"/>
  <c r="DJ38" i="9"/>
  <c r="DJ39" i="9"/>
  <c r="DJ40" i="9"/>
  <c r="DJ41" i="9"/>
  <c r="DJ42" i="9"/>
  <c r="DJ43" i="9"/>
  <c r="DJ44" i="9"/>
  <c r="DJ45" i="9"/>
  <c r="DJ46" i="9"/>
  <c r="DJ47" i="9"/>
  <c r="DJ48" i="9"/>
  <c r="DJ49" i="9"/>
  <c r="DJ50" i="9"/>
  <c r="DJ51" i="9"/>
  <c r="DJ52" i="9"/>
  <c r="DJ53" i="9"/>
  <c r="DJ54" i="9"/>
  <c r="DJ55" i="9"/>
  <c r="DJ56" i="9"/>
  <c r="DJ57" i="9"/>
  <c r="DJ58" i="9"/>
  <c r="DJ59" i="9"/>
  <c r="DJ60" i="9"/>
  <c r="DJ61" i="9"/>
  <c r="DJ62" i="9"/>
  <c r="DJ63" i="9"/>
  <c r="DJ64" i="9"/>
  <c r="DJ65" i="9"/>
  <c r="DJ66" i="9"/>
  <c r="DJ67" i="9"/>
  <c r="DJ68" i="9"/>
  <c r="DJ69" i="9"/>
  <c r="DJ70" i="9"/>
  <c r="DJ71" i="9"/>
  <c r="DJ72" i="9"/>
  <c r="DJ73" i="9"/>
  <c r="DJ74" i="9"/>
  <c r="DJ75" i="9"/>
  <c r="DJ76" i="9"/>
  <c r="DJ77" i="9"/>
  <c r="DJ78" i="9"/>
  <c r="DJ79" i="9"/>
  <c r="DJ80" i="9"/>
  <c r="DJ81" i="9"/>
  <c r="DJ82" i="9"/>
  <c r="DJ83" i="9"/>
  <c r="DJ84" i="9"/>
  <c r="DJ85" i="9"/>
  <c r="DJ86" i="9"/>
  <c r="DJ87" i="9"/>
  <c r="DJ88" i="9"/>
  <c r="DJ89" i="9"/>
  <c r="DJ90" i="9"/>
  <c r="DJ91" i="9"/>
  <c r="DJ92" i="9"/>
  <c r="DJ93" i="9"/>
  <c r="DJ94" i="9"/>
  <c r="DJ95" i="9"/>
  <c r="DJ96" i="9"/>
  <c r="DJ97" i="9"/>
  <c r="DJ98" i="9"/>
  <c r="DJ99" i="9"/>
  <c r="DJ100" i="9"/>
  <c r="F27" i="11" l="1"/>
  <c r="F27" i="12" s="1"/>
  <c r="HI27" i="11"/>
  <c r="F26" i="11"/>
  <c r="F26" i="12" s="1"/>
  <c r="HI26" i="11"/>
  <c r="F25" i="11"/>
  <c r="F25" i="12" s="1"/>
  <c r="HI25" i="11"/>
  <c r="F24" i="11"/>
  <c r="F24" i="12" s="1"/>
  <c r="HI24" i="11"/>
  <c r="F23" i="11"/>
  <c r="F23" i="12" s="1"/>
  <c r="HI23" i="11"/>
  <c r="F22" i="11"/>
  <c r="F22" i="12" s="1"/>
  <c r="HI22" i="11"/>
  <c r="F21" i="11"/>
  <c r="F21" i="12" s="1"/>
  <c r="HI21" i="11"/>
  <c r="F20" i="11"/>
  <c r="F20" i="12" s="1"/>
  <c r="HI20" i="11"/>
  <c r="F19" i="11"/>
  <c r="F19" i="12" s="1"/>
  <c r="HI19" i="11"/>
  <c r="F18" i="11"/>
  <c r="F18" i="12" s="1"/>
  <c r="HI18" i="11"/>
  <c r="F17" i="11"/>
  <c r="F17" i="12" s="1"/>
  <c r="HI17" i="11"/>
  <c r="F16" i="11"/>
  <c r="F16" i="12" s="1"/>
  <c r="HI16" i="11"/>
  <c r="F15" i="11"/>
  <c r="E15" i="11"/>
  <c r="DH15" i="11" s="1"/>
  <c r="D15" i="11"/>
  <c r="DG15" i="11" s="1"/>
  <c r="C15" i="11"/>
  <c r="B15" i="11"/>
  <c r="DE15" i="11" s="1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15" i="9"/>
  <c r="A9" i="20" s="1"/>
  <c r="DH99" i="8"/>
  <c r="A99" i="8"/>
  <c r="DH98" i="8"/>
  <c r="A98" i="8"/>
  <c r="DH97" i="8"/>
  <c r="A97" i="8"/>
  <c r="DH96" i="8"/>
  <c r="A96" i="8"/>
  <c r="DH95" i="8"/>
  <c r="A95" i="8"/>
  <c r="DH94" i="8"/>
  <c r="A94" i="8"/>
  <c r="DH93" i="8"/>
  <c r="A93" i="8"/>
  <c r="DH92" i="8"/>
  <c r="A92" i="8"/>
  <c r="DH91" i="8"/>
  <c r="A91" i="8"/>
  <c r="DH90" i="8"/>
  <c r="A90" i="8"/>
  <c r="DH89" i="8"/>
  <c r="A89" i="8"/>
  <c r="DH88" i="8"/>
  <c r="A88" i="8"/>
  <c r="DH87" i="8"/>
  <c r="A87" i="8"/>
  <c r="DH86" i="8"/>
  <c r="A86" i="8"/>
  <c r="DH85" i="8"/>
  <c r="A85" i="8"/>
  <c r="DH84" i="8"/>
  <c r="A84" i="8"/>
  <c r="DH83" i="8"/>
  <c r="A83" i="8"/>
  <c r="DH82" i="8"/>
  <c r="A82" i="8"/>
  <c r="DH81" i="8"/>
  <c r="A81" i="8"/>
  <c r="DH80" i="8"/>
  <c r="A80" i="8"/>
  <c r="DH79" i="8"/>
  <c r="A79" i="8"/>
  <c r="DH78" i="8"/>
  <c r="A78" i="8"/>
  <c r="DH77" i="8"/>
  <c r="A77" i="8"/>
  <c r="DH76" i="8"/>
  <c r="A76" i="8"/>
  <c r="DH75" i="8"/>
  <c r="A75" i="8"/>
  <c r="DH74" i="8"/>
  <c r="A74" i="8"/>
  <c r="DH73" i="8"/>
  <c r="A73" i="8"/>
  <c r="DH72" i="8"/>
  <c r="A72" i="8"/>
  <c r="DH71" i="8"/>
  <c r="A71" i="8"/>
  <c r="DH70" i="8"/>
  <c r="A70" i="8"/>
  <c r="DH69" i="8"/>
  <c r="A69" i="8"/>
  <c r="DH68" i="8"/>
  <c r="A68" i="8"/>
  <c r="DH67" i="8"/>
  <c r="A67" i="8"/>
  <c r="DH66" i="8"/>
  <c r="A66" i="8"/>
  <c r="DH65" i="8"/>
  <c r="A65" i="8"/>
  <c r="DH64" i="8"/>
  <c r="A64" i="8"/>
  <c r="DH63" i="8"/>
  <c r="A63" i="8"/>
  <c r="DH62" i="8"/>
  <c r="DI62" i="8" s="1"/>
  <c r="DH61" i="8"/>
  <c r="DI61" i="8" s="1"/>
  <c r="DH60" i="8"/>
  <c r="DI60" i="8" s="1"/>
  <c r="DH59" i="8"/>
  <c r="DI59" i="8" s="1"/>
  <c r="DH58" i="8"/>
  <c r="DI58" i="8" s="1"/>
  <c r="DH57" i="8"/>
  <c r="DI57" i="8" s="1"/>
  <c r="DH56" i="8"/>
  <c r="DI56" i="8" s="1"/>
  <c r="DH55" i="8"/>
  <c r="DI55" i="8" s="1"/>
  <c r="DH54" i="8"/>
  <c r="DI54" i="8" s="1"/>
  <c r="DH53" i="8"/>
  <c r="DI53" i="8" s="1"/>
  <c r="DH52" i="8"/>
  <c r="DI52" i="8" s="1"/>
  <c r="DH51" i="8"/>
  <c r="DI51" i="8" s="1"/>
  <c r="DH50" i="8"/>
  <c r="DI50" i="8" s="1"/>
  <c r="DH49" i="8"/>
  <c r="DI49" i="8" s="1"/>
  <c r="DH48" i="8"/>
  <c r="DI48" i="8" s="1"/>
  <c r="DH47" i="8"/>
  <c r="DI47" i="8" s="1"/>
  <c r="DH46" i="8"/>
  <c r="DI46" i="8" s="1"/>
  <c r="DH45" i="8"/>
  <c r="DI45" i="8" s="1"/>
  <c r="DH44" i="8"/>
  <c r="DI44" i="8" s="1"/>
  <c r="DH43" i="8"/>
  <c r="DI43" i="8" s="1"/>
  <c r="DH42" i="8"/>
  <c r="DI42" i="8" s="1"/>
  <c r="DH41" i="8"/>
  <c r="DI41" i="8" s="1"/>
  <c r="DH40" i="8"/>
  <c r="DI40" i="8" s="1"/>
  <c r="DH39" i="8"/>
  <c r="DI39" i="8" s="1"/>
  <c r="DH38" i="8"/>
  <c r="DI38" i="8" s="1"/>
  <c r="DH37" i="8"/>
  <c r="DI37" i="8" s="1"/>
  <c r="DH36" i="8"/>
  <c r="DI36" i="8" s="1"/>
  <c r="DH35" i="8"/>
  <c r="DI35" i="8" s="1"/>
  <c r="DH34" i="8"/>
  <c r="DI34" i="8" s="1"/>
  <c r="DH33" i="8"/>
  <c r="DI33" i="8" s="1"/>
  <c r="DH32" i="8"/>
  <c r="DI32" i="8" s="1"/>
  <c r="DH31" i="8"/>
  <c r="DI31" i="8" s="1"/>
  <c r="DH30" i="8"/>
  <c r="DI30" i="8" s="1"/>
  <c r="DH29" i="8"/>
  <c r="DI29" i="8" s="1"/>
  <c r="DH28" i="8"/>
  <c r="DI28" i="8" s="1"/>
  <c r="DH27" i="8"/>
  <c r="DH26" i="8"/>
  <c r="DH25" i="8"/>
  <c r="DH24" i="8"/>
  <c r="DH23" i="8"/>
  <c r="DH22" i="8"/>
  <c r="DH21" i="8"/>
  <c r="DH20" i="8"/>
  <c r="DH19" i="8"/>
  <c r="DH18" i="8"/>
  <c r="DH17" i="8"/>
  <c r="DH16" i="8"/>
  <c r="A16" i="8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15" i="14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DI22" i="8" l="1"/>
  <c r="DH22" i="11"/>
  <c r="GZ17" i="12"/>
  <c r="GY17" i="12"/>
  <c r="GX17" i="12"/>
  <c r="CV17" i="12"/>
  <c r="CU17" i="12"/>
  <c r="CX17" i="12" s="1"/>
  <c r="CY17" i="12" s="1"/>
  <c r="CW17" i="12"/>
  <c r="GZ20" i="12"/>
  <c r="GX20" i="12"/>
  <c r="GY20" i="12"/>
  <c r="CU20" i="12"/>
  <c r="CX20" i="12" s="1"/>
  <c r="CY20" i="12" s="1"/>
  <c r="CV20" i="12"/>
  <c r="CW20" i="12"/>
  <c r="GY23" i="12"/>
  <c r="GX23" i="12"/>
  <c r="GZ23" i="12"/>
  <c r="CU23" i="12"/>
  <c r="CV23" i="12"/>
  <c r="CW23" i="12"/>
  <c r="CZ23" i="12" s="1"/>
  <c r="GZ26" i="12"/>
  <c r="GX26" i="12"/>
  <c r="GY26" i="12"/>
  <c r="CW26" i="12"/>
  <c r="CV26" i="12"/>
  <c r="CU26" i="12"/>
  <c r="CX26" i="12" s="1"/>
  <c r="CY26" i="12" s="1"/>
  <c r="DF15" i="11"/>
  <c r="DI23" i="8"/>
  <c r="DH23" i="11"/>
  <c r="DI25" i="8"/>
  <c r="DH25" i="11"/>
  <c r="DI26" i="8"/>
  <c r="DH26" i="11"/>
  <c r="DI21" i="8"/>
  <c r="DH21" i="11"/>
  <c r="GZ18" i="12"/>
  <c r="GX18" i="12"/>
  <c r="GY18" i="12"/>
  <c r="CU18" i="12"/>
  <c r="CV18" i="12"/>
  <c r="CW18" i="12"/>
  <c r="CZ18" i="12" s="1"/>
  <c r="GY21" i="12"/>
  <c r="GX21" i="12"/>
  <c r="HA21" i="12" s="1"/>
  <c r="HB21" i="12" s="1"/>
  <c r="GZ21" i="12"/>
  <c r="CV21" i="12"/>
  <c r="CU21" i="12"/>
  <c r="CX21" i="12" s="1"/>
  <c r="CY21" i="12" s="1"/>
  <c r="CW21" i="12"/>
  <c r="GY24" i="12"/>
  <c r="GX24" i="12"/>
  <c r="HA24" i="12" s="1"/>
  <c r="HB24" i="12" s="1"/>
  <c r="GZ24" i="12"/>
  <c r="CW24" i="12"/>
  <c r="CV24" i="12"/>
  <c r="CU24" i="12"/>
  <c r="CX24" i="12" s="1"/>
  <c r="CY24" i="12" s="1"/>
  <c r="GY27" i="12"/>
  <c r="CV27" i="12"/>
  <c r="CW27" i="12"/>
  <c r="GZ27" i="12"/>
  <c r="GX27" i="12"/>
  <c r="CU27" i="12"/>
  <c r="DI16" i="8"/>
  <c r="DH16" i="11"/>
  <c r="DI24" i="8"/>
  <c r="DH24" i="11"/>
  <c r="DI27" i="8"/>
  <c r="DH27" i="11"/>
  <c r="DI17" i="8"/>
  <c r="DH17" i="11"/>
  <c r="DI18" i="8"/>
  <c r="DH18" i="11"/>
  <c r="DI20" i="8"/>
  <c r="DH20" i="11"/>
  <c r="DI19" i="8"/>
  <c r="DH19" i="11"/>
  <c r="GX16" i="12"/>
  <c r="GZ16" i="12"/>
  <c r="GY16" i="12"/>
  <c r="CU16" i="12"/>
  <c r="CV16" i="12"/>
  <c r="CW16" i="12"/>
  <c r="GX19" i="12"/>
  <c r="GY19" i="12"/>
  <c r="GZ19" i="12"/>
  <c r="CU19" i="12"/>
  <c r="CW19" i="12"/>
  <c r="CV19" i="12"/>
  <c r="GZ22" i="12"/>
  <c r="HC22" i="12" s="1"/>
  <c r="GX22" i="12"/>
  <c r="GY22" i="12"/>
  <c r="CU22" i="12"/>
  <c r="CV22" i="12"/>
  <c r="CW22" i="12"/>
  <c r="GX25" i="12"/>
  <c r="GZ25" i="12"/>
  <c r="HC25" i="12" s="1"/>
  <c r="GY25" i="12"/>
  <c r="CU25" i="12"/>
  <c r="CV25" i="12"/>
  <c r="CW25" i="12"/>
  <c r="A61" i="23"/>
  <c r="A61" i="21"/>
  <c r="A61" i="20"/>
  <c r="A61" i="22"/>
  <c r="A54" i="23"/>
  <c r="A54" i="21"/>
  <c r="A54" i="22"/>
  <c r="A54" i="20"/>
  <c r="A58" i="21"/>
  <c r="A58" i="23"/>
  <c r="A58" i="22"/>
  <c r="A58" i="20"/>
  <c r="A62" i="23"/>
  <c r="A62" i="22"/>
  <c r="A62" i="21"/>
  <c r="A62" i="20"/>
  <c r="A66" i="20"/>
  <c r="A66" i="22"/>
  <c r="A66" i="23"/>
  <c r="A66" i="21"/>
  <c r="A16" i="9"/>
  <c r="A9" i="23"/>
  <c r="A9" i="22"/>
  <c r="A9" i="21"/>
  <c r="A65" i="22"/>
  <c r="A65" i="23"/>
  <c r="A65" i="20"/>
  <c r="A65" i="21"/>
  <c r="A63" i="21"/>
  <c r="A63" i="23"/>
  <c r="A63" i="22"/>
  <c r="A63" i="20"/>
  <c r="A57" i="22"/>
  <c r="A57" i="21"/>
  <c r="A57" i="20"/>
  <c r="A57" i="23"/>
  <c r="A55" i="20"/>
  <c r="A55" i="23"/>
  <c r="A55" i="22"/>
  <c r="A55" i="21"/>
  <c r="A59" i="22"/>
  <c r="A59" i="21"/>
  <c r="A59" i="23"/>
  <c r="A59" i="20"/>
  <c r="A67" i="23"/>
  <c r="A67" i="21"/>
  <c r="A67" i="22"/>
  <c r="A67" i="20"/>
  <c r="A56" i="21"/>
  <c r="A56" i="23"/>
  <c r="A56" i="22"/>
  <c r="A56" i="20"/>
  <c r="A60" i="20"/>
  <c r="A60" i="23"/>
  <c r="A60" i="22"/>
  <c r="A60" i="21"/>
  <c r="A64" i="23"/>
  <c r="A64" i="22"/>
  <c r="A64" i="20"/>
  <c r="A64" i="21"/>
  <c r="PE15" i="11"/>
  <c r="OM15" i="11"/>
  <c r="OY15" i="11" s="1"/>
  <c r="OY16" i="11"/>
  <c r="OZ16" i="11"/>
  <c r="OX16" i="11"/>
  <c r="OY17" i="11"/>
  <c r="OX17" i="11"/>
  <c r="OZ17" i="11"/>
  <c r="OX18" i="11"/>
  <c r="OY18" i="11"/>
  <c r="OZ18" i="11"/>
  <c r="OZ19" i="11"/>
  <c r="OX19" i="11"/>
  <c r="OY19" i="11"/>
  <c r="OZ20" i="11"/>
  <c r="OX20" i="11"/>
  <c r="OY20" i="11"/>
  <c r="OX21" i="11"/>
  <c r="OY21" i="11"/>
  <c r="OZ21" i="11"/>
  <c r="OY22" i="11"/>
  <c r="OZ22" i="11"/>
  <c r="OX22" i="11"/>
  <c r="OY23" i="11"/>
  <c r="OZ23" i="11"/>
  <c r="OX23" i="11"/>
  <c r="OY24" i="11"/>
  <c r="OZ24" i="11"/>
  <c r="OX24" i="11"/>
  <c r="OX25" i="11"/>
  <c r="OY25" i="11"/>
  <c r="OZ25" i="11"/>
  <c r="OY26" i="11"/>
  <c r="OZ26" i="11"/>
  <c r="OX26" i="11"/>
  <c r="OY27" i="11"/>
  <c r="OZ27" i="11"/>
  <c r="OX27" i="11"/>
  <c r="ON15" i="11"/>
  <c r="OZ15" i="11" s="1"/>
  <c r="OL15" i="11"/>
  <c r="OX15" i="11" s="1"/>
  <c r="KP16" i="11"/>
  <c r="KR16" i="11" s="1"/>
  <c r="KS16" i="11" s="1"/>
  <c r="LA16" i="11"/>
  <c r="KP17" i="11"/>
  <c r="KR17" i="11" s="1"/>
  <c r="KS17" i="11" s="1"/>
  <c r="LA17" i="11"/>
  <c r="KP18" i="11"/>
  <c r="KR18" i="11" s="1"/>
  <c r="KS18" i="11" s="1"/>
  <c r="LA18" i="11"/>
  <c r="KP19" i="11"/>
  <c r="KR19" i="11" s="1"/>
  <c r="KS19" i="11" s="1"/>
  <c r="LA19" i="11"/>
  <c r="KP20" i="11"/>
  <c r="KR20" i="11" s="1"/>
  <c r="KS20" i="11" s="1"/>
  <c r="LA20" i="11"/>
  <c r="KP21" i="11"/>
  <c r="KR21" i="11" s="1"/>
  <c r="KS21" i="11" s="1"/>
  <c r="LA21" i="11"/>
  <c r="KP22" i="11"/>
  <c r="KR22" i="11" s="1"/>
  <c r="KS22" i="11" s="1"/>
  <c r="LA22" i="11"/>
  <c r="KP23" i="11"/>
  <c r="KR23" i="11" s="1"/>
  <c r="KS23" i="11" s="1"/>
  <c r="LA23" i="11"/>
  <c r="KP24" i="11"/>
  <c r="KR24" i="11" s="1"/>
  <c r="KS24" i="11" s="1"/>
  <c r="LA24" i="11"/>
  <c r="KP25" i="11"/>
  <c r="KR25" i="11" s="1"/>
  <c r="KS25" i="11" s="1"/>
  <c r="LA25" i="11"/>
  <c r="KP26" i="11"/>
  <c r="KR26" i="11" s="1"/>
  <c r="KS26" i="11" s="1"/>
  <c r="LA26" i="11"/>
  <c r="KP27" i="11"/>
  <c r="KR27" i="11" s="1"/>
  <c r="KS27" i="11" s="1"/>
  <c r="LA27" i="11"/>
  <c r="KQ15" i="11"/>
  <c r="KO15" i="11"/>
  <c r="KP15" i="11"/>
  <c r="HE15" i="11"/>
  <c r="HG15" i="11"/>
  <c r="CK15" i="11"/>
  <c r="CI15" i="11"/>
  <c r="CJ15" i="11"/>
  <c r="HJ15" i="11"/>
  <c r="B15" i="12"/>
  <c r="KV22" i="11"/>
  <c r="KX22" i="11" s="1"/>
  <c r="KY22" i="11" s="1"/>
  <c r="KV23" i="11"/>
  <c r="KX23" i="11" s="1"/>
  <c r="KY23" i="11" s="1"/>
  <c r="KV18" i="11"/>
  <c r="KX18" i="11" s="1"/>
  <c r="KV19" i="11"/>
  <c r="KX19" i="11" s="1"/>
  <c r="HK20" i="11"/>
  <c r="HK21" i="11"/>
  <c r="HK18" i="11"/>
  <c r="A28" i="14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OR19" i="11"/>
  <c r="OS19" i="11"/>
  <c r="OT19" i="11"/>
  <c r="PE19" i="11"/>
  <c r="PG19" i="11"/>
  <c r="DD19" i="11"/>
  <c r="DI19" i="11" s="1"/>
  <c r="HG19" i="11"/>
  <c r="CO19" i="11"/>
  <c r="CU19" i="11" s="1"/>
  <c r="CP19" i="11"/>
  <c r="CV19" i="11" s="1"/>
  <c r="GR19" i="11"/>
  <c r="GX19" i="11" s="1"/>
  <c r="CQ19" i="11"/>
  <c r="CW19" i="11" s="1"/>
  <c r="GS19" i="11"/>
  <c r="GY19" i="11" s="1"/>
  <c r="GT19" i="11"/>
  <c r="GZ19" i="11" s="1"/>
  <c r="DB19" i="11"/>
  <c r="HE19" i="11"/>
  <c r="PE22" i="11"/>
  <c r="PG22" i="11"/>
  <c r="OR22" i="11"/>
  <c r="OS22" i="11"/>
  <c r="CO22" i="11"/>
  <c r="CU22" i="11" s="1"/>
  <c r="CQ22" i="11"/>
  <c r="CW22" i="11" s="1"/>
  <c r="HE22" i="11"/>
  <c r="OT22" i="11"/>
  <c r="HG22" i="11"/>
  <c r="DB22" i="11"/>
  <c r="GR22" i="11"/>
  <c r="GX22" i="11" s="1"/>
  <c r="GS22" i="11"/>
  <c r="GY22" i="11" s="1"/>
  <c r="DD22" i="11"/>
  <c r="DI22" i="11" s="1"/>
  <c r="GT22" i="11"/>
  <c r="GZ22" i="11" s="1"/>
  <c r="CP22" i="11"/>
  <c r="CV22" i="11" s="1"/>
  <c r="OT26" i="11"/>
  <c r="PE26" i="11"/>
  <c r="PG26" i="11"/>
  <c r="OR26" i="11"/>
  <c r="OS26" i="11"/>
  <c r="DB26" i="11"/>
  <c r="GR26" i="11"/>
  <c r="GX26" i="11" s="1"/>
  <c r="GS26" i="11"/>
  <c r="GY26" i="11" s="1"/>
  <c r="GT26" i="11"/>
  <c r="GZ26" i="11" s="1"/>
  <c r="DD26" i="11"/>
  <c r="DI26" i="11" s="1"/>
  <c r="CO26" i="11"/>
  <c r="CU26" i="11" s="1"/>
  <c r="HE26" i="11"/>
  <c r="CP26" i="11"/>
  <c r="CV26" i="11" s="1"/>
  <c r="CQ26" i="11"/>
  <c r="CW26" i="11" s="1"/>
  <c r="HG26" i="11"/>
  <c r="PG27" i="11"/>
  <c r="OR27" i="11"/>
  <c r="OS27" i="11"/>
  <c r="OT27" i="11"/>
  <c r="PE27" i="11"/>
  <c r="DD27" i="11"/>
  <c r="DI27" i="11" s="1"/>
  <c r="HE27" i="11"/>
  <c r="HG27" i="11"/>
  <c r="CO27" i="11"/>
  <c r="CU27" i="11" s="1"/>
  <c r="CP27" i="11"/>
  <c r="CV27" i="11" s="1"/>
  <c r="GR27" i="11"/>
  <c r="GX27" i="11" s="1"/>
  <c r="CQ27" i="11"/>
  <c r="CW27" i="11" s="1"/>
  <c r="GS27" i="11"/>
  <c r="GY27" i="11" s="1"/>
  <c r="DB27" i="11"/>
  <c r="GT27" i="11"/>
  <c r="GZ27" i="11" s="1"/>
  <c r="PE18" i="11"/>
  <c r="PG18" i="11"/>
  <c r="OR18" i="11"/>
  <c r="OS18" i="11"/>
  <c r="OT18" i="11"/>
  <c r="CO18" i="11"/>
  <c r="CU18" i="11" s="1"/>
  <c r="CP18" i="11"/>
  <c r="CV18" i="11" s="1"/>
  <c r="CQ18" i="11"/>
  <c r="CW18" i="11" s="1"/>
  <c r="HE18" i="11"/>
  <c r="HG18" i="11"/>
  <c r="DB18" i="11"/>
  <c r="GR18" i="11"/>
  <c r="GX18" i="11" s="1"/>
  <c r="GS18" i="11"/>
  <c r="GY18" i="11" s="1"/>
  <c r="DD18" i="11"/>
  <c r="DI18" i="11" s="1"/>
  <c r="GT18" i="11"/>
  <c r="GZ18" i="11" s="1"/>
  <c r="PE20" i="11"/>
  <c r="PG20" i="11"/>
  <c r="OR20" i="11"/>
  <c r="OS20" i="11"/>
  <c r="OT20" i="11"/>
  <c r="CP20" i="11"/>
  <c r="CV20" i="11" s="1"/>
  <c r="CQ20" i="11"/>
  <c r="CW20" i="11" s="1"/>
  <c r="GR20" i="11"/>
  <c r="GX20" i="11" s="1"/>
  <c r="DB20" i="11"/>
  <c r="GS20" i="11"/>
  <c r="GY20" i="11" s="1"/>
  <c r="GT20" i="11"/>
  <c r="GZ20" i="11" s="1"/>
  <c r="DD20" i="11"/>
  <c r="DI20" i="11" s="1"/>
  <c r="CO20" i="11"/>
  <c r="CU20" i="11" s="1"/>
  <c r="HE20" i="11"/>
  <c r="HG20" i="11"/>
  <c r="OR21" i="11"/>
  <c r="OS21" i="11"/>
  <c r="OT21" i="11"/>
  <c r="PE21" i="11"/>
  <c r="CP21" i="11"/>
  <c r="CV21" i="11" s="1"/>
  <c r="HE21" i="11"/>
  <c r="HG21" i="11"/>
  <c r="PG21" i="11"/>
  <c r="DB21" i="11"/>
  <c r="GR21" i="11"/>
  <c r="GX21" i="11" s="1"/>
  <c r="GS21" i="11"/>
  <c r="GY21" i="11" s="1"/>
  <c r="DD21" i="11"/>
  <c r="DI21" i="11" s="1"/>
  <c r="GT21" i="11"/>
  <c r="GZ21" i="11" s="1"/>
  <c r="CO21" i="11"/>
  <c r="CU21" i="11" s="1"/>
  <c r="CQ21" i="11"/>
  <c r="CW21" i="11" s="1"/>
  <c r="OR23" i="11"/>
  <c r="OS23" i="11"/>
  <c r="OT23" i="11"/>
  <c r="PE23" i="11"/>
  <c r="DD23" i="11"/>
  <c r="DI23" i="11" s="1"/>
  <c r="GT23" i="11"/>
  <c r="GZ23" i="11" s="1"/>
  <c r="CO23" i="11"/>
  <c r="CU23" i="11" s="1"/>
  <c r="HE23" i="11"/>
  <c r="CP23" i="11"/>
  <c r="CV23" i="11" s="1"/>
  <c r="CQ23" i="11"/>
  <c r="CW23" i="11" s="1"/>
  <c r="HG23" i="11"/>
  <c r="PG23" i="11"/>
  <c r="DB23" i="11"/>
  <c r="GR23" i="11"/>
  <c r="GX23" i="11" s="1"/>
  <c r="GS23" i="11"/>
  <c r="GY23" i="11" s="1"/>
  <c r="PG25" i="11"/>
  <c r="OR25" i="11"/>
  <c r="OS25" i="11"/>
  <c r="OT25" i="11"/>
  <c r="PE25" i="11"/>
  <c r="GS25" i="11"/>
  <c r="GY25" i="11" s="1"/>
  <c r="CO25" i="11"/>
  <c r="CU25" i="11" s="1"/>
  <c r="CP25" i="11"/>
  <c r="CV25" i="11" s="1"/>
  <c r="GR25" i="11"/>
  <c r="GX25" i="11" s="1"/>
  <c r="CQ25" i="11"/>
  <c r="CW25" i="11" s="1"/>
  <c r="GT25" i="11"/>
  <c r="GZ25" i="11" s="1"/>
  <c r="DB25" i="11"/>
  <c r="DD25" i="11"/>
  <c r="DI25" i="11" s="1"/>
  <c r="HE25" i="11"/>
  <c r="HG25" i="11"/>
  <c r="PE16" i="11"/>
  <c r="PG16" i="11"/>
  <c r="OR16" i="11"/>
  <c r="OS16" i="11"/>
  <c r="OT16" i="11"/>
  <c r="DD16" i="11"/>
  <c r="DI16" i="11" s="1"/>
  <c r="GT16" i="11"/>
  <c r="GZ16" i="11" s="1"/>
  <c r="CO16" i="11"/>
  <c r="CU16" i="11" s="1"/>
  <c r="CP16" i="11"/>
  <c r="CV16" i="11" s="1"/>
  <c r="HE16" i="11"/>
  <c r="CQ16" i="11"/>
  <c r="CW16" i="11" s="1"/>
  <c r="HG16" i="11"/>
  <c r="DB16" i="11"/>
  <c r="GR16" i="11"/>
  <c r="GX16" i="11" s="1"/>
  <c r="GS16" i="11"/>
  <c r="GY16" i="11" s="1"/>
  <c r="PE24" i="11"/>
  <c r="PG24" i="11"/>
  <c r="OR24" i="11"/>
  <c r="OS24" i="11"/>
  <c r="OT24" i="11"/>
  <c r="CP24" i="11"/>
  <c r="CV24" i="11" s="1"/>
  <c r="HE24" i="11"/>
  <c r="HG24" i="11"/>
  <c r="DB24" i="11"/>
  <c r="GR24" i="11"/>
  <c r="GX24" i="11" s="1"/>
  <c r="GS24" i="11"/>
  <c r="GY24" i="11" s="1"/>
  <c r="DD24" i="11"/>
  <c r="DI24" i="11" s="1"/>
  <c r="GT24" i="11"/>
  <c r="GZ24" i="11" s="1"/>
  <c r="CO24" i="11"/>
  <c r="CU24" i="11" s="1"/>
  <c r="CX24" i="11" s="1"/>
  <c r="CY24" i="11" s="1"/>
  <c r="CQ24" i="11"/>
  <c r="CW24" i="11" s="1"/>
  <c r="OR17" i="11"/>
  <c r="OS17" i="11"/>
  <c r="OT17" i="11"/>
  <c r="PE17" i="11"/>
  <c r="PG17" i="11"/>
  <c r="CO17" i="11"/>
  <c r="CU17" i="11" s="1"/>
  <c r="HE17" i="11"/>
  <c r="CP17" i="11"/>
  <c r="CV17" i="11" s="1"/>
  <c r="CQ17" i="11"/>
  <c r="CW17" i="11" s="1"/>
  <c r="HG17" i="11"/>
  <c r="DB17" i="11"/>
  <c r="GR17" i="11"/>
  <c r="GX17" i="11" s="1"/>
  <c r="GS17" i="11"/>
  <c r="GY17" i="11" s="1"/>
  <c r="DD17" i="11"/>
  <c r="DI17" i="11" s="1"/>
  <c r="GT17" i="11"/>
  <c r="GZ17" i="11" s="1"/>
  <c r="OR15" i="11"/>
  <c r="KW15" i="11"/>
  <c r="LC15" i="11" s="1"/>
  <c r="LH15" i="11"/>
  <c r="KV15" i="11"/>
  <c r="KU15" i="11"/>
  <c r="OT15" i="11"/>
  <c r="PG15" i="11"/>
  <c r="OS15" i="11"/>
  <c r="CQ15" i="11"/>
  <c r="GT15" i="11"/>
  <c r="CP15" i="11"/>
  <c r="GS15" i="11"/>
  <c r="DD15" i="11"/>
  <c r="CO15" i="11"/>
  <c r="HI15" i="11"/>
  <c r="GR15" i="11"/>
  <c r="DB15" i="11"/>
  <c r="KI21" i="11"/>
  <c r="KI25" i="11"/>
  <c r="KJ27" i="11"/>
  <c r="KL20" i="11"/>
  <c r="KV20" i="11"/>
  <c r="KX20" i="11" s="1"/>
  <c r="KJ21" i="11"/>
  <c r="KH24" i="11"/>
  <c r="KH20" i="11"/>
  <c r="KL21" i="11"/>
  <c r="KV27" i="11"/>
  <c r="KX27" i="11" s="1"/>
  <c r="KL24" i="11"/>
  <c r="KL25" i="11"/>
  <c r="KH26" i="11"/>
  <c r="KJ25" i="11"/>
  <c r="KL26" i="11"/>
  <c r="KV26" i="11"/>
  <c r="KX26" i="11" s="1"/>
  <c r="KJ17" i="11"/>
  <c r="KV17" i="11"/>
  <c r="KX17" i="11" s="1"/>
  <c r="KI22" i="11"/>
  <c r="KJ18" i="11"/>
  <c r="KH19" i="11"/>
  <c r="KJ22" i="11"/>
  <c r="KH23" i="11"/>
  <c r="KL27" i="11"/>
  <c r="KJ16" i="11"/>
  <c r="KW16" i="11" s="1"/>
  <c r="KZ16" i="11" s="1"/>
  <c r="KH17" i="11"/>
  <c r="KL18" i="11"/>
  <c r="KI19" i="11"/>
  <c r="KL19" i="11"/>
  <c r="KI20" i="11"/>
  <c r="KL22" i="11"/>
  <c r="KI23" i="11"/>
  <c r="KL23" i="11"/>
  <c r="KI24" i="11"/>
  <c r="KI26" i="11"/>
  <c r="KI27" i="11"/>
  <c r="KI18" i="11"/>
  <c r="A15" i="11"/>
  <c r="KI17" i="11"/>
  <c r="KL17" i="11"/>
  <c r="KH18" i="11"/>
  <c r="KJ19" i="11"/>
  <c r="KJ20" i="11"/>
  <c r="KH21" i="11"/>
  <c r="KH22" i="11"/>
  <c r="KJ23" i="11"/>
  <c r="KJ24" i="11"/>
  <c r="KH25" i="11"/>
  <c r="KW25" i="11" s="1"/>
  <c r="KZ25" i="11" s="1"/>
  <c r="KJ26" i="11"/>
  <c r="KH27" i="11"/>
  <c r="CZ26" i="12" l="1"/>
  <c r="CZ17" i="12"/>
  <c r="HA18" i="12"/>
  <c r="HB18" i="12" s="1"/>
  <c r="HC21" i="12"/>
  <c r="HC18" i="12"/>
  <c r="HA17" i="12"/>
  <c r="HB17" i="12" s="1"/>
  <c r="HA27" i="12"/>
  <c r="HB27" i="12" s="1"/>
  <c r="CX23" i="12"/>
  <c r="CY23" i="12" s="1"/>
  <c r="CZ27" i="12"/>
  <c r="HC23" i="12"/>
  <c r="CZ22" i="12"/>
  <c r="CZ16" i="12"/>
  <c r="CX22" i="12"/>
  <c r="CY22" i="12" s="1"/>
  <c r="CX18" i="12"/>
  <c r="CY18" i="12" s="1"/>
  <c r="CX25" i="12"/>
  <c r="CY25" i="12" s="1"/>
  <c r="CZ19" i="12"/>
  <c r="HA19" i="12"/>
  <c r="HB19" i="12" s="1"/>
  <c r="HC27" i="12"/>
  <c r="HA26" i="12"/>
  <c r="HB26" i="12" s="1"/>
  <c r="HA20" i="12"/>
  <c r="HB20" i="12" s="1"/>
  <c r="HC26" i="12"/>
  <c r="HC20" i="12"/>
  <c r="CX16" i="12"/>
  <c r="CY16" i="12" s="1"/>
  <c r="HA22" i="12"/>
  <c r="HB22" i="12" s="1"/>
  <c r="HC16" i="12"/>
  <c r="IB15" i="12"/>
  <c r="HV26" i="12"/>
  <c r="HP26" i="12"/>
  <c r="IB26" i="12"/>
  <c r="HR26" i="12"/>
  <c r="HS27" i="12"/>
  <c r="HU26" i="12"/>
  <c r="HX27" i="12"/>
  <c r="HT26" i="12"/>
  <c r="HW27" i="12"/>
  <c r="HW26" i="12"/>
  <c r="HY27" i="12"/>
  <c r="HX26" i="12"/>
  <c r="HM27" i="12"/>
  <c r="HZ27" i="12"/>
  <c r="HY26" i="12"/>
  <c r="HN27" i="12"/>
  <c r="IA27" i="12"/>
  <c r="HZ26" i="12"/>
  <c r="HO27" i="12"/>
  <c r="IB27" i="12"/>
  <c r="IA26" i="12"/>
  <c r="HP27" i="12"/>
  <c r="HM26" i="12"/>
  <c r="HQ27" i="12"/>
  <c r="HN26" i="12"/>
  <c r="HR27" i="12"/>
  <c r="HO26" i="12"/>
  <c r="HT27" i="12"/>
  <c r="HQ26" i="12"/>
  <c r="HU27" i="12"/>
  <c r="HS26" i="12"/>
  <c r="HV27" i="12"/>
  <c r="HT24" i="12"/>
  <c r="HT21" i="12"/>
  <c r="HT18" i="12"/>
  <c r="HN25" i="12"/>
  <c r="HS24" i="12"/>
  <c r="HS21" i="12"/>
  <c r="HS18" i="12"/>
  <c r="HN24" i="12"/>
  <c r="HR24" i="12"/>
  <c r="HR21" i="12"/>
  <c r="HR18" i="12"/>
  <c r="HN23" i="12"/>
  <c r="HQ24" i="12"/>
  <c r="HQ21" i="12"/>
  <c r="HQ18" i="12"/>
  <c r="HN18" i="12"/>
  <c r="HP24" i="12"/>
  <c r="HP21" i="12"/>
  <c r="HP18" i="12"/>
  <c r="HN21" i="12"/>
  <c r="HO24" i="12"/>
  <c r="HO21" i="12"/>
  <c r="HO18" i="12"/>
  <c r="HN20" i="12"/>
  <c r="HM24" i="12"/>
  <c r="HM21" i="12"/>
  <c r="HM18" i="12"/>
  <c r="HN19" i="12"/>
  <c r="HU23" i="12"/>
  <c r="HU20" i="12"/>
  <c r="HU17" i="12"/>
  <c r="HT23" i="12"/>
  <c r="HT20" i="12"/>
  <c r="HT17" i="12"/>
  <c r="HN17" i="12"/>
  <c r="HS23" i="12"/>
  <c r="HS20" i="12"/>
  <c r="HS17" i="12"/>
  <c r="HN16" i="12"/>
  <c r="HR23" i="12"/>
  <c r="HR20" i="12"/>
  <c r="HR17" i="12"/>
  <c r="HU25" i="12"/>
  <c r="HQ23" i="12"/>
  <c r="HQ20" i="12"/>
  <c r="HQ17" i="12"/>
  <c r="HP23" i="12"/>
  <c r="HP20" i="12"/>
  <c r="HP17" i="12"/>
  <c r="HT25" i="12"/>
  <c r="HO23" i="12"/>
  <c r="HO20" i="12"/>
  <c r="HO17" i="12"/>
  <c r="HR25" i="12"/>
  <c r="HM23" i="12"/>
  <c r="HM20" i="12"/>
  <c r="HM17" i="12"/>
  <c r="HU22" i="12"/>
  <c r="HU19" i="12"/>
  <c r="HU16" i="12"/>
  <c r="HT22" i="12"/>
  <c r="HT19" i="12"/>
  <c r="HT16" i="12"/>
  <c r="HS25" i="12"/>
  <c r="HQ25" i="12"/>
  <c r="HS22" i="12"/>
  <c r="HS19" i="12"/>
  <c r="HS16" i="12"/>
  <c r="HR22" i="12"/>
  <c r="HR19" i="12"/>
  <c r="HR16" i="12"/>
  <c r="HQ22" i="12"/>
  <c r="HQ19" i="12"/>
  <c r="HQ16" i="12"/>
  <c r="HP25" i="12"/>
  <c r="HP22" i="12"/>
  <c r="HP19" i="12"/>
  <c r="HP16" i="12"/>
  <c r="HO25" i="12"/>
  <c r="HO22" i="12"/>
  <c r="HO19" i="12"/>
  <c r="HO16" i="12"/>
  <c r="HM25" i="12"/>
  <c r="HM22" i="12"/>
  <c r="HM19" i="12"/>
  <c r="HM16" i="12"/>
  <c r="HU24" i="12"/>
  <c r="HU21" i="12"/>
  <c r="HU18" i="12"/>
  <c r="HN22" i="12"/>
  <c r="HY20" i="12"/>
  <c r="HY19" i="12"/>
  <c r="HY21" i="12"/>
  <c r="HY25" i="12"/>
  <c r="HY18" i="12"/>
  <c r="HY17" i="12"/>
  <c r="HY22" i="12"/>
  <c r="HY16" i="12"/>
  <c r="HY24" i="12"/>
  <c r="HY23" i="12"/>
  <c r="HX19" i="12"/>
  <c r="HW18" i="12"/>
  <c r="HX22" i="12"/>
  <c r="HZ25" i="12"/>
  <c r="HW20" i="12"/>
  <c r="IB23" i="12"/>
  <c r="HX17" i="12"/>
  <c r="HX20" i="12"/>
  <c r="HV24" i="12"/>
  <c r="IB21" i="12"/>
  <c r="HX23" i="12"/>
  <c r="HX18" i="12"/>
  <c r="HX21" i="12"/>
  <c r="IB19" i="12"/>
  <c r="HZ22" i="12"/>
  <c r="HX16" i="12"/>
  <c r="HV19" i="12"/>
  <c r="IB17" i="12"/>
  <c r="HZ18" i="12"/>
  <c r="HV18" i="12"/>
  <c r="IB25" i="12"/>
  <c r="IB24" i="12"/>
  <c r="HV23" i="12"/>
  <c r="IA23" i="12"/>
  <c r="IB22" i="12"/>
  <c r="HW23" i="12"/>
  <c r="HV22" i="12"/>
  <c r="HW25" i="12"/>
  <c r="IA17" i="12"/>
  <c r="IA19" i="12"/>
  <c r="IA21" i="12"/>
  <c r="HW21" i="12"/>
  <c r="HW22" i="12"/>
  <c r="IB20" i="12"/>
  <c r="IA24" i="12"/>
  <c r="HW16" i="12"/>
  <c r="IA25" i="12"/>
  <c r="IA16" i="12"/>
  <c r="HW24" i="12"/>
  <c r="HZ23" i="12"/>
  <c r="HW17" i="12"/>
  <c r="HW19" i="12"/>
  <c r="IB18" i="12"/>
  <c r="IA22" i="12"/>
  <c r="HZ24" i="12"/>
  <c r="HZ17" i="12"/>
  <c r="HZ21" i="12"/>
  <c r="IB16" i="12"/>
  <c r="IA20" i="12"/>
  <c r="HZ20" i="12"/>
  <c r="HV16" i="12"/>
  <c r="HV17" i="12"/>
  <c r="HV20" i="12"/>
  <c r="HZ19" i="12"/>
  <c r="IA18" i="12"/>
  <c r="HZ16" i="12"/>
  <c r="HX25" i="12"/>
  <c r="HV25" i="12"/>
  <c r="HV21" i="12"/>
  <c r="HX24" i="12"/>
  <c r="HA16" i="12"/>
  <c r="HB16" i="12" s="1"/>
  <c r="CZ24" i="12"/>
  <c r="CZ25" i="12"/>
  <c r="CX19" i="12"/>
  <c r="CY19" i="12" s="1"/>
  <c r="HC24" i="12"/>
  <c r="HA23" i="12"/>
  <c r="HB23" i="12" s="1"/>
  <c r="HC27" i="11"/>
  <c r="HC17" i="12"/>
  <c r="CZ20" i="12"/>
  <c r="HA25" i="12"/>
  <c r="HB25" i="12" s="1"/>
  <c r="HC19" i="12"/>
  <c r="CX27" i="12"/>
  <c r="CY27" i="12" s="1"/>
  <c r="CZ21" i="12"/>
  <c r="PA15" i="11"/>
  <c r="EX15" i="11"/>
  <c r="GD15" i="11" s="1"/>
  <c r="EW15" i="11"/>
  <c r="GC15" i="11" s="1"/>
  <c r="HV15" i="12"/>
  <c r="HM15" i="12"/>
  <c r="IS15" i="12" s="1"/>
  <c r="HN15" i="12"/>
  <c r="A17" i="9"/>
  <c r="A10" i="21"/>
  <c r="A10" i="23"/>
  <c r="A10" i="22"/>
  <c r="A10" i="20"/>
  <c r="PC24" i="11"/>
  <c r="PA20" i="11"/>
  <c r="PB20" i="11" s="1"/>
  <c r="PC19" i="11"/>
  <c r="PC16" i="11"/>
  <c r="PA26" i="11"/>
  <c r="PB26" i="11" s="1"/>
  <c r="PA22" i="11"/>
  <c r="PB22" i="11" s="1"/>
  <c r="PA27" i="11"/>
  <c r="PB27" i="11" s="1"/>
  <c r="PA23" i="11"/>
  <c r="PB23" i="11" s="1"/>
  <c r="PC21" i="11"/>
  <c r="PC17" i="11"/>
  <c r="PC26" i="11"/>
  <c r="PA25" i="11"/>
  <c r="PB25" i="11" s="1"/>
  <c r="PC22" i="11"/>
  <c r="PA21" i="11"/>
  <c r="PB21" i="11" s="1"/>
  <c r="PA16" i="11"/>
  <c r="PB16" i="11" s="1"/>
  <c r="PC25" i="11"/>
  <c r="PC20" i="11"/>
  <c r="PC18" i="11"/>
  <c r="PA17" i="11"/>
  <c r="PB17" i="11" s="1"/>
  <c r="LR15" i="12"/>
  <c r="LH15" i="12"/>
  <c r="PC27" i="11"/>
  <c r="PA24" i="11"/>
  <c r="PB24" i="11" s="1"/>
  <c r="PC23" i="11"/>
  <c r="PA19" i="11"/>
  <c r="PB19" i="11" s="1"/>
  <c r="PA18" i="11"/>
  <c r="PB18" i="11" s="1"/>
  <c r="PB15" i="11"/>
  <c r="PC15" i="11"/>
  <c r="HU15" i="12"/>
  <c r="JA15" i="12" s="1"/>
  <c r="HQ15" i="12"/>
  <c r="HS15" i="12"/>
  <c r="HR15" i="12"/>
  <c r="HP15" i="12"/>
  <c r="HO15" i="12"/>
  <c r="HT15" i="12"/>
  <c r="HW15" i="12"/>
  <c r="GM15" i="12"/>
  <c r="GN15" i="12"/>
  <c r="GL15" i="12"/>
  <c r="CI15" i="12"/>
  <c r="CK15" i="12"/>
  <c r="CO15" i="12"/>
  <c r="CJ15" i="12"/>
  <c r="OO15" i="11"/>
  <c r="OP15" i="11" s="1"/>
  <c r="OQ15" i="11"/>
  <c r="LA15" i="11"/>
  <c r="LF15" i="11" s="1"/>
  <c r="LB15" i="11"/>
  <c r="LB16" i="11"/>
  <c r="LD16" i="11" s="1"/>
  <c r="LC25" i="11"/>
  <c r="LF25" i="11" s="1"/>
  <c r="LC16" i="11"/>
  <c r="LF16" i="11" s="1"/>
  <c r="LB27" i="11"/>
  <c r="LD27" i="11" s="1"/>
  <c r="LB23" i="11"/>
  <c r="LD23" i="11" s="1"/>
  <c r="LB20" i="11"/>
  <c r="LD20" i="11" s="1"/>
  <c r="LB19" i="11"/>
  <c r="LD19" i="11" s="1"/>
  <c r="LB17" i="11"/>
  <c r="LD17" i="11" s="1"/>
  <c r="LB26" i="11"/>
  <c r="LD26" i="11" s="1"/>
  <c r="LB22" i="11"/>
  <c r="LD22" i="11" s="1"/>
  <c r="LB18" i="11"/>
  <c r="LD18" i="11" s="1"/>
  <c r="KR15" i="11"/>
  <c r="KS15" i="11" s="1"/>
  <c r="KT15" i="11"/>
  <c r="KW21" i="11"/>
  <c r="HC20" i="11"/>
  <c r="HA25" i="11"/>
  <c r="HB25" i="11" s="1"/>
  <c r="HA24" i="11"/>
  <c r="HB24" i="11" s="1"/>
  <c r="HA18" i="11"/>
  <c r="HB18" i="11" s="1"/>
  <c r="HA26" i="11"/>
  <c r="HB26" i="11" s="1"/>
  <c r="HC22" i="11"/>
  <c r="HC21" i="11"/>
  <c r="HA16" i="11"/>
  <c r="HB16" i="11" s="1"/>
  <c r="HC17" i="11"/>
  <c r="HC24" i="11"/>
  <c r="HA17" i="11"/>
  <c r="HA23" i="11"/>
  <c r="HA20" i="11"/>
  <c r="HA27" i="11"/>
  <c r="HC16" i="11"/>
  <c r="HC26" i="11"/>
  <c r="HA22" i="11"/>
  <c r="HA19" i="11"/>
  <c r="HA21" i="11"/>
  <c r="HC23" i="11"/>
  <c r="HC18" i="11"/>
  <c r="HC25" i="11"/>
  <c r="HC19" i="11"/>
  <c r="CZ20" i="11"/>
  <c r="CN15" i="11"/>
  <c r="CW15" i="11"/>
  <c r="CV15" i="11"/>
  <c r="CZ24" i="11"/>
  <c r="CZ26" i="11"/>
  <c r="CX19" i="11"/>
  <c r="CY19" i="11" s="1"/>
  <c r="CX16" i="11"/>
  <c r="CY16" i="11" s="1"/>
  <c r="CX25" i="11"/>
  <c r="CY25" i="11" s="1"/>
  <c r="CX22" i="11"/>
  <c r="CY22" i="11" s="1"/>
  <c r="CX17" i="11"/>
  <c r="CY17" i="11" s="1"/>
  <c r="CX20" i="11"/>
  <c r="CY20" i="11" s="1"/>
  <c r="CZ16" i="11"/>
  <c r="CZ25" i="11"/>
  <c r="CX18" i="11"/>
  <c r="CY18" i="11" s="1"/>
  <c r="CZ19" i="11"/>
  <c r="CX27" i="11"/>
  <c r="CY27" i="11" s="1"/>
  <c r="CZ17" i="11"/>
  <c r="CX23" i="11"/>
  <c r="CY23" i="11" s="1"/>
  <c r="CX21" i="11"/>
  <c r="CY21" i="11" s="1"/>
  <c r="CX26" i="11"/>
  <c r="CY26" i="11" s="1"/>
  <c r="CZ22" i="11"/>
  <c r="CL15" i="11"/>
  <c r="CM15" i="11" s="1"/>
  <c r="CZ23" i="11"/>
  <c r="CZ18" i="11"/>
  <c r="CZ21" i="11"/>
  <c r="CZ27" i="11"/>
  <c r="CU15" i="11"/>
  <c r="HY15" i="12"/>
  <c r="DI15" i="11"/>
  <c r="KV21" i="11"/>
  <c r="KW27" i="11"/>
  <c r="KW22" i="11"/>
  <c r="KW18" i="11"/>
  <c r="KV25" i="11"/>
  <c r="GW27" i="11"/>
  <c r="GU15" i="11"/>
  <c r="KY26" i="11"/>
  <c r="KY17" i="11"/>
  <c r="KY20" i="11"/>
  <c r="KY27" i="11"/>
  <c r="KW17" i="11"/>
  <c r="KW19" i="11"/>
  <c r="KW20" i="11"/>
  <c r="KY19" i="11"/>
  <c r="KV24" i="11"/>
  <c r="KY18" i="11"/>
  <c r="KW23" i="11"/>
  <c r="KW26" i="11"/>
  <c r="KW24" i="11"/>
  <c r="PJ18" i="11"/>
  <c r="HJ18" i="12" s="1"/>
  <c r="LM18" i="12" s="1"/>
  <c r="GW17" i="11"/>
  <c r="GW21" i="11"/>
  <c r="GW20" i="11"/>
  <c r="GW19" i="11"/>
  <c r="GW18" i="11"/>
  <c r="CT25" i="11"/>
  <c r="HK16" i="11"/>
  <c r="HL16" i="11" s="1"/>
  <c r="HL21" i="11"/>
  <c r="PJ17" i="11"/>
  <c r="HJ17" i="12" s="1"/>
  <c r="HK17" i="11"/>
  <c r="HL17" i="11" s="1"/>
  <c r="PI21" i="11"/>
  <c r="HI21" i="12" s="1"/>
  <c r="GW24" i="11"/>
  <c r="HK24" i="11"/>
  <c r="HL24" i="11" s="1"/>
  <c r="GW23" i="11"/>
  <c r="GW25" i="11"/>
  <c r="CT18" i="11"/>
  <c r="OW18" i="11"/>
  <c r="OW23" i="11"/>
  <c r="PJ24" i="11"/>
  <c r="OW27" i="11"/>
  <c r="GW26" i="11"/>
  <c r="PJ26" i="11"/>
  <c r="PI26" i="11"/>
  <c r="PI16" i="11"/>
  <c r="HI16" i="12" s="1"/>
  <c r="OW21" i="11"/>
  <c r="PI22" i="11"/>
  <c r="GU23" i="11"/>
  <c r="PJ15" i="11"/>
  <c r="GU21" i="11"/>
  <c r="PJ19" i="11"/>
  <c r="HJ19" i="12" s="1"/>
  <c r="GW22" i="11"/>
  <c r="CT19" i="11"/>
  <c r="PI19" i="11"/>
  <c r="HI19" i="12" s="1"/>
  <c r="CT26" i="11"/>
  <c r="OW15" i="11"/>
  <c r="OU25" i="11"/>
  <c r="CR21" i="11"/>
  <c r="CS21" i="11" s="1"/>
  <c r="CT17" i="11"/>
  <c r="CT23" i="11"/>
  <c r="CT21" i="11"/>
  <c r="CT20" i="11"/>
  <c r="CT16" i="11"/>
  <c r="CT24" i="11"/>
  <c r="OW20" i="11"/>
  <c r="OW22" i="11"/>
  <c r="OW25" i="11"/>
  <c r="CT27" i="11"/>
  <c r="OW26" i="11"/>
  <c r="CT22" i="11"/>
  <c r="OU26" i="11"/>
  <c r="OV26" i="11" s="1"/>
  <c r="CR19" i="11"/>
  <c r="CS19" i="11" s="1"/>
  <c r="OW24" i="11"/>
  <c r="OW19" i="11"/>
  <c r="HL18" i="11"/>
  <c r="HK27" i="11"/>
  <c r="HL27" i="11" s="1"/>
  <c r="HK26" i="11"/>
  <c r="HL26" i="11" s="1"/>
  <c r="OW17" i="11"/>
  <c r="PI23" i="11"/>
  <c r="PI20" i="11"/>
  <c r="HI20" i="12" s="1"/>
  <c r="GU24" i="11"/>
  <c r="PI24" i="11"/>
  <c r="PJ22" i="11"/>
  <c r="PI27" i="11"/>
  <c r="HK19" i="11"/>
  <c r="HL19" i="11" s="1"/>
  <c r="OW16" i="11"/>
  <c r="HK22" i="11"/>
  <c r="HL22" i="11" s="1"/>
  <c r="OU18" i="11"/>
  <c r="OV18" i="11" s="1"/>
  <c r="GU16" i="11"/>
  <c r="CR22" i="11"/>
  <c r="CS22" i="11" s="1"/>
  <c r="GU17" i="11"/>
  <c r="CR17" i="11"/>
  <c r="CS17" i="11" s="1"/>
  <c r="PJ23" i="11"/>
  <c r="PJ20" i="11"/>
  <c r="HJ20" i="12" s="1"/>
  <c r="PI17" i="11"/>
  <c r="PJ16" i="11"/>
  <c r="HJ16" i="12" s="1"/>
  <c r="LM16" i="12" s="1"/>
  <c r="HK23" i="11"/>
  <c r="HL23" i="11" s="1"/>
  <c r="KZ15" i="11"/>
  <c r="PJ25" i="11"/>
  <c r="PJ21" i="11"/>
  <c r="HJ21" i="12" s="1"/>
  <c r="PJ27" i="11"/>
  <c r="PI25" i="11"/>
  <c r="HL20" i="11"/>
  <c r="GW16" i="11"/>
  <c r="HK25" i="11"/>
  <c r="HL25" i="11" s="1"/>
  <c r="PI18" i="11"/>
  <c r="HK15" i="11"/>
  <c r="HL15" i="11" s="1"/>
  <c r="CT15" i="11"/>
  <c r="OU21" i="11"/>
  <c r="OV21" i="11" s="1"/>
  <c r="CR23" i="11"/>
  <c r="CS23" i="11" s="1"/>
  <c r="OU27" i="11"/>
  <c r="OV27" i="11" s="1"/>
  <c r="OU19" i="11"/>
  <c r="GU18" i="11"/>
  <c r="OU22" i="11"/>
  <c r="OV22" i="11" s="1"/>
  <c r="GW15" i="11"/>
  <c r="OU20" i="11"/>
  <c r="CR15" i="11"/>
  <c r="KX15" i="11"/>
  <c r="OU24" i="11"/>
  <c r="OU23" i="11"/>
  <c r="CR20" i="11"/>
  <c r="CR24" i="11"/>
  <c r="CR18" i="11"/>
  <c r="OU15" i="11"/>
  <c r="CR16" i="11"/>
  <c r="GU20" i="11"/>
  <c r="GU27" i="11"/>
  <c r="GU19" i="11"/>
  <c r="PI15" i="11"/>
  <c r="OU16" i="11"/>
  <c r="HH15" i="11"/>
  <c r="GU25" i="11"/>
  <c r="CR27" i="11"/>
  <c r="CR26" i="11"/>
  <c r="OU17" i="11"/>
  <c r="CR25" i="11"/>
  <c r="GU26" i="11"/>
  <c r="GU22" i="11"/>
  <c r="A16" i="11"/>
  <c r="HJ24" i="12" l="1"/>
  <c r="HJ27" i="12"/>
  <c r="LM27" i="12" s="1"/>
  <c r="HJ23" i="12"/>
  <c r="HI27" i="12"/>
  <c r="HI26" i="12"/>
  <c r="HI25" i="12"/>
  <c r="HJ25" i="12"/>
  <c r="HJ22" i="12"/>
  <c r="HJ26" i="12"/>
  <c r="LM26" i="12" s="1"/>
  <c r="HI22" i="12"/>
  <c r="IR24" i="12"/>
  <c r="JH24" i="12"/>
  <c r="JX24" i="12"/>
  <c r="IP20" i="12"/>
  <c r="JF20" i="12"/>
  <c r="JV20" i="12"/>
  <c r="IQ16" i="12"/>
  <c r="JG16" i="12"/>
  <c r="JW16" i="12" s="1"/>
  <c r="IM23" i="12"/>
  <c r="JC23" i="12"/>
  <c r="IR19" i="12"/>
  <c r="JH19" i="12"/>
  <c r="JX19" i="12" s="1"/>
  <c r="IM18" i="12"/>
  <c r="JC18" i="12"/>
  <c r="ID22" i="12"/>
  <c r="IT22" i="12"/>
  <c r="IF16" i="12"/>
  <c r="IV16" i="12"/>
  <c r="JL16" i="12" s="1"/>
  <c r="II22" i="12"/>
  <c r="IY22" i="12"/>
  <c r="IH25" i="12"/>
  <c r="IX25" i="12"/>
  <c r="JN25" i="12" s="1"/>
  <c r="IH17" i="12"/>
  <c r="IX17" i="12"/>
  <c r="IK20" i="12"/>
  <c r="JA20" i="12"/>
  <c r="JQ20" i="12"/>
  <c r="IF21" i="12"/>
  <c r="IV21" i="12"/>
  <c r="II21" i="12"/>
  <c r="IY21" i="12"/>
  <c r="KE21" i="12" s="1"/>
  <c r="IH27" i="12"/>
  <c r="IX27" i="12"/>
  <c r="JN27" i="12"/>
  <c r="IP27" i="12"/>
  <c r="JF27" i="12"/>
  <c r="IF26" i="12"/>
  <c r="IV26" i="12"/>
  <c r="JL26" i="12"/>
  <c r="IR20" i="12"/>
  <c r="JH20" i="12"/>
  <c r="IQ20" i="12"/>
  <c r="JG20" i="12"/>
  <c r="JW20" i="12" s="1"/>
  <c r="IQ25" i="12"/>
  <c r="JG25" i="12"/>
  <c r="KM25" i="12" s="1"/>
  <c r="IR22" i="12"/>
  <c r="JH22" i="12"/>
  <c r="JX22" i="12" s="1"/>
  <c r="IN21" i="12"/>
  <c r="JD21" i="12"/>
  <c r="IN19" i="12"/>
  <c r="JD19" i="12"/>
  <c r="JT19" i="12" s="1"/>
  <c r="IK18" i="12"/>
  <c r="JA18" i="12"/>
  <c r="IF19" i="12"/>
  <c r="IV19" i="12"/>
  <c r="IG25" i="12"/>
  <c r="IW25" i="12"/>
  <c r="IE17" i="12"/>
  <c r="IU17" i="12"/>
  <c r="IH20" i="12"/>
  <c r="IX20" i="12"/>
  <c r="JA23" i="12"/>
  <c r="IK23" i="12"/>
  <c r="IF24" i="12"/>
  <c r="IV24" i="12"/>
  <c r="II24" i="12"/>
  <c r="IY24" i="12"/>
  <c r="KE24" i="12" s="1"/>
  <c r="ID26" i="12"/>
  <c r="IT26" i="12"/>
  <c r="JJ26" i="12" s="1"/>
  <c r="IC27" i="12"/>
  <c r="IS27" i="12"/>
  <c r="JI27" i="12" s="1"/>
  <c r="IL26" i="12"/>
  <c r="JB26" i="12"/>
  <c r="JR26" i="12"/>
  <c r="IR21" i="12"/>
  <c r="JH21" i="12"/>
  <c r="JX21" i="12" s="1"/>
  <c r="IN24" i="12"/>
  <c r="JD24" i="12"/>
  <c r="IR16" i="12"/>
  <c r="JH16" i="12"/>
  <c r="JX16" i="12" s="1"/>
  <c r="IM16" i="12"/>
  <c r="JC16" i="12"/>
  <c r="JS16" i="12" s="1"/>
  <c r="IQ23" i="12"/>
  <c r="JG23" i="12"/>
  <c r="JW23" i="12" s="1"/>
  <c r="IN18" i="12"/>
  <c r="JD18" i="12"/>
  <c r="JE23" i="12"/>
  <c r="IO23" i="12"/>
  <c r="IK21" i="12"/>
  <c r="JA21" i="12"/>
  <c r="IF22" i="12"/>
  <c r="IV22" i="12"/>
  <c r="JL22" i="12" s="1"/>
  <c r="II25" i="12"/>
  <c r="IY25" i="12"/>
  <c r="IE20" i="12"/>
  <c r="IU20" i="12"/>
  <c r="JK20" i="12" s="1"/>
  <c r="IH23" i="12"/>
  <c r="IX23" i="12"/>
  <c r="ID19" i="12"/>
  <c r="IT19" i="12"/>
  <c r="ID18" i="12"/>
  <c r="IT18" i="12"/>
  <c r="JJ18" i="12" s="1"/>
  <c r="ID25" i="12"/>
  <c r="IT25" i="12"/>
  <c r="JJ25" i="12" s="1"/>
  <c r="IG27" i="12"/>
  <c r="IW27" i="12"/>
  <c r="IN26" i="12"/>
  <c r="JD26" i="12"/>
  <c r="IC16" i="12"/>
  <c r="IS16" i="12"/>
  <c r="IL21" i="12"/>
  <c r="JB21" i="12"/>
  <c r="JR21" i="12" s="1"/>
  <c r="IP21" i="12"/>
  <c r="JF21" i="12"/>
  <c r="IQ24" i="12"/>
  <c r="JG24" i="12"/>
  <c r="LP23" i="12"/>
  <c r="LQ23" i="12" s="1"/>
  <c r="IL23" i="12"/>
  <c r="JB23" i="12"/>
  <c r="IN23" i="12"/>
  <c r="JD23" i="12"/>
  <c r="IO24" i="12"/>
  <c r="JE24" i="12"/>
  <c r="IK24" i="12"/>
  <c r="JA24" i="12"/>
  <c r="JQ24" i="12" s="1"/>
  <c r="IF25" i="12"/>
  <c r="IV25" i="12"/>
  <c r="IJ16" i="12"/>
  <c r="IZ16" i="12"/>
  <c r="JP16" i="12" s="1"/>
  <c r="IE23" i="12"/>
  <c r="IU23" i="12"/>
  <c r="IT16" i="12"/>
  <c r="ID16" i="12"/>
  <c r="IC18" i="12"/>
  <c r="IS18" i="12"/>
  <c r="IW18" i="12"/>
  <c r="IG18" i="12"/>
  <c r="IJ18" i="12"/>
  <c r="IZ18" i="12"/>
  <c r="IC26" i="12"/>
  <c r="IS26" i="12"/>
  <c r="JI26" i="12" s="1"/>
  <c r="IO27" i="12"/>
  <c r="JE27" i="12"/>
  <c r="JU27" i="12"/>
  <c r="II17" i="12"/>
  <c r="IY17" i="12"/>
  <c r="IC21" i="12"/>
  <c r="IS21" i="12"/>
  <c r="IG21" i="12"/>
  <c r="IW21" i="12"/>
  <c r="IZ21" i="12"/>
  <c r="IJ21" i="12"/>
  <c r="IF27" i="12"/>
  <c r="IV27" i="12"/>
  <c r="IM26" i="12"/>
  <c r="JC26" i="12"/>
  <c r="JS26" i="12"/>
  <c r="IG16" i="12"/>
  <c r="IW16" i="12"/>
  <c r="JM16" i="12" s="1"/>
  <c r="IN25" i="12"/>
  <c r="JD25" i="12"/>
  <c r="JT25" i="12" s="1"/>
  <c r="IP24" i="12"/>
  <c r="JF24" i="12"/>
  <c r="IM22" i="12"/>
  <c r="JC22" i="12"/>
  <c r="IR25" i="12"/>
  <c r="JH25" i="12"/>
  <c r="KN25" i="12" s="1"/>
  <c r="JB24" i="12"/>
  <c r="JR24" i="12" s="1"/>
  <c r="IL24" i="12"/>
  <c r="IO22" i="12"/>
  <c r="JE22" i="12"/>
  <c r="IS19" i="12"/>
  <c r="IC19" i="12"/>
  <c r="IW19" i="12"/>
  <c r="IG19" i="12"/>
  <c r="IZ22" i="12"/>
  <c r="KF22" i="12" s="1"/>
  <c r="IJ22" i="12"/>
  <c r="IF17" i="12"/>
  <c r="IV17" i="12"/>
  <c r="IY20" i="12"/>
  <c r="II20" i="12"/>
  <c r="IC24" i="12"/>
  <c r="IS24" i="12"/>
  <c r="IG24" i="12"/>
  <c r="IW24" i="12"/>
  <c r="IJ24" i="12"/>
  <c r="IZ24" i="12"/>
  <c r="IQ26" i="12"/>
  <c r="JG26" i="12"/>
  <c r="IM27" i="12"/>
  <c r="JC27" i="12"/>
  <c r="JS27" i="12" s="1"/>
  <c r="IJ25" i="12"/>
  <c r="IZ25" i="12"/>
  <c r="IP16" i="12"/>
  <c r="JF16" i="12"/>
  <c r="IQ22" i="12"/>
  <c r="JG22" i="12"/>
  <c r="IM21" i="12"/>
  <c r="JC21" i="12"/>
  <c r="IL18" i="12"/>
  <c r="JB18" i="12"/>
  <c r="JD20" i="12"/>
  <c r="IN20" i="12"/>
  <c r="IO17" i="12"/>
  <c r="JE17" i="12"/>
  <c r="IC22" i="12"/>
  <c r="IS22" i="12"/>
  <c r="JI22" i="12" s="1"/>
  <c r="IG22" i="12"/>
  <c r="IW22" i="12"/>
  <c r="JM22" i="12" s="1"/>
  <c r="IK16" i="12"/>
  <c r="JA16" i="12"/>
  <c r="JQ16" i="12"/>
  <c r="IV20" i="12"/>
  <c r="IF20" i="12"/>
  <c r="II23" i="12"/>
  <c r="IY23" i="12"/>
  <c r="KE23" i="12" s="1"/>
  <c r="ID20" i="12"/>
  <c r="IT20" i="12"/>
  <c r="IT23" i="12"/>
  <c r="ID23" i="12"/>
  <c r="IL27" i="12"/>
  <c r="JB27" i="12"/>
  <c r="JR27" i="12"/>
  <c r="IR27" i="12"/>
  <c r="JH27" i="12"/>
  <c r="JX27" i="12" s="1"/>
  <c r="IJ26" i="12"/>
  <c r="IZ26" i="12"/>
  <c r="JP26" i="12" s="1"/>
  <c r="IJ19" i="12"/>
  <c r="IZ19" i="12"/>
  <c r="IQ18" i="12"/>
  <c r="JG18" i="12"/>
  <c r="IR18" i="12"/>
  <c r="JH18" i="12"/>
  <c r="JX18" i="12" s="1"/>
  <c r="IQ21" i="12"/>
  <c r="JG21" i="12"/>
  <c r="JW21" i="12" s="1"/>
  <c r="IP18" i="12"/>
  <c r="JF18" i="12"/>
  <c r="IN17" i="12"/>
  <c r="JD17" i="12"/>
  <c r="JE18" i="12"/>
  <c r="IO18" i="12"/>
  <c r="IS25" i="12"/>
  <c r="IC25" i="12"/>
  <c r="IH16" i="12"/>
  <c r="IX16" i="12"/>
  <c r="IK19" i="12"/>
  <c r="JA19" i="12"/>
  <c r="IV23" i="12"/>
  <c r="IF23" i="12"/>
  <c r="IT17" i="12"/>
  <c r="ID17" i="12"/>
  <c r="IE18" i="12"/>
  <c r="IU18" i="12"/>
  <c r="JK18" i="12" s="1"/>
  <c r="IX18" i="12"/>
  <c r="IH18" i="12"/>
  <c r="II26" i="12"/>
  <c r="IY26" i="12"/>
  <c r="JO26" i="12"/>
  <c r="IE27" i="12"/>
  <c r="IU27" i="12"/>
  <c r="JK27" i="12"/>
  <c r="IN27" i="12"/>
  <c r="JD27" i="12"/>
  <c r="IP19" i="12"/>
  <c r="JF19" i="12"/>
  <c r="IM19" i="12"/>
  <c r="JC19" i="12"/>
  <c r="JS19" i="12" s="1"/>
  <c r="IQ19" i="12"/>
  <c r="JG19" i="12"/>
  <c r="KM19" i="12" s="1"/>
  <c r="IR17" i="12"/>
  <c r="JH17" i="12"/>
  <c r="IR23" i="12"/>
  <c r="JH23" i="12"/>
  <c r="IO25" i="12"/>
  <c r="JE25" i="12"/>
  <c r="IE16" i="12"/>
  <c r="IU16" i="12"/>
  <c r="IX19" i="12"/>
  <c r="IH19" i="12"/>
  <c r="IK22" i="12"/>
  <c r="JA22" i="12"/>
  <c r="IG17" i="12"/>
  <c r="IW17" i="12"/>
  <c r="IJ17" i="12"/>
  <c r="IZ17" i="12"/>
  <c r="IE21" i="12"/>
  <c r="IU21" i="12"/>
  <c r="IH21" i="12"/>
  <c r="IX21" i="12"/>
  <c r="IK27" i="12"/>
  <c r="JA27" i="12"/>
  <c r="IP26" i="12"/>
  <c r="JF26" i="12"/>
  <c r="JV26" i="12" s="1"/>
  <c r="IK26" i="12"/>
  <c r="JA26" i="12"/>
  <c r="JQ26" i="12" s="1"/>
  <c r="IO16" i="12"/>
  <c r="JE16" i="12"/>
  <c r="IL20" i="12"/>
  <c r="JB20" i="12"/>
  <c r="JR20" i="12" s="1"/>
  <c r="IM17" i="12"/>
  <c r="JC17" i="12"/>
  <c r="JS17" i="12"/>
  <c r="IQ17" i="12"/>
  <c r="JG17" i="12"/>
  <c r="IL19" i="12"/>
  <c r="JB19" i="12"/>
  <c r="JR19" i="12" s="1"/>
  <c r="JC20" i="12"/>
  <c r="JS20" i="12" s="1"/>
  <c r="IM20" i="12"/>
  <c r="IO21" i="12"/>
  <c r="JE21" i="12"/>
  <c r="IE19" i="12"/>
  <c r="IU19" i="12"/>
  <c r="IH22" i="12"/>
  <c r="IX22" i="12"/>
  <c r="JN22" i="12" s="1"/>
  <c r="IC17" i="12"/>
  <c r="IS17" i="12"/>
  <c r="IG20" i="12"/>
  <c r="IW20" i="12"/>
  <c r="IJ20" i="12"/>
  <c r="IZ20" i="12"/>
  <c r="KF20" i="12" s="1"/>
  <c r="IE24" i="12"/>
  <c r="IU24" i="12"/>
  <c r="IH24" i="12"/>
  <c r="IX24" i="12"/>
  <c r="IG26" i="12"/>
  <c r="IW26" i="12"/>
  <c r="IQ27" i="12"/>
  <c r="JG27" i="12"/>
  <c r="JW27" i="12" s="1"/>
  <c r="II27" i="12"/>
  <c r="IY27" i="12"/>
  <c r="JO27" i="12" s="1"/>
  <c r="IL25" i="12"/>
  <c r="JB25" i="12"/>
  <c r="LP25" i="12"/>
  <c r="LQ25" i="12" s="1"/>
  <c r="GN15" i="11"/>
  <c r="JB17" i="12"/>
  <c r="IL17" i="12"/>
  <c r="IP23" i="12"/>
  <c r="JF23" i="12"/>
  <c r="IM25" i="12"/>
  <c r="JC25" i="12"/>
  <c r="JD16" i="12"/>
  <c r="IN16" i="12"/>
  <c r="IP25" i="12"/>
  <c r="JF25" i="12"/>
  <c r="IO19" i="12"/>
  <c r="JE19" i="12"/>
  <c r="IU22" i="12"/>
  <c r="IE22" i="12"/>
  <c r="II16" i="12"/>
  <c r="IY16" i="12"/>
  <c r="IC20" i="12"/>
  <c r="IS20" i="12"/>
  <c r="IG23" i="12"/>
  <c r="IW23" i="12"/>
  <c r="IJ23" i="12"/>
  <c r="IZ23" i="12"/>
  <c r="ID21" i="12"/>
  <c r="IT21" i="12"/>
  <c r="ID24" i="12"/>
  <c r="IT24" i="12"/>
  <c r="JJ24" i="12"/>
  <c r="IJ27" i="12"/>
  <c r="IZ27" i="12"/>
  <c r="JP27" i="12"/>
  <c r="ID27" i="12"/>
  <c r="IT27" i="12"/>
  <c r="JJ27" i="12"/>
  <c r="IH26" i="12"/>
  <c r="IX26" i="12"/>
  <c r="KD26" i="12" s="1"/>
  <c r="IP17" i="12"/>
  <c r="JF17" i="12"/>
  <c r="JV17" i="12" s="1"/>
  <c r="IL16" i="12"/>
  <c r="JB16" i="12"/>
  <c r="JR16" i="12" s="1"/>
  <c r="IM24" i="12"/>
  <c r="JC24" i="12"/>
  <c r="IL22" i="12"/>
  <c r="JB22" i="12"/>
  <c r="JR22" i="12" s="1"/>
  <c r="IP22" i="12"/>
  <c r="JF22" i="12"/>
  <c r="JV22" i="12" s="1"/>
  <c r="IN22" i="12"/>
  <c r="JD22" i="12"/>
  <c r="IO20" i="12"/>
  <c r="JE20" i="12"/>
  <c r="IU25" i="12"/>
  <c r="IE25" i="12"/>
  <c r="II19" i="12"/>
  <c r="IY19" i="12"/>
  <c r="JO19" i="12" s="1"/>
  <c r="IC23" i="12"/>
  <c r="IS23" i="12"/>
  <c r="IK25" i="12"/>
  <c r="JA25" i="12"/>
  <c r="JA17" i="12"/>
  <c r="IK17" i="12"/>
  <c r="IF18" i="12"/>
  <c r="IV18" i="12"/>
  <c r="II18" i="12"/>
  <c r="IY18" i="12"/>
  <c r="IE26" i="12"/>
  <c r="IU26" i="12"/>
  <c r="JK26" i="12" s="1"/>
  <c r="IO26" i="12"/>
  <c r="JE26" i="12"/>
  <c r="JU26" i="12" s="1"/>
  <c r="IR26" i="12"/>
  <c r="JH26" i="12"/>
  <c r="JX26" i="12" s="1"/>
  <c r="GL15" i="11"/>
  <c r="GQ15" i="11" s="1"/>
  <c r="HI18" i="12"/>
  <c r="HK27" i="12"/>
  <c r="HL27" i="12" s="1"/>
  <c r="LL27" i="12"/>
  <c r="LN27" i="12" s="1"/>
  <c r="LO27" i="12" s="1"/>
  <c r="HK20" i="12"/>
  <c r="HL20" i="12" s="1"/>
  <c r="HK16" i="12"/>
  <c r="HL16" i="12" s="1"/>
  <c r="LL16" i="12"/>
  <c r="LN16" i="12" s="1"/>
  <c r="LO16" i="12" s="1"/>
  <c r="HI17" i="12"/>
  <c r="LL17" i="12" s="1"/>
  <c r="HI23" i="12"/>
  <c r="HK22" i="12"/>
  <c r="HL22" i="12" s="1"/>
  <c r="LM17" i="12"/>
  <c r="HK25" i="12"/>
  <c r="HL25" i="12" s="1"/>
  <c r="HI24" i="12"/>
  <c r="HK19" i="12"/>
  <c r="HL19" i="12" s="1"/>
  <c r="LL26" i="12"/>
  <c r="LN26" i="12" s="1"/>
  <c r="LO26" i="12" s="1"/>
  <c r="HK26" i="12"/>
  <c r="HL26" i="12" s="1"/>
  <c r="HK21" i="12"/>
  <c r="HL21" i="12" s="1"/>
  <c r="LR16" i="12"/>
  <c r="PD15" i="11"/>
  <c r="PD27" i="11"/>
  <c r="PD16" i="11"/>
  <c r="FM15" i="11"/>
  <c r="GM15" i="11" s="1"/>
  <c r="PD21" i="11"/>
  <c r="PD26" i="11"/>
  <c r="IL15" i="12"/>
  <c r="PD18" i="11"/>
  <c r="PD23" i="11"/>
  <c r="A18" i="9"/>
  <c r="A11" i="22"/>
  <c r="A11" i="21"/>
  <c r="A11" i="20"/>
  <c r="A11" i="23"/>
  <c r="PD24" i="11"/>
  <c r="PD20" i="11"/>
  <c r="PD22" i="11"/>
  <c r="PD25" i="11"/>
  <c r="LD15" i="11"/>
  <c r="LE15" i="11" s="1"/>
  <c r="PD19" i="11"/>
  <c r="PD17" i="11"/>
  <c r="JB15" i="12"/>
  <c r="JR15" i="12" s="1"/>
  <c r="II15" i="12"/>
  <c r="IY15" i="12"/>
  <c r="IG15" i="12"/>
  <c r="IW15" i="12"/>
  <c r="IE15" i="12"/>
  <c r="IU15" i="12"/>
  <c r="IJ15" i="12"/>
  <c r="IZ15" i="12"/>
  <c r="IC15" i="12"/>
  <c r="ID15" i="12"/>
  <c r="IT15" i="12"/>
  <c r="IK15" i="12"/>
  <c r="IF15" i="12"/>
  <c r="IV15" i="12"/>
  <c r="IH15" i="12"/>
  <c r="IX15" i="12"/>
  <c r="GO15" i="12"/>
  <c r="GP15" i="12" s="1"/>
  <c r="GQ15" i="12"/>
  <c r="CN15" i="12"/>
  <c r="CL15" i="12"/>
  <c r="CM15" i="12" s="1"/>
  <c r="LE18" i="11"/>
  <c r="LE26" i="11"/>
  <c r="LE22" i="11"/>
  <c r="KX24" i="11"/>
  <c r="KY24" i="11" s="1"/>
  <c r="LB24" i="11"/>
  <c r="LD24" i="11" s="1"/>
  <c r="KZ27" i="11"/>
  <c r="LC27" i="11"/>
  <c r="LF27" i="11" s="1"/>
  <c r="LE19" i="11"/>
  <c r="LE23" i="11"/>
  <c r="LE27" i="11"/>
  <c r="KZ24" i="11"/>
  <c r="LC24" i="11"/>
  <c r="LF24" i="11" s="1"/>
  <c r="KZ20" i="11"/>
  <c r="LC20" i="11"/>
  <c r="LF20" i="11" s="1"/>
  <c r="KZ19" i="11"/>
  <c r="LC19" i="11"/>
  <c r="LF19" i="11" s="1"/>
  <c r="KX25" i="11"/>
  <c r="KY25" i="11" s="1"/>
  <c r="LB25" i="11"/>
  <c r="LD25" i="11" s="1"/>
  <c r="KZ21" i="11"/>
  <c r="LC21" i="11"/>
  <c r="LF21" i="11" s="1"/>
  <c r="LE16" i="11"/>
  <c r="LE20" i="11"/>
  <c r="KZ26" i="11"/>
  <c r="LC26" i="11"/>
  <c r="LF26" i="11" s="1"/>
  <c r="KZ23" i="11"/>
  <c r="LC23" i="11"/>
  <c r="LF23" i="11" s="1"/>
  <c r="KZ17" i="11"/>
  <c r="LC17" i="11"/>
  <c r="LF17" i="11" s="1"/>
  <c r="KZ18" i="11"/>
  <c r="LC18" i="11"/>
  <c r="LF18" i="11" s="1"/>
  <c r="KX21" i="11"/>
  <c r="KY21" i="11" s="1"/>
  <c r="LB21" i="11"/>
  <c r="LD21" i="11" s="1"/>
  <c r="LE17" i="11"/>
  <c r="KZ22" i="11"/>
  <c r="LC22" i="11"/>
  <c r="LF22" i="11" s="1"/>
  <c r="GX15" i="11"/>
  <c r="HB19" i="11"/>
  <c r="HB21" i="11"/>
  <c r="HB22" i="11"/>
  <c r="HB27" i="11"/>
  <c r="HB20" i="11"/>
  <c r="HB17" i="11"/>
  <c r="HB23" i="11"/>
  <c r="CX15" i="11"/>
  <c r="CY15" i="11" s="1"/>
  <c r="CZ15" i="11"/>
  <c r="DA15" i="11"/>
  <c r="IO15" i="12"/>
  <c r="JE15" i="12"/>
  <c r="GV19" i="11"/>
  <c r="GV27" i="11"/>
  <c r="GV25" i="11"/>
  <c r="GV21" i="11"/>
  <c r="GV15" i="11"/>
  <c r="GV24" i="11"/>
  <c r="GV23" i="11"/>
  <c r="PK22" i="11"/>
  <c r="PL22" i="11" s="1"/>
  <c r="PK18" i="11"/>
  <c r="PL18" i="11" s="1"/>
  <c r="HH16" i="11"/>
  <c r="PK15" i="11"/>
  <c r="PL15" i="11" s="1"/>
  <c r="PK21" i="11"/>
  <c r="PL21" i="11" s="1"/>
  <c r="PK17" i="11"/>
  <c r="PL17" i="11" s="1"/>
  <c r="PK19" i="11"/>
  <c r="PL19" i="11" s="1"/>
  <c r="PK20" i="11"/>
  <c r="PL20" i="11" s="1"/>
  <c r="PK26" i="11"/>
  <c r="PL26" i="11" s="1"/>
  <c r="PK27" i="11"/>
  <c r="PL27" i="11" s="1"/>
  <c r="PK16" i="11"/>
  <c r="PL16" i="11" s="1"/>
  <c r="GV17" i="11"/>
  <c r="PK23" i="11"/>
  <c r="PL23" i="11" s="1"/>
  <c r="OV25" i="11"/>
  <c r="PK24" i="11"/>
  <c r="PL24" i="11" s="1"/>
  <c r="GV16" i="11"/>
  <c r="PH15" i="11"/>
  <c r="DA22" i="11"/>
  <c r="DA17" i="11"/>
  <c r="DA21" i="11"/>
  <c r="DA19" i="11"/>
  <c r="PK25" i="11"/>
  <c r="PL25" i="11" s="1"/>
  <c r="OV19" i="11"/>
  <c r="DA23" i="11"/>
  <c r="GV18" i="11"/>
  <c r="CS20" i="11"/>
  <c r="DA20" i="11"/>
  <c r="KY15" i="11"/>
  <c r="OV17" i="11"/>
  <c r="OV16" i="11"/>
  <c r="GV20" i="11"/>
  <c r="OV23" i="11"/>
  <c r="CS15" i="11"/>
  <c r="GV22" i="11"/>
  <c r="OV24" i="11"/>
  <c r="GV26" i="11"/>
  <c r="CS24" i="11"/>
  <c r="DA24" i="11"/>
  <c r="CS25" i="11"/>
  <c r="DA25" i="11"/>
  <c r="CS18" i="11"/>
  <c r="DA18" i="11"/>
  <c r="OV20" i="11"/>
  <c r="CS26" i="11"/>
  <c r="DA26" i="11"/>
  <c r="OV15" i="11"/>
  <c r="CS27" i="11"/>
  <c r="DA27" i="11"/>
  <c r="CS16" i="11"/>
  <c r="DA16" i="11"/>
  <c r="A17" i="11"/>
  <c r="KB18" i="12" l="1"/>
  <c r="KC19" i="12"/>
  <c r="KC23" i="12"/>
  <c r="KM22" i="12"/>
  <c r="KE25" i="12"/>
  <c r="KJ18" i="12"/>
  <c r="GO15" i="11"/>
  <c r="GP15" i="11" s="1"/>
  <c r="JZ27" i="12"/>
  <c r="KN17" i="12"/>
  <c r="JO23" i="12"/>
  <c r="KF25" i="12"/>
  <c r="KC27" i="12"/>
  <c r="KL20" i="12"/>
  <c r="KK21" i="12"/>
  <c r="KJ17" i="12"/>
  <c r="KF19" i="12"/>
  <c r="KE20" i="12"/>
  <c r="KK23" i="12"/>
  <c r="JW19" i="12"/>
  <c r="KL23" i="12"/>
  <c r="KJ21" i="12"/>
  <c r="KF18" i="12"/>
  <c r="KK22" i="12"/>
  <c r="KL21" i="12"/>
  <c r="KG25" i="12"/>
  <c r="KC26" i="12"/>
  <c r="KM17" i="12"/>
  <c r="KA27" i="12"/>
  <c r="KL18" i="12"/>
  <c r="KL16" i="12"/>
  <c r="KJ25" i="12"/>
  <c r="KM24" i="12"/>
  <c r="JO25" i="12"/>
  <c r="KL22" i="12"/>
  <c r="KK19" i="12"/>
  <c r="KI17" i="12"/>
  <c r="KG27" i="12"/>
  <c r="KN20" i="12"/>
  <c r="KA26" i="12"/>
  <c r="KF23" i="12"/>
  <c r="KL25" i="12"/>
  <c r="JZ18" i="12"/>
  <c r="KI16" i="12"/>
  <c r="KE19" i="12"/>
  <c r="JZ19" i="12"/>
  <c r="KI24" i="12"/>
  <c r="KK16" i="12"/>
  <c r="KL19" i="12"/>
  <c r="KG16" i="12"/>
  <c r="KM26" i="12"/>
  <c r="JU23" i="12"/>
  <c r="KM18" i="12"/>
  <c r="KB27" i="12"/>
  <c r="KJ26" i="12"/>
  <c r="JZ26" i="12"/>
  <c r="KL27" i="12"/>
  <c r="KF27" i="12"/>
  <c r="KN23" i="12"/>
  <c r="KJ27" i="12"/>
  <c r="KL24" i="12"/>
  <c r="KJ24" i="12"/>
  <c r="KH17" i="12"/>
  <c r="KU17" i="12"/>
  <c r="HK17" i="12"/>
  <c r="HL17" i="12" s="1"/>
  <c r="JJ20" i="12"/>
  <c r="JZ20" i="12"/>
  <c r="JJ16" i="12"/>
  <c r="JZ16" i="12"/>
  <c r="JL18" i="12"/>
  <c r="KH22" i="12"/>
  <c r="KU22" i="12"/>
  <c r="JN26" i="12"/>
  <c r="JJ21" i="12"/>
  <c r="JZ21" i="12"/>
  <c r="JV23" i="12"/>
  <c r="KE27" i="12"/>
  <c r="JP20" i="12"/>
  <c r="JU21" i="12"/>
  <c r="KG26" i="12"/>
  <c r="JP17" i="12"/>
  <c r="KF17" i="12"/>
  <c r="JX23" i="12"/>
  <c r="JV19" i="12"/>
  <c r="KM21" i="12"/>
  <c r="KF26" i="12"/>
  <c r="JW22" i="12"/>
  <c r="JW26" i="12"/>
  <c r="JL17" i="12"/>
  <c r="KB17" i="12"/>
  <c r="JK23" i="12"/>
  <c r="KA23" i="12"/>
  <c r="JT23" i="12"/>
  <c r="KJ23" i="12"/>
  <c r="JT18" i="12"/>
  <c r="JT24" i="12"/>
  <c r="JT21" i="12"/>
  <c r="JX20" i="12"/>
  <c r="JO21" i="12"/>
  <c r="JU20" i="12"/>
  <c r="KK20" i="12"/>
  <c r="JK22" i="12"/>
  <c r="KA22" i="12"/>
  <c r="JY22" i="12"/>
  <c r="KO22" i="12"/>
  <c r="LA22" i="12"/>
  <c r="JY26" i="12"/>
  <c r="KO26" i="12"/>
  <c r="LA26" i="12"/>
  <c r="KH21" i="12"/>
  <c r="KU21" i="12"/>
  <c r="JK17" i="12"/>
  <c r="KA17" i="12"/>
  <c r="JO22" i="12"/>
  <c r="KE22" i="12"/>
  <c r="JS23" i="12"/>
  <c r="KI23" i="12"/>
  <c r="JN18" i="12"/>
  <c r="KD18" i="12"/>
  <c r="KN26" i="12"/>
  <c r="JK25" i="12"/>
  <c r="KA25" i="12"/>
  <c r="JS24" i="12"/>
  <c r="JP23" i="12"/>
  <c r="JU19" i="12"/>
  <c r="JM17" i="12"/>
  <c r="KC17" i="12"/>
  <c r="JI25" i="12"/>
  <c r="JY25" i="12"/>
  <c r="KO25" i="12"/>
  <c r="LA25" i="12"/>
  <c r="JP22" i="12"/>
  <c r="JP21" i="12"/>
  <c r="KF21" i="12"/>
  <c r="JR23" i="12"/>
  <c r="KH23" i="12"/>
  <c r="KU23" i="12"/>
  <c r="KM27" i="12"/>
  <c r="JM20" i="12"/>
  <c r="KC20" i="12"/>
  <c r="KL26" i="12"/>
  <c r="JX17" i="12"/>
  <c r="JT27" i="12"/>
  <c r="KA18" i="12"/>
  <c r="KN18" i="12"/>
  <c r="KN27" i="12"/>
  <c r="JU17" i="12"/>
  <c r="KK17" i="12"/>
  <c r="JV16" i="12"/>
  <c r="JP24" i="12"/>
  <c r="KF24" i="12"/>
  <c r="JM21" i="12"/>
  <c r="KC21" i="12"/>
  <c r="JP18" i="12"/>
  <c r="KF16" i="12"/>
  <c r="JI16" i="12"/>
  <c r="JY16" i="12"/>
  <c r="KO16" i="12"/>
  <c r="LA16" i="12"/>
  <c r="JM25" i="12"/>
  <c r="KC25" i="12"/>
  <c r="JL21" i="12"/>
  <c r="KB21" i="12"/>
  <c r="JQ22" i="12"/>
  <c r="KG22" i="12"/>
  <c r="JU18" i="12"/>
  <c r="KK18" i="12"/>
  <c r="KH24" i="12"/>
  <c r="KU24" i="12"/>
  <c r="KM23" i="12"/>
  <c r="KN21" i="12"/>
  <c r="JO24" i="12"/>
  <c r="KN22" i="12"/>
  <c r="KB26" i="12"/>
  <c r="KB16" i="12"/>
  <c r="KM16" i="12"/>
  <c r="JQ17" i="12"/>
  <c r="KG17" i="12"/>
  <c r="KK26" i="12"/>
  <c r="JQ25" i="12"/>
  <c r="JT22" i="12"/>
  <c r="KJ22" i="12"/>
  <c r="JM23" i="12"/>
  <c r="JV25" i="12"/>
  <c r="JR17" i="12"/>
  <c r="JM26" i="12"/>
  <c r="KP26" i="12" s="1"/>
  <c r="KR26" i="12" s="1"/>
  <c r="KS26" i="12" s="1"/>
  <c r="JI17" i="12"/>
  <c r="JY17" i="12"/>
  <c r="KO17" i="12"/>
  <c r="LA17" i="12"/>
  <c r="KI20" i="12"/>
  <c r="JQ27" i="12"/>
  <c r="JT17" i="12"/>
  <c r="JW18" i="12"/>
  <c r="JL20" i="12"/>
  <c r="KB20" i="12"/>
  <c r="JM24" i="12"/>
  <c r="KC24" i="12"/>
  <c r="JX25" i="12"/>
  <c r="KC16" i="12"/>
  <c r="JI21" i="12"/>
  <c r="JY21" i="12"/>
  <c r="KO21" i="12"/>
  <c r="LA21" i="12"/>
  <c r="JL25" i="12"/>
  <c r="KB25" i="12"/>
  <c r="JW24" i="12"/>
  <c r="JT26" i="12"/>
  <c r="JJ19" i="12"/>
  <c r="KB22" i="12"/>
  <c r="JL19" i="12"/>
  <c r="KB19" i="12"/>
  <c r="JJ17" i="12"/>
  <c r="JZ17" i="12"/>
  <c r="JT20" i="12"/>
  <c r="KV20" i="12" s="1"/>
  <c r="KJ20" i="12"/>
  <c r="JW25" i="12"/>
  <c r="JV27" i="12"/>
  <c r="KG20" i="12"/>
  <c r="JJ22" i="12"/>
  <c r="JZ22" i="12"/>
  <c r="JN19" i="12"/>
  <c r="KD19" i="12"/>
  <c r="KH27" i="12"/>
  <c r="KU27" i="12"/>
  <c r="JI24" i="12"/>
  <c r="JY24" i="12"/>
  <c r="KO24" i="12"/>
  <c r="LA24" i="12"/>
  <c r="JM19" i="12"/>
  <c r="JO17" i="12"/>
  <c r="KE17" i="12"/>
  <c r="JM18" i="12"/>
  <c r="KC18" i="12"/>
  <c r="JQ21" i="12"/>
  <c r="KG21" i="12"/>
  <c r="JL24" i="12"/>
  <c r="KB24" i="12"/>
  <c r="JQ18" i="12"/>
  <c r="KG18" i="12"/>
  <c r="KH20" i="12"/>
  <c r="KU20" i="12"/>
  <c r="JN24" i="12"/>
  <c r="KD24" i="12"/>
  <c r="KD22" i="12"/>
  <c r="KH19" i="12"/>
  <c r="KU19" i="12"/>
  <c r="JU16" i="12"/>
  <c r="JN21" i="12"/>
  <c r="KD21" i="12"/>
  <c r="JK16" i="12"/>
  <c r="KA16" i="12"/>
  <c r="JL23" i="12"/>
  <c r="KB23" i="12"/>
  <c r="JV18" i="12"/>
  <c r="JP19" i="12"/>
  <c r="JR18" i="12"/>
  <c r="KH18" i="12"/>
  <c r="KU18" i="12"/>
  <c r="JP25" i="12"/>
  <c r="JS22" i="12"/>
  <c r="KI22" i="12"/>
  <c r="KI26" i="12"/>
  <c r="JI18" i="12"/>
  <c r="JY18" i="12"/>
  <c r="KO18" i="12"/>
  <c r="LA18" i="12"/>
  <c r="KG24" i="12"/>
  <c r="JV21" i="12"/>
  <c r="JM27" i="12"/>
  <c r="JN23" i="12"/>
  <c r="KD23" i="12"/>
  <c r="KH26" i="12"/>
  <c r="KU26" i="12"/>
  <c r="JN17" i="12"/>
  <c r="KD17" i="12"/>
  <c r="JS18" i="12"/>
  <c r="KI18" i="12"/>
  <c r="KH16" i="12"/>
  <c r="KU16" i="12"/>
  <c r="JI23" i="12"/>
  <c r="JY23" i="12"/>
  <c r="KO23" i="12"/>
  <c r="LA23" i="12"/>
  <c r="JI20" i="12"/>
  <c r="JY20" i="12"/>
  <c r="KO20" i="12"/>
  <c r="LA20" i="12"/>
  <c r="JT16" i="12"/>
  <c r="KJ16" i="12"/>
  <c r="JR25" i="12"/>
  <c r="KH25" i="12"/>
  <c r="KU25" i="12"/>
  <c r="JQ19" i="12"/>
  <c r="KG19" i="12"/>
  <c r="JO20" i="12"/>
  <c r="JI19" i="12"/>
  <c r="JY19" i="12"/>
  <c r="KO19" i="12"/>
  <c r="LA19" i="12"/>
  <c r="KL17" i="12"/>
  <c r="JZ24" i="12"/>
  <c r="JO16" i="12"/>
  <c r="KE16" i="12"/>
  <c r="JS25" i="12"/>
  <c r="KI25" i="12"/>
  <c r="JK24" i="12"/>
  <c r="KA24" i="12"/>
  <c r="JK19" i="12"/>
  <c r="KA19" i="12"/>
  <c r="JW17" i="12"/>
  <c r="JK21" i="12"/>
  <c r="KA21" i="12"/>
  <c r="JU25" i="12"/>
  <c r="KK25" i="12"/>
  <c r="KI19" i="12"/>
  <c r="KE26" i="12"/>
  <c r="JJ23" i="12"/>
  <c r="JZ23" i="12"/>
  <c r="KC22" i="12"/>
  <c r="JS21" i="12"/>
  <c r="KI21" i="12"/>
  <c r="KI27" i="12"/>
  <c r="JU22" i="12"/>
  <c r="JV24" i="12"/>
  <c r="JL27" i="12"/>
  <c r="KP27" i="12" s="1"/>
  <c r="KK27" i="12"/>
  <c r="JU24" i="12"/>
  <c r="KK24" i="12"/>
  <c r="KN16" i="12"/>
  <c r="JQ23" i="12"/>
  <c r="KG23" i="12"/>
  <c r="KJ19" i="12"/>
  <c r="KM20" i="12"/>
  <c r="KD27" i="12"/>
  <c r="KN24" i="12"/>
  <c r="JO18" i="12"/>
  <c r="KE18" i="12"/>
  <c r="LC18" i="12" s="1"/>
  <c r="LF18" i="12" s="1"/>
  <c r="JN16" i="12"/>
  <c r="KD16" i="12"/>
  <c r="JZ25" i="12"/>
  <c r="KA20" i="12"/>
  <c r="JY27" i="12"/>
  <c r="KO27" i="12"/>
  <c r="LA27" i="12"/>
  <c r="JN20" i="12"/>
  <c r="KD20" i="12"/>
  <c r="KD25" i="12"/>
  <c r="KN19" i="12"/>
  <c r="HK24" i="12"/>
  <c r="HL24" i="12" s="1"/>
  <c r="HK23" i="12"/>
  <c r="HL23" i="12" s="1"/>
  <c r="LN17" i="12"/>
  <c r="LO17" i="12" s="1"/>
  <c r="HK18" i="12"/>
  <c r="HL18" i="12" s="1"/>
  <c r="LL18" i="12"/>
  <c r="LN18" i="12" s="1"/>
  <c r="LO18" i="12" s="1"/>
  <c r="LR17" i="12"/>
  <c r="GZ15" i="11"/>
  <c r="HC15" i="11" s="1"/>
  <c r="GY15" i="11"/>
  <c r="HA15" i="11" s="1"/>
  <c r="KO15" i="12"/>
  <c r="A19" i="9"/>
  <c r="A12" i="23"/>
  <c r="A12" i="22"/>
  <c r="A12" i="21"/>
  <c r="A12" i="20"/>
  <c r="JZ15" i="12"/>
  <c r="JJ15" i="12"/>
  <c r="KE15" i="12"/>
  <c r="JP15" i="12"/>
  <c r="KF15" i="12"/>
  <c r="JM15" i="12"/>
  <c r="KC15" i="12"/>
  <c r="JQ15" i="12"/>
  <c r="KG15" i="12"/>
  <c r="JN15" i="12"/>
  <c r="KD15" i="12"/>
  <c r="JI15" i="12"/>
  <c r="JY15" i="12"/>
  <c r="JK15" i="12"/>
  <c r="KA15" i="12"/>
  <c r="JL15" i="12"/>
  <c r="KB15" i="12"/>
  <c r="JO15" i="12"/>
  <c r="LG17" i="11"/>
  <c r="LE21" i="11"/>
  <c r="LG21" i="11"/>
  <c r="LG23" i="11"/>
  <c r="LG22" i="11"/>
  <c r="LG20" i="11"/>
  <c r="LG27" i="11"/>
  <c r="LG19" i="11"/>
  <c r="LE24" i="11"/>
  <c r="LG24" i="11"/>
  <c r="LG26" i="11"/>
  <c r="LG18" i="11"/>
  <c r="LG16" i="11"/>
  <c r="LE25" i="11"/>
  <c r="LG25" i="11"/>
  <c r="LG15" i="11"/>
  <c r="JU15" i="12"/>
  <c r="KK15" i="12"/>
  <c r="HH17" i="11"/>
  <c r="PH16" i="11"/>
  <c r="A18" i="11"/>
  <c r="B19" i="10"/>
  <c r="C19" i="10"/>
  <c r="F19" i="10"/>
  <c r="CW19" i="10" s="1"/>
  <c r="B20" i="10"/>
  <c r="C20" i="10"/>
  <c r="F20" i="10"/>
  <c r="CW20" i="10" s="1"/>
  <c r="B21" i="10"/>
  <c r="C21" i="10"/>
  <c r="F21" i="10"/>
  <c r="CW21" i="10" s="1"/>
  <c r="B22" i="10"/>
  <c r="C22" i="10"/>
  <c r="F22" i="10"/>
  <c r="CW22" i="10" s="1"/>
  <c r="B23" i="10"/>
  <c r="C23" i="10"/>
  <c r="F23" i="10"/>
  <c r="CW23" i="10" s="1"/>
  <c r="B24" i="10"/>
  <c r="C24" i="10"/>
  <c r="F24" i="10"/>
  <c r="CW24" i="10" s="1"/>
  <c r="KW27" i="12" l="1"/>
  <c r="KZ27" i="12" s="1"/>
  <c r="LH27" i="10"/>
  <c r="LH26" i="10"/>
  <c r="KV22" i="12"/>
  <c r="LB21" i="12"/>
  <c r="LD21" i="12" s="1"/>
  <c r="LE21" i="12" s="1"/>
  <c r="KP22" i="12"/>
  <c r="LC25" i="12"/>
  <c r="LF25" i="12" s="1"/>
  <c r="KP23" i="12"/>
  <c r="LB25" i="12"/>
  <c r="KW25" i="12"/>
  <c r="KZ25" i="12" s="1"/>
  <c r="LC26" i="12"/>
  <c r="LF26" i="12" s="1"/>
  <c r="LC22" i="12"/>
  <c r="LF22" i="12" s="1"/>
  <c r="KR27" i="12"/>
  <c r="KS27" i="12" s="1"/>
  <c r="KW16" i="12"/>
  <c r="KZ16" i="12" s="1"/>
  <c r="LB26" i="12"/>
  <c r="KV16" i="12"/>
  <c r="KX16" i="12" s="1"/>
  <c r="KY16" i="12" s="1"/>
  <c r="KV24" i="12"/>
  <c r="KX24" i="12" s="1"/>
  <c r="KY24" i="12" s="1"/>
  <c r="KW21" i="12"/>
  <c r="KZ21" i="12" s="1"/>
  <c r="LC27" i="12"/>
  <c r="LF27" i="12" s="1"/>
  <c r="KP18" i="12"/>
  <c r="LC16" i="12"/>
  <c r="LF16" i="12" s="1"/>
  <c r="KQ19" i="12"/>
  <c r="KT19" i="12" s="1"/>
  <c r="LB16" i="12"/>
  <c r="KV19" i="12"/>
  <c r="KX19" i="12" s="1"/>
  <c r="KV21" i="12"/>
  <c r="KX21" i="12" s="1"/>
  <c r="KY21" i="12" s="1"/>
  <c r="KV27" i="12"/>
  <c r="KX27" i="12" s="1"/>
  <c r="KY27" i="12" s="1"/>
  <c r="LP27" i="12"/>
  <c r="LQ27" i="12" s="1"/>
  <c r="LP16" i="12"/>
  <c r="LB23" i="12"/>
  <c r="LD23" i="12" s="1"/>
  <c r="LE23" i="12" s="1"/>
  <c r="KP20" i="12"/>
  <c r="KR20" i="12" s="1"/>
  <c r="KS20" i="12" s="1"/>
  <c r="KP17" i="12"/>
  <c r="KR17" i="12" s="1"/>
  <c r="KS17" i="12" s="1"/>
  <c r="LB22" i="12"/>
  <c r="LD22" i="12" s="1"/>
  <c r="LE22" i="12" s="1"/>
  <c r="KQ20" i="12"/>
  <c r="KT20" i="12" s="1"/>
  <c r="KW26" i="12"/>
  <c r="KZ26" i="12" s="1"/>
  <c r="KQ24" i="12"/>
  <c r="KT24" i="12" s="1"/>
  <c r="LC24" i="12"/>
  <c r="LF24" i="12" s="1"/>
  <c r="KQ25" i="12"/>
  <c r="KT25" i="12" s="1"/>
  <c r="KQ26" i="12"/>
  <c r="KT26" i="12" s="1"/>
  <c r="LD25" i="12"/>
  <c r="LE25" i="12" s="1"/>
  <c r="KR23" i="12"/>
  <c r="KS23" i="12" s="1"/>
  <c r="KP24" i="12"/>
  <c r="KR24" i="12" s="1"/>
  <c r="KS24" i="12" s="1"/>
  <c r="LB24" i="12"/>
  <c r="LD24" i="12" s="1"/>
  <c r="LE24" i="12" s="1"/>
  <c r="KV17" i="12"/>
  <c r="KX17" i="12" s="1"/>
  <c r="KP25" i="12"/>
  <c r="KR25" i="12" s="1"/>
  <c r="KS25" i="12" s="1"/>
  <c r="LC21" i="12"/>
  <c r="LF21" i="12" s="1"/>
  <c r="KQ23" i="12"/>
  <c r="KT23" i="12" s="1"/>
  <c r="KV26" i="12"/>
  <c r="KX26" i="12" s="1"/>
  <c r="LB18" i="12"/>
  <c r="LD18" i="12" s="1"/>
  <c r="LE18" i="12" s="1"/>
  <c r="KX22" i="12"/>
  <c r="KW17" i="12"/>
  <c r="KZ17" i="12" s="1"/>
  <c r="KQ17" i="12"/>
  <c r="KT17" i="12" s="1"/>
  <c r="LB20" i="12"/>
  <c r="LD20" i="12" s="1"/>
  <c r="LE20" i="12" s="1"/>
  <c r="KW18" i="12"/>
  <c r="KZ18" i="12" s="1"/>
  <c r="KW19" i="12"/>
  <c r="KZ19" i="12" s="1"/>
  <c r="KR22" i="12"/>
  <c r="KS22" i="12" s="1"/>
  <c r="KW22" i="12"/>
  <c r="KZ22" i="12" s="1"/>
  <c r="LD26" i="12"/>
  <c r="LE26" i="12" s="1"/>
  <c r="KV25" i="12"/>
  <c r="KX25" i="12" s="1"/>
  <c r="KY25" i="12" s="1"/>
  <c r="KV18" i="12"/>
  <c r="KX18" i="12" s="1"/>
  <c r="LC23" i="12"/>
  <c r="LF23" i="12" s="1"/>
  <c r="KW23" i="12"/>
  <c r="KZ23" i="12" s="1"/>
  <c r="LB27" i="12"/>
  <c r="LD27" i="12" s="1"/>
  <c r="LE27" i="12" s="1"/>
  <c r="KQ22" i="12"/>
  <c r="KT22" i="12" s="1"/>
  <c r="LD16" i="12"/>
  <c r="LE16" i="12" s="1"/>
  <c r="KV23" i="12"/>
  <c r="KX23" i="12" s="1"/>
  <c r="KY23" i="12" s="1"/>
  <c r="KP19" i="12"/>
  <c r="LC19" i="12"/>
  <c r="LF19" i="12" s="1"/>
  <c r="KQ21" i="12"/>
  <c r="KT21" i="12" s="1"/>
  <c r="LC17" i="12"/>
  <c r="LF17" i="12" s="1"/>
  <c r="KW24" i="12"/>
  <c r="KZ24" i="12" s="1"/>
  <c r="LB19" i="12"/>
  <c r="LD19" i="12" s="1"/>
  <c r="LE19" i="12" s="1"/>
  <c r="LC20" i="12"/>
  <c r="LF20" i="12" s="1"/>
  <c r="KR18" i="12"/>
  <c r="KS18" i="12" s="1"/>
  <c r="KX20" i="12"/>
  <c r="KP21" i="12"/>
  <c r="KR21" i="12" s="1"/>
  <c r="KS21" i="12" s="1"/>
  <c r="LB17" i="12"/>
  <c r="LD17" i="12" s="1"/>
  <c r="LE17" i="12" s="1"/>
  <c r="KQ16" i="12"/>
  <c r="KT16" i="12" s="1"/>
  <c r="KQ27" i="12"/>
  <c r="KT27" i="12" s="1"/>
  <c r="KR19" i="12"/>
  <c r="KS19" i="12" s="1"/>
  <c r="KQ18" i="12"/>
  <c r="KT18" i="12" s="1"/>
  <c r="KW20" i="12"/>
  <c r="KZ20" i="12" s="1"/>
  <c r="KP16" i="12"/>
  <c r="KR16" i="12" s="1"/>
  <c r="KS16" i="12" s="1"/>
  <c r="LR18" i="12"/>
  <c r="LH15" i="10"/>
  <c r="LH18" i="10"/>
  <c r="LH16" i="10"/>
  <c r="LH17" i="10"/>
  <c r="A20" i="9"/>
  <c r="A13" i="22"/>
  <c r="A13" i="21"/>
  <c r="A13" i="20"/>
  <c r="A13" i="23"/>
  <c r="LH24" i="10"/>
  <c r="LG24" i="10"/>
  <c r="LH20" i="10"/>
  <c r="LG20" i="10"/>
  <c r="LH23" i="10"/>
  <c r="LG23" i="10"/>
  <c r="LH19" i="10"/>
  <c r="LG19" i="10"/>
  <c r="LH22" i="10"/>
  <c r="LG22" i="10"/>
  <c r="LH25" i="10"/>
  <c r="LG25" i="10"/>
  <c r="LH21" i="10"/>
  <c r="LG21" i="10"/>
  <c r="KQ15" i="12"/>
  <c r="KP15" i="12"/>
  <c r="HB15" i="11"/>
  <c r="HD18" i="11"/>
  <c r="HD26" i="11"/>
  <c r="HD24" i="11"/>
  <c r="HD25" i="11"/>
  <c r="HD15" i="11"/>
  <c r="HD16" i="11"/>
  <c r="HD19" i="11"/>
  <c r="HD22" i="11"/>
  <c r="HD27" i="11"/>
  <c r="HD17" i="11"/>
  <c r="HD23" i="11"/>
  <c r="HD21" i="11"/>
  <c r="HD20" i="11"/>
  <c r="OL24" i="10"/>
  <c r="OK24" i="10"/>
  <c r="OM24" i="10"/>
  <c r="OL20" i="10"/>
  <c r="OK20" i="10"/>
  <c r="OM20" i="10"/>
  <c r="OM25" i="10"/>
  <c r="OK25" i="10"/>
  <c r="OL25" i="10"/>
  <c r="OM21" i="10"/>
  <c r="OL21" i="10"/>
  <c r="OK21" i="10"/>
  <c r="OM23" i="10"/>
  <c r="OL23" i="10"/>
  <c r="OK23" i="10"/>
  <c r="OM19" i="10"/>
  <c r="OL19" i="10"/>
  <c r="OK19" i="10"/>
  <c r="OM22" i="10"/>
  <c r="OL22" i="10"/>
  <c r="OK22" i="10"/>
  <c r="KV25" i="10"/>
  <c r="LB25" i="10" s="1"/>
  <c r="KV21" i="10"/>
  <c r="LB21" i="10" s="1"/>
  <c r="KV24" i="10"/>
  <c r="LB24" i="10" s="1"/>
  <c r="KV20" i="10"/>
  <c r="LB20" i="10"/>
  <c r="KV23" i="10"/>
  <c r="LB23" i="10"/>
  <c r="KV19" i="10"/>
  <c r="LB19" i="10" s="1"/>
  <c r="KV22" i="10"/>
  <c r="LB22" i="10" s="1"/>
  <c r="CJ22" i="10"/>
  <c r="CJ25" i="10"/>
  <c r="CJ21" i="10"/>
  <c r="CJ24" i="10"/>
  <c r="CJ20" i="10"/>
  <c r="CJ23" i="10"/>
  <c r="CJ19" i="10"/>
  <c r="CI23" i="10"/>
  <c r="CI19" i="10"/>
  <c r="CI22" i="10"/>
  <c r="CI25" i="10"/>
  <c r="CI21" i="10"/>
  <c r="CI24" i="10"/>
  <c r="CI20" i="10"/>
  <c r="PF24" i="10"/>
  <c r="PD24" i="10"/>
  <c r="OQ24" i="10"/>
  <c r="OR24" i="10"/>
  <c r="OS24" i="10"/>
  <c r="OY24" i="10" s="1"/>
  <c r="PF20" i="10"/>
  <c r="PD20" i="10"/>
  <c r="OQ20" i="10"/>
  <c r="OR20" i="10"/>
  <c r="OS20" i="10"/>
  <c r="OY20" i="10" s="1"/>
  <c r="PF23" i="10"/>
  <c r="PD23" i="10"/>
  <c r="OR23" i="10"/>
  <c r="OQ23" i="10"/>
  <c r="OS23" i="10"/>
  <c r="OY23" i="10" s="1"/>
  <c r="PF19" i="10"/>
  <c r="PD19" i="10"/>
  <c r="OQ19" i="10"/>
  <c r="OR19" i="10"/>
  <c r="OS19" i="10"/>
  <c r="OY19" i="10" s="1"/>
  <c r="PD22" i="10"/>
  <c r="PF22" i="10"/>
  <c r="OQ22" i="10"/>
  <c r="OR22" i="10"/>
  <c r="OS22" i="10"/>
  <c r="OY22" i="10" s="1"/>
  <c r="PD25" i="10"/>
  <c r="PF25" i="10"/>
  <c r="OQ25" i="10"/>
  <c r="OR25" i="10"/>
  <c r="OS25" i="10"/>
  <c r="OY25" i="10" s="1"/>
  <c r="PD21" i="10"/>
  <c r="PF21" i="10"/>
  <c r="OQ21" i="10"/>
  <c r="OR21" i="10"/>
  <c r="OS21" i="10"/>
  <c r="OY21" i="10" s="1"/>
  <c r="HH18" i="11"/>
  <c r="PH17" i="11"/>
  <c r="DB20" i="10"/>
  <c r="GR20" i="10"/>
  <c r="GX20" i="10" s="1"/>
  <c r="HI20" i="10"/>
  <c r="GS20" i="10"/>
  <c r="GY20" i="10" s="1"/>
  <c r="HJ20" i="10"/>
  <c r="DD20" i="10"/>
  <c r="GT20" i="10"/>
  <c r="GZ20" i="10" s="1"/>
  <c r="CO20" i="10"/>
  <c r="CP20" i="10"/>
  <c r="CV20" i="10" s="1"/>
  <c r="DF20" i="10"/>
  <c r="HE20" i="10"/>
  <c r="CQ20" i="10"/>
  <c r="DG20" i="10"/>
  <c r="HG20" i="10"/>
  <c r="CQ23" i="10"/>
  <c r="HG23" i="10"/>
  <c r="DB23" i="10"/>
  <c r="GR23" i="10"/>
  <c r="GX23" i="10" s="1"/>
  <c r="GS23" i="10"/>
  <c r="GY23" i="10" s="1"/>
  <c r="HI23" i="10"/>
  <c r="DD23" i="10"/>
  <c r="GT23" i="10"/>
  <c r="GZ23" i="10" s="1"/>
  <c r="HJ23" i="10"/>
  <c r="CO23" i="10"/>
  <c r="DF23" i="10"/>
  <c r="CP23" i="10"/>
  <c r="DG23" i="10"/>
  <c r="HE23" i="10"/>
  <c r="DD25" i="10"/>
  <c r="GT25" i="10"/>
  <c r="GZ25" i="10" s="1"/>
  <c r="HJ25" i="10"/>
  <c r="CO25" i="10"/>
  <c r="DF25" i="10"/>
  <c r="CP25" i="10"/>
  <c r="DG25" i="10"/>
  <c r="HE25" i="10"/>
  <c r="CQ25" i="10"/>
  <c r="HG25" i="10"/>
  <c r="DB25" i="10"/>
  <c r="GR25" i="10"/>
  <c r="GX25" i="10" s="1"/>
  <c r="GS25" i="10"/>
  <c r="GY25" i="10" s="1"/>
  <c r="HI25" i="10"/>
  <c r="DB21" i="10"/>
  <c r="GR21" i="10"/>
  <c r="GX21" i="10" s="1"/>
  <c r="HI21" i="10"/>
  <c r="GS21" i="10"/>
  <c r="GY21" i="10" s="1"/>
  <c r="HJ21" i="10"/>
  <c r="DD21" i="10"/>
  <c r="GT21" i="10"/>
  <c r="GZ21" i="10" s="1"/>
  <c r="CO21" i="10"/>
  <c r="DF21" i="10"/>
  <c r="HE21" i="10"/>
  <c r="CP21" i="10"/>
  <c r="DG21" i="10"/>
  <c r="CQ21" i="10"/>
  <c r="HG21" i="10"/>
  <c r="CP24" i="10"/>
  <c r="DF24" i="10"/>
  <c r="HE24" i="10"/>
  <c r="CQ24" i="10"/>
  <c r="DG24" i="10"/>
  <c r="HG24" i="10"/>
  <c r="DB24" i="10"/>
  <c r="GR24" i="10"/>
  <c r="GX24" i="10" s="1"/>
  <c r="HI24" i="10"/>
  <c r="GS24" i="10"/>
  <c r="GY24" i="10" s="1"/>
  <c r="HJ24" i="10"/>
  <c r="DD24" i="10"/>
  <c r="GT24" i="10"/>
  <c r="GZ24" i="10" s="1"/>
  <c r="CO24" i="10"/>
  <c r="CO19" i="10"/>
  <c r="DF19" i="10"/>
  <c r="GS19" i="10"/>
  <c r="GY19" i="10" s="1"/>
  <c r="HI19" i="10"/>
  <c r="CP19" i="10"/>
  <c r="CV19" i="10" s="1"/>
  <c r="DG19" i="10"/>
  <c r="GT19" i="10"/>
  <c r="GZ19" i="10" s="1"/>
  <c r="HJ19" i="10"/>
  <c r="CQ19" i="10"/>
  <c r="DB19" i="10"/>
  <c r="HE19" i="10"/>
  <c r="DD19" i="10"/>
  <c r="HG19" i="10"/>
  <c r="GR19" i="10"/>
  <c r="GX19" i="10" s="1"/>
  <c r="HG22" i="10"/>
  <c r="DB22" i="10"/>
  <c r="GR22" i="10"/>
  <c r="GX22" i="10" s="1"/>
  <c r="HI22" i="10"/>
  <c r="GS22" i="10"/>
  <c r="GY22" i="10" s="1"/>
  <c r="HJ22" i="10"/>
  <c r="DD22" i="10"/>
  <c r="GT22" i="10"/>
  <c r="GZ22" i="10" s="1"/>
  <c r="CO22" i="10"/>
  <c r="CP22" i="10"/>
  <c r="DF22" i="10"/>
  <c r="HE22" i="10"/>
  <c r="CQ22" i="10"/>
  <c r="DG22" i="10"/>
  <c r="A19" i="11"/>
  <c r="KU22" i="10"/>
  <c r="LA22" i="10" s="1"/>
  <c r="KT22" i="10"/>
  <c r="KZ22" i="10" s="1"/>
  <c r="KU25" i="10"/>
  <c r="LA25" i="10" s="1"/>
  <c r="KT25" i="10"/>
  <c r="KZ25" i="10" s="1"/>
  <c r="KT21" i="10"/>
  <c r="KZ21" i="10" s="1"/>
  <c r="KU21" i="10"/>
  <c r="LA21" i="10" s="1"/>
  <c r="KT24" i="10"/>
  <c r="KZ24" i="10" s="1"/>
  <c r="KU24" i="10"/>
  <c r="LA24" i="10" s="1"/>
  <c r="KU20" i="10"/>
  <c r="LA20" i="10" s="1"/>
  <c r="KT20" i="10"/>
  <c r="KZ20" i="10" s="1"/>
  <c r="KU23" i="10"/>
  <c r="LA23" i="10" s="1"/>
  <c r="KT23" i="10"/>
  <c r="KZ23" i="10" s="1"/>
  <c r="KT19" i="10"/>
  <c r="KZ19" i="10" s="1"/>
  <c r="KU19" i="10"/>
  <c r="LA19" i="10" s="1"/>
  <c r="LP21" i="12" l="1"/>
  <c r="LQ21" i="12" s="1"/>
  <c r="LP19" i="12"/>
  <c r="LQ19" i="12" s="1"/>
  <c r="KY19" i="12"/>
  <c r="LP24" i="12"/>
  <c r="LQ24" i="12" s="1"/>
  <c r="CL20" i="10"/>
  <c r="CM20" i="10" s="1"/>
  <c r="KY18" i="12"/>
  <c r="LP18" i="12"/>
  <c r="KY22" i="12"/>
  <c r="LP22" i="12"/>
  <c r="LQ22" i="12" s="1"/>
  <c r="LQ16" i="12"/>
  <c r="LS16" i="12"/>
  <c r="KY26" i="12"/>
  <c r="LP26" i="12"/>
  <c r="LQ26" i="12" s="1"/>
  <c r="KY20" i="12"/>
  <c r="LP20" i="12"/>
  <c r="LQ20" i="12" s="1"/>
  <c r="KY17" i="12"/>
  <c r="LP17" i="12"/>
  <c r="LR19" i="12"/>
  <c r="HC25" i="10"/>
  <c r="HC23" i="10"/>
  <c r="A21" i="9"/>
  <c r="A14" i="23"/>
  <c r="A14" i="22"/>
  <c r="A14" i="21"/>
  <c r="A14" i="20"/>
  <c r="KT15" i="12"/>
  <c r="KR15" i="12"/>
  <c r="KS15" i="12" s="1"/>
  <c r="OP20" i="10"/>
  <c r="LC23" i="10"/>
  <c r="LC25" i="10"/>
  <c r="LC22" i="10"/>
  <c r="OX22" i="10"/>
  <c r="ON19" i="10"/>
  <c r="OO19" i="10" s="1"/>
  <c r="OW19" i="10"/>
  <c r="PB19" i="10" s="1"/>
  <c r="OX23" i="10"/>
  <c r="OX25" i="10"/>
  <c r="OX19" i="10"/>
  <c r="ON21" i="10"/>
  <c r="OO21" i="10" s="1"/>
  <c r="OW21" i="10"/>
  <c r="PB21" i="10" s="1"/>
  <c r="OW25" i="10"/>
  <c r="OW24" i="10"/>
  <c r="PB24" i="10" s="1"/>
  <c r="OX21" i="10"/>
  <c r="OW20" i="10"/>
  <c r="PB20" i="10" s="1"/>
  <c r="OX24" i="10"/>
  <c r="OW22" i="10"/>
  <c r="PB22" i="10" s="1"/>
  <c r="OW23" i="10"/>
  <c r="OX20" i="10"/>
  <c r="OP22" i="10"/>
  <c r="OP19" i="10"/>
  <c r="HC20" i="10"/>
  <c r="ON22" i="10"/>
  <c r="OO22" i="10" s="1"/>
  <c r="ON23" i="10"/>
  <c r="OO23" i="10" s="1"/>
  <c r="OP23" i="10"/>
  <c r="OP24" i="10"/>
  <c r="CV22" i="10"/>
  <c r="ON25" i="10"/>
  <c r="OO25" i="10" s="1"/>
  <c r="ON20" i="10"/>
  <c r="OO20" i="10" s="1"/>
  <c r="ON24" i="10"/>
  <c r="OO24" i="10" s="1"/>
  <c r="OP21" i="10"/>
  <c r="OP25" i="10"/>
  <c r="CV24" i="10"/>
  <c r="LC19" i="10"/>
  <c r="LC21" i="10"/>
  <c r="LC24" i="10"/>
  <c r="LC20" i="10"/>
  <c r="LE22" i="10"/>
  <c r="LE19" i="10"/>
  <c r="LE23" i="10"/>
  <c r="LE20" i="10"/>
  <c r="LE24" i="10"/>
  <c r="LE21" i="10"/>
  <c r="LE25" i="10"/>
  <c r="HA20" i="10"/>
  <c r="HB20" i="10" s="1"/>
  <c r="HA22" i="10"/>
  <c r="HB22" i="10" s="1"/>
  <c r="HA19" i="10"/>
  <c r="HB19" i="10" s="1"/>
  <c r="HC24" i="10"/>
  <c r="HA24" i="10"/>
  <c r="HB24" i="10" s="1"/>
  <c r="HA23" i="10"/>
  <c r="HB23" i="10" s="1"/>
  <c r="HC21" i="10"/>
  <c r="HC22" i="10"/>
  <c r="HC19" i="10"/>
  <c r="HA21" i="10"/>
  <c r="HA25" i="10"/>
  <c r="CL24" i="10"/>
  <c r="CM24" i="10" s="1"/>
  <c r="CL19" i="10"/>
  <c r="CM19" i="10" s="1"/>
  <c r="CL22" i="10"/>
  <c r="CM22" i="10" s="1"/>
  <c r="CV21" i="10"/>
  <c r="CV23" i="10"/>
  <c r="CU21" i="10"/>
  <c r="CU23" i="10"/>
  <c r="CU22" i="10"/>
  <c r="CZ22" i="10" s="1"/>
  <c r="CL25" i="10"/>
  <c r="CM25" i="10" s="1"/>
  <c r="CV25" i="10"/>
  <c r="CU20" i="10"/>
  <c r="CX20" i="10" s="1"/>
  <c r="CY20" i="10" s="1"/>
  <c r="CL21" i="10"/>
  <c r="CM21" i="10" s="1"/>
  <c r="CL23" i="10"/>
  <c r="CM23" i="10" s="1"/>
  <c r="CU24" i="10"/>
  <c r="CU25" i="10"/>
  <c r="CU19" i="10"/>
  <c r="CX19" i="10" s="1"/>
  <c r="CY19" i="10" s="1"/>
  <c r="CN23" i="10"/>
  <c r="CN21" i="10"/>
  <c r="CN24" i="10"/>
  <c r="CN19" i="10"/>
  <c r="CN25" i="10"/>
  <c r="CN22" i="10"/>
  <c r="CN20" i="10"/>
  <c r="HK25" i="10"/>
  <c r="HL25" i="10" s="1"/>
  <c r="DH19" i="10"/>
  <c r="DI19" i="10" s="1"/>
  <c r="OV19" i="10"/>
  <c r="OV20" i="10"/>
  <c r="OV23" i="10"/>
  <c r="OV25" i="10"/>
  <c r="OV22" i="10"/>
  <c r="OV24" i="10"/>
  <c r="OV21" i="10"/>
  <c r="OT21" i="10"/>
  <c r="OU21" i="10" s="1"/>
  <c r="OT24" i="10"/>
  <c r="OU24" i="10" s="1"/>
  <c r="OT19" i="10"/>
  <c r="OT20" i="10"/>
  <c r="OT25" i="10"/>
  <c r="OT22" i="10"/>
  <c r="OT23" i="10"/>
  <c r="PH22" i="10"/>
  <c r="HH19" i="11"/>
  <c r="PH18" i="11"/>
  <c r="DH24" i="10"/>
  <c r="DI24" i="10" s="1"/>
  <c r="KY20" i="10"/>
  <c r="CT19" i="10"/>
  <c r="GW20" i="10"/>
  <c r="GW25" i="10"/>
  <c r="DH20" i="10"/>
  <c r="DI20" i="10" s="1"/>
  <c r="HK19" i="10"/>
  <c r="HL19" i="10" s="1"/>
  <c r="HK24" i="10"/>
  <c r="HL24" i="10" s="1"/>
  <c r="GW21" i="10"/>
  <c r="KY25" i="10"/>
  <c r="KY22" i="10"/>
  <c r="PI25" i="10"/>
  <c r="GW23" i="10"/>
  <c r="GU19" i="10"/>
  <c r="GV19" i="10" s="1"/>
  <c r="GU21" i="10"/>
  <c r="GW24" i="10"/>
  <c r="CR24" i="10"/>
  <c r="CS24" i="10" s="1"/>
  <c r="CT23" i="10"/>
  <c r="DH23" i="10"/>
  <c r="DI23" i="10" s="1"/>
  <c r="DH25" i="10"/>
  <c r="DI25" i="10" s="1"/>
  <c r="CT25" i="10"/>
  <c r="HK22" i="10"/>
  <c r="HL22" i="10" s="1"/>
  <c r="CT21" i="10"/>
  <c r="HK20" i="10"/>
  <c r="HL20" i="10" s="1"/>
  <c r="DH22" i="10"/>
  <c r="DI22" i="10" s="1"/>
  <c r="HK21" i="10"/>
  <c r="HL21" i="10" s="1"/>
  <c r="CT22" i="10"/>
  <c r="CT20" i="10"/>
  <c r="GW19" i="10"/>
  <c r="GW22" i="10"/>
  <c r="PH20" i="10"/>
  <c r="DF20" i="12" s="1"/>
  <c r="KY24" i="10"/>
  <c r="KY21" i="10"/>
  <c r="PH21" i="10"/>
  <c r="DH21" i="10"/>
  <c r="DI21" i="10" s="1"/>
  <c r="KY19" i="10"/>
  <c r="KY23" i="10"/>
  <c r="CT24" i="10"/>
  <c r="HK23" i="10"/>
  <c r="HL23" i="10" s="1"/>
  <c r="GU25" i="10"/>
  <c r="PI23" i="10"/>
  <c r="PI24" i="10"/>
  <c r="CR23" i="10"/>
  <c r="CS23" i="10" s="1"/>
  <c r="GU24" i="10"/>
  <c r="GV24" i="10" s="1"/>
  <c r="A20" i="11"/>
  <c r="PI19" i="10"/>
  <c r="DG19" i="12" s="1"/>
  <c r="LM19" i="12" s="1"/>
  <c r="CR21" i="10"/>
  <c r="PH23" i="10"/>
  <c r="PH25" i="10"/>
  <c r="CR20" i="10"/>
  <c r="PI22" i="10"/>
  <c r="PH24" i="10"/>
  <c r="CR25" i="10"/>
  <c r="GU23" i="10"/>
  <c r="PI20" i="10"/>
  <c r="DG20" i="12" s="1"/>
  <c r="LM20" i="12" s="1"/>
  <c r="GU20" i="10"/>
  <c r="CR22" i="10"/>
  <c r="GU22" i="10"/>
  <c r="PH19" i="10"/>
  <c r="DF19" i="12" s="1"/>
  <c r="PI21" i="10"/>
  <c r="DG21" i="12" s="1"/>
  <c r="LM21" i="12" s="1"/>
  <c r="CR19" i="10"/>
  <c r="KW20" i="10"/>
  <c r="KX20" i="10" s="1"/>
  <c r="KW25" i="10"/>
  <c r="KX25" i="10" s="1"/>
  <c r="KW23" i="10"/>
  <c r="KW19" i="10"/>
  <c r="KW21" i="10"/>
  <c r="KW24" i="10"/>
  <c r="KW22" i="10"/>
  <c r="DG24" i="12" l="1"/>
  <c r="LM24" i="12" s="1"/>
  <c r="DG23" i="12"/>
  <c r="LM23" i="12" s="1"/>
  <c r="DF23" i="12"/>
  <c r="DF22" i="12"/>
  <c r="LS19" i="12"/>
  <c r="DF24" i="12"/>
  <c r="DG25" i="12"/>
  <c r="LM25" i="12" s="1"/>
  <c r="DG22" i="12"/>
  <c r="LM22" i="12" s="1"/>
  <c r="LQ18" i="12"/>
  <c r="LS18" i="12"/>
  <c r="LQ17" i="12"/>
  <c r="LS17" i="12"/>
  <c r="DH19" i="12"/>
  <c r="DI19" i="12" s="1"/>
  <c r="LL19" i="12"/>
  <c r="LN19" i="12" s="1"/>
  <c r="LO19" i="12" s="1"/>
  <c r="DH20" i="12"/>
  <c r="DI20" i="12" s="1"/>
  <c r="LL20" i="12"/>
  <c r="LN20" i="12" s="1"/>
  <c r="LO20" i="12" s="1"/>
  <c r="DH24" i="12"/>
  <c r="DI24" i="12" s="1"/>
  <c r="LL24" i="12"/>
  <c r="LN24" i="12" s="1"/>
  <c r="LO24" i="12" s="1"/>
  <c r="DF25" i="12"/>
  <c r="DF21" i="12"/>
  <c r="CX21" i="10"/>
  <c r="CY21" i="10" s="1"/>
  <c r="OZ23" i="10"/>
  <c r="PA23" i="10" s="1"/>
  <c r="DH23" i="12"/>
  <c r="DI23" i="12" s="1"/>
  <c r="LL23" i="12"/>
  <c r="LN23" i="12" s="1"/>
  <c r="LO23" i="12" s="1"/>
  <c r="DH22" i="12"/>
  <c r="DI22" i="12" s="1"/>
  <c r="LL22" i="12"/>
  <c r="LN22" i="12" s="1"/>
  <c r="LO22" i="12" s="1"/>
  <c r="LR20" i="12"/>
  <c r="LS20" i="12"/>
  <c r="CX23" i="10"/>
  <c r="CY23" i="10" s="1"/>
  <c r="CZ23" i="10"/>
  <c r="A22" i="9"/>
  <c r="A15" i="23"/>
  <c r="A15" i="22"/>
  <c r="A15" i="20"/>
  <c r="A15" i="21"/>
  <c r="LD19" i="10"/>
  <c r="OZ25" i="10"/>
  <c r="PA25" i="10" s="1"/>
  <c r="LD25" i="10"/>
  <c r="LD22" i="10"/>
  <c r="LD21" i="10"/>
  <c r="LD23" i="10"/>
  <c r="LD20" i="10"/>
  <c r="LD24" i="10"/>
  <c r="PB23" i="10"/>
  <c r="PB25" i="10"/>
  <c r="CX24" i="10"/>
  <c r="CY24" i="10" s="1"/>
  <c r="OZ22" i="10"/>
  <c r="PA22" i="10" s="1"/>
  <c r="OZ24" i="10"/>
  <c r="PA24" i="10" s="1"/>
  <c r="OZ21" i="10"/>
  <c r="OZ19" i="10"/>
  <c r="OZ20" i="10"/>
  <c r="HB25" i="10"/>
  <c r="HB21" i="10"/>
  <c r="CZ21" i="10"/>
  <c r="CX25" i="10"/>
  <c r="CY25" i="10" s="1"/>
  <c r="CX22" i="10"/>
  <c r="CY22" i="10" s="1"/>
  <c r="CZ25" i="10"/>
  <c r="CZ24" i="10"/>
  <c r="CZ20" i="10"/>
  <c r="CZ19" i="10"/>
  <c r="OU25" i="10"/>
  <c r="OU23" i="10"/>
  <c r="OU22" i="10"/>
  <c r="OU20" i="10"/>
  <c r="OU19" i="10"/>
  <c r="HH20" i="11"/>
  <c r="PJ22" i="10"/>
  <c r="PK22" i="10" s="1"/>
  <c r="PJ23" i="10"/>
  <c r="PK23" i="10" s="1"/>
  <c r="PJ19" i="10"/>
  <c r="PK19" i="10" s="1"/>
  <c r="PJ24" i="10"/>
  <c r="PK24" i="10" s="1"/>
  <c r="PH19" i="11"/>
  <c r="PJ25" i="10"/>
  <c r="PK25" i="10" s="1"/>
  <c r="GV25" i="10"/>
  <c r="GV21" i="10"/>
  <c r="PJ21" i="10"/>
  <c r="PK21" i="10" s="1"/>
  <c r="PJ20" i="10"/>
  <c r="PK20" i="10" s="1"/>
  <c r="CS19" i="10"/>
  <c r="A21" i="11"/>
  <c r="CS20" i="10"/>
  <c r="GV20" i="10"/>
  <c r="CS21" i="10"/>
  <c r="GV22" i="10"/>
  <c r="GV23" i="10"/>
  <c r="CS25" i="10"/>
  <c r="CS22" i="10"/>
  <c r="KX23" i="10"/>
  <c r="KX22" i="10"/>
  <c r="KX24" i="10"/>
  <c r="KX21" i="10"/>
  <c r="KX19" i="10"/>
  <c r="DH25" i="12" l="1"/>
  <c r="DI25" i="12" s="1"/>
  <c r="LL25" i="12"/>
  <c r="LN25" i="12" s="1"/>
  <c r="LO25" i="12" s="1"/>
  <c r="DH21" i="12"/>
  <c r="DI21" i="12" s="1"/>
  <c r="LL21" i="12"/>
  <c r="LN21" i="12" s="1"/>
  <c r="LO21" i="12" s="1"/>
  <c r="LR21" i="12"/>
  <c r="LS21" i="12"/>
  <c r="A23" i="9"/>
  <c r="A16" i="21"/>
  <c r="A16" i="22"/>
  <c r="A16" i="20"/>
  <c r="A16" i="23"/>
  <c r="PA20" i="10"/>
  <c r="PA19" i="10"/>
  <c r="PA21" i="10"/>
  <c r="HH21" i="11"/>
  <c r="PH20" i="11"/>
  <c r="A22" i="11"/>
  <c r="LR22" i="12" l="1"/>
  <c r="LS22" i="12"/>
  <c r="A24" i="9"/>
  <c r="A17" i="23"/>
  <c r="A17" i="20"/>
  <c r="A17" i="22"/>
  <c r="A17" i="21"/>
  <c r="HH22" i="11"/>
  <c r="PH21" i="11"/>
  <c r="A23" i="11"/>
  <c r="C15" i="12"/>
  <c r="D15" i="12"/>
  <c r="E15" i="12"/>
  <c r="F15" i="12"/>
  <c r="LR23" i="12" l="1"/>
  <c r="LS23" i="12"/>
  <c r="A25" i="9"/>
  <c r="A18" i="22"/>
  <c r="A18" i="21"/>
  <c r="A18" i="23"/>
  <c r="A18" i="20"/>
  <c r="CU15" i="12"/>
  <c r="HH23" i="11"/>
  <c r="PH22" i="11"/>
  <c r="HJ15" i="12"/>
  <c r="A24" i="11"/>
  <c r="LR24" i="12" l="1"/>
  <c r="LS24" i="12"/>
  <c r="A26" i="9"/>
  <c r="A19" i="21"/>
  <c r="A19" i="23"/>
  <c r="A19" i="22"/>
  <c r="A19" i="20"/>
  <c r="HH24" i="11"/>
  <c r="PH23" i="11"/>
  <c r="A25" i="11"/>
  <c r="LJ15" i="12"/>
  <c r="DF15" i="12"/>
  <c r="HZ15" i="12"/>
  <c r="HI15" i="12"/>
  <c r="HK15" i="12" s="1"/>
  <c r="DD15" i="12"/>
  <c r="HX15" i="12"/>
  <c r="GT15" i="12"/>
  <c r="GZ15" i="12" s="1"/>
  <c r="GS15" i="12"/>
  <c r="GY15" i="12" s="1"/>
  <c r="DB15" i="12"/>
  <c r="HG15" i="12"/>
  <c r="GR15" i="12"/>
  <c r="GX15" i="12" s="1"/>
  <c r="IA15" i="12"/>
  <c r="HE15" i="12"/>
  <c r="DG15" i="12"/>
  <c r="LM15" i="12" s="1"/>
  <c r="CQ15" i="12"/>
  <c r="CW15" i="12" s="1"/>
  <c r="CZ15" i="12" s="1"/>
  <c r="A15" i="12"/>
  <c r="HH15" i="12" s="1"/>
  <c r="LR25" i="12" l="1"/>
  <c r="LS25" i="12"/>
  <c r="HA15" i="12"/>
  <c r="A27" i="9"/>
  <c r="A20" i="22"/>
  <c r="A20" i="23"/>
  <c r="A20" i="21"/>
  <c r="A20" i="20"/>
  <c r="HC15" i="12"/>
  <c r="HH25" i="11"/>
  <c r="PH24" i="11"/>
  <c r="DH15" i="12"/>
  <c r="DI15" i="12" s="1"/>
  <c r="LL15" i="12"/>
  <c r="LN15" i="12" s="1"/>
  <c r="LO15" i="12" s="1"/>
  <c r="CT15" i="12"/>
  <c r="GW15" i="12"/>
  <c r="GU15" i="12"/>
  <c r="HL15" i="12"/>
  <c r="JD15" i="12"/>
  <c r="JT15" i="12" s="1"/>
  <c r="IN15" i="12"/>
  <c r="DE15" i="12"/>
  <c r="LK15" i="12" s="1"/>
  <c r="IM15" i="12"/>
  <c r="JC15" i="12"/>
  <c r="JF15" i="12"/>
  <c r="JV15" i="12" s="1"/>
  <c r="IP15" i="12"/>
  <c r="JH15" i="12"/>
  <c r="JX15" i="12" s="1"/>
  <c r="IR15" i="12"/>
  <c r="JG15" i="12"/>
  <c r="IQ15" i="12"/>
  <c r="A26" i="11"/>
  <c r="A16" i="12"/>
  <c r="HD15" i="12" l="1"/>
  <c r="HD20" i="12"/>
  <c r="HD24" i="12"/>
  <c r="HD27" i="12"/>
  <c r="HD18" i="12"/>
  <c r="HD17" i="12"/>
  <c r="HD16" i="12"/>
  <c r="HD22" i="12"/>
  <c r="HD25" i="12"/>
  <c r="HD23" i="12"/>
  <c r="HD21" i="12"/>
  <c r="HD26" i="12"/>
  <c r="HD19" i="12"/>
  <c r="LR26" i="12"/>
  <c r="LS26" i="12"/>
  <c r="HH16" i="12"/>
  <c r="HB15" i="12"/>
  <c r="A28" i="9"/>
  <c r="A21" i="22"/>
  <c r="A21" i="21"/>
  <c r="A21" i="20"/>
  <c r="A21" i="23"/>
  <c r="LA15" i="12"/>
  <c r="JS15" i="12"/>
  <c r="KU15" i="12"/>
  <c r="HH26" i="11"/>
  <c r="GV15" i="12"/>
  <c r="A27" i="11"/>
  <c r="PH25" i="11"/>
  <c r="KM15" i="12"/>
  <c r="KI15" i="12"/>
  <c r="JW15" i="12"/>
  <c r="KL15" i="12"/>
  <c r="KH15" i="12"/>
  <c r="KN15" i="12"/>
  <c r="KJ15" i="12"/>
  <c r="A17" i="12"/>
  <c r="LR27" i="12" l="1"/>
  <c r="LS27" i="12"/>
  <c r="HH17" i="12"/>
  <c r="LB15" i="12"/>
  <c r="LD15" i="12" s="1"/>
  <c r="LC15" i="12"/>
  <c r="LF15" i="12" s="1"/>
  <c r="A29" i="9"/>
  <c r="A22" i="23"/>
  <c r="A22" i="21"/>
  <c r="A22" i="20"/>
  <c r="A22" i="22"/>
  <c r="HH27" i="11"/>
  <c r="PH26" i="11"/>
  <c r="KV15" i="12"/>
  <c r="KX15" i="12" s="1"/>
  <c r="KW15" i="12"/>
  <c r="KZ15" i="12" s="1"/>
  <c r="A18" i="12"/>
  <c r="C15" i="10"/>
  <c r="F15" i="10"/>
  <c r="LG27" i="12" l="1"/>
  <c r="LG26" i="12"/>
  <c r="LG17" i="12"/>
  <c r="LG23" i="12"/>
  <c r="LG22" i="12"/>
  <c r="LG18" i="12"/>
  <c r="LG19" i="12"/>
  <c r="LG16" i="12"/>
  <c r="LG25" i="12"/>
  <c r="LG21" i="12"/>
  <c r="LG24" i="12"/>
  <c r="LG20" i="12"/>
  <c r="HH18" i="12"/>
  <c r="CV15" i="10"/>
  <c r="GZ15" i="10"/>
  <c r="CW15" i="10"/>
  <c r="CU15" i="10"/>
  <c r="LG15" i="12"/>
  <c r="LE15" i="12"/>
  <c r="A30" i="9"/>
  <c r="A23" i="23"/>
  <c r="A23" i="22"/>
  <c r="A23" i="20"/>
  <c r="A23" i="21"/>
  <c r="OW15" i="10"/>
  <c r="OY15" i="10"/>
  <c r="OX15" i="10"/>
  <c r="LA15" i="10"/>
  <c r="KZ15" i="10"/>
  <c r="LB15" i="10"/>
  <c r="GX15" i="10"/>
  <c r="GY15" i="10"/>
  <c r="CJ15" i="10"/>
  <c r="CL15" i="10" s="1"/>
  <c r="CM15" i="10" s="1"/>
  <c r="CN15" i="10"/>
  <c r="LP15" i="12"/>
  <c r="PH27" i="11"/>
  <c r="A19" i="12"/>
  <c r="KY15" i="12"/>
  <c r="HH19" i="12" l="1"/>
  <c r="A31" i="9"/>
  <c r="A24" i="21"/>
  <c r="A24" i="22"/>
  <c r="A24" i="23"/>
  <c r="A24" i="20"/>
  <c r="OZ15" i="10"/>
  <c r="LS15" i="12"/>
  <c r="PB15" i="10"/>
  <c r="PC23" i="10"/>
  <c r="LE15" i="10"/>
  <c r="LC15" i="10"/>
  <c r="CX15" i="10"/>
  <c r="HC15" i="10"/>
  <c r="HA15" i="10"/>
  <c r="CZ15" i="10"/>
  <c r="LQ15" i="12"/>
  <c r="A20" i="12"/>
  <c r="HL15" i="10"/>
  <c r="BP15" i="12"/>
  <c r="CP15" i="12" s="1"/>
  <c r="DA27" i="10" l="1"/>
  <c r="DA26" i="10"/>
  <c r="PC15" i="10"/>
  <c r="PC26" i="10"/>
  <c r="PC27" i="10"/>
  <c r="HD27" i="10"/>
  <c r="HD26" i="10"/>
  <c r="LF27" i="10"/>
  <c r="LF26" i="10"/>
  <c r="PC25" i="10"/>
  <c r="PC24" i="10"/>
  <c r="PC16" i="10"/>
  <c r="PC17" i="10"/>
  <c r="PC20" i="10"/>
  <c r="PC21" i="10"/>
  <c r="PC22" i="10"/>
  <c r="PC18" i="10"/>
  <c r="PC19" i="10"/>
  <c r="HD17" i="10"/>
  <c r="HH20" i="12"/>
  <c r="LF17" i="10"/>
  <c r="LF16" i="10"/>
  <c r="LF18" i="10"/>
  <c r="LF25" i="10"/>
  <c r="LF19" i="10"/>
  <c r="LF22" i="10"/>
  <c r="LF21" i="10"/>
  <c r="LF23" i="10"/>
  <c r="LF20" i="10"/>
  <c r="LF24" i="10"/>
  <c r="A32" i="9"/>
  <c r="A25" i="23"/>
  <c r="A25" i="20"/>
  <c r="A25" i="21"/>
  <c r="A25" i="22"/>
  <c r="PA15" i="10"/>
  <c r="LD15" i="10"/>
  <c r="LF15" i="10"/>
  <c r="CR15" i="12"/>
  <c r="CS15" i="12" s="1"/>
  <c r="CV15" i="12"/>
  <c r="CX15" i="12" s="1"/>
  <c r="CY15" i="10"/>
  <c r="DA19" i="10"/>
  <c r="DA23" i="10"/>
  <c r="DA18" i="10"/>
  <c r="DA15" i="10"/>
  <c r="DA16" i="10"/>
  <c r="DA20" i="10"/>
  <c r="DA24" i="10"/>
  <c r="DA17" i="10"/>
  <c r="DA21" i="10"/>
  <c r="DA25" i="10"/>
  <c r="DA22" i="10"/>
  <c r="HD23" i="10"/>
  <c r="HD15" i="10"/>
  <c r="HD18" i="10"/>
  <c r="HD21" i="10"/>
  <c r="HD24" i="10"/>
  <c r="HD16" i="10"/>
  <c r="HB15" i="10"/>
  <c r="HD25" i="10"/>
  <c r="HD20" i="10"/>
  <c r="HD22" i="10"/>
  <c r="HD19" i="10"/>
  <c r="A21" i="12"/>
  <c r="DA26" i="12" l="1"/>
  <c r="DA27" i="12"/>
  <c r="DA15" i="12"/>
  <c r="DA25" i="12"/>
  <c r="DA18" i="12"/>
  <c r="DA19" i="12"/>
  <c r="DA16" i="12"/>
  <c r="DA22" i="12"/>
  <c r="DA23" i="12"/>
  <c r="DA21" i="12"/>
  <c r="DA24" i="12"/>
  <c r="DA20" i="12"/>
  <c r="DA17" i="12"/>
  <c r="HH21" i="12"/>
  <c r="A33" i="9"/>
  <c r="A26" i="22"/>
  <c r="A26" i="21"/>
  <c r="A26" i="23"/>
  <c r="A26" i="20"/>
  <c r="CY15" i="12"/>
  <c r="A22" i="12"/>
  <c r="A16" i="10"/>
  <c r="HH22" i="12" l="1"/>
  <c r="A34" i="9"/>
  <c r="A27" i="22"/>
  <c r="A27" i="23"/>
  <c r="A27" i="21"/>
  <c r="A27" i="20"/>
  <c r="HH16" i="10"/>
  <c r="DE16" i="10"/>
  <c r="A23" i="12"/>
  <c r="A17" i="10"/>
  <c r="HH23" i="12" l="1"/>
  <c r="A35" i="9"/>
  <c r="A28" i="23"/>
  <c r="A28" i="21"/>
  <c r="A28" i="22"/>
  <c r="A28" i="20"/>
  <c r="A24" i="12"/>
  <c r="HH17" i="10"/>
  <c r="DE17" i="10"/>
  <c r="PG16" i="10"/>
  <c r="DE16" i="12" s="1"/>
  <c r="LK16" i="12" s="1"/>
  <c r="A18" i="10"/>
  <c r="HH24" i="12" l="1"/>
  <c r="A36" i="9"/>
  <c r="A29" i="22"/>
  <c r="A29" i="23"/>
  <c r="A29" i="21"/>
  <c r="A29" i="20"/>
  <c r="PG17" i="10"/>
  <c r="DE17" i="12" s="1"/>
  <c r="LK17" i="12" s="1"/>
  <c r="HH18" i="10"/>
  <c r="DE18" i="10"/>
  <c r="A25" i="12"/>
  <c r="A19" i="10"/>
  <c r="HH25" i="12" l="1"/>
  <c r="A37" i="9"/>
  <c r="A30" i="23"/>
  <c r="A30" i="21"/>
  <c r="A30" i="22"/>
  <c r="A30" i="20"/>
  <c r="PG18" i="10"/>
  <c r="DE18" i="12" s="1"/>
  <c r="LK18" i="12" s="1"/>
  <c r="A26" i="12"/>
  <c r="DE19" i="10"/>
  <c r="HH19" i="10"/>
  <c r="A20" i="10"/>
  <c r="DE26" i="12" l="1"/>
  <c r="HH26" i="12"/>
  <c r="A38" i="9"/>
  <c r="A31" i="23"/>
  <c r="A31" i="22"/>
  <c r="A31" i="21"/>
  <c r="A31" i="20"/>
  <c r="A27" i="12"/>
  <c r="PG19" i="10"/>
  <c r="DE19" i="12" s="1"/>
  <c r="LK19" i="12" s="1"/>
  <c r="HH20" i="10"/>
  <c r="DE20" i="10"/>
  <c r="A21" i="10"/>
  <c r="LK26" i="12" l="1"/>
  <c r="HH27" i="12"/>
  <c r="DE27" i="12"/>
  <c r="LK27" i="12" s="1"/>
  <c r="LI27" i="12"/>
  <c r="DC25" i="12"/>
  <c r="DC26" i="12"/>
  <c r="DC27" i="12"/>
  <c r="HF25" i="12"/>
  <c r="DC24" i="12"/>
  <c r="LI25" i="12"/>
  <c r="DC18" i="12"/>
  <c r="LI19" i="12"/>
  <c r="HF27" i="12"/>
  <c r="HF21" i="12"/>
  <c r="DC19" i="12"/>
  <c r="LI24" i="12"/>
  <c r="LI21" i="12"/>
  <c r="DC17" i="12"/>
  <c r="HF22" i="12"/>
  <c r="HF23" i="12"/>
  <c r="DC20" i="12"/>
  <c r="LI18" i="12"/>
  <c r="HF19" i="12"/>
  <c r="HF17" i="12"/>
  <c r="LI17" i="12"/>
  <c r="DC16" i="12"/>
  <c r="DC21" i="12"/>
  <c r="LI23" i="12"/>
  <c r="HF24" i="12"/>
  <c r="LI22" i="12"/>
  <c r="HF18" i="12"/>
  <c r="LI16" i="12"/>
  <c r="LI26" i="12"/>
  <c r="HF20" i="12"/>
  <c r="HF26" i="12"/>
  <c r="LI20" i="12"/>
  <c r="DC22" i="12"/>
  <c r="DC23" i="12"/>
  <c r="HF16" i="12"/>
  <c r="A39" i="9"/>
  <c r="A32" i="22"/>
  <c r="A32" i="21"/>
  <c r="A32" i="23"/>
  <c r="A32" i="20"/>
  <c r="PG20" i="10"/>
  <c r="DE20" i="12" s="1"/>
  <c r="LK20" i="12" s="1"/>
  <c r="HH21" i="10"/>
  <c r="DE21" i="10"/>
  <c r="A22" i="10"/>
  <c r="A40" i="9" l="1"/>
  <c r="A33" i="23"/>
  <c r="A33" i="22"/>
  <c r="A33" i="20"/>
  <c r="A33" i="21"/>
  <c r="PG21" i="10"/>
  <c r="DE21" i="12" s="1"/>
  <c r="LK21" i="12" s="1"/>
  <c r="HH22" i="10"/>
  <c r="DE22" i="10"/>
  <c r="A23" i="10"/>
  <c r="A41" i="9" l="1"/>
  <c r="A34" i="21"/>
  <c r="A34" i="23"/>
  <c r="A34" i="20"/>
  <c r="A34" i="22"/>
  <c r="A24" i="10"/>
  <c r="HH23" i="10"/>
  <c r="DE23" i="10"/>
  <c r="PG22" i="10"/>
  <c r="DE22" i="12" s="1"/>
  <c r="LK22" i="12" s="1"/>
  <c r="A42" i="9" l="1"/>
  <c r="A35" i="22"/>
  <c r="A35" i="21"/>
  <c r="A35" i="20"/>
  <c r="A35" i="23"/>
  <c r="PG23" i="10"/>
  <c r="DE23" i="12" s="1"/>
  <c r="LK23" i="12" s="1"/>
  <c r="A25" i="10"/>
  <c r="HH24" i="10"/>
  <c r="DE24" i="10"/>
  <c r="HF27" i="10" l="1"/>
  <c r="PE26" i="10"/>
  <c r="HF26" i="10"/>
  <c r="DC27" i="10"/>
  <c r="DC26" i="10"/>
  <c r="PE27" i="10"/>
  <c r="A26" i="10"/>
  <c r="A43" i="9"/>
  <c r="A36" i="23"/>
  <c r="A36" i="21"/>
  <c r="A36" i="22"/>
  <c r="A36" i="20"/>
  <c r="PG24" i="10"/>
  <c r="DE24" i="12" s="1"/>
  <c r="LK24" i="12" s="1"/>
  <c r="DE25" i="10"/>
  <c r="HH25" i="10"/>
  <c r="A27" i="10" l="1"/>
  <c r="DE26" i="10"/>
  <c r="PG26" i="10" s="1"/>
  <c r="HH26" i="10"/>
  <c r="A44" i="9"/>
  <c r="A37" i="23"/>
  <c r="A37" i="22"/>
  <c r="A37" i="21"/>
  <c r="A37" i="20"/>
  <c r="PG25" i="10"/>
  <c r="DE25" i="12" s="1"/>
  <c r="LK25" i="12" s="1"/>
  <c r="DE27" i="10" l="1"/>
  <c r="HH27" i="10"/>
  <c r="A45" i="9"/>
  <c r="A38" i="23"/>
  <c r="A38" i="22"/>
  <c r="A38" i="21"/>
  <c r="A38" i="20"/>
  <c r="PG27" i="10" l="1"/>
  <c r="A46" i="9"/>
  <c r="A39" i="23"/>
  <c r="A39" i="22"/>
  <c r="A39" i="20"/>
  <c r="A39" i="21"/>
  <c r="A47" i="9" l="1"/>
  <c r="A40" i="22"/>
  <c r="A40" i="21"/>
  <c r="A40" i="23"/>
  <c r="A40" i="20"/>
  <c r="A48" i="9" l="1"/>
  <c r="A41" i="23"/>
  <c r="A41" i="22"/>
  <c r="A41" i="20"/>
  <c r="A41" i="21"/>
  <c r="A49" i="9" l="1"/>
  <c r="A42" i="21"/>
  <c r="A42" i="23"/>
  <c r="A42" i="22"/>
  <c r="A42" i="20"/>
  <c r="A50" i="9" l="1"/>
  <c r="A43" i="22"/>
  <c r="A43" i="21"/>
  <c r="A43" i="23"/>
  <c r="A43" i="20"/>
  <c r="A51" i="9" l="1"/>
  <c r="A44" i="23"/>
  <c r="A44" i="22"/>
  <c r="A44" i="21"/>
  <c r="A44" i="20"/>
  <c r="A52" i="9" l="1"/>
  <c r="A45" i="22"/>
  <c r="A45" i="21"/>
  <c r="A45" i="20"/>
  <c r="A45" i="23"/>
  <c r="A53" i="9" l="1"/>
  <c r="A46" i="23"/>
  <c r="A46" i="22"/>
  <c r="A46" i="21"/>
  <c r="A46" i="20"/>
  <c r="A54" i="9" l="1"/>
  <c r="A47" i="23"/>
  <c r="A47" i="22"/>
  <c r="A47" i="20"/>
  <c r="A47" i="21"/>
  <c r="A55" i="9" l="1"/>
  <c r="A48" i="21"/>
  <c r="A48" i="20"/>
  <c r="A48" i="22"/>
  <c r="A48" i="23"/>
  <c r="A56" i="9" l="1"/>
  <c r="A49" i="20"/>
  <c r="A49" i="23"/>
  <c r="A49" i="22"/>
  <c r="A49" i="21"/>
  <c r="A57" i="9" l="1"/>
  <c r="A50" i="22"/>
  <c r="A50" i="21"/>
  <c r="A50" i="23"/>
  <c r="A50" i="20"/>
  <c r="A58" i="9" l="1"/>
  <c r="A51" i="20"/>
  <c r="A51" i="21"/>
  <c r="A51" i="23"/>
  <c r="A51" i="22"/>
  <c r="A59" i="9" l="1"/>
  <c r="A52" i="22"/>
  <c r="A52" i="23"/>
  <c r="A52" i="21"/>
  <c r="A52" i="20"/>
  <c r="A53" i="20" l="1"/>
  <c r="A53" i="22"/>
  <c r="A53" i="21"/>
  <c r="A53" i="23"/>
  <c r="PF15" i="11" l="1"/>
  <c r="DC17" i="11"/>
  <c r="HF15" i="11" l="1"/>
  <c r="LI26" i="11"/>
  <c r="PF20" i="11"/>
  <c r="PF26" i="11"/>
  <c r="PF17" i="11"/>
  <c r="LI21" i="11"/>
  <c r="LI19" i="11"/>
  <c r="PF22" i="11"/>
  <c r="DC16" i="11"/>
  <c r="PF24" i="11"/>
  <c r="HF18" i="11"/>
  <c r="LI23" i="11"/>
  <c r="DC15" i="11"/>
  <c r="HF23" i="11"/>
  <c r="PF23" i="11"/>
  <c r="HF17" i="11"/>
  <c r="LI17" i="11"/>
  <c r="PF21" i="11"/>
  <c r="HF22" i="11"/>
  <c r="LI16" i="11"/>
  <c r="LI18" i="11"/>
  <c r="HF26" i="11"/>
  <c r="LI15" i="11"/>
  <c r="HF21" i="11"/>
  <c r="DC23" i="11"/>
  <c r="DC18" i="11"/>
  <c r="HF16" i="11"/>
  <c r="DC22" i="11"/>
  <c r="DC19" i="11"/>
  <c r="DC27" i="11"/>
  <c r="DC20" i="11"/>
  <c r="PF18" i="11"/>
  <c r="DC24" i="11"/>
  <c r="PF25" i="11"/>
  <c r="PF27" i="11"/>
  <c r="PF19" i="11"/>
  <c r="DC26" i="11"/>
  <c r="LI24" i="11"/>
  <c r="LI25" i="11"/>
  <c r="HF27" i="11"/>
  <c r="HF25" i="11"/>
  <c r="LI27" i="11"/>
  <c r="DC25" i="11"/>
  <c r="HF24" i="11"/>
  <c r="DC21" i="11"/>
  <c r="PF16" i="11"/>
  <c r="LI20" i="11"/>
  <c r="HF20" i="11"/>
  <c r="HF19" i="11"/>
  <c r="LI22" i="11"/>
  <c r="LI15" i="12" l="1"/>
  <c r="HF15" i="12" l="1"/>
  <c r="DC15" i="12"/>
  <c r="HF15" i="10" l="1"/>
  <c r="HF19" i="10"/>
  <c r="PE17" i="10"/>
  <c r="HF21" i="10"/>
  <c r="PE24" i="10"/>
  <c r="HF24" i="10"/>
  <c r="PE19" i="10"/>
  <c r="PE16" i="10"/>
  <c r="HF20" i="10"/>
  <c r="DC21" i="10"/>
  <c r="PE23" i="10"/>
  <c r="HF18" i="10"/>
  <c r="HF16" i="10"/>
  <c r="DC18" i="10"/>
  <c r="DC23" i="10"/>
  <c r="PE25" i="10"/>
  <c r="DC17" i="10"/>
  <c r="PE21" i="10"/>
  <c r="DC20" i="10"/>
  <c r="HF25" i="10"/>
  <c r="DC16" i="10"/>
  <c r="DC19" i="10"/>
  <c r="HF17" i="10"/>
  <c r="HF23" i="10"/>
  <c r="PE18" i="10"/>
  <c r="PE15" i="10"/>
  <c r="HF22" i="10"/>
  <c r="DC24" i="10"/>
  <c r="DC22" i="10"/>
  <c r="DC15" i="10"/>
  <c r="PE22" i="10"/>
  <c r="DC25" i="10"/>
  <c r="PE20" i="10"/>
</calcChain>
</file>

<file path=xl/sharedStrings.xml><?xml version="1.0" encoding="utf-8"?>
<sst xmlns="http://schemas.openxmlformats.org/spreadsheetml/2006/main" count="6374" uniqueCount="282">
  <si>
    <t>Nº</t>
  </si>
  <si>
    <t>Full Name</t>
  </si>
  <si>
    <t>Full Name In Khmer</t>
  </si>
  <si>
    <t>ID</t>
  </si>
  <si>
    <t>Sex</t>
  </si>
  <si>
    <t>Group</t>
  </si>
  <si>
    <t>English</t>
  </si>
  <si>
    <t>Computer</t>
  </si>
  <si>
    <t>Acheivement</t>
  </si>
  <si>
    <t>Attitude</t>
  </si>
  <si>
    <t>Areas to improve</t>
  </si>
  <si>
    <t>Teacher's Name</t>
  </si>
  <si>
    <t>SUBJECT</t>
  </si>
  <si>
    <t>GRADE POINTS</t>
  </si>
  <si>
    <t>TOTAL CREDIT</t>
  </si>
  <si>
    <t>TOTAL WEIGHT</t>
  </si>
  <si>
    <t>TOTAL
GRADE POINT</t>
  </si>
  <si>
    <t>Overall score average</t>
  </si>
  <si>
    <t>Accumulative Letter grade</t>
  </si>
  <si>
    <t>GPA</t>
  </si>
  <si>
    <t>Rank</t>
  </si>
  <si>
    <t>Grade</t>
  </si>
  <si>
    <t>Count</t>
  </si>
  <si>
    <t>Total School Day</t>
  </si>
  <si>
    <t>ATTENDANCE</t>
  </si>
  <si>
    <t>Total Tardiness</t>
  </si>
  <si>
    <t>Total Unexused</t>
  </si>
  <si>
    <t>Total Exuse</t>
  </si>
  <si>
    <t>Total Absence</t>
  </si>
  <si>
    <t>Overall Presence</t>
  </si>
  <si>
    <t>GRAND TOTAL</t>
  </si>
  <si>
    <t>Chinese</t>
  </si>
  <si>
    <t xml:space="preserve">Grade </t>
  </si>
  <si>
    <t>FINAL SEMESTER 1</t>
  </si>
  <si>
    <t>Quarter 1</t>
  </si>
  <si>
    <t>Quarter 2</t>
  </si>
  <si>
    <t>Quarter 3</t>
  </si>
  <si>
    <t>Quarter 4</t>
  </si>
  <si>
    <t>FINAL SEMESTER 2</t>
  </si>
  <si>
    <t>END OF YEAR</t>
  </si>
  <si>
    <t>Final Comment
In English</t>
  </si>
  <si>
    <t>Final Comment
In Khmer</t>
  </si>
  <si>
    <t>Grade Last Year</t>
  </si>
  <si>
    <t>Grade Next Year</t>
  </si>
  <si>
    <t>FINAL SEMESTER1</t>
  </si>
  <si>
    <t>FINAL SEMESTER2</t>
  </si>
  <si>
    <t>Academic Year :</t>
  </si>
  <si>
    <t xml:space="preserve">Score List for Quarter </t>
  </si>
  <si>
    <t>Accumulative Letter Grade</t>
  </si>
  <si>
    <t>Overall Score Average</t>
  </si>
  <si>
    <t>Eng-Grammar</t>
  </si>
  <si>
    <t>RoboThink</t>
  </si>
  <si>
    <t>Eng-Math</t>
  </si>
  <si>
    <t>2024-2025</t>
  </si>
  <si>
    <t>Eng-Science</t>
  </si>
  <si>
    <t xml:space="preserve">Eng-Science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</si>
  <si>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1A</t>
  </si>
  <si>
    <t>KH-SUBJECTs</t>
  </si>
  <si>
    <t>Eng-SUBJECT</t>
  </si>
  <si>
    <t>* Khmer
(Dictation)</t>
  </si>
  <si>
    <t>* Khmer Reading</t>
  </si>
  <si>
    <t>* KH-Math</t>
  </si>
  <si>
    <t>* KH-Science</t>
  </si>
  <si>
    <t xml:space="preserve">Sport </t>
  </si>
  <si>
    <t xml:space="preserve">Health Education </t>
  </si>
  <si>
    <t xml:space="preserve">* KH-Socail Studey </t>
  </si>
  <si>
    <t>* Khmer Eassay</t>
  </si>
  <si>
    <t>Kh-CONDITION</t>
  </si>
  <si>
    <t>ENG-CONDITION</t>
  </si>
  <si>
    <t>KH-CREDIT</t>
  </si>
  <si>
    <t>Eng-CREDIT</t>
  </si>
  <si>
    <t>KH-WEIGHT</t>
  </si>
  <si>
    <t>Eng-WEIGHT</t>
  </si>
  <si>
    <t>KH-GRADE POINTS</t>
  </si>
  <si>
    <t>Eng-GRADE POINTS</t>
  </si>
  <si>
    <t>KH-GRAND TOTAL</t>
  </si>
  <si>
    <t>ENG-GRAND TOTAL</t>
  </si>
  <si>
    <t>ENG-CREDIT</t>
  </si>
  <si>
    <t>ENG-WEIGHT</t>
  </si>
  <si>
    <t>ENG-GRADE POINTS</t>
  </si>
  <si>
    <t>KH-SUBJECTS</t>
  </si>
  <si>
    <t>ENG-SUBJECT</t>
  </si>
  <si>
    <t>Kh-SUBJECT</t>
  </si>
  <si>
    <t>Eng-CONDITION</t>
  </si>
  <si>
    <t>Full Name in Khmer</t>
  </si>
  <si>
    <t>TOTAL</t>
  </si>
  <si>
    <t>Academic Year</t>
  </si>
  <si>
    <t>Mathematics</t>
  </si>
  <si>
    <t>Science</t>
  </si>
  <si>
    <t>Robotics</t>
  </si>
  <si>
    <t>Grammar</t>
  </si>
  <si>
    <t>Art</t>
  </si>
  <si>
    <t>Khmer-Dictation</t>
  </si>
  <si>
    <t>Khmer Reading</t>
  </si>
  <si>
    <t>Khmer Calligraphy</t>
  </si>
  <si>
    <t>KH-Math</t>
  </si>
  <si>
    <t>KH-Science</t>
  </si>
  <si>
    <t>KH-Social Studies</t>
  </si>
  <si>
    <t>Sport</t>
  </si>
  <si>
    <t>Eng-Teacher's Comments</t>
  </si>
  <si>
    <t>KH-Teacher's Comments</t>
  </si>
  <si>
    <t>Khmer- Eassay</t>
  </si>
  <si>
    <t xml:space="preserve">* KH-Socail Study </t>
  </si>
  <si>
    <t>Health Education</t>
  </si>
  <si>
    <t xml:space="preserve"> KH-SEMESTER 1(Score)</t>
  </si>
  <si>
    <t xml:space="preserve"> ENG-SEMESTER 1( Score)</t>
  </si>
  <si>
    <t xml:space="preserve"> KH-SEMESTER 1( Score)</t>
  </si>
  <si>
    <t>SEMESTER 2 (Score)</t>
  </si>
  <si>
    <t xml:space="preserve">Comments for </t>
  </si>
  <si>
    <t>Q3</t>
  </si>
  <si>
    <t>Q1</t>
  </si>
  <si>
    <t>Score and Comment Coparation</t>
  </si>
  <si>
    <t>Comparation</t>
  </si>
  <si>
    <t>Score</t>
  </si>
  <si>
    <t>* KH-Public Speaking</t>
  </si>
  <si>
    <t>KH-Public Speaking</t>
  </si>
  <si>
    <t>KH-SUBJECT</t>
  </si>
  <si>
    <t>*  KH-Public Speaking</t>
  </si>
  <si>
    <t xml:space="preserve"> KH-Public Speaking</t>
  </si>
  <si>
    <t xml:space="preserve"> * KH-Public Speaking</t>
  </si>
  <si>
    <t xml:space="preserve"> * KH-Socail Study</t>
  </si>
  <si>
    <t>4A</t>
  </si>
  <si>
    <t>Schoool Name</t>
  </si>
  <si>
    <t>MLC INTERNATIONAL SCHOOL</t>
  </si>
  <si>
    <t>M</t>
  </si>
  <si>
    <t>F</t>
  </si>
  <si>
    <t>2025-2026</t>
  </si>
  <si>
    <t>Ly Sovannarith</t>
  </si>
  <si>
    <t>លី សុវណ្ណារិទ្ធ</t>
  </si>
  <si>
    <t>Phal Mengly</t>
  </si>
  <si>
    <t>ផល ម៉េងលី</t>
  </si>
  <si>
    <t>Song Santharasatya</t>
  </si>
  <si>
    <t>សុង សន្ទរសត្យា</t>
  </si>
  <si>
    <t>Heng Bunpiseth</t>
  </si>
  <si>
    <t>ហេង ប៊ុនពិសិដ្ឋ</t>
  </si>
  <si>
    <t>Pheng Meili</t>
  </si>
  <si>
    <t>ផេង ម៉ីលី</t>
  </si>
  <si>
    <t>Vuthy Eanvisal</t>
  </si>
  <si>
    <t>វុទ្ធី អ៊ានវិសាល</t>
  </si>
  <si>
    <t>Dyna Sovanysa</t>
  </si>
  <si>
    <t>ឌីណា សុវណ្ណីហ្សា</t>
  </si>
  <si>
    <t>Sann Visorth</t>
  </si>
  <si>
    <t>សាន វីសុទ្ធ</t>
  </si>
  <si>
    <t xml:space="preserve">Danong Kellen </t>
  </si>
  <si>
    <t>ដាណង់ ខេលេន</t>
  </si>
  <si>
    <t>ល្អបង្គួរ</t>
  </si>
  <si>
    <t>ល្អ</t>
  </si>
  <si>
    <t>មិនសូវស្តាប់គ្រូពន្យល់</t>
  </si>
  <si>
    <t>ហង់  ចិន</t>
  </si>
  <si>
    <t>សូត្រមេរៀនបន្ថែមទៀត</t>
  </si>
  <si>
    <t>និយាយច្រើនក្នុងម៉ោងរៀន</t>
  </si>
  <si>
    <t>មធ្យម</t>
  </si>
  <si>
    <t>លេងច្រើនក្នុងម៉ោងរៀន</t>
  </si>
  <si>
    <t>很好</t>
  </si>
  <si>
    <t>努力学习</t>
  </si>
  <si>
    <t>不好</t>
  </si>
  <si>
    <t>非常好</t>
  </si>
  <si>
    <t>不太好</t>
  </si>
  <si>
    <t>Heng Mengchhay</t>
  </si>
  <si>
    <t>Excellent classwork</t>
  </si>
  <si>
    <t>Is hard-working</t>
  </si>
  <si>
    <t>Attitude needs improvement</t>
  </si>
  <si>
    <t>Pich Sereyroth</t>
  </si>
  <si>
    <t>good</t>
  </si>
  <si>
    <t>Khat Tho</t>
  </si>
  <si>
    <t>She is slow learning progress but pays attention.</t>
  </si>
  <si>
    <t xml:space="preserve">Respect </t>
  </si>
  <si>
    <t>More practice at home and continue studying hard.</t>
  </si>
  <si>
    <t xml:space="preserve">Ley Hannafy </t>
  </si>
  <si>
    <t xml:space="preserve">He is slow learning process but tried hard </t>
  </si>
  <si>
    <t xml:space="preserve">Always shows respect to the teacher 
</t>
  </si>
  <si>
    <t xml:space="preserve">Study more and needs to fiocus more during the lessons and complete the classwork carefully.
</t>
  </si>
  <si>
    <t>Ley Hannafy </t>
  </si>
  <si>
    <t xml:space="preserve">Has great potential </t>
  </si>
  <si>
    <t xml:space="preserve">Needs to stay still </t>
  </si>
  <si>
    <t>He needs to read and review the lesson more at home to get a better number.</t>
  </si>
  <si>
    <t xml:space="preserve">Good attitude </t>
  </si>
  <si>
    <t>more practice at home and keep studying.</t>
  </si>
  <si>
    <t>He is slow learning progress.</t>
  </si>
  <si>
    <t>Study more and complete all homework on time that was assigned that will help improve monthly test and quiz result.</t>
  </si>
  <si>
    <t xml:space="preserve">She is a bit slow in learning but tried hard </t>
  </si>
  <si>
    <t>She needs to read and review the lesson more at home to get a better number.</t>
  </si>
  <si>
    <t xml:space="preserve">Quiet and respect </t>
  </si>
  <si>
    <t>Good attitude and always shows respect to the teacher.</t>
  </si>
  <si>
    <t>Listen to direction more carefully. Needs to focus more during the lessons and complete the classwork carefully.</t>
  </si>
  <si>
    <t xml:space="preserve">He is slow learning progress but pays attention.
</t>
  </si>
  <si>
    <t xml:space="preserve">Respect 
</t>
  </si>
  <si>
    <t xml:space="preserve"> Has the ability to follow directions.</t>
  </si>
  <si>
    <t>Accepts responsibility.</t>
  </si>
  <si>
    <t>Improve work habits.</t>
  </si>
  <si>
    <t>Som Chanbopreuk</t>
  </si>
  <si>
    <t>  Shows improvement.</t>
  </si>
  <si>
    <t>Complete assignments on time.</t>
  </si>
  <si>
    <t xml:space="preserve"> Difficulty in expressing ideas. </t>
  </si>
  <si>
    <t>Is pleasant and friendly.</t>
  </si>
  <si>
    <t>Attitude needs improvement.</t>
  </si>
  <si>
    <t>Excellent classwork.</t>
  </si>
  <si>
    <t xml:space="preserve">  Is hard-working. </t>
  </si>
  <si>
    <t>Build up critical thinking skills.</t>
  </si>
  <si>
    <t xml:space="preserve"> Has improved steadily. </t>
  </si>
  <si>
    <t>Good attitude. Cooperative/ helpful to peers.</t>
  </si>
  <si>
    <t>Has shown strong growth in the subject.</t>
  </si>
  <si>
    <t xml:space="preserve">Gaining more self-confidence. </t>
  </si>
  <si>
    <t>Work to potential.</t>
  </si>
  <si>
    <t>Excellent speller</t>
  </si>
  <si>
    <t>Conscientious student.</t>
  </si>
  <si>
    <t xml:space="preserve">Makes steady progress academically. </t>
  </si>
  <si>
    <t xml:space="preserve"> Difficulty with understanding English.</t>
  </si>
  <si>
    <t xml:space="preserve"> Does not work neatly.</t>
  </si>
  <si>
    <t>Improve English.</t>
  </si>
  <si>
    <t>II</t>
  </si>
  <si>
    <t>ស កេតទ្រីយ៉ាវីន</t>
  </si>
  <si>
    <t>Sor Ketryawin</t>
  </si>
  <si>
    <t>GOOD</t>
  </si>
  <si>
    <t>TRY TO STUDY HARD</t>
  </si>
  <si>
    <t>HENG MENGCHHAY</t>
  </si>
  <si>
    <t>VERY GOOD</t>
  </si>
  <si>
    <t/>
  </si>
  <si>
    <t>Reaksemy vorakbot</t>
  </si>
  <si>
    <t>រស្មី វីរ:បុត្រ</t>
  </si>
  <si>
    <t>Is hard-working.</t>
  </si>
  <si>
    <t>Return homework. Incomplete assignments.</t>
  </si>
  <si>
    <t>slow learning but pay attention.</t>
  </si>
  <si>
    <t>pay attention during the lessons and more practice at home.</t>
  </si>
  <si>
    <t>Has the  ability to follow directions , understands most leasssons but sometimes needs supports.</t>
  </si>
  <si>
    <t xml:space="preserve">getting better </t>
  </si>
  <si>
    <t>improve english.</t>
  </si>
  <si>
    <t>pay attention during the lessons.</t>
  </si>
  <si>
    <t xml:space="preserve">improve. </t>
  </si>
  <si>
    <t>pay attention and more practice.</t>
  </si>
  <si>
    <t xml:space="preserve">Slow learning. </t>
  </si>
  <si>
    <t>more practice at home.</t>
  </si>
  <si>
    <t xml:space="preserve">slow learning </t>
  </si>
  <si>
    <t xml:space="preserve">Slow learning </t>
  </si>
  <si>
    <t>ហង់ ចិន</t>
  </si>
  <si>
    <t>6A</t>
  </si>
  <si>
    <t>Q2</t>
  </si>
  <si>
    <t>I</t>
  </si>
  <si>
    <t>Semster 1</t>
  </si>
  <si>
    <t xml:space="preserve"> </t>
  </si>
  <si>
    <t>ផេង ម៉ីលិៈ</t>
  </si>
  <si>
    <t>C</t>
  </si>
  <si>
    <t>B</t>
  </si>
  <si>
    <t>D</t>
  </si>
  <si>
    <t>A</t>
  </si>
  <si>
    <t>E</t>
  </si>
  <si>
    <t>Reaksmey Vorakbot</t>
  </si>
  <si>
    <t>រស្មី វរបុត្រ</t>
  </si>
  <si>
    <t>Nean Lyhour</t>
  </si>
  <si>
    <t>នាន លីហួរ</t>
  </si>
  <si>
    <t>Pheng Udomveha</t>
  </si>
  <si>
    <t>ផេង ឧត្តមវេហា</t>
  </si>
  <si>
    <t>ល្អស្តាប់គ្រូស្តាប់ពន្យល់</t>
  </si>
  <si>
    <t>ខិតខំមើលមេរៀន</t>
  </si>
  <si>
    <t>Hang Chen</t>
  </si>
  <si>
    <t>និយាយច្រើនក្នុងម៉ោងសិក្សា</t>
  </si>
  <si>
    <t>កាត់បន្ថយការនិយាយច្រើន</t>
  </si>
  <si>
    <t>ខិតខំរៀនបន្ថែមទៀត</t>
  </si>
  <si>
    <t>លេងច្រើនក្នុងម៉ោងសិក្សា</t>
  </si>
  <si>
    <t>ខិតខំរៀនកាត់បន្ថយការលេង</t>
  </si>
  <si>
    <t>មិនស្តាប់គ្រូពន្យល់មេរៀន</t>
  </si>
  <si>
    <t>ខិតខំរៀនសូត្រឡើងវិញ</t>
  </si>
  <si>
    <t xml:space="preserve">improvement </t>
  </si>
  <si>
    <t xml:space="preserve">Good </t>
  </si>
  <si>
    <t xml:space="preserve">pay attention and more practice </t>
  </si>
  <si>
    <t xml:space="preserve">good </t>
  </si>
  <si>
    <t>Good</t>
  </si>
  <si>
    <t xml:space="preserve">slow leaning progress </t>
  </si>
  <si>
    <t>Ley Hannafy</t>
  </si>
  <si>
    <t>PAY ATTENTION ON STUDY</t>
  </si>
  <si>
    <t>GOOD ATTITUDE</t>
  </si>
  <si>
    <t>PLEASE TRY TO STUDY MORE</t>
  </si>
  <si>
    <t>Tutor math/science.</t>
  </si>
  <si>
    <t xml:space="preserve">more practice at home </t>
  </si>
  <si>
    <t xml:space="preserve">regression </t>
  </si>
  <si>
    <t>slow learning _x000D_</t>
  </si>
  <si>
    <t xml:space="preserve">Is pleasant and friendly. </t>
  </si>
  <si>
    <t>Pich sereyroth</t>
  </si>
  <si>
    <t xml:space="preserve">STUDY HARD </t>
  </si>
  <si>
    <t>HE4NG MENGCHHAY</t>
  </si>
  <si>
    <t>End Of Year</t>
  </si>
  <si>
    <t>SemII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</si>
</sst>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000"/>
    <numFmt numFmtId="167" formatCode="000000"/>
  </numFmts>
  <fonts count="46" x14ac:knownFonts="1">
    <font>
      <sz val="11"/>
      <color theme="1"/>
      <name val="Calibri"/>
      <family val="2"/>
      <scheme val="minor"/>
    </font>
    <font>
      <sz val="14"/>
      <color theme="0" tint="-0.14999847407452621"/>
      <name val="Tahoma"/>
      <family val="2"/>
    </font>
    <font>
      <sz val="12"/>
      <color theme="0"/>
      <name val="Arial"/>
      <family val="2"/>
    </font>
    <font>
      <sz val="12"/>
      <color theme="0" tint="-0.14999847407452621"/>
      <name val="Arial"/>
      <family val="2"/>
    </font>
    <font>
      <b/>
      <sz val="10"/>
      <color theme="0" tint="-0.14999847407452621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0"/>
      <name val="Times New Roman"/>
      <family val="1"/>
    </font>
    <font>
      <b/>
      <sz val="16"/>
      <name val="Times New Roman"/>
      <family val="1"/>
    </font>
    <font>
      <sz val="16"/>
      <color theme="0" tint="-0.14999847407452621"/>
      <name val="Tahoma"/>
      <family val="2"/>
    </font>
    <font>
      <sz val="12"/>
      <color theme="0" tint="-0.14999847407452621"/>
      <name val="Tahoma"/>
      <family val="2"/>
    </font>
    <font>
      <sz val="11"/>
      <color theme="1"/>
      <name val="Khmer OS System"/>
    </font>
    <font>
      <sz val="11"/>
      <color theme="1"/>
      <name val="Khmer OS"/>
    </font>
    <font>
      <sz val="12"/>
      <color theme="1"/>
      <name val="Khmer OS System"/>
    </font>
    <font>
      <sz val="12"/>
      <color theme="1"/>
      <name val="Calibri"/>
      <family val="2"/>
      <scheme val="minor"/>
    </font>
    <font>
      <sz val="11"/>
      <color theme="1"/>
      <name val="!Khmer OS Siemreap"/>
    </font>
    <font>
      <sz val="14"/>
      <color theme="0" tint="-0.14999847407452621"/>
      <name val="!Khmer OS Siemreap"/>
    </font>
    <font>
      <sz val="11"/>
      <color theme="1"/>
      <name val="Khmer OS Siemreap"/>
    </font>
    <font>
      <sz val="14"/>
      <color theme="0"/>
      <name val="Tahoma"/>
      <family val="2"/>
    </font>
    <font>
      <sz val="12"/>
      <color theme="1"/>
      <name val="Khmer OS"/>
    </font>
    <font>
      <b/>
      <sz val="16"/>
      <color theme="1"/>
      <name val="Times New Roman"/>
      <family val="1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2"/>
      <color theme="0" tint="-0.14999847407452621"/>
      <name val="Arial"/>
      <family val="2"/>
    </font>
    <font>
      <sz val="18"/>
      <color theme="0" tint="-4.9989318521683403E-2"/>
      <name val="Arial"/>
      <family val="2"/>
    </font>
    <font>
      <sz val="10"/>
      <color indexed="8"/>
      <name val="Arial"/>
      <family val="2"/>
    </font>
    <font>
      <sz val="12"/>
      <color indexed="8"/>
      <name val="Arial"/>
      <family val="2"/>
    </font>
    <font>
      <sz val="12"/>
      <name val="Verdana"/>
      <family val="2"/>
    </font>
    <font>
      <b/>
      <sz val="12"/>
      <color rgb="FFFF0000"/>
      <name val="Verdana"/>
      <family val="2"/>
    </font>
    <font>
      <b/>
      <sz val="12"/>
      <color indexed="8"/>
      <name val="Arial"/>
      <family val="2"/>
    </font>
    <font>
      <b/>
      <sz val="12"/>
      <color rgb="FFFF0000"/>
      <name val="Arial"/>
      <family val="2"/>
    </font>
    <font>
      <sz val="16"/>
      <color theme="0"/>
      <name val="Times New Roman"/>
      <family val="1"/>
    </font>
    <font>
      <b/>
      <sz val="16"/>
      <name val="!Khmer OS Siemreap"/>
    </font>
    <font>
      <b/>
      <sz val="10"/>
      <color theme="0" tint="-0.14999847407452621"/>
      <name val="!Khmer OS Siemreap"/>
    </font>
    <font>
      <sz val="12"/>
      <color indexed="8"/>
      <name val="!Khmer OS Siemreap"/>
    </font>
    <font>
      <sz val="14"/>
      <color theme="4" tint="-0.499984740745262"/>
      <name val="Tahoma"/>
      <family val="2"/>
    </font>
    <font>
      <sz val="14"/>
      <color theme="3" tint="-0.499984740745262"/>
      <name val="Tahoma"/>
      <family val="2"/>
    </font>
    <font>
      <b/>
      <sz val="14"/>
      <color rgb="FFFFFF00"/>
      <name val="Tahoma"/>
      <family val="2"/>
    </font>
    <font>
      <b/>
      <sz val="14"/>
      <color theme="0" tint="-0.14999847407452621"/>
      <name val="Arial"/>
      <family val="2"/>
    </font>
    <font>
      <b/>
      <sz val="14"/>
      <color theme="0" tint="-0.14999847407452621"/>
      <name val="!Khmer OS Siemreap"/>
    </font>
    <font>
      <b/>
      <sz val="14"/>
      <color theme="0"/>
      <name val="!Khmer OS Siemreap"/>
    </font>
    <font>
      <b/>
      <sz val="14"/>
      <color theme="0" tint="-0.249977111117893"/>
      <name val="Arial"/>
      <family val="2"/>
    </font>
    <font>
      <sz val="14"/>
      <color theme="1" tint="0.34998626667073579"/>
      <name val="Tahoma"/>
      <family val="2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2"/>
      <color theme="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/>
      <diagonal/>
    </border>
    <border>
      <left style="thin">
        <color theme="0" tint="-4.9989318521683403E-2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/>
      <diagonal/>
    </border>
    <border>
      <left style="medium">
        <color theme="3" tint="-0.499984740745262"/>
      </left>
      <right/>
      <top style="medium">
        <color theme="3" tint="-0.499984740745262"/>
      </top>
      <bottom style="thin">
        <color theme="0" tint="-4.9989318521683403E-2"/>
      </bottom>
      <diagonal/>
    </border>
    <border>
      <left/>
      <right/>
      <top style="medium">
        <color theme="3" tint="-0.499984740745262"/>
      </top>
      <bottom style="thin">
        <color theme="0" tint="-4.9989318521683403E-2"/>
      </bottom>
      <diagonal/>
    </border>
    <border>
      <left style="thin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medium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1" tint="0.14990691854609822"/>
      </left>
      <right style="thin">
        <color theme="1" tint="0.14990691854609822"/>
      </right>
      <top style="thin">
        <color theme="1" tint="0.14990691854609822"/>
      </top>
      <bottom style="thin">
        <color theme="1" tint="0.14990691854609822"/>
      </bottom>
      <diagonal/>
    </border>
    <border>
      <left style="medium">
        <color theme="3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-0.499984740745262"/>
      </left>
      <right style="thin">
        <color theme="1" tint="0.14996795556505021"/>
      </right>
      <top style="thin">
        <color theme="0" tint="-4.9989318521683403E-2"/>
      </top>
      <bottom style="thin">
        <color theme="1" tint="0.14996795556505021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0" tint="-4.9989318521683403E-2"/>
      </top>
      <bottom style="thin">
        <color theme="1" tint="0.14996795556505021"/>
      </bottom>
      <diagonal/>
    </border>
    <border>
      <left style="thin">
        <color theme="1" tint="0.14996795556505021"/>
      </left>
      <right style="medium">
        <color theme="3" tint="-0.499984740745262"/>
      </right>
      <top style="thin">
        <color theme="0" tint="-4.9989318521683403E-2"/>
      </top>
      <bottom style="thin">
        <color theme="1" tint="0.14996795556505021"/>
      </bottom>
      <diagonal/>
    </border>
    <border>
      <left style="medium">
        <color theme="3" tint="-0.499984740745262"/>
      </left>
      <right style="thin">
        <color theme="3" tint="-0.499984740745262"/>
      </right>
      <top style="thin">
        <color indexed="64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indexed="64"/>
      </top>
      <bottom style="thin">
        <color theme="3" tint="-0.499984740745262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3" tint="-0.499984740745262"/>
      </bottom>
      <diagonal/>
    </border>
    <border>
      <left/>
      <right/>
      <top style="thin">
        <color theme="0"/>
      </top>
      <bottom style="medium">
        <color theme="3" tint="-0.499984740745262"/>
      </bottom>
      <diagonal/>
    </border>
    <border>
      <left/>
      <right style="thin">
        <color theme="0"/>
      </right>
      <top style="thin">
        <color theme="0"/>
      </top>
      <bottom style="medium">
        <color theme="3" tint="-0.499984740745262"/>
      </bottom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thin">
        <color theme="0" tint="-4.9989318521683403E-2"/>
      </right>
      <top style="thin">
        <color theme="0"/>
      </top>
      <bottom style="medium">
        <color indexed="64"/>
      </bottom>
      <diagonal/>
    </border>
    <border>
      <left style="thin">
        <color theme="0" tint="-4.9989318521683403E-2"/>
      </left>
      <right/>
      <top style="thin">
        <color theme="0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4.9989318521683403E-2"/>
      </left>
      <right style="thin">
        <color indexed="64"/>
      </right>
      <top/>
      <bottom/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indexed="64"/>
      </bottom>
      <diagonal/>
    </border>
  </borders>
  <cellStyleXfs count="4">
    <xf numFmtId="0" fontId="0" fillId="0" borderId="0"/>
    <xf numFmtId="0" fontId="21" fillId="0" borderId="0"/>
    <xf numFmtId="0" fontId="25" fillId="0" borderId="0"/>
    <xf numFmtId="0" fontId="44" fillId="0" borderId="0" applyNumberFormat="0" applyFill="0" applyBorder="0" applyProtection="0"/>
  </cellStyleXfs>
  <cellXfs count="380">
    <xf numFmtId="0" fontId="0" fillId="0" borderId="0" xfId="0"/>
    <xf numFmtId="0" fontId="0" fillId="0" borderId="1" xfId="0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9" borderId="0" xfId="0" applyFill="1"/>
    <xf numFmtId="0" fontId="6" fillId="9" borderId="0" xfId="0" applyFont="1" applyFill="1" applyAlignment="1">
      <alignment vertical="center"/>
    </xf>
    <xf numFmtId="0" fontId="6" fillId="9" borderId="4" xfId="0" applyFont="1" applyFill="1" applyBorder="1" applyAlignment="1">
      <alignment vertical="center" wrapText="1"/>
    </xf>
    <xf numFmtId="2" fontId="0" fillId="0" borderId="1" xfId="0" applyNumberFormat="1" applyBorder="1" applyAlignment="1">
      <alignment horizontal="center" vertical="center"/>
    </xf>
    <xf numFmtId="0" fontId="9" fillId="13" borderId="13" xfId="0" applyFont="1" applyFill="1" applyBorder="1" applyAlignment="1">
      <alignment horizontal="center" vertical="center" wrapText="1"/>
    </xf>
    <xf numFmtId="0" fontId="0" fillId="0" borderId="1" xfId="0" applyBorder="1"/>
    <xf numFmtId="2" fontId="0" fillId="0" borderId="1" xfId="0" applyNumberFormat="1" applyBorder="1"/>
    <xf numFmtId="0" fontId="1" fillId="17" borderId="1" xfId="0" applyFont="1" applyFill="1" applyBorder="1" applyAlignment="1">
      <alignment horizontal="center" vertical="center" textRotation="90"/>
    </xf>
    <xf numFmtId="0" fontId="1" fillId="17" borderId="1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/>
    <xf numFmtId="0" fontId="7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center" textRotation="90"/>
    </xf>
    <xf numFmtId="0" fontId="10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3" borderId="2" xfId="0" applyFont="1" applyFill="1" applyBorder="1" applyAlignment="1">
      <alignment horizontal="center" vertical="center" textRotation="90" wrapText="1"/>
    </xf>
    <xf numFmtId="0" fontId="0" fillId="18" borderId="1" xfId="0" applyFill="1" applyBorder="1" applyAlignment="1">
      <alignment horizontal="center" vertical="center"/>
    </xf>
    <xf numFmtId="9" fontId="0" fillId="18" borderId="1" xfId="0" applyNumberFormat="1" applyFill="1" applyBorder="1" applyAlignment="1">
      <alignment horizontal="center" vertical="center"/>
    </xf>
    <xf numFmtId="2" fontId="0" fillId="18" borderId="1" xfId="0" applyNumberFormat="1" applyFill="1" applyBorder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left" vertical="center"/>
    </xf>
    <xf numFmtId="0" fontId="10" fillId="18" borderId="1" xfId="0" applyFont="1" applyFill="1" applyBorder="1" applyAlignment="1">
      <alignment horizontal="left" vertical="center"/>
    </xf>
    <xf numFmtId="0" fontId="11" fillId="18" borderId="1" xfId="0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left"/>
    </xf>
    <xf numFmtId="0" fontId="6" fillId="9" borderId="0" xfId="0" applyFont="1" applyFill="1" applyAlignment="1">
      <alignment horizontal="center" vertical="center"/>
    </xf>
    <xf numFmtId="0" fontId="6" fillId="9" borderId="4" xfId="0" applyFont="1" applyFill="1" applyBorder="1" applyAlignment="1">
      <alignment horizontal="center" vertical="center" wrapText="1"/>
    </xf>
    <xf numFmtId="0" fontId="14" fillId="9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6" fillId="0" borderId="1" xfId="0" applyFont="1" applyBorder="1" applyAlignment="1">
      <alignment horizontal="left"/>
    </xf>
    <xf numFmtId="0" fontId="16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165" fontId="16" fillId="0" borderId="1" xfId="0" applyNumberFormat="1" applyFont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 textRotation="90" wrapText="1"/>
    </xf>
    <xf numFmtId="0" fontId="5" fillId="22" borderId="1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1" fillId="8" borderId="4" xfId="0" applyFont="1" applyFill="1" applyBorder="1" applyAlignment="1">
      <alignment vertical="center"/>
    </xf>
    <xf numFmtId="0" fontId="2" fillId="8" borderId="1" xfId="0" applyFont="1" applyFill="1" applyBorder="1" applyAlignment="1">
      <alignment horizontal="center" vertical="center" textRotation="90" wrapText="1"/>
    </xf>
    <xf numFmtId="1" fontId="0" fillId="18" borderId="1" xfId="0" applyNumberFormat="1" applyFill="1" applyBorder="1" applyAlignment="1">
      <alignment horizontal="center" vertical="center"/>
    </xf>
    <xf numFmtId="2" fontId="0" fillId="9" borderId="0" xfId="0" applyNumberFormat="1" applyFill="1"/>
    <xf numFmtId="2" fontId="1" fillId="8" borderId="4" xfId="0" applyNumberFormat="1" applyFont="1" applyFill="1" applyBorder="1" applyAlignment="1">
      <alignment vertical="center"/>
    </xf>
    <xf numFmtId="2" fontId="2" fillId="8" borderId="1" xfId="0" applyNumberFormat="1" applyFont="1" applyFill="1" applyBorder="1" applyAlignment="1">
      <alignment horizontal="center" vertical="center" textRotation="90" wrapText="1"/>
    </xf>
    <xf numFmtId="2" fontId="0" fillId="0" borderId="0" xfId="0" applyNumberFormat="1"/>
    <xf numFmtId="0" fontId="6" fillId="11" borderId="0" xfId="0" applyFont="1" applyFill="1" applyAlignment="1">
      <alignment vertical="center" wrapText="1"/>
    </xf>
    <xf numFmtId="0" fontId="6" fillId="10" borderId="0" xfId="0" applyFont="1" applyFill="1" applyAlignment="1">
      <alignment horizontal="left"/>
    </xf>
    <xf numFmtId="0" fontId="6" fillId="12" borderId="4" xfId="0" applyFont="1" applyFill="1" applyBorder="1" applyAlignment="1">
      <alignment vertical="top"/>
    </xf>
    <xf numFmtId="0" fontId="1" fillId="22" borderId="15" xfId="0" applyFont="1" applyFill="1" applyBorder="1" applyAlignment="1">
      <alignment horizontal="center" vertical="center"/>
    </xf>
    <xf numFmtId="0" fontId="1" fillId="22" borderId="2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6" fillId="7" borderId="0" xfId="0" applyFont="1" applyFill="1"/>
    <xf numFmtId="0" fontId="1" fillId="3" borderId="15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18" fillId="0" borderId="1" xfId="0" applyFont="1" applyBorder="1" applyAlignment="1">
      <alignment horizontal="left"/>
    </xf>
    <xf numFmtId="0" fontId="18" fillId="0" borderId="1" xfId="0" applyFont="1" applyBorder="1" applyAlignment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/>
    <xf numFmtId="0" fontId="18" fillId="0" borderId="1" xfId="0" applyFont="1" applyBorder="1" applyAlignment="1">
      <alignment horizontal="center"/>
    </xf>
    <xf numFmtId="0" fontId="6" fillId="12" borderId="0" xfId="0" applyFont="1" applyFill="1"/>
    <xf numFmtId="0" fontId="1" fillId="8" borderId="6" xfId="0" applyFont="1" applyFill="1" applyBorder="1" applyAlignment="1">
      <alignment vertical="center"/>
    </xf>
    <xf numFmtId="0" fontId="4" fillId="8" borderId="15" xfId="0" applyFont="1" applyFill="1" applyBorder="1" applyAlignment="1">
      <alignment horizontal="center" vertical="center" wrapText="1"/>
    </xf>
    <xf numFmtId="2" fontId="2" fillId="21" borderId="1" xfId="0" applyNumberFormat="1" applyFont="1" applyFill="1" applyBorder="1" applyAlignment="1">
      <alignment horizontal="center" vertical="center" textRotation="90" wrapText="1"/>
    </xf>
    <xf numFmtId="0" fontId="2" fillId="21" borderId="1" xfId="0" applyFont="1" applyFill="1" applyBorder="1" applyAlignment="1">
      <alignment horizontal="center" vertical="center" textRotation="90" wrapText="1"/>
    </xf>
    <xf numFmtId="2" fontId="2" fillId="24" borderId="1" xfId="0" applyNumberFormat="1" applyFont="1" applyFill="1" applyBorder="1" applyAlignment="1">
      <alignment horizontal="center" vertical="center" textRotation="90" wrapText="1"/>
    </xf>
    <xf numFmtId="0" fontId="2" fillId="24" borderId="1" xfId="0" applyFont="1" applyFill="1" applyBorder="1" applyAlignment="1">
      <alignment horizontal="center" vertical="center" textRotation="90" wrapText="1"/>
    </xf>
    <xf numFmtId="2" fontId="2" fillId="14" borderId="1" xfId="0" applyNumberFormat="1" applyFont="1" applyFill="1" applyBorder="1" applyAlignment="1">
      <alignment horizontal="center" vertical="center" textRotation="90" wrapText="1"/>
    </xf>
    <xf numFmtId="0" fontId="2" fillId="14" borderId="1" xfId="0" applyFont="1" applyFill="1" applyBorder="1" applyAlignment="1">
      <alignment horizontal="center" vertical="center" textRotation="90" wrapText="1"/>
    </xf>
    <xf numFmtId="2" fontId="2" fillId="6" borderId="1" xfId="0" applyNumberFormat="1" applyFont="1" applyFill="1" applyBorder="1" applyAlignment="1">
      <alignment horizontal="center" vertical="center" textRotation="90" wrapText="1"/>
    </xf>
    <xf numFmtId="0" fontId="2" fillId="6" borderId="1" xfId="0" applyFont="1" applyFill="1" applyBorder="1" applyAlignment="1">
      <alignment horizontal="center" vertical="center" textRotation="90" wrapText="1"/>
    </xf>
    <xf numFmtId="0" fontId="6" fillId="12" borderId="4" xfId="0" applyFont="1" applyFill="1" applyBorder="1"/>
    <xf numFmtId="0" fontId="1" fillId="22" borderId="1" xfId="0" applyFont="1" applyFill="1" applyBorder="1" applyAlignment="1">
      <alignment horizontal="center" vertical="center" textRotation="90" wrapText="1"/>
    </xf>
    <xf numFmtId="2" fontId="1" fillId="8" borderId="1" xfId="0" applyNumberFormat="1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3" fillId="18" borderId="1" xfId="0" applyFont="1" applyFill="1" applyBorder="1" applyAlignment="1">
      <alignment horizontal="left" vertic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24" fillId="27" borderId="31" xfId="0" applyFont="1" applyFill="1" applyBorder="1" applyAlignment="1">
      <alignment horizontal="center" vertical="center"/>
    </xf>
    <xf numFmtId="0" fontId="26" fillId="0" borderId="37" xfId="2" applyFont="1" applyBorder="1" applyAlignment="1">
      <alignment horizontal="left" vertical="center" wrapText="1"/>
    </xf>
    <xf numFmtId="2" fontId="27" fillId="0" borderId="38" xfId="0" applyNumberFormat="1" applyFont="1" applyBorder="1" applyAlignment="1" applyProtection="1">
      <alignment horizontal="center" vertical="center"/>
      <protection hidden="1"/>
    </xf>
    <xf numFmtId="1" fontId="28" fillId="0" borderId="1" xfId="0" applyNumberFormat="1" applyFont="1" applyBorder="1" applyAlignment="1" applyProtection="1">
      <alignment horizontal="center" vertical="center"/>
      <protection hidden="1"/>
    </xf>
    <xf numFmtId="2" fontId="27" fillId="0" borderId="1" xfId="0" applyNumberFormat="1" applyFont="1" applyBorder="1" applyAlignment="1" applyProtection="1">
      <alignment horizontal="center" vertical="center"/>
      <protection hidden="1"/>
    </xf>
    <xf numFmtId="2" fontId="27" fillId="0" borderId="39" xfId="0" applyNumberFormat="1" applyFont="1" applyBorder="1" applyAlignment="1" applyProtection="1">
      <alignment horizontal="center" vertical="center"/>
      <protection hidden="1"/>
    </xf>
    <xf numFmtId="2" fontId="27" fillId="0" borderId="40" xfId="0" applyNumberFormat="1" applyFont="1" applyBorder="1" applyAlignment="1" applyProtection="1">
      <alignment horizontal="center" vertical="center"/>
      <protection hidden="1"/>
    </xf>
    <xf numFmtId="1" fontId="28" fillId="0" borderId="40" xfId="0" applyNumberFormat="1" applyFont="1" applyBorder="1" applyAlignment="1" applyProtection="1">
      <alignment horizontal="center" vertical="center"/>
      <protection hidden="1"/>
    </xf>
    <xf numFmtId="0" fontId="30" fillId="0" borderId="41" xfId="0" applyFont="1" applyBorder="1" applyAlignment="1">
      <alignment horizontal="center" vertical="center"/>
    </xf>
    <xf numFmtId="2" fontId="27" fillId="0" borderId="42" xfId="0" applyNumberFormat="1" applyFont="1" applyBorder="1" applyAlignment="1" applyProtection="1">
      <alignment horizontal="center" vertical="center"/>
      <protection hidden="1"/>
    </xf>
    <xf numFmtId="1" fontId="28" fillId="0" borderId="43" xfId="0" applyNumberFormat="1" applyFont="1" applyBorder="1" applyAlignment="1" applyProtection="1">
      <alignment horizontal="center" vertical="center"/>
      <protection hidden="1"/>
    </xf>
    <xf numFmtId="2" fontId="27" fillId="0" borderId="43" xfId="0" applyNumberFormat="1" applyFont="1" applyBorder="1" applyAlignment="1" applyProtection="1">
      <alignment horizontal="center" vertical="center"/>
      <protection hidden="1"/>
    </xf>
    <xf numFmtId="0" fontId="26" fillId="0" borderId="34" xfId="0" applyFont="1" applyBorder="1" applyAlignment="1">
      <alignment horizontal="center" vertical="center"/>
    </xf>
    <xf numFmtId="2" fontId="29" fillId="0" borderId="44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6" fillId="0" borderId="37" xfId="2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2" fillId="0" borderId="0" xfId="0" applyFont="1" applyAlignment="1">
      <alignment horizontal="left" vertical="center" wrapText="1"/>
    </xf>
    <xf numFmtId="0" fontId="34" fillId="0" borderId="37" xfId="2" applyFont="1" applyBorder="1" applyAlignment="1">
      <alignment horizontal="left" vertical="center" wrapText="1"/>
    </xf>
    <xf numFmtId="0" fontId="14" fillId="0" borderId="0" xfId="0" applyFont="1" applyAlignment="1">
      <alignment horizontal="left"/>
    </xf>
    <xf numFmtId="0" fontId="9" fillId="13" borderId="45" xfId="0" applyFont="1" applyFill="1" applyBorder="1" applyAlignment="1">
      <alignment horizontal="center" vertical="center" textRotation="90"/>
    </xf>
    <xf numFmtId="0" fontId="1" fillId="29" borderId="45" xfId="0" applyFont="1" applyFill="1" applyBorder="1" applyAlignment="1">
      <alignment horizontal="center" vertical="center" textRotation="90"/>
    </xf>
    <xf numFmtId="0" fontId="35" fillId="30" borderId="45" xfId="0" applyFont="1" applyFill="1" applyBorder="1" applyAlignment="1">
      <alignment horizontal="center" vertical="center" textRotation="90" wrapText="1"/>
    </xf>
    <xf numFmtId="0" fontId="36" fillId="31" borderId="45" xfId="0" applyFont="1" applyFill="1" applyBorder="1" applyAlignment="1">
      <alignment horizontal="center" vertical="center" textRotation="90" wrapText="1"/>
    </xf>
    <xf numFmtId="0" fontId="9" fillId="32" borderId="45" xfId="0" applyFont="1" applyFill="1" applyBorder="1" applyAlignment="1">
      <alignment horizontal="center" vertical="center" textRotation="90"/>
    </xf>
    <xf numFmtId="0" fontId="1" fillId="14" borderId="45" xfId="0" applyFont="1" applyFill="1" applyBorder="1" applyAlignment="1">
      <alignment horizontal="center" vertical="center" textRotation="90"/>
    </xf>
    <xf numFmtId="0" fontId="17" fillId="24" borderId="45" xfId="0" applyFont="1" applyFill="1" applyBorder="1" applyAlignment="1">
      <alignment horizontal="center" vertical="center" textRotation="90" wrapText="1"/>
    </xf>
    <xf numFmtId="0" fontId="17" fillId="26" borderId="45" xfId="0" applyFont="1" applyFill="1" applyBorder="1" applyAlignment="1">
      <alignment horizontal="center" vertical="center" textRotation="90" wrapText="1"/>
    </xf>
    <xf numFmtId="2" fontId="27" fillId="0" borderId="38" xfId="0" applyNumberFormat="1" applyFont="1" applyBorder="1" applyAlignment="1" applyProtection="1">
      <alignment horizontal="center" vertical="center" wrapText="1"/>
      <protection hidden="1"/>
    </xf>
    <xf numFmtId="1" fontId="28" fillId="0" borderId="1" xfId="0" applyNumberFormat="1" applyFont="1" applyBorder="1" applyAlignment="1" applyProtection="1">
      <alignment horizontal="center" vertical="center" wrapText="1"/>
      <protection hidden="1"/>
    </xf>
    <xf numFmtId="2" fontId="27" fillId="0" borderId="1" xfId="0" applyNumberFormat="1" applyFont="1" applyBorder="1" applyAlignment="1" applyProtection="1">
      <alignment horizontal="center" vertical="center" wrapText="1"/>
      <protection hidden="1"/>
    </xf>
    <xf numFmtId="2" fontId="27" fillId="0" borderId="39" xfId="0" applyNumberFormat="1" applyFont="1" applyBorder="1" applyAlignment="1" applyProtection="1">
      <alignment horizontal="center" vertical="center" wrapText="1"/>
      <protection hidden="1"/>
    </xf>
    <xf numFmtId="2" fontId="27" fillId="0" borderId="40" xfId="0" applyNumberFormat="1" applyFont="1" applyBorder="1" applyAlignment="1" applyProtection="1">
      <alignment horizontal="center" vertical="center" wrapText="1"/>
      <protection hidden="1"/>
    </xf>
    <xf numFmtId="1" fontId="28" fillId="0" borderId="40" xfId="0" applyNumberFormat="1" applyFont="1" applyBorder="1" applyAlignment="1" applyProtection="1">
      <alignment horizontal="center" vertical="center" wrapText="1"/>
      <protection hidden="1"/>
    </xf>
    <xf numFmtId="2" fontId="29" fillId="0" borderId="44" xfId="0" applyNumberFormat="1" applyFont="1" applyBorder="1" applyAlignment="1">
      <alignment horizontal="center" vertical="center" wrapText="1"/>
    </xf>
    <xf numFmtId="0" fontId="30" fillId="0" borderId="41" xfId="0" applyFont="1" applyBorder="1" applyAlignment="1">
      <alignment horizontal="center" vertical="center" wrapText="1"/>
    </xf>
    <xf numFmtId="2" fontId="27" fillId="0" borderId="42" xfId="0" applyNumberFormat="1" applyFont="1" applyBorder="1" applyAlignment="1" applyProtection="1">
      <alignment horizontal="center" vertical="center" wrapText="1"/>
      <protection hidden="1"/>
    </xf>
    <xf numFmtId="1" fontId="28" fillId="0" borderId="43" xfId="0" applyNumberFormat="1" applyFont="1" applyBorder="1" applyAlignment="1" applyProtection="1">
      <alignment horizontal="center" vertical="center" wrapText="1"/>
      <protection hidden="1"/>
    </xf>
    <xf numFmtId="2" fontId="27" fillId="0" borderId="43" xfId="0" applyNumberFormat="1" applyFont="1" applyBorder="1" applyAlignment="1" applyProtection="1">
      <alignment horizontal="center" vertical="center" wrapText="1"/>
      <protection hidden="1"/>
    </xf>
    <xf numFmtId="0" fontId="26" fillId="0" borderId="34" xfId="0" applyFont="1" applyBorder="1" applyAlignment="1">
      <alignment horizontal="center" vertical="center" wrapText="1"/>
    </xf>
    <xf numFmtId="0" fontId="37" fillId="8" borderId="50" xfId="0" applyFont="1" applyFill="1" applyBorder="1" applyAlignment="1">
      <alignment vertical="center"/>
    </xf>
    <xf numFmtId="0" fontId="24" fillId="27" borderId="54" xfId="0" applyFont="1" applyFill="1" applyBorder="1" applyAlignment="1">
      <alignment horizontal="center" vertical="center"/>
    </xf>
    <xf numFmtId="0" fontId="9" fillId="32" borderId="55" xfId="0" applyFont="1" applyFill="1" applyBorder="1" applyAlignment="1">
      <alignment horizontal="center" vertical="center" textRotation="90"/>
    </xf>
    <xf numFmtId="0" fontId="1" fillId="14" borderId="55" xfId="0" applyFont="1" applyFill="1" applyBorder="1" applyAlignment="1">
      <alignment horizontal="center" vertical="center" textRotation="90"/>
    </xf>
    <xf numFmtId="0" fontId="17" fillId="24" borderId="55" xfId="0" applyFont="1" applyFill="1" applyBorder="1" applyAlignment="1">
      <alignment horizontal="center" vertical="center" textRotation="90" wrapText="1"/>
    </xf>
    <xf numFmtId="0" fontId="17" fillId="26" borderId="55" xfId="0" applyFont="1" applyFill="1" applyBorder="1" applyAlignment="1">
      <alignment horizontal="center" vertical="center" textRotation="90" wrapText="1"/>
    </xf>
    <xf numFmtId="0" fontId="21" fillId="0" borderId="1" xfId="0" applyFont="1" applyBorder="1"/>
    <xf numFmtId="0" fontId="26" fillId="19" borderId="1" xfId="0" applyFont="1" applyFill="1" applyBorder="1" applyAlignment="1">
      <alignment horizontal="center" vertical="center"/>
    </xf>
    <xf numFmtId="0" fontId="0" fillId="28" borderId="0" xfId="0" applyFill="1"/>
    <xf numFmtId="0" fontId="0" fillId="28" borderId="0" xfId="0" applyFill="1" applyAlignment="1">
      <alignment horizontal="center" vertical="center"/>
    </xf>
    <xf numFmtId="0" fontId="0" fillId="28" borderId="0" xfId="0" applyFill="1" applyAlignment="1">
      <alignment horizontal="center"/>
    </xf>
    <xf numFmtId="0" fontId="22" fillId="28" borderId="0" xfId="0" applyFont="1" applyFill="1" applyAlignment="1">
      <alignment horizontal="center"/>
    </xf>
    <xf numFmtId="0" fontId="7" fillId="28" borderId="0" xfId="0" applyFont="1" applyFill="1" applyAlignment="1">
      <alignment vertical="center" wrapText="1"/>
    </xf>
    <xf numFmtId="0" fontId="0" fillId="28" borderId="0" xfId="0" applyFill="1" applyAlignment="1">
      <alignment horizontal="left"/>
    </xf>
    <xf numFmtId="0" fontId="14" fillId="28" borderId="0" xfId="0" applyFont="1" applyFill="1" applyAlignment="1">
      <alignment horizontal="left"/>
    </xf>
    <xf numFmtId="0" fontId="9" fillId="16" borderId="1" xfId="0" applyFont="1" applyFill="1" applyBorder="1" applyAlignment="1">
      <alignment horizontal="center" vertical="center" textRotation="90" wrapText="1"/>
    </xf>
    <xf numFmtId="0" fontId="43" fillId="9" borderId="1" xfId="0" applyFont="1" applyFill="1" applyBorder="1"/>
    <xf numFmtId="1" fontId="27" fillId="0" borderId="1" xfId="0" applyNumberFormat="1" applyFont="1" applyBorder="1" applyAlignment="1" applyProtection="1">
      <alignment horizontal="center" vertical="center" wrapText="1"/>
      <protection hidden="1"/>
    </xf>
    <xf numFmtId="1" fontId="27" fillId="0" borderId="40" xfId="0" applyNumberFormat="1" applyFont="1" applyBorder="1" applyAlignment="1" applyProtection="1">
      <alignment horizontal="center" vertical="center" wrapText="1"/>
      <protection hidden="1"/>
    </xf>
    <xf numFmtId="2" fontId="20" fillId="0" borderId="44" xfId="0" applyNumberFormat="1" applyFont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wrapText="1"/>
    </xf>
    <xf numFmtId="2" fontId="20" fillId="0" borderId="40" xfId="0" applyNumberFormat="1" applyFont="1" applyBorder="1" applyAlignment="1">
      <alignment horizontal="center" vertical="center" wrapText="1"/>
    </xf>
    <xf numFmtId="1" fontId="27" fillId="0" borderId="43" xfId="0" applyNumberFormat="1" applyFont="1" applyBorder="1" applyAlignment="1" applyProtection="1">
      <alignment horizontal="center" vertical="center" wrapText="1"/>
      <protection hidden="1"/>
    </xf>
    <xf numFmtId="2" fontId="45" fillId="0" borderId="38" xfId="0" applyNumberFormat="1" applyFont="1" applyBorder="1" applyAlignment="1" applyProtection="1">
      <alignment horizontal="center" vertical="center" wrapText="1"/>
      <protection hidden="1"/>
    </xf>
    <xf numFmtId="1" fontId="45" fillId="0" borderId="1" xfId="0" applyNumberFormat="1" applyFont="1" applyBorder="1" applyAlignment="1" applyProtection="1">
      <alignment horizontal="center" vertical="center" wrapText="1"/>
      <protection hidden="1"/>
    </xf>
    <xf numFmtId="167" fontId="18" fillId="0" borderId="1" xfId="0" applyNumberFormat="1" applyFont="1" applyBorder="1" applyAlignment="1">
      <alignment horizontal="center" vertical="center"/>
    </xf>
    <xf numFmtId="167" fontId="18" fillId="0" borderId="1" xfId="0" applyNumberFormat="1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16" fillId="0" borderId="1" xfId="0" applyNumberFormat="1" applyFont="1" applyBorder="1" applyAlignment="1">
      <alignment horizontal="center"/>
    </xf>
    <xf numFmtId="0" fontId="4" fillId="8" borderId="27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33" xfId="0" applyFont="1" applyFill="1" applyBorder="1" applyAlignment="1">
      <alignment horizontal="left" vertical="center"/>
    </xf>
    <xf numFmtId="0" fontId="33" fillId="8" borderId="28" xfId="0" applyFont="1" applyFill="1" applyBorder="1" applyAlignment="1">
      <alignment horizontal="left" vertical="center" wrapText="1"/>
    </xf>
    <xf numFmtId="0" fontId="33" fillId="8" borderId="33" xfId="0" applyFont="1" applyFill="1" applyBorder="1" applyAlignment="1">
      <alignment horizontal="left" vertical="center" wrapText="1"/>
    </xf>
    <xf numFmtId="0" fontId="4" fillId="8" borderId="28" xfId="0" applyFont="1" applyFill="1" applyBorder="1" applyAlignment="1">
      <alignment horizontal="center" vertical="center"/>
    </xf>
    <xf numFmtId="0" fontId="4" fillId="8" borderId="33" xfId="0" applyFont="1" applyFill="1" applyBorder="1" applyAlignment="1">
      <alignment horizontal="center" vertical="center"/>
    </xf>
    <xf numFmtId="0" fontId="4" fillId="8" borderId="28" xfId="0" applyFont="1" applyFill="1" applyBorder="1" applyAlignment="1">
      <alignment horizontal="center" vertical="center" textRotation="90"/>
    </xf>
    <xf numFmtId="0" fontId="4" fillId="8" borderId="33" xfId="0" applyFont="1" applyFill="1" applyBorder="1" applyAlignment="1">
      <alignment horizontal="center" vertical="center" textRotation="90"/>
    </xf>
    <xf numFmtId="0" fontId="4" fillId="8" borderId="35" xfId="0" applyFont="1" applyFill="1" applyBorder="1" applyAlignment="1">
      <alignment horizontal="center" vertical="center" textRotation="90"/>
    </xf>
    <xf numFmtId="0" fontId="4" fillId="8" borderId="26" xfId="0" applyFont="1" applyFill="1" applyBorder="1" applyAlignment="1">
      <alignment horizontal="center" vertical="center" wrapText="1"/>
    </xf>
    <xf numFmtId="0" fontId="2" fillId="23" borderId="1" xfId="0" applyFont="1" applyFill="1" applyBorder="1" applyAlignment="1">
      <alignment horizontal="center" vertical="center" textRotation="90" wrapText="1"/>
    </xf>
    <xf numFmtId="0" fontId="2" fillId="23" borderId="1" xfId="0" applyFont="1" applyFill="1" applyBorder="1" applyAlignment="1">
      <alignment horizontal="center" vertical="center" textRotation="90"/>
    </xf>
    <xf numFmtId="0" fontId="1" fillId="22" borderId="15" xfId="0" applyFont="1" applyFill="1" applyBorder="1" applyAlignment="1">
      <alignment horizontal="center" vertical="center"/>
    </xf>
    <xf numFmtId="0" fontId="1" fillId="22" borderId="16" xfId="0" applyFont="1" applyFill="1" applyBorder="1" applyAlignment="1">
      <alignment horizontal="center" vertical="center"/>
    </xf>
    <xf numFmtId="0" fontId="17" fillId="22" borderId="18" xfId="0" applyFont="1" applyFill="1" applyBorder="1" applyAlignment="1">
      <alignment horizontal="center" vertical="center" textRotation="90" wrapText="1"/>
    </xf>
    <xf numFmtId="0" fontId="17" fillId="22" borderId="13" xfId="0" applyFont="1" applyFill="1" applyBorder="1" applyAlignment="1">
      <alignment horizontal="center" vertical="center" textRotation="90"/>
    </xf>
    <xf numFmtId="0" fontId="1" fillId="22" borderId="23" xfId="0" applyFont="1" applyFill="1" applyBorder="1" applyAlignment="1">
      <alignment horizontal="center" vertical="center"/>
    </xf>
    <xf numFmtId="0" fontId="1" fillId="22" borderId="24" xfId="0" applyFont="1" applyFill="1" applyBorder="1" applyAlignment="1">
      <alignment horizontal="center" vertical="center"/>
    </xf>
    <xf numFmtId="0" fontId="1" fillId="22" borderId="25" xfId="0" applyFont="1" applyFill="1" applyBorder="1" applyAlignment="1">
      <alignment horizontal="center" vertical="center"/>
    </xf>
    <xf numFmtId="0" fontId="17" fillId="22" borderId="18" xfId="0" applyFont="1" applyFill="1" applyBorder="1" applyAlignment="1">
      <alignment horizontal="center" vertical="center" textRotation="90"/>
    </xf>
    <xf numFmtId="0" fontId="17" fillId="22" borderId="19" xfId="0" applyFont="1" applyFill="1" applyBorder="1" applyAlignment="1">
      <alignment horizontal="center" vertical="center" textRotation="90"/>
    </xf>
    <xf numFmtId="0" fontId="17" fillId="22" borderId="20" xfId="0" applyFont="1" applyFill="1" applyBorder="1" applyAlignment="1">
      <alignment horizontal="center" vertical="center" textRotation="90"/>
    </xf>
    <xf numFmtId="0" fontId="17" fillId="22" borderId="21" xfId="0" applyFont="1" applyFill="1" applyBorder="1" applyAlignment="1">
      <alignment horizontal="center" vertical="center" textRotation="90"/>
    </xf>
    <xf numFmtId="0" fontId="17" fillId="22" borderId="22" xfId="0" applyFont="1" applyFill="1" applyBorder="1" applyAlignment="1">
      <alignment horizontal="center" vertical="center" textRotation="90"/>
    </xf>
    <xf numFmtId="0" fontId="1" fillId="22" borderId="2" xfId="0" applyFont="1" applyFill="1" applyBorder="1" applyAlignment="1">
      <alignment horizontal="center" vertical="center" textRotation="90" wrapText="1"/>
    </xf>
    <xf numFmtId="0" fontId="1" fillId="22" borderId="3" xfId="0" applyFont="1" applyFill="1" applyBorder="1" applyAlignment="1">
      <alignment horizontal="center" vertical="center" textRotation="90" wrapText="1"/>
    </xf>
    <xf numFmtId="0" fontId="1" fillId="3" borderId="15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 textRotation="90" wrapText="1"/>
    </xf>
    <xf numFmtId="0" fontId="3" fillId="8" borderId="3" xfId="0" applyFont="1" applyFill="1" applyBorder="1" applyAlignment="1">
      <alignment horizontal="center" vertical="center" textRotation="90" wrapText="1"/>
    </xf>
    <xf numFmtId="0" fontId="1" fillId="3" borderId="3" xfId="0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center" textRotation="90" wrapText="1"/>
    </xf>
    <xf numFmtId="0" fontId="1" fillId="3" borderId="17" xfId="0" applyFont="1" applyFill="1" applyBorder="1" applyAlignment="1">
      <alignment horizontal="center" vertical="center" textRotation="90" wrapText="1"/>
    </xf>
    <xf numFmtId="0" fontId="1" fillId="16" borderId="1" xfId="0" applyFont="1" applyFill="1" applyBorder="1" applyAlignment="1">
      <alignment horizontal="center" vertical="center" textRotation="90" wrapText="1"/>
    </xf>
    <xf numFmtId="0" fontId="1" fillId="16" borderId="1" xfId="0" applyFont="1" applyFill="1" applyBorder="1" applyAlignment="1">
      <alignment horizontal="center" vertical="center" textRotation="90"/>
    </xf>
    <xf numFmtId="0" fontId="1" fillId="16" borderId="2" xfId="0" applyFont="1" applyFill="1" applyBorder="1" applyAlignment="1">
      <alignment horizontal="center" vertical="center" textRotation="90" wrapText="1"/>
    </xf>
    <xf numFmtId="0" fontId="1" fillId="16" borderId="3" xfId="0" applyFont="1" applyFill="1" applyBorder="1" applyAlignment="1">
      <alignment horizontal="center" vertical="center" textRotation="90" wrapText="1"/>
    </xf>
    <xf numFmtId="0" fontId="6" fillId="4" borderId="1" xfId="0" applyFont="1" applyFill="1" applyBorder="1" applyAlignment="1">
      <alignment vertical="center"/>
    </xf>
    <xf numFmtId="0" fontId="1" fillId="23" borderId="5" xfId="0" applyFont="1" applyFill="1" applyBorder="1" applyAlignment="1">
      <alignment horizontal="center" vertical="center"/>
    </xf>
    <xf numFmtId="0" fontId="1" fillId="23" borderId="4" xfId="0" applyFont="1" applyFill="1" applyBorder="1" applyAlignment="1">
      <alignment horizontal="center" vertical="center"/>
    </xf>
    <xf numFmtId="0" fontId="1" fillId="23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7" fillId="20" borderId="19" xfId="0" applyFont="1" applyFill="1" applyBorder="1" applyAlignment="1">
      <alignment horizontal="center" vertical="center" textRotation="90"/>
    </xf>
    <xf numFmtId="0" fontId="17" fillId="20" borderId="20" xfId="0" applyFont="1" applyFill="1" applyBorder="1" applyAlignment="1">
      <alignment horizontal="center" vertical="center" textRotation="90"/>
    </xf>
    <xf numFmtId="0" fontId="17" fillId="20" borderId="21" xfId="0" applyFont="1" applyFill="1" applyBorder="1" applyAlignment="1">
      <alignment horizontal="center" vertical="center" textRotation="90"/>
    </xf>
    <xf numFmtId="0" fontId="17" fillId="20" borderId="22" xfId="0" applyFont="1" applyFill="1" applyBorder="1" applyAlignment="1">
      <alignment horizontal="center" vertical="center" textRotation="90"/>
    </xf>
    <xf numFmtId="0" fontId="1" fillId="20" borderId="2" xfId="0" applyFont="1" applyFill="1" applyBorder="1" applyAlignment="1">
      <alignment horizontal="center" vertical="center" textRotation="90" wrapText="1"/>
    </xf>
    <xf numFmtId="0" fontId="1" fillId="20" borderId="3" xfId="0" applyFont="1" applyFill="1" applyBorder="1" applyAlignment="1">
      <alignment horizontal="center" vertical="center" textRotation="90" wrapText="1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7" fillId="20" borderId="18" xfId="0" applyFont="1" applyFill="1" applyBorder="1" applyAlignment="1">
      <alignment horizontal="center" vertical="center" textRotation="90" wrapText="1"/>
    </xf>
    <xf numFmtId="0" fontId="17" fillId="20" borderId="13" xfId="0" applyFont="1" applyFill="1" applyBorder="1" applyAlignment="1">
      <alignment horizontal="center" vertical="center" textRotation="90"/>
    </xf>
    <xf numFmtId="0" fontId="17" fillId="20" borderId="18" xfId="0" applyFont="1" applyFill="1" applyBorder="1" applyAlignment="1">
      <alignment horizontal="center" vertical="center" textRotation="90"/>
    </xf>
    <xf numFmtId="0" fontId="0" fillId="9" borderId="0" xfId="0" applyFill="1" applyAlignment="1">
      <alignment horizontal="center"/>
    </xf>
    <xf numFmtId="0" fontId="1" fillId="3" borderId="23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textRotation="90"/>
    </xf>
    <xf numFmtId="0" fontId="1" fillId="3" borderId="1" xfId="0" applyFont="1" applyFill="1" applyBorder="1" applyAlignment="1">
      <alignment horizontal="center" vertical="center" textRotation="90"/>
    </xf>
    <xf numFmtId="0" fontId="1" fillId="24" borderId="1" xfId="0" applyFont="1" applyFill="1" applyBorder="1" applyAlignment="1">
      <alignment horizontal="center" vertical="center"/>
    </xf>
    <xf numFmtId="0" fontId="17" fillId="21" borderId="18" xfId="0" applyFont="1" applyFill="1" applyBorder="1" applyAlignment="1">
      <alignment horizontal="center" vertical="center" textRotation="90" wrapText="1"/>
    </xf>
    <xf numFmtId="0" fontId="17" fillId="21" borderId="13" xfId="0" applyFont="1" applyFill="1" applyBorder="1" applyAlignment="1">
      <alignment horizontal="center" vertical="center" textRotation="90"/>
    </xf>
    <xf numFmtId="0" fontId="17" fillId="21" borderId="18" xfId="0" applyFont="1" applyFill="1" applyBorder="1" applyAlignment="1">
      <alignment horizontal="center" vertical="center" textRotation="90"/>
    </xf>
    <xf numFmtId="0" fontId="17" fillId="21" borderId="19" xfId="0" applyFont="1" applyFill="1" applyBorder="1" applyAlignment="1">
      <alignment horizontal="center" vertical="center" textRotation="90"/>
    </xf>
    <xf numFmtId="0" fontId="17" fillId="21" borderId="20" xfId="0" applyFont="1" applyFill="1" applyBorder="1" applyAlignment="1">
      <alignment horizontal="center" vertical="center" textRotation="90"/>
    </xf>
    <xf numFmtId="0" fontId="17" fillId="21" borderId="21" xfId="0" applyFont="1" applyFill="1" applyBorder="1" applyAlignment="1">
      <alignment horizontal="center" vertical="center" textRotation="90"/>
    </xf>
    <xf numFmtId="0" fontId="17" fillId="21" borderId="22" xfId="0" applyFont="1" applyFill="1" applyBorder="1" applyAlignment="1">
      <alignment horizontal="center" vertical="center" textRotation="90"/>
    </xf>
    <xf numFmtId="0" fontId="1" fillId="21" borderId="2" xfId="0" applyFont="1" applyFill="1" applyBorder="1" applyAlignment="1">
      <alignment horizontal="center" vertical="center" textRotation="90" wrapText="1"/>
    </xf>
    <xf numFmtId="0" fontId="1" fillId="21" borderId="3" xfId="0" applyFont="1" applyFill="1" applyBorder="1" applyAlignment="1">
      <alignment horizontal="center" vertical="center" textRotation="90" wrapText="1"/>
    </xf>
    <xf numFmtId="0" fontId="1" fillId="11" borderId="1" xfId="0" applyFont="1" applyFill="1" applyBorder="1" applyAlignment="1">
      <alignment horizontal="center" vertical="center" textRotation="90" wrapText="1"/>
    </xf>
    <xf numFmtId="0" fontId="2" fillId="2" borderId="1" xfId="0" applyFont="1" applyFill="1" applyBorder="1" applyAlignment="1">
      <alignment horizontal="center" vertical="center" textRotation="90" wrapText="1"/>
    </xf>
    <xf numFmtId="0" fontId="2" fillId="2" borderId="1" xfId="0" applyFont="1" applyFill="1" applyBorder="1" applyAlignment="1">
      <alignment horizontal="center" vertical="center" textRotation="90"/>
    </xf>
    <xf numFmtId="0" fontId="1" fillId="11" borderId="16" xfId="0" applyFont="1" applyFill="1" applyBorder="1" applyAlignment="1">
      <alignment horizontal="center" vertical="center" textRotation="90"/>
    </xf>
    <xf numFmtId="0" fontId="1" fillId="11" borderId="2" xfId="0" applyFont="1" applyFill="1" applyBorder="1" applyAlignment="1">
      <alignment horizontal="center" vertical="center" textRotation="90" wrapText="1"/>
    </xf>
    <xf numFmtId="0" fontId="1" fillId="11" borderId="3" xfId="0" applyFont="1" applyFill="1" applyBorder="1" applyAlignment="1">
      <alignment horizontal="center" vertical="center" textRotation="90" wrapText="1"/>
    </xf>
    <xf numFmtId="0" fontId="0" fillId="3" borderId="1" xfId="0" applyFill="1" applyBorder="1" applyAlignment="1">
      <alignment horizontal="center"/>
    </xf>
    <xf numFmtId="0" fontId="1" fillId="15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textRotation="90"/>
    </xf>
    <xf numFmtId="0" fontId="6" fillId="4" borderId="14" xfId="0" applyFont="1" applyFill="1" applyBorder="1" applyAlignment="1">
      <alignment horizontal="left" vertical="center" wrapText="1"/>
    </xf>
    <xf numFmtId="0" fontId="6" fillId="4" borderId="16" xfId="0" applyFont="1" applyFill="1" applyBorder="1" applyAlignment="1">
      <alignment horizontal="left" vertical="center" wrapText="1"/>
    </xf>
    <xf numFmtId="0" fontId="6" fillId="4" borderId="14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1" fillId="20" borderId="15" xfId="0" applyFont="1" applyFill="1" applyBorder="1" applyAlignment="1">
      <alignment horizontal="center" vertical="center"/>
    </xf>
    <xf numFmtId="0" fontId="1" fillId="20" borderId="16" xfId="0" applyFont="1" applyFill="1" applyBorder="1" applyAlignment="1">
      <alignment horizontal="center" vertical="center"/>
    </xf>
    <xf numFmtId="0" fontId="41" fillId="19" borderId="58" xfId="0" applyFont="1" applyFill="1" applyBorder="1" applyAlignment="1">
      <alignment horizontal="center" vertical="center"/>
    </xf>
    <xf numFmtId="0" fontId="9" fillId="2" borderId="59" xfId="0" applyFont="1" applyFill="1" applyBorder="1" applyAlignment="1">
      <alignment horizontal="center" vertical="center" textRotation="90"/>
    </xf>
    <xf numFmtId="0" fontId="9" fillId="2" borderId="4" xfId="0" applyFont="1" applyFill="1" applyBorder="1" applyAlignment="1">
      <alignment horizontal="center" vertical="center" textRotation="90"/>
    </xf>
    <xf numFmtId="0" fontId="8" fillId="8" borderId="59" xfId="0" applyFont="1" applyFill="1" applyBorder="1" applyAlignment="1">
      <alignment horizontal="center" vertical="center" textRotation="90"/>
    </xf>
    <xf numFmtId="0" fontId="8" fillId="8" borderId="4" xfId="0" applyFont="1" applyFill="1" applyBorder="1" applyAlignment="1">
      <alignment horizontal="center" vertical="center" textRotation="90"/>
    </xf>
    <xf numFmtId="0" fontId="9" fillId="34" borderId="59" xfId="0" applyFont="1" applyFill="1" applyBorder="1" applyAlignment="1">
      <alignment horizontal="center" vertical="center" textRotation="90"/>
    </xf>
    <xf numFmtId="0" fontId="9" fillId="34" borderId="4" xfId="0" applyFont="1" applyFill="1" applyBorder="1" applyAlignment="1">
      <alignment horizontal="center" vertical="center" textRotation="90"/>
    </xf>
    <xf numFmtId="0" fontId="1" fillId="35" borderId="59" xfId="0" applyFont="1" applyFill="1" applyBorder="1" applyAlignment="1">
      <alignment horizontal="center" vertical="center" textRotation="90"/>
    </xf>
    <xf numFmtId="0" fontId="1" fillId="35" borderId="4" xfId="0" applyFont="1" applyFill="1" applyBorder="1" applyAlignment="1">
      <alignment horizontal="center" vertical="center" textRotation="90"/>
    </xf>
    <xf numFmtId="0" fontId="42" fillId="36" borderId="59" xfId="0" applyFont="1" applyFill="1" applyBorder="1" applyAlignment="1">
      <alignment horizontal="center" vertical="center" textRotation="90" wrapText="1"/>
    </xf>
    <xf numFmtId="0" fontId="42" fillId="36" borderId="4" xfId="0" applyFont="1" applyFill="1" applyBorder="1" applyAlignment="1">
      <alignment horizontal="center" vertical="center" textRotation="90" wrapText="1"/>
    </xf>
    <xf numFmtId="0" fontId="42" fillId="37" borderId="59" xfId="0" applyFont="1" applyFill="1" applyBorder="1" applyAlignment="1">
      <alignment horizontal="center" vertical="center" textRotation="90" wrapText="1"/>
    </xf>
    <xf numFmtId="0" fontId="42" fillId="37" borderId="4" xfId="0" applyFont="1" applyFill="1" applyBorder="1" applyAlignment="1">
      <alignment horizontal="center" vertical="center" textRotation="90" wrapText="1"/>
    </xf>
    <xf numFmtId="0" fontId="38" fillId="2" borderId="0" xfId="0" applyFont="1" applyFill="1" applyAlignment="1">
      <alignment horizontal="center" vertical="center" textRotation="90"/>
    </xf>
    <xf numFmtId="0" fontId="38" fillId="2" borderId="4" xfId="0" applyFont="1" applyFill="1" applyBorder="1" applyAlignment="1">
      <alignment horizontal="center" vertical="center" textRotation="90"/>
    </xf>
    <xf numFmtId="0" fontId="3" fillId="8" borderId="1" xfId="0" applyFont="1" applyFill="1" applyBorder="1" applyAlignment="1">
      <alignment horizontal="center" vertical="center" textRotation="90" wrapText="1"/>
    </xf>
    <xf numFmtId="0" fontId="4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textRotation="90" wrapText="1"/>
    </xf>
    <xf numFmtId="1" fontId="3" fillId="6" borderId="1" xfId="0" applyNumberFormat="1" applyFont="1" applyFill="1" applyBorder="1" applyAlignment="1">
      <alignment horizontal="center" vertical="center" textRotation="90" wrapText="1"/>
    </xf>
    <xf numFmtId="0" fontId="20" fillId="25" borderId="34" xfId="0" applyFont="1" applyFill="1" applyBorder="1" applyAlignment="1">
      <alignment horizontal="center" vertical="center" textRotation="90"/>
    </xf>
    <xf numFmtId="0" fontId="37" fillId="8" borderId="46" xfId="0" applyFont="1" applyFill="1" applyBorder="1" applyAlignment="1">
      <alignment horizontal="center" vertical="center"/>
    </xf>
    <xf numFmtId="0" fontId="37" fillId="8" borderId="47" xfId="0" applyFont="1" applyFill="1" applyBorder="1" applyAlignment="1">
      <alignment horizontal="center" vertical="center"/>
    </xf>
    <xf numFmtId="0" fontId="37" fillId="8" borderId="48" xfId="0" applyFont="1" applyFill="1" applyBorder="1" applyAlignment="1">
      <alignment horizontal="center" vertical="center"/>
    </xf>
    <xf numFmtId="0" fontId="37" fillId="8" borderId="53" xfId="0" applyFont="1" applyFill="1" applyBorder="1" applyAlignment="1">
      <alignment horizontal="center" vertical="center"/>
    </xf>
    <xf numFmtId="0" fontId="37" fillId="8" borderId="50" xfId="0" applyFont="1" applyFill="1" applyBorder="1" applyAlignment="1">
      <alignment horizontal="center" vertical="center"/>
    </xf>
    <xf numFmtId="0" fontId="37" fillId="8" borderId="52" xfId="0" applyFont="1" applyFill="1" applyBorder="1" applyAlignment="1">
      <alignment horizontal="center" vertical="center"/>
    </xf>
    <xf numFmtId="0" fontId="37" fillId="8" borderId="49" xfId="0" applyFont="1" applyFill="1" applyBorder="1" applyAlignment="1">
      <alignment horizontal="center" vertical="center"/>
    </xf>
    <xf numFmtId="0" fontId="37" fillId="8" borderId="51" xfId="0" applyFont="1" applyFill="1" applyBorder="1" applyAlignment="1">
      <alignment horizontal="center" vertical="center"/>
    </xf>
    <xf numFmtId="0" fontId="23" fillId="15" borderId="29" xfId="0" applyFont="1" applyFill="1" applyBorder="1" applyAlignment="1">
      <alignment horizontal="center" vertical="center"/>
    </xf>
    <xf numFmtId="0" fontId="23" fillId="15" borderId="30" xfId="0" applyFont="1" applyFill="1" applyBorder="1" applyAlignment="1">
      <alignment horizontal="center" vertical="center"/>
    </xf>
    <xf numFmtId="0" fontId="6" fillId="8" borderId="57" xfId="0" applyFont="1" applyFill="1" applyBorder="1" applyAlignment="1">
      <alignment horizontal="left" vertical="center"/>
    </xf>
    <xf numFmtId="0" fontId="6" fillId="8" borderId="57" xfId="0" applyFont="1" applyFill="1" applyBorder="1" applyAlignment="1">
      <alignment horizontal="center" vertical="center"/>
    </xf>
    <xf numFmtId="0" fontId="40" fillId="33" borderId="57" xfId="0" applyFont="1" applyFill="1" applyBorder="1" applyAlignment="1">
      <alignment horizontal="center" vertical="center" wrapText="1"/>
    </xf>
    <xf numFmtId="0" fontId="31" fillId="33" borderId="57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0" fillId="9" borderId="4" xfId="0" applyFill="1" applyBorder="1" applyAlignment="1">
      <alignment horizontal="center"/>
    </xf>
    <xf numFmtId="0" fontId="6" fillId="4" borderId="14" xfId="0" applyFont="1" applyFill="1" applyBorder="1" applyAlignment="1">
      <alignment horizontal="left" vertical="center"/>
    </xf>
    <xf numFmtId="0" fontId="6" fillId="4" borderId="16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 textRotation="90" wrapText="1"/>
    </xf>
    <xf numFmtId="0" fontId="1" fillId="11" borderId="17" xfId="0" applyFont="1" applyFill="1" applyBorder="1" applyAlignment="1">
      <alignment horizontal="center" vertical="center" textRotation="90" wrapText="1"/>
    </xf>
    <xf numFmtId="0" fontId="17" fillId="24" borderId="19" xfId="0" applyFont="1" applyFill="1" applyBorder="1" applyAlignment="1">
      <alignment horizontal="center" vertical="center" textRotation="90"/>
    </xf>
    <xf numFmtId="0" fontId="17" fillId="24" borderId="20" xfId="0" applyFont="1" applyFill="1" applyBorder="1" applyAlignment="1">
      <alignment horizontal="center" vertical="center" textRotation="90"/>
    </xf>
    <xf numFmtId="0" fontId="17" fillId="24" borderId="21" xfId="0" applyFont="1" applyFill="1" applyBorder="1" applyAlignment="1">
      <alignment horizontal="center" vertical="center" textRotation="90"/>
    </xf>
    <xf numFmtId="0" fontId="17" fillId="24" borderId="22" xfId="0" applyFont="1" applyFill="1" applyBorder="1" applyAlignment="1">
      <alignment horizontal="center" vertical="center" textRotation="90"/>
    </xf>
    <xf numFmtId="0" fontId="1" fillId="24" borderId="2" xfId="0" applyFont="1" applyFill="1" applyBorder="1" applyAlignment="1">
      <alignment horizontal="center" vertical="center" textRotation="90" wrapText="1"/>
    </xf>
    <xf numFmtId="0" fontId="1" fillId="24" borderId="3" xfId="0" applyFont="1" applyFill="1" applyBorder="1" applyAlignment="1">
      <alignment horizontal="center" vertical="center" textRotation="90" wrapText="1"/>
    </xf>
    <xf numFmtId="0" fontId="1" fillId="24" borderId="15" xfId="0" applyFont="1" applyFill="1" applyBorder="1" applyAlignment="1">
      <alignment horizontal="center" vertical="center"/>
    </xf>
    <xf numFmtId="0" fontId="1" fillId="24" borderId="16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 textRotation="90" wrapText="1"/>
    </xf>
    <xf numFmtId="0" fontId="17" fillId="24" borderId="13" xfId="0" applyFont="1" applyFill="1" applyBorder="1" applyAlignment="1">
      <alignment horizontal="center" vertical="center" textRotation="90"/>
    </xf>
    <xf numFmtId="0" fontId="17" fillId="24" borderId="18" xfId="0" applyFont="1" applyFill="1" applyBorder="1" applyAlignment="1">
      <alignment horizontal="center" vertical="center" textRotation="90"/>
    </xf>
    <xf numFmtId="0" fontId="1" fillId="3" borderId="1" xfId="0" applyFont="1" applyFill="1" applyBorder="1" applyAlignment="1">
      <alignment horizontal="center" vertical="center"/>
    </xf>
    <xf numFmtId="0" fontId="23" fillId="15" borderId="23" xfId="0" applyFont="1" applyFill="1" applyBorder="1" applyAlignment="1">
      <alignment horizontal="center" vertical="center"/>
    </xf>
    <xf numFmtId="0" fontId="23" fillId="15" borderId="24" xfId="0" applyFont="1" applyFill="1" applyBorder="1" applyAlignment="1">
      <alignment horizontal="center" vertical="center"/>
    </xf>
    <xf numFmtId="0" fontId="23" fillId="15" borderId="25" xfId="0" applyFont="1" applyFill="1" applyBorder="1" applyAlignment="1">
      <alignment horizontal="center" vertical="center"/>
    </xf>
    <xf numFmtId="0" fontId="6" fillId="12" borderId="14" xfId="0" applyFont="1" applyFill="1" applyBorder="1" applyAlignment="1">
      <alignment horizontal="center" vertical="top"/>
    </xf>
    <xf numFmtId="0" fontId="6" fillId="12" borderId="15" xfId="0" applyFont="1" applyFill="1" applyBorder="1" applyAlignment="1">
      <alignment horizontal="center" vertical="top"/>
    </xf>
    <xf numFmtId="0" fontId="6" fillId="12" borderId="16" xfId="0" applyFont="1" applyFill="1" applyBorder="1" applyAlignment="1">
      <alignment horizontal="center" vertical="top"/>
    </xf>
    <xf numFmtId="0" fontId="6" fillId="10" borderId="0" xfId="0" applyFont="1" applyFill="1" applyAlignment="1">
      <alignment horizontal="left"/>
    </xf>
    <xf numFmtId="0" fontId="6" fillId="11" borderId="5" xfId="0" applyFont="1" applyFill="1" applyBorder="1" applyAlignment="1">
      <alignment horizontal="left" vertical="center" wrapText="1"/>
    </xf>
    <xf numFmtId="0" fontId="6" fillId="11" borderId="4" xfId="0" applyFont="1" applyFill="1" applyBorder="1" applyAlignment="1">
      <alignment horizontal="left" vertical="center" wrapText="1"/>
    </xf>
    <xf numFmtId="0" fontId="6" fillId="12" borderId="4" xfId="0" applyFont="1" applyFill="1" applyBorder="1" applyAlignment="1">
      <alignment horizontal="center" vertical="top"/>
    </xf>
    <xf numFmtId="0" fontId="1" fillId="3" borderId="1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8" borderId="16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textRotation="90" wrapText="1"/>
    </xf>
    <xf numFmtId="0" fontId="17" fillId="8" borderId="18" xfId="0" applyFont="1" applyFill="1" applyBorder="1" applyAlignment="1">
      <alignment horizontal="center" vertical="center" textRotation="90" wrapText="1"/>
    </xf>
    <xf numFmtId="0" fontId="17" fillId="8" borderId="13" xfId="0" applyFont="1" applyFill="1" applyBorder="1" applyAlignment="1">
      <alignment horizontal="center" vertical="center" textRotation="90"/>
    </xf>
    <xf numFmtId="0" fontId="17" fillId="8" borderId="18" xfId="0" applyFont="1" applyFill="1" applyBorder="1" applyAlignment="1">
      <alignment horizontal="center" vertical="center" textRotation="90"/>
    </xf>
    <xf numFmtId="0" fontId="17" fillId="8" borderId="19" xfId="0" applyFont="1" applyFill="1" applyBorder="1" applyAlignment="1">
      <alignment horizontal="center" vertical="center" textRotation="90"/>
    </xf>
    <xf numFmtId="0" fontId="17" fillId="8" borderId="20" xfId="0" applyFont="1" applyFill="1" applyBorder="1" applyAlignment="1">
      <alignment horizontal="center" vertical="center" textRotation="90"/>
    </xf>
    <xf numFmtId="0" fontId="17" fillId="8" borderId="21" xfId="0" applyFont="1" applyFill="1" applyBorder="1" applyAlignment="1">
      <alignment horizontal="center" vertical="center" textRotation="90"/>
    </xf>
    <xf numFmtId="0" fontId="17" fillId="8" borderId="22" xfId="0" applyFont="1" applyFill="1" applyBorder="1" applyAlignment="1">
      <alignment horizontal="center" vertical="center" textRotation="90"/>
    </xf>
    <xf numFmtId="0" fontId="1" fillId="8" borderId="2" xfId="0" applyFont="1" applyFill="1" applyBorder="1" applyAlignment="1">
      <alignment horizontal="center" vertical="center" textRotation="90" wrapText="1"/>
    </xf>
    <xf numFmtId="0" fontId="1" fillId="8" borderId="3" xfId="0" applyFont="1" applyFill="1" applyBorder="1" applyAlignment="1">
      <alignment horizontal="center" vertical="center" textRotation="90" wrapText="1"/>
    </xf>
    <xf numFmtId="0" fontId="4" fillId="6" borderId="2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textRotation="90" wrapText="1"/>
    </xf>
    <xf numFmtId="0" fontId="3" fillId="2" borderId="3" xfId="0" applyFont="1" applyFill="1" applyBorder="1" applyAlignment="1">
      <alignment horizontal="center" vertical="center" textRotation="90" wrapText="1"/>
    </xf>
    <xf numFmtId="0" fontId="17" fillId="6" borderId="18" xfId="0" applyFont="1" applyFill="1" applyBorder="1" applyAlignment="1">
      <alignment horizontal="center" vertical="center" textRotation="90" wrapText="1"/>
    </xf>
    <xf numFmtId="0" fontId="17" fillId="6" borderId="13" xfId="0" applyFont="1" applyFill="1" applyBorder="1" applyAlignment="1">
      <alignment horizontal="center" vertical="center" textRotation="90"/>
    </xf>
    <xf numFmtId="0" fontId="1" fillId="21" borderId="15" xfId="0" applyFont="1" applyFill="1" applyBorder="1" applyAlignment="1">
      <alignment horizontal="center" vertical="center"/>
    </xf>
    <xf numFmtId="0" fontId="1" fillId="21" borderId="16" xfId="0" applyFont="1" applyFill="1" applyBorder="1" applyAlignment="1">
      <alignment horizontal="center" vertical="center"/>
    </xf>
    <xf numFmtId="0" fontId="38" fillId="8" borderId="27" xfId="0" applyFont="1" applyFill="1" applyBorder="1" applyAlignment="1">
      <alignment horizontal="center" vertical="center"/>
    </xf>
    <xf numFmtId="0" fontId="38" fillId="8" borderId="32" xfId="0" applyFont="1" applyFill="1" applyBorder="1" applyAlignment="1">
      <alignment horizontal="center" vertical="center"/>
    </xf>
    <xf numFmtId="0" fontId="38" fillId="8" borderId="28" xfId="0" applyFont="1" applyFill="1" applyBorder="1" applyAlignment="1">
      <alignment horizontal="center" vertical="center"/>
    </xf>
    <xf numFmtId="0" fontId="38" fillId="8" borderId="33" xfId="0" applyFont="1" applyFill="1" applyBorder="1" applyAlignment="1">
      <alignment horizontal="center" vertical="center"/>
    </xf>
    <xf numFmtId="0" fontId="39" fillId="8" borderId="28" xfId="0" applyFont="1" applyFill="1" applyBorder="1" applyAlignment="1">
      <alignment horizontal="center" vertical="center" wrapText="1"/>
    </xf>
    <xf numFmtId="0" fontId="39" fillId="8" borderId="33" xfId="0" applyFont="1" applyFill="1" applyBorder="1" applyAlignment="1">
      <alignment horizontal="center" vertical="center" wrapText="1"/>
    </xf>
    <xf numFmtId="0" fontId="38" fillId="8" borderId="28" xfId="0" applyFont="1" applyFill="1" applyBorder="1" applyAlignment="1">
      <alignment horizontal="center" vertical="center" textRotation="90"/>
    </xf>
    <xf numFmtId="0" fontId="38" fillId="8" borderId="33" xfId="0" applyFont="1" applyFill="1" applyBorder="1" applyAlignment="1">
      <alignment horizontal="center" vertical="center" textRotation="90"/>
    </xf>
    <xf numFmtId="0" fontId="1" fillId="16" borderId="2" xfId="0" applyFont="1" applyFill="1" applyBorder="1" applyAlignment="1">
      <alignment horizontal="center" vertical="center" textRotation="90"/>
    </xf>
    <xf numFmtId="0" fontId="1" fillId="16" borderId="3" xfId="0" applyFont="1" applyFill="1" applyBorder="1" applyAlignment="1">
      <alignment horizontal="center" vertical="center" textRotation="90"/>
    </xf>
    <xf numFmtId="0" fontId="4" fillId="24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3" fillId="24" borderId="1" xfId="0" applyFont="1" applyFill="1" applyBorder="1" applyAlignment="1">
      <alignment horizontal="center" vertical="center" textRotation="90" wrapText="1"/>
    </xf>
    <xf numFmtId="0" fontId="1" fillId="6" borderId="14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24" borderId="5" xfId="0" applyFont="1" applyFill="1" applyBorder="1" applyAlignment="1">
      <alignment horizontal="center" vertical="center"/>
    </xf>
    <xf numFmtId="0" fontId="1" fillId="24" borderId="4" xfId="0" applyFont="1" applyFill="1" applyBorder="1" applyAlignment="1">
      <alignment horizontal="center" vertical="center"/>
    </xf>
    <xf numFmtId="0" fontId="1" fillId="24" borderId="6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left" vertical="center" wrapText="1"/>
    </xf>
    <xf numFmtId="0" fontId="6" fillId="11" borderId="0" xfId="0" applyFont="1" applyFill="1" applyAlignment="1">
      <alignment horizontal="left" vertical="center" wrapText="1"/>
    </xf>
    <xf numFmtId="0" fontId="1" fillId="22" borderId="17" xfId="0" applyFont="1" applyFill="1" applyBorder="1" applyAlignment="1">
      <alignment horizontal="center" vertical="center" textRotation="90" wrapText="1"/>
    </xf>
    <xf numFmtId="0" fontId="17" fillId="22" borderId="36" xfId="0" applyFont="1" applyFill="1" applyBorder="1" applyAlignment="1">
      <alignment horizontal="center" vertical="center" textRotation="90" wrapText="1"/>
    </xf>
    <xf numFmtId="0" fontId="17" fillId="22" borderId="36" xfId="0" applyFont="1" applyFill="1" applyBorder="1" applyAlignment="1">
      <alignment horizontal="center" vertical="center" textRotation="90"/>
    </xf>
    <xf numFmtId="0" fontId="17" fillId="22" borderId="10" xfId="0" applyFont="1" applyFill="1" applyBorder="1" applyAlignment="1">
      <alignment horizontal="center" vertical="center" textRotation="90"/>
    </xf>
    <xf numFmtId="0" fontId="17" fillId="22" borderId="56" xfId="0" applyFont="1" applyFill="1" applyBorder="1" applyAlignment="1">
      <alignment horizontal="center" vertical="center" textRotation="90"/>
    </xf>
    <xf numFmtId="0" fontId="19" fillId="4" borderId="7" xfId="0" applyFont="1" applyFill="1" applyBorder="1" applyAlignment="1">
      <alignment horizontal="left" vertical="center" wrapText="1"/>
    </xf>
    <xf numFmtId="0" fontId="19" fillId="4" borderId="0" xfId="0" applyFont="1" applyFill="1" applyAlignment="1">
      <alignment horizontal="left" vertical="center" wrapText="1"/>
    </xf>
    <xf numFmtId="0" fontId="0" fillId="11" borderId="12" xfId="0" applyFill="1" applyBorder="1" applyAlignment="1">
      <alignment horizontal="center"/>
    </xf>
    <xf numFmtId="0" fontId="1" fillId="21" borderId="5" xfId="0" applyFont="1" applyFill="1" applyBorder="1" applyAlignment="1">
      <alignment horizontal="center" vertical="center"/>
    </xf>
    <xf numFmtId="0" fontId="1" fillId="21" borderId="4" xfId="0" applyFont="1" applyFill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0" fontId="8" fillId="14" borderId="8" xfId="0" applyFont="1" applyFill="1" applyBorder="1" applyAlignment="1">
      <alignment horizontal="center" vertical="center" textRotation="90" wrapText="1"/>
    </xf>
    <xf numFmtId="0" fontId="8" fillId="14" borderId="10" xfId="0" applyFont="1" applyFill="1" applyBorder="1" applyAlignment="1">
      <alignment horizontal="center" vertical="center" textRotation="90" wrapText="1"/>
    </xf>
    <xf numFmtId="0" fontId="9" fillId="14" borderId="8" xfId="0" applyFont="1" applyFill="1" applyBorder="1" applyAlignment="1">
      <alignment horizontal="center" vertical="center" textRotation="90" wrapText="1"/>
    </xf>
    <xf numFmtId="0" fontId="9" fillId="14" borderId="10" xfId="0" applyFont="1" applyFill="1" applyBorder="1" applyAlignment="1">
      <alignment horizontal="center" vertical="center" textRotation="90" wrapText="1"/>
    </xf>
    <xf numFmtId="0" fontId="9" fillId="14" borderId="9" xfId="0" applyFont="1" applyFill="1" applyBorder="1" applyAlignment="1">
      <alignment horizontal="center" vertical="center" textRotation="90" wrapText="1"/>
    </xf>
    <xf numFmtId="0" fontId="9" fillId="14" borderId="11" xfId="0" applyFont="1" applyFill="1" applyBorder="1" applyAlignment="1">
      <alignment horizontal="center" vertical="center" textRotation="90" wrapText="1"/>
    </xf>
    <xf numFmtId="0" fontId="3" fillId="21" borderId="1" xfId="0" applyFont="1" applyFill="1" applyBorder="1" applyAlignment="1">
      <alignment horizontal="center" vertical="center" textRotation="90" wrapText="1"/>
    </xf>
    <xf numFmtId="0" fontId="3" fillId="14" borderId="1" xfId="0" applyFont="1" applyFill="1" applyBorder="1" applyAlignment="1">
      <alignment horizontal="center" vertical="center" textRotation="90" wrapText="1"/>
    </xf>
    <xf numFmtId="0" fontId="4" fillId="21" borderId="26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17" fillId="24" borderId="19" xfId="0" applyFont="1" applyFill="1" applyBorder="1" applyAlignment="1">
      <alignment horizontal="center" vertical="center" textRotation="90" wrapText="1"/>
    </xf>
    <xf numFmtId="0" fontId="17" fillId="24" borderId="20" xfId="0" applyFont="1" applyFill="1" applyBorder="1" applyAlignment="1">
      <alignment horizontal="center" vertical="center" textRotation="90" wrapText="1"/>
    </xf>
    <xf numFmtId="0" fontId="1" fillId="22" borderId="1" xfId="0" applyFont="1" applyFill="1" applyBorder="1" applyAlignment="1">
      <alignment horizontal="center" vertical="center" textRotation="90" wrapText="1"/>
    </xf>
    <xf numFmtId="0" fontId="1" fillId="22" borderId="1" xfId="0" applyFont="1" applyFill="1" applyBorder="1" applyAlignment="1">
      <alignment horizontal="center" vertical="center" textRotation="90"/>
    </xf>
    <xf numFmtId="0" fontId="17" fillId="24" borderId="60" xfId="0" applyFont="1" applyFill="1" applyBorder="1" applyAlignment="1">
      <alignment horizontal="center" vertical="center" textRotation="90" wrapText="1"/>
    </xf>
    <xf numFmtId="0" fontId="17" fillId="24" borderId="61" xfId="0" applyFont="1" applyFill="1" applyBorder="1" applyAlignment="1">
      <alignment horizontal="center" vertical="center" textRotation="90" wrapText="1"/>
    </xf>
  </cellXfs>
  <cellStyles count="4">
    <cellStyle name="Normal" xfId="0" builtinId="0"/>
    <cellStyle name="Normal 2" xfId="1" xr:uid="{00000000-0005-0000-0000-000001000000}"/>
    <cellStyle name="Normal 3" xfId="3" xr:uid="{6905DBCD-48B6-43F5-893E-1914AF682648}"/>
    <cellStyle name="Normal_Final Grade" xfId="2" xr:uid="{00000000-0005-0000-0000-000002000000}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 tint="-4.9989318521683403E-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theme="1" tint="0.24994659260841701"/>
        </patternFill>
      </fill>
    </dxf>
    <dxf>
      <font>
        <b/>
        <i val="0"/>
        <color theme="0" tint="-4.9989318521683403E-2"/>
      </font>
      <fill>
        <patternFill>
          <bgColor theme="1" tint="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 tint="-4.9989318521683403E-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theme="1" tint="0.24994659260841701"/>
        </patternFill>
      </fill>
    </dxf>
    <dxf>
      <font>
        <b/>
        <i val="0"/>
        <color theme="0" tint="-4.9989318521683403E-2"/>
      </font>
      <fill>
        <patternFill>
          <bgColor theme="1" tint="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 tint="-4.9989318521683403E-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theme="1" tint="0.24994659260841701"/>
        </patternFill>
      </fill>
    </dxf>
    <dxf>
      <font>
        <b/>
        <i val="0"/>
        <color theme="0" tint="-4.9989318521683403E-2"/>
      </font>
      <fill>
        <patternFill>
          <bgColor theme="1" tint="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 tint="-4.9989318521683403E-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theme="1" tint="0.24994659260841701"/>
        </patternFill>
      </fill>
    </dxf>
    <dxf>
      <font>
        <b/>
        <i val="0"/>
        <color theme="0" tint="-4.9989318521683403E-2"/>
      </font>
      <fill>
        <patternFill>
          <bgColor theme="1" tint="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7</xdr:row>
      <xdr:rowOff>104775</xdr:rowOff>
    </xdr:from>
    <xdr:to>
      <xdr:col>5</xdr:col>
      <xdr:colOff>457200</xdr:colOff>
      <xdr:row>9</xdr:row>
      <xdr:rowOff>85725</xdr:rowOff>
    </xdr:to>
    <xdr:sp macro="[0]!gotosemester1" textlink="">
      <xdr:nvSpPr>
        <xdr:cNvPr id="2" name="Rounded Rectangle 2">
          <a:extLst>
            <a:ext uri="{FF2B5EF4-FFF2-40B4-BE49-F238E27FC236}">
              <a16:creationId xmlns:a16="http://schemas.microsoft.com/office/drawing/2014/main" id="{BB2FB933-A46A-4A8F-855E-CDC4E739BED9}"/>
            </a:ext>
          </a:extLst>
        </xdr:cNvPr>
        <xdr:cNvSpPr/>
      </xdr:nvSpPr>
      <xdr:spPr>
        <a:xfrm>
          <a:off x="4219575" y="1438275"/>
          <a:ext cx="1409700" cy="4953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rgbClr val="002060"/>
              </a:solidFill>
              <a:latin typeface="Gadugi" panose="020B0502040204020203" pitchFamily="34" charset="0"/>
            </a:rPr>
            <a:t>SEMESTER 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7</xdr:row>
      <xdr:rowOff>104775</xdr:rowOff>
    </xdr:from>
    <xdr:to>
      <xdr:col>5</xdr:col>
      <xdr:colOff>457200</xdr:colOff>
      <xdr:row>9</xdr:row>
      <xdr:rowOff>85725</xdr:rowOff>
    </xdr:to>
    <xdr:sp macro="[0]!gotosemester1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505200" y="1438275"/>
          <a:ext cx="1409700" cy="4286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rgbClr val="002060"/>
              </a:solidFill>
              <a:latin typeface="Gadugi" panose="020B0502040204020203" pitchFamily="34" charset="0"/>
            </a:rPr>
            <a:t>SEMESTER 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19050</xdr:rowOff>
    </xdr:from>
    <xdr:to>
      <xdr:col>1</xdr:col>
      <xdr:colOff>657225</xdr:colOff>
      <xdr:row>5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9050"/>
          <a:ext cx="1171575" cy="1171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19050</xdr:rowOff>
    </xdr:from>
    <xdr:to>
      <xdr:col>1</xdr:col>
      <xdr:colOff>704850</xdr:colOff>
      <xdr:row>6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9050"/>
          <a:ext cx="1219200" cy="1219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7</xdr:row>
      <xdr:rowOff>142875</xdr:rowOff>
    </xdr:from>
    <xdr:to>
      <xdr:col>5</xdr:col>
      <xdr:colOff>428625</xdr:colOff>
      <xdr:row>9</xdr:row>
      <xdr:rowOff>123825</xdr:rowOff>
    </xdr:to>
    <xdr:sp macro="[0]!gotosemester2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476625" y="1476375"/>
          <a:ext cx="1409700" cy="4286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rgbClr val="002060"/>
              </a:solidFill>
              <a:latin typeface="Gadugi" panose="020B0502040204020203" pitchFamily="34" charset="0"/>
            </a:rPr>
            <a:t>SEMESTER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19050</xdr:rowOff>
    </xdr:from>
    <xdr:to>
      <xdr:col>1</xdr:col>
      <xdr:colOff>638175</xdr:colOff>
      <xdr:row>6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9050"/>
          <a:ext cx="1152525" cy="11525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CORING%20SYSTEM%20V1%20-%20GRADE_1-3%20(A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ADE REPORTS"/>
      <sheetName val="SETTING"/>
      <sheetName val="Q1"/>
      <sheetName val="COMMENT Q1"/>
      <sheetName val="Q2"/>
      <sheetName val="COMMENT Q2"/>
      <sheetName val="SEM1"/>
      <sheetName val="FINAL SEM1"/>
      <sheetName val="Q3"/>
      <sheetName val="COMMENT Q3"/>
      <sheetName val="Q4"/>
      <sheetName val="COMMENT Q4"/>
      <sheetName val="SEM2"/>
      <sheetName val="FINAL SEM2"/>
      <sheetName val="REPORT SEM1"/>
      <sheetName val="REPORT SEM2"/>
      <sheetName val="REPORT-END-OF-YEAR"/>
      <sheetName val="RESULT-AY"/>
      <sheetName val="REPORT-END-OF-YEAR SUMMER"/>
      <sheetName val="END OF YEAR RESULT"/>
      <sheetName val="END OF YEAR AFTER SUMMER "/>
      <sheetName val="RESULT (AY-SUMMER)"/>
      <sheetName val="State SEM1-G1-6"/>
      <sheetName val="State SEM2-G1-6"/>
      <sheetName val="State AY-G1-6"/>
      <sheetName val="T.Book (G4-6)"/>
    </sheetNames>
    <sheetDataSet>
      <sheetData sheetId="0"/>
      <sheetData sheetId="1">
        <row r="4">
          <cell r="R4" t="str">
            <v>2024-2025</v>
          </cell>
        </row>
      </sheetData>
      <sheetData sheetId="2"/>
      <sheetData sheetId="3"/>
      <sheetData sheetId="4"/>
      <sheetData sheetId="5"/>
      <sheetData sheetId="6"/>
      <sheetData sheetId="7">
        <row r="55">
          <cell r="Y55"/>
          <cell r="Z55"/>
          <cell r="AA55"/>
        </row>
        <row r="56">
          <cell r="Y56"/>
          <cell r="Z56"/>
          <cell r="AA56"/>
        </row>
        <row r="57">
          <cell r="Y57"/>
          <cell r="Z57"/>
          <cell r="AA57"/>
        </row>
        <row r="58">
          <cell r="Y58"/>
          <cell r="Z58"/>
          <cell r="AA58"/>
        </row>
        <row r="59">
          <cell r="Y59"/>
          <cell r="Z59"/>
          <cell r="AA59"/>
        </row>
        <row r="60">
          <cell r="Y60"/>
          <cell r="Z60"/>
          <cell r="AA60"/>
        </row>
        <row r="61">
          <cell r="Y61"/>
          <cell r="Z61"/>
          <cell r="AA61"/>
        </row>
        <row r="62">
          <cell r="Y62"/>
          <cell r="Z62"/>
          <cell r="AA62"/>
        </row>
        <row r="63">
          <cell r="Y63"/>
          <cell r="Z63"/>
          <cell r="AA63"/>
        </row>
        <row r="64">
          <cell r="Y64"/>
          <cell r="Z64"/>
          <cell r="AA64"/>
        </row>
        <row r="65">
          <cell r="Y65"/>
          <cell r="Z65"/>
          <cell r="AA65"/>
        </row>
        <row r="66">
          <cell r="Y66"/>
          <cell r="Z66"/>
          <cell r="AA66"/>
        </row>
        <row r="67">
          <cell r="Y67"/>
          <cell r="Z67"/>
          <cell r="AA67"/>
        </row>
        <row r="68">
          <cell r="Y68"/>
          <cell r="Z68"/>
          <cell r="AA68"/>
        </row>
      </sheetData>
      <sheetData sheetId="8"/>
      <sheetData sheetId="9"/>
      <sheetData sheetId="10"/>
      <sheetData sheetId="11"/>
      <sheetData sheetId="12"/>
      <sheetData sheetId="13">
        <row r="9">
          <cell r="N9"/>
        </row>
        <row r="55">
          <cell r="N55"/>
        </row>
        <row r="56">
          <cell r="N56"/>
        </row>
        <row r="57">
          <cell r="N57"/>
        </row>
        <row r="58">
          <cell r="N58"/>
        </row>
        <row r="59">
          <cell r="N59"/>
        </row>
        <row r="60">
          <cell r="N60"/>
        </row>
        <row r="61">
          <cell r="N61"/>
        </row>
        <row r="62">
          <cell r="N62"/>
        </row>
        <row r="63">
          <cell r="N63"/>
        </row>
        <row r="64">
          <cell r="N64"/>
        </row>
        <row r="65">
          <cell r="N65"/>
        </row>
        <row r="66">
          <cell r="N66"/>
        </row>
        <row r="67">
          <cell r="N67"/>
        </row>
        <row r="68">
          <cell r="N68"/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DQ35"/>
  <sheetViews>
    <sheetView tabSelected="1" topLeftCell="A11" zoomScale="85" zoomScaleNormal="85" workbookViewId="0">
      <selection activeCell="S24" sqref="S24"/>
    </sheetView>
  </sheetViews>
  <sheetFormatPr defaultRowHeight="23" x14ac:dyDescent="0.95"/>
  <cols>
    <col min="2" max="2" width="23.81640625" customWidth="1"/>
    <col min="3" max="3" width="28.453125" customWidth="1"/>
    <col min="4" max="4" width="9.26953125" style="33" customWidth="1"/>
    <col min="5" max="5" width="11.453125" style="40" customWidth="1"/>
    <col min="6" max="15" width="9.1796875" style="33"/>
    <col min="17" max="19" width="9.1796875" style="33"/>
    <col min="21" max="22" width="9.1796875" style="33"/>
    <col min="23" max="92" width="9.1796875" customWidth="1"/>
    <col min="115" max="115" width="27.453125" customWidth="1"/>
    <col min="116" max="116" width="12.1796875" customWidth="1"/>
    <col min="117" max="117" width="12" customWidth="1"/>
    <col min="118" max="118" width="10.7265625" customWidth="1"/>
    <col min="119" max="119" width="9.81640625" customWidth="1"/>
    <col min="120" max="120" width="12.1796875" customWidth="1"/>
  </cols>
  <sheetData>
    <row r="1" spans="1:121" s="4" customFormat="1" x14ac:dyDescent="0.95">
      <c r="D1" s="31"/>
      <c r="E1" s="39"/>
      <c r="F1" s="31"/>
      <c r="G1" s="31"/>
      <c r="H1" s="31"/>
      <c r="I1" s="31"/>
      <c r="J1" s="31"/>
      <c r="K1" s="31"/>
      <c r="L1" s="31"/>
      <c r="M1" s="31"/>
      <c r="N1" s="31"/>
      <c r="O1" s="31"/>
      <c r="Q1" s="31"/>
      <c r="R1" s="31"/>
      <c r="S1" s="31"/>
      <c r="U1" s="31"/>
      <c r="V1" s="31"/>
    </row>
    <row r="2" spans="1:121" s="4" customFormat="1" x14ac:dyDescent="0.95">
      <c r="D2" s="31"/>
      <c r="E2" s="39"/>
      <c r="F2" s="31"/>
      <c r="G2" s="31"/>
      <c r="H2" s="31"/>
      <c r="I2" s="31"/>
      <c r="J2" s="31"/>
      <c r="K2" s="31"/>
      <c r="L2" s="31"/>
      <c r="M2" s="31"/>
      <c r="N2" s="31"/>
      <c r="O2" s="31"/>
      <c r="Q2" s="31"/>
      <c r="R2" s="31"/>
      <c r="S2" s="31"/>
      <c r="U2" s="31"/>
      <c r="V2" s="31"/>
    </row>
    <row r="3" spans="1:121" s="4" customFormat="1" x14ac:dyDescent="0.95">
      <c r="D3" s="31"/>
      <c r="E3" s="39"/>
      <c r="F3" s="31"/>
      <c r="G3" s="31"/>
      <c r="H3" s="31"/>
      <c r="I3" s="31"/>
      <c r="J3" s="31"/>
      <c r="K3" s="31"/>
      <c r="L3" s="31"/>
      <c r="M3" s="31"/>
      <c r="N3" s="31"/>
      <c r="O3" s="31"/>
      <c r="Q3" s="31"/>
      <c r="R3" s="31"/>
      <c r="S3" s="31"/>
      <c r="U3" s="31"/>
      <c r="V3" s="31"/>
    </row>
    <row r="4" spans="1:121" s="4" customFormat="1" x14ac:dyDescent="0.95">
      <c r="D4" s="31"/>
      <c r="E4" s="39"/>
      <c r="F4" s="31"/>
      <c r="G4" s="31"/>
      <c r="H4" s="31"/>
      <c r="I4" s="31"/>
      <c r="J4" s="31"/>
      <c r="K4" s="31"/>
      <c r="L4" s="31"/>
      <c r="M4" s="31"/>
      <c r="N4" s="31"/>
      <c r="O4" s="31"/>
      <c r="Q4" s="31"/>
      <c r="R4" s="31"/>
      <c r="S4" s="31"/>
      <c r="U4" s="31"/>
      <c r="V4" s="31"/>
    </row>
    <row r="5" spans="1:121" s="4" customFormat="1" x14ac:dyDescent="0.95">
      <c r="D5" s="31"/>
      <c r="E5" s="39"/>
      <c r="F5" s="31"/>
      <c r="G5" s="31"/>
      <c r="H5" s="31"/>
      <c r="I5" s="31"/>
      <c r="J5" s="31"/>
      <c r="K5" s="31"/>
      <c r="L5" s="31"/>
      <c r="M5" s="31"/>
      <c r="N5" s="31"/>
      <c r="O5" s="31"/>
      <c r="Q5" s="31"/>
      <c r="R5" s="31"/>
      <c r="S5" s="31"/>
      <c r="U5" s="31"/>
      <c r="V5" s="31"/>
    </row>
    <row r="6" spans="1:121" s="4" customFormat="1" x14ac:dyDescent="0.95">
      <c r="D6" s="31"/>
      <c r="E6" s="39"/>
      <c r="F6" s="31"/>
      <c r="G6" s="31"/>
      <c r="H6" s="31"/>
      <c r="I6" s="31"/>
      <c r="J6" s="31"/>
      <c r="K6" s="31"/>
      <c r="L6" s="31"/>
      <c r="M6" s="31"/>
      <c r="N6" s="31"/>
      <c r="O6" s="31"/>
      <c r="Q6" s="31"/>
      <c r="R6" s="31"/>
      <c r="S6" s="31"/>
      <c r="U6" s="31"/>
      <c r="V6" s="31"/>
    </row>
    <row r="7" spans="1:121" s="4" customFormat="1" x14ac:dyDescent="0.95">
      <c r="A7" s="199" t="s">
        <v>122</v>
      </c>
      <c r="B7" s="199"/>
      <c r="C7" s="145" t="s">
        <v>123</v>
      </c>
      <c r="D7" s="31"/>
      <c r="E7" s="39"/>
      <c r="F7" s="31"/>
      <c r="G7" s="31"/>
      <c r="H7" s="31"/>
      <c r="I7" s="31"/>
      <c r="J7" s="31"/>
      <c r="K7" s="31"/>
      <c r="L7" s="31"/>
      <c r="M7" s="31"/>
      <c r="N7" s="31"/>
      <c r="O7" s="31"/>
      <c r="Q7" s="31"/>
      <c r="R7" s="31"/>
      <c r="S7" s="31"/>
      <c r="U7" s="31"/>
      <c r="V7" s="31"/>
    </row>
    <row r="8" spans="1:121" s="4" customFormat="1" x14ac:dyDescent="0.95">
      <c r="A8" s="199" t="s">
        <v>23</v>
      </c>
      <c r="B8" s="199"/>
      <c r="C8" s="15">
        <v>50</v>
      </c>
      <c r="D8" s="31"/>
      <c r="E8" s="39"/>
      <c r="F8" s="31"/>
      <c r="G8" s="31"/>
      <c r="H8" s="31"/>
      <c r="I8" s="31"/>
      <c r="J8" s="31"/>
      <c r="K8" s="31"/>
      <c r="L8" s="31"/>
      <c r="M8" s="31"/>
      <c r="N8" s="31"/>
      <c r="O8" s="31"/>
      <c r="Q8" s="31"/>
      <c r="R8" s="31"/>
      <c r="S8" s="31"/>
      <c r="U8" s="31"/>
      <c r="V8" s="31"/>
    </row>
    <row r="9" spans="1:121" s="4" customFormat="1" x14ac:dyDescent="0.95">
      <c r="A9" s="199" t="s">
        <v>32</v>
      </c>
      <c r="B9" s="199"/>
      <c r="C9" s="15" t="s">
        <v>121</v>
      </c>
      <c r="D9" s="37"/>
      <c r="E9" s="39"/>
      <c r="F9" s="31"/>
      <c r="G9" s="31"/>
      <c r="H9" s="31"/>
      <c r="I9" s="31"/>
      <c r="J9" s="31"/>
      <c r="K9" s="31"/>
      <c r="L9" s="31"/>
      <c r="M9" s="31"/>
      <c r="N9" s="31"/>
      <c r="O9" s="31"/>
      <c r="Q9" s="31"/>
      <c r="R9" s="31"/>
      <c r="S9" s="31"/>
      <c r="U9" s="31"/>
      <c r="V9" s="31"/>
    </row>
    <row r="10" spans="1:121" s="4" customFormat="1" x14ac:dyDescent="0.95">
      <c r="A10" s="243" t="s">
        <v>47</v>
      </c>
      <c r="B10" s="244"/>
      <c r="C10" s="15" t="s">
        <v>110</v>
      </c>
      <c r="D10" s="37"/>
      <c r="E10" s="39"/>
      <c r="F10" s="31"/>
      <c r="G10" s="31"/>
      <c r="H10" s="31"/>
      <c r="I10" s="31"/>
      <c r="J10" s="31"/>
      <c r="K10" s="31"/>
      <c r="L10" s="31"/>
      <c r="M10" s="31"/>
      <c r="N10" s="31"/>
      <c r="O10" s="31"/>
      <c r="Q10" s="31"/>
      <c r="R10" s="31"/>
      <c r="S10" s="31"/>
      <c r="U10" s="31"/>
      <c r="V10" s="31"/>
    </row>
    <row r="11" spans="1:121" s="4" customFormat="1" ht="20.25" customHeight="1" thickBot="1" x14ac:dyDescent="1">
      <c r="A11" s="241" t="s">
        <v>46</v>
      </c>
      <c r="B11" s="242"/>
      <c r="C11" s="16" t="s">
        <v>126</v>
      </c>
      <c r="D11" s="38"/>
      <c r="E11" s="39"/>
      <c r="F11" s="31"/>
      <c r="G11" s="31"/>
      <c r="H11" s="31"/>
      <c r="I11" s="31"/>
      <c r="J11" s="31"/>
      <c r="K11" s="31"/>
      <c r="L11" s="31"/>
      <c r="M11" s="31"/>
      <c r="N11" s="31"/>
      <c r="O11" s="31"/>
      <c r="Q11" s="31"/>
      <c r="R11" s="31"/>
      <c r="S11" s="31"/>
      <c r="U11" s="31"/>
      <c r="V11" s="31"/>
      <c r="BL11" s="216"/>
      <c r="BM11" s="216"/>
      <c r="BN11" s="216"/>
      <c r="BO11" s="216"/>
      <c r="BP11" s="216"/>
      <c r="BQ11" s="216"/>
      <c r="BR11" s="216"/>
      <c r="BS11" s="31"/>
      <c r="BT11" s="31"/>
      <c r="BU11" s="31"/>
      <c r="BV11" s="31"/>
      <c r="BW11" s="31"/>
      <c r="BX11" s="31"/>
      <c r="BY11" s="31"/>
      <c r="BZ11" s="31"/>
      <c r="CA11" s="31"/>
    </row>
    <row r="12" spans="1:121" ht="18" customHeight="1" thickBot="1" x14ac:dyDescent="0.4">
      <c r="A12" s="237"/>
      <c r="B12" s="237"/>
      <c r="C12" s="237"/>
      <c r="D12" s="237"/>
      <c r="E12" s="237"/>
      <c r="F12" s="237"/>
      <c r="G12" s="245" t="s">
        <v>57</v>
      </c>
      <c r="H12" s="245"/>
      <c r="I12" s="245"/>
      <c r="J12" s="245"/>
      <c r="K12" s="245"/>
      <c r="L12" s="245"/>
      <c r="M12" s="245"/>
      <c r="N12" s="245"/>
      <c r="O12" s="246"/>
      <c r="P12" s="186" t="s">
        <v>58</v>
      </c>
      <c r="Q12" s="186"/>
      <c r="R12" s="186"/>
      <c r="S12" s="186"/>
      <c r="T12" s="186"/>
      <c r="U12" s="186"/>
      <c r="V12" s="186"/>
      <c r="W12" s="211" t="s">
        <v>67</v>
      </c>
      <c r="X12" s="211"/>
      <c r="Y12" s="211"/>
      <c r="Z12" s="211"/>
      <c r="AA12" s="211"/>
      <c r="AB12" s="211"/>
      <c r="AC12" s="211"/>
      <c r="AD12" s="211"/>
      <c r="AE12" s="212"/>
      <c r="AF12" s="211" t="s">
        <v>68</v>
      </c>
      <c r="AG12" s="211"/>
      <c r="AH12" s="211"/>
      <c r="AI12" s="211"/>
      <c r="AJ12" s="211"/>
      <c r="AK12" s="211"/>
      <c r="AL12" s="211"/>
      <c r="AM12" s="172" t="s">
        <v>69</v>
      </c>
      <c r="AN12" s="172"/>
      <c r="AO12" s="172"/>
      <c r="AP12" s="172"/>
      <c r="AQ12" s="172"/>
      <c r="AR12" s="172"/>
      <c r="AS12" s="172"/>
      <c r="AT12" s="172"/>
      <c r="AU12" s="173"/>
      <c r="AV12" s="186" t="s">
        <v>70</v>
      </c>
      <c r="AW12" s="186"/>
      <c r="AX12" s="186"/>
      <c r="AY12" s="186"/>
      <c r="AZ12" s="186"/>
      <c r="BA12" s="186"/>
      <c r="BB12" s="186"/>
      <c r="BC12" s="176" t="s">
        <v>71</v>
      </c>
      <c r="BD12" s="177"/>
      <c r="BE12" s="177"/>
      <c r="BF12" s="177"/>
      <c r="BG12" s="177"/>
      <c r="BH12" s="177"/>
      <c r="BI12" s="177"/>
      <c r="BJ12" s="177"/>
      <c r="BK12" s="178"/>
      <c r="BL12" s="217" t="s">
        <v>72</v>
      </c>
      <c r="BM12" s="218"/>
      <c r="BN12" s="218"/>
      <c r="BO12" s="218"/>
      <c r="BP12" s="218"/>
      <c r="BQ12" s="218"/>
      <c r="BR12" s="218"/>
      <c r="BS12" s="221" t="s">
        <v>73</v>
      </c>
      <c r="BT12" s="221"/>
      <c r="BU12" s="221"/>
      <c r="BV12" s="221"/>
      <c r="BW12" s="221"/>
      <c r="BX12" s="221"/>
      <c r="BY12" s="221"/>
      <c r="BZ12" s="221"/>
      <c r="CA12" s="221"/>
      <c r="CB12" s="204" t="s">
        <v>74</v>
      </c>
      <c r="CC12" s="204"/>
      <c r="CD12" s="204"/>
      <c r="CE12" s="204"/>
      <c r="CF12" s="204"/>
      <c r="CG12" s="204"/>
      <c r="CH12" s="204"/>
      <c r="CI12" s="200" t="s">
        <v>75</v>
      </c>
      <c r="CJ12" s="201"/>
      <c r="CK12" s="201"/>
      <c r="CL12" s="201"/>
      <c r="CM12" s="201"/>
      <c r="CN12" s="202"/>
      <c r="CO12" s="203" t="s">
        <v>76</v>
      </c>
      <c r="CP12" s="204"/>
      <c r="CQ12" s="204"/>
      <c r="CR12" s="204"/>
      <c r="CS12" s="204"/>
      <c r="CT12" s="204"/>
      <c r="CU12" s="187" t="s">
        <v>30</v>
      </c>
      <c r="CV12" s="188"/>
      <c r="CW12" s="188"/>
      <c r="CX12" s="188"/>
      <c r="CY12" s="188"/>
      <c r="CZ12" s="188"/>
      <c r="DA12" s="188"/>
      <c r="DB12" s="188"/>
      <c r="DC12" s="188"/>
      <c r="DD12" s="189"/>
      <c r="DE12" s="263" t="s">
        <v>24</v>
      </c>
      <c r="DF12" s="263"/>
      <c r="DG12" s="263"/>
      <c r="DH12" s="263"/>
      <c r="DI12" s="263"/>
      <c r="DK12" s="247" t="s">
        <v>111</v>
      </c>
      <c r="DL12" s="247"/>
      <c r="DM12" s="247"/>
      <c r="DN12" s="247"/>
      <c r="DO12" s="247"/>
      <c r="DP12" s="247"/>
      <c r="DQ12" s="260" t="s">
        <v>112</v>
      </c>
    </row>
    <row r="13" spans="1:121" ht="126.75" customHeight="1" thickBot="1" x14ac:dyDescent="0.4">
      <c r="A13" s="238" t="s">
        <v>0</v>
      </c>
      <c r="B13" s="238" t="s">
        <v>1</v>
      </c>
      <c r="C13" s="238" t="s">
        <v>2</v>
      </c>
      <c r="D13" s="238" t="s">
        <v>4</v>
      </c>
      <c r="E13" s="239" t="s">
        <v>3</v>
      </c>
      <c r="F13" s="238" t="s">
        <v>5</v>
      </c>
      <c r="G13" s="213" t="s">
        <v>59</v>
      </c>
      <c r="H13" s="213" t="s">
        <v>66</v>
      </c>
      <c r="I13" s="213" t="s">
        <v>60</v>
      </c>
      <c r="J13" s="213" t="s">
        <v>114</v>
      </c>
      <c r="K13" s="215" t="s">
        <v>61</v>
      </c>
      <c r="L13" s="205" t="s">
        <v>102</v>
      </c>
      <c r="M13" s="207" t="s">
        <v>62</v>
      </c>
      <c r="N13" s="209" t="s">
        <v>63</v>
      </c>
      <c r="O13" s="209" t="s">
        <v>64</v>
      </c>
      <c r="P13" s="240" t="s">
        <v>6</v>
      </c>
      <c r="Q13" s="231" t="s">
        <v>50</v>
      </c>
      <c r="R13" s="231" t="s">
        <v>52</v>
      </c>
      <c r="S13" s="231" t="s">
        <v>54</v>
      </c>
      <c r="T13" s="231" t="s">
        <v>31</v>
      </c>
      <c r="U13" s="231" t="s">
        <v>51</v>
      </c>
      <c r="V13" s="231" t="s">
        <v>7</v>
      </c>
      <c r="W13" s="213" t="s">
        <v>59</v>
      </c>
      <c r="X13" s="213" t="s">
        <v>66</v>
      </c>
      <c r="Y13" s="213" t="s">
        <v>60</v>
      </c>
      <c r="Z13" s="213" t="s">
        <v>114</v>
      </c>
      <c r="AA13" s="215" t="s">
        <v>61</v>
      </c>
      <c r="AB13" s="205" t="s">
        <v>102</v>
      </c>
      <c r="AC13" s="207" t="s">
        <v>62</v>
      </c>
      <c r="AD13" s="209" t="s">
        <v>63</v>
      </c>
      <c r="AE13" s="209" t="s">
        <v>64</v>
      </c>
      <c r="AF13" s="196" t="s">
        <v>6</v>
      </c>
      <c r="AG13" s="195" t="s">
        <v>50</v>
      </c>
      <c r="AH13" s="195" t="s">
        <v>52</v>
      </c>
      <c r="AI13" s="195" t="s">
        <v>54</v>
      </c>
      <c r="AJ13" s="195" t="s">
        <v>31</v>
      </c>
      <c r="AK13" s="197" t="s">
        <v>51</v>
      </c>
      <c r="AL13" s="197" t="s">
        <v>7</v>
      </c>
      <c r="AM13" s="46" t="s">
        <v>59</v>
      </c>
      <c r="AN13" s="46" t="s">
        <v>66</v>
      </c>
      <c r="AO13" s="46" t="s">
        <v>60</v>
      </c>
      <c r="AP13" s="46" t="s">
        <v>115</v>
      </c>
      <c r="AQ13" s="46" t="s">
        <v>61</v>
      </c>
      <c r="AR13" s="46" t="s">
        <v>120</v>
      </c>
      <c r="AS13" s="46" t="s">
        <v>62</v>
      </c>
      <c r="AT13" s="46" t="s">
        <v>63</v>
      </c>
      <c r="AU13" s="46" t="s">
        <v>64</v>
      </c>
      <c r="AV13" s="11" t="s">
        <v>6</v>
      </c>
      <c r="AW13" s="12" t="s">
        <v>50</v>
      </c>
      <c r="AX13" s="12" t="s">
        <v>52</v>
      </c>
      <c r="AY13" s="12" t="s">
        <v>54</v>
      </c>
      <c r="AZ13" s="12" t="s">
        <v>31</v>
      </c>
      <c r="BA13" s="12" t="s">
        <v>51</v>
      </c>
      <c r="BB13" s="12" t="s">
        <v>7</v>
      </c>
      <c r="BC13" s="174" t="s">
        <v>59</v>
      </c>
      <c r="BD13" s="174" t="s">
        <v>66</v>
      </c>
      <c r="BE13" s="174" t="s">
        <v>60</v>
      </c>
      <c r="BF13" s="174" t="s">
        <v>114</v>
      </c>
      <c r="BG13" s="179" t="s">
        <v>61</v>
      </c>
      <c r="BH13" s="180" t="s">
        <v>102</v>
      </c>
      <c r="BI13" s="182" t="s">
        <v>62</v>
      </c>
      <c r="BJ13" s="184" t="s">
        <v>63</v>
      </c>
      <c r="BK13" s="184" t="s">
        <v>64</v>
      </c>
      <c r="BL13" s="219" t="s">
        <v>6</v>
      </c>
      <c r="BM13" s="192" t="s">
        <v>50</v>
      </c>
      <c r="BN13" s="192" t="s">
        <v>52</v>
      </c>
      <c r="BO13" s="192" t="s">
        <v>54</v>
      </c>
      <c r="BP13" s="192" t="s">
        <v>31</v>
      </c>
      <c r="BQ13" s="194" t="s">
        <v>51</v>
      </c>
      <c r="BR13" s="194" t="s">
        <v>7</v>
      </c>
      <c r="BS13" s="222" t="s">
        <v>59</v>
      </c>
      <c r="BT13" s="222" t="s">
        <v>66</v>
      </c>
      <c r="BU13" s="222" t="s">
        <v>60</v>
      </c>
      <c r="BV13" s="222" t="s">
        <v>114</v>
      </c>
      <c r="BW13" s="224" t="s">
        <v>61</v>
      </c>
      <c r="BX13" s="225" t="s">
        <v>102</v>
      </c>
      <c r="BY13" s="227" t="s">
        <v>62</v>
      </c>
      <c r="BZ13" s="229" t="s">
        <v>63</v>
      </c>
      <c r="CA13" s="229" t="s">
        <v>64</v>
      </c>
      <c r="CB13" s="234" t="s">
        <v>6</v>
      </c>
      <c r="CC13" s="231" t="s">
        <v>50</v>
      </c>
      <c r="CD13" s="231" t="s">
        <v>52</v>
      </c>
      <c r="CE13" s="231" t="s">
        <v>54</v>
      </c>
      <c r="CF13" s="231" t="s">
        <v>31</v>
      </c>
      <c r="CG13" s="235" t="s">
        <v>51</v>
      </c>
      <c r="CH13" s="235" t="s">
        <v>7</v>
      </c>
      <c r="CI13" s="170" t="s">
        <v>14</v>
      </c>
      <c r="CJ13" s="171" t="s">
        <v>15</v>
      </c>
      <c r="CK13" s="170" t="s">
        <v>16</v>
      </c>
      <c r="CL13" s="170" t="s">
        <v>49</v>
      </c>
      <c r="CM13" s="170" t="s">
        <v>48</v>
      </c>
      <c r="CN13" s="170" t="s">
        <v>19</v>
      </c>
      <c r="CO13" s="232" t="s">
        <v>14</v>
      </c>
      <c r="CP13" s="233" t="s">
        <v>15</v>
      </c>
      <c r="CQ13" s="232" t="s">
        <v>16</v>
      </c>
      <c r="CR13" s="232" t="s">
        <v>49</v>
      </c>
      <c r="CS13" s="232" t="s">
        <v>48</v>
      </c>
      <c r="CT13" s="232" t="s">
        <v>19</v>
      </c>
      <c r="CU13" s="55" t="s">
        <v>14</v>
      </c>
      <c r="CV13" s="51" t="s">
        <v>15</v>
      </c>
      <c r="CW13" s="51" t="s">
        <v>16</v>
      </c>
      <c r="CX13" s="51" t="s">
        <v>49</v>
      </c>
      <c r="CY13" s="51" t="s">
        <v>48</v>
      </c>
      <c r="CZ13" s="51" t="s">
        <v>19</v>
      </c>
      <c r="DA13" s="190" t="s">
        <v>20</v>
      </c>
      <c r="DB13" s="190" t="s">
        <v>21</v>
      </c>
      <c r="DC13" s="262" t="s">
        <v>22</v>
      </c>
      <c r="DD13" s="262" t="s">
        <v>23</v>
      </c>
      <c r="DE13" s="264" t="s">
        <v>25</v>
      </c>
      <c r="DF13" s="264" t="s">
        <v>26</v>
      </c>
      <c r="DG13" s="264" t="s">
        <v>27</v>
      </c>
      <c r="DH13" s="265" t="s">
        <v>28</v>
      </c>
      <c r="DI13" s="264" t="s">
        <v>29</v>
      </c>
      <c r="DK13" s="248" t="s">
        <v>1</v>
      </c>
      <c r="DL13" s="250" t="s">
        <v>113</v>
      </c>
      <c r="DM13" s="252" t="s">
        <v>8</v>
      </c>
      <c r="DN13" s="254" t="s">
        <v>9</v>
      </c>
      <c r="DO13" s="256" t="s">
        <v>10</v>
      </c>
      <c r="DP13" s="258" t="s">
        <v>11</v>
      </c>
      <c r="DQ13" s="260"/>
    </row>
    <row r="14" spans="1:121" ht="39.75" customHeight="1" x14ac:dyDescent="0.35">
      <c r="A14" s="238"/>
      <c r="B14" s="238"/>
      <c r="C14" s="238"/>
      <c r="D14" s="238"/>
      <c r="E14" s="239"/>
      <c r="F14" s="238"/>
      <c r="G14" s="214"/>
      <c r="H14" s="214"/>
      <c r="I14" s="214"/>
      <c r="J14" s="214"/>
      <c r="K14" s="215"/>
      <c r="L14" s="206"/>
      <c r="M14" s="208"/>
      <c r="N14" s="210"/>
      <c r="O14" s="210"/>
      <c r="P14" s="240"/>
      <c r="Q14" s="231"/>
      <c r="R14" s="231"/>
      <c r="S14" s="231"/>
      <c r="T14" s="231"/>
      <c r="U14" s="231"/>
      <c r="V14" s="231"/>
      <c r="W14" s="214"/>
      <c r="X14" s="214"/>
      <c r="Y14" s="214"/>
      <c r="Z14" s="214"/>
      <c r="AA14" s="215"/>
      <c r="AB14" s="206"/>
      <c r="AC14" s="208"/>
      <c r="AD14" s="210"/>
      <c r="AE14" s="210"/>
      <c r="AF14" s="196"/>
      <c r="AG14" s="195"/>
      <c r="AH14" s="195"/>
      <c r="AI14" s="195"/>
      <c r="AJ14" s="195"/>
      <c r="AK14" s="198"/>
      <c r="AL14" s="198"/>
      <c r="AM14" s="47">
        <v>2</v>
      </c>
      <c r="AN14" s="47">
        <v>2</v>
      </c>
      <c r="AO14" s="47">
        <v>3</v>
      </c>
      <c r="AP14" s="47">
        <v>1</v>
      </c>
      <c r="AQ14" s="47">
        <v>5</v>
      </c>
      <c r="AR14" s="47">
        <v>3</v>
      </c>
      <c r="AS14" s="47">
        <v>2</v>
      </c>
      <c r="AT14" s="47">
        <v>1</v>
      </c>
      <c r="AU14" s="47">
        <v>1</v>
      </c>
      <c r="AV14" s="2">
        <v>5</v>
      </c>
      <c r="AW14" s="2">
        <v>1</v>
      </c>
      <c r="AX14" s="2">
        <v>5</v>
      </c>
      <c r="AY14" s="2">
        <v>3</v>
      </c>
      <c r="AZ14" s="2">
        <v>2</v>
      </c>
      <c r="BA14" s="2">
        <v>2</v>
      </c>
      <c r="BB14" s="2">
        <v>2</v>
      </c>
      <c r="BC14" s="175"/>
      <c r="BD14" s="175"/>
      <c r="BE14" s="175"/>
      <c r="BF14" s="175"/>
      <c r="BG14" s="179"/>
      <c r="BH14" s="181"/>
      <c r="BI14" s="183"/>
      <c r="BJ14" s="185"/>
      <c r="BK14" s="185"/>
      <c r="BL14" s="220"/>
      <c r="BM14" s="193"/>
      <c r="BN14" s="193"/>
      <c r="BO14" s="193"/>
      <c r="BP14" s="193"/>
      <c r="BQ14" s="192"/>
      <c r="BR14" s="192"/>
      <c r="BS14" s="223"/>
      <c r="BT14" s="223"/>
      <c r="BU14" s="223"/>
      <c r="BV14" s="223"/>
      <c r="BW14" s="224"/>
      <c r="BX14" s="226"/>
      <c r="BY14" s="228"/>
      <c r="BZ14" s="230"/>
      <c r="CA14" s="230"/>
      <c r="CB14" s="234"/>
      <c r="CC14" s="231"/>
      <c r="CD14" s="231"/>
      <c r="CE14" s="231"/>
      <c r="CF14" s="231"/>
      <c r="CG14" s="236"/>
      <c r="CH14" s="236"/>
      <c r="CI14" s="170"/>
      <c r="CJ14" s="171"/>
      <c r="CK14" s="170"/>
      <c r="CL14" s="170"/>
      <c r="CM14" s="170"/>
      <c r="CN14" s="170"/>
      <c r="CO14" s="232"/>
      <c r="CP14" s="233"/>
      <c r="CQ14" s="232"/>
      <c r="CR14" s="232"/>
      <c r="CS14" s="232"/>
      <c r="CT14" s="232"/>
      <c r="CU14" s="169" t="s">
        <v>30</v>
      </c>
      <c r="CV14" s="169"/>
      <c r="CW14" s="169"/>
      <c r="CX14" s="169"/>
      <c r="CY14" s="169"/>
      <c r="CZ14" s="169"/>
      <c r="DA14" s="191"/>
      <c r="DB14" s="191"/>
      <c r="DC14" s="262"/>
      <c r="DD14" s="262"/>
      <c r="DE14" s="264"/>
      <c r="DF14" s="264"/>
      <c r="DG14" s="264"/>
      <c r="DH14" s="265"/>
      <c r="DI14" s="264"/>
      <c r="DK14" s="249"/>
      <c r="DL14" s="251"/>
      <c r="DM14" s="253"/>
      <c r="DN14" s="255"/>
      <c r="DO14" s="257"/>
      <c r="DP14" s="259"/>
      <c r="DQ14" s="261"/>
    </row>
    <row r="15" spans="1:121" ht="27" customHeight="1" x14ac:dyDescent="0.95">
      <c r="A15" s="24">
        <f>IF(B15="","",1)</f>
        <v>1</v>
      </c>
      <c r="B15" s="41" t="s">
        <v>212</v>
      </c>
      <c r="C15" s="41" t="s">
        <v>211</v>
      </c>
      <c r="D15" s="42" t="s">
        <v>125</v>
      </c>
      <c r="E15" s="157">
        <v>691</v>
      </c>
      <c r="F15" s="43" t="s">
        <v>237</v>
      </c>
      <c r="G15" s="7">
        <v>72</v>
      </c>
      <c r="H15" s="7">
        <v>86.666666666666671</v>
      </c>
      <c r="I15" s="7">
        <v>86.666666666666671</v>
      </c>
      <c r="J15" s="7">
        <v>68</v>
      </c>
      <c r="K15" s="7">
        <v>82.100000000000009</v>
      </c>
      <c r="L15" s="7">
        <v>86.666666666666671</v>
      </c>
      <c r="M15" s="7">
        <v>86.666666666666671</v>
      </c>
      <c r="N15" s="7">
        <v>89</v>
      </c>
      <c r="O15" s="7">
        <v>89</v>
      </c>
      <c r="P15" s="7">
        <v>93.38666666666667</v>
      </c>
      <c r="Q15" s="7">
        <v>93.38666666666667</v>
      </c>
      <c r="R15" s="7">
        <v>59.07</v>
      </c>
      <c r="S15" s="7">
        <v>60.363636363636367</v>
      </c>
      <c r="T15" s="7">
        <v>66</v>
      </c>
      <c r="U15" s="7">
        <v>96.5</v>
      </c>
      <c r="V15" s="7">
        <v>98</v>
      </c>
      <c r="W15" s="1" t="str">
        <f t="shared" ref="W15:W35" si="0">IF(G15="","",IF(G15&gt;=90,"A",IF(G15&gt;=80,"B",IF(G15&gt;=70,"C",IF(G15&gt;=60,"D",IF(G15&gt;=50,"E",IF(G15&gt;=0,"F","")))))))</f>
        <v>C</v>
      </c>
      <c r="X15" s="1" t="str">
        <f t="shared" ref="X15:X35" si="1">IF(H15="","",IF(H15&gt;=90,"A",IF(H15&gt;=80,"B",IF(H15&gt;=70,"C",IF(H15&gt;=60,"D",IF(H15&gt;=50,"E",IF(H15&gt;=0,"F","")))))))</f>
        <v>B</v>
      </c>
      <c r="Y15" s="1" t="str">
        <f t="shared" ref="Y15:Y35" si="2">IF(I15="","",IF(I15&gt;=90,"A",IF(I15&gt;=80,"B",IF(I15&gt;=70,"C",IF(I15&gt;=60,"D",IF(I15&gt;=50,"E",IF(I15&gt;=0,"F","")))))))</f>
        <v>B</v>
      </c>
      <c r="Z15" s="1" t="str">
        <f t="shared" ref="Z15:Z35" si="3">IF(J15="","",IF(J15&gt;=90,"A",IF(J15&gt;=80,"B",IF(J15&gt;=70,"C",IF(J15&gt;=60,"D",IF(J15&gt;=50,"E",IF(J15&gt;=0,"F","")))))))</f>
        <v>D</v>
      </c>
      <c r="AA15" s="1" t="str">
        <f t="shared" ref="AA15:AA35" si="4">IF(K15="","",IF(K15&gt;=90,"A",IF(K15&gt;=80,"B",IF(K15&gt;=70,"C",IF(K15&gt;=60,"D",IF(K15&gt;=50,"E",IF(K15&gt;=0,"F","")))))))</f>
        <v>B</v>
      </c>
      <c r="AB15" s="1" t="str">
        <f t="shared" ref="AB15:AB35" si="5">IF(L15="","",IF(L15&gt;=90,"A",IF(L15&gt;=80,"B",IF(L15&gt;=70,"C",IF(L15&gt;=60,"D",IF(L15&gt;=50,"E",IF(L15&gt;=0,"F","")))))))</f>
        <v>B</v>
      </c>
      <c r="AC15" s="1" t="str">
        <f t="shared" ref="AC15:AC35" si="6">IF(M15="","",IF(M15&gt;=90,"A",IF(M15&gt;=80,"B",IF(M15&gt;=70,"C",IF(M15&gt;=60,"D",IF(M15&gt;=50,"E",IF(M15&gt;=0,"F","")))))))</f>
        <v>B</v>
      </c>
      <c r="AD15" s="1" t="str">
        <f t="shared" ref="AD15:AD35" si="7">IF(N15="","",IF(N15&gt;=90,"A",IF(N15&gt;=80,"B",IF(N15&gt;=70,"C",IF(N15&gt;=60,"D",IF(N15&gt;=50,"E",IF(N15&gt;=0,"F","")))))))</f>
        <v>B</v>
      </c>
      <c r="AE15" s="1" t="str">
        <f t="shared" ref="AE15:AE35" si="8">IF(O15="","",IF(O15&gt;=90,"A",IF(O15&gt;=80,"B",IF(O15&gt;=70,"C",IF(O15&gt;=60,"D",IF(O15&gt;=50,"E",IF(O15&gt;=0,"F","")))))))</f>
        <v>B</v>
      </c>
      <c r="AF15" s="24" t="str">
        <f t="shared" ref="AF15:AF35" si="9">IF(P15="","",IF(P15&gt;=90,"A",IF(P15&gt;=80,"B",IF(P15&gt;=70,"C",IF(P15&gt;=60,"D",IF(P15&gt;=50,"E",IF(P15&gt;=0,"F","")))))))</f>
        <v>A</v>
      </c>
      <c r="AG15" s="24" t="str">
        <f t="shared" ref="AG15:AG35" si="10">IF(Q15="","",IF(Q15&gt;=90,"A",IF(Q15&gt;=80,"B",IF(Q15&gt;=70,"C",IF(Q15&gt;=60,"D",IF(Q15&gt;=50,"E",IF(Q15&gt;=0,"F","")))))))</f>
        <v>A</v>
      </c>
      <c r="AH15" s="24" t="str">
        <f t="shared" ref="AH15:AH35" si="11">IF(R15="","",IF(R15&gt;=90,"A",IF(R15&gt;=80,"B",IF(R15&gt;=70,"C",IF(R15&gt;=60,"D",IF(R15&gt;=50,"E",IF(R15&gt;=0,"F","")))))))</f>
        <v>E</v>
      </c>
      <c r="AI15" s="24" t="str">
        <f t="shared" ref="AI15:AI35" si="12">IF(S15="","",IF(S15&gt;=90,"A",IF(S15&gt;=80,"B",IF(S15&gt;=70,"C",IF(S15&gt;=60,"D",IF(S15&gt;=50,"E",IF(S15&gt;=0,"F","")))))))</f>
        <v>D</v>
      </c>
      <c r="AJ15" s="24" t="str">
        <f t="shared" ref="AJ15:AJ35" si="13">IF(T15="","",IF(T15&gt;=90,"A",IF(T15&gt;=80,"B",IF(T15&gt;=70,"C",IF(T15&gt;=60,"D",IF(T15&gt;=50,"E",IF(T15&gt;=0,"F","")))))))</f>
        <v>D</v>
      </c>
      <c r="AK15" s="24" t="str">
        <f t="shared" ref="AK15:AK35" si="14">IF(U15="","",IF(U15&gt;=90,"A",IF(U15&gt;=80,"B",IF(U15&gt;=70,"C",IF(U15&gt;=60,"D",IF(U15&gt;=50,"E",IF(U15&gt;=0,"F","")))))))</f>
        <v>A</v>
      </c>
      <c r="AL15" s="24" t="str">
        <f t="shared" ref="AL15:AL35" si="15">IF(V15="","",IF(V15&gt;=90,"A",IF(V15&gt;=80,"B",IF(V15&gt;=70,"C",IF(V15&gt;=60,"D",IF(V15&gt;=50,"E",IF(V15&gt;=0,"F","")))))))</f>
        <v>A</v>
      </c>
      <c r="AM15" s="24">
        <f t="shared" ref="AM15:AM35" si="16">IF(G15="","",$AM$14)</f>
        <v>2</v>
      </c>
      <c r="AN15" s="24">
        <f t="shared" ref="AN15:AN35" si="17">IF(H15="","",$AN$14)</f>
        <v>2</v>
      </c>
      <c r="AO15" s="24">
        <f t="shared" ref="AO15:AO35" si="18">IF(I15="","",$AO$14)</f>
        <v>3</v>
      </c>
      <c r="AP15" s="24">
        <f t="shared" ref="AP15:AP35" si="19">IF(J15="","",$AP$14)</f>
        <v>1</v>
      </c>
      <c r="AQ15" s="24">
        <f t="shared" ref="AQ15:AQ35" si="20">IF(K15="","",$AQ$14)</f>
        <v>5</v>
      </c>
      <c r="AR15" s="24">
        <f t="shared" ref="AR15:AR35" si="21">IF(L15="","",$AR$14)</f>
        <v>3</v>
      </c>
      <c r="AS15" s="24">
        <f t="shared" ref="AS15:AS35" si="22">IF(M15="","",$AS$14)</f>
        <v>2</v>
      </c>
      <c r="AT15" s="24">
        <f t="shared" ref="AT15:AT35" si="23">IF(N15="","",$AT$14)</f>
        <v>1</v>
      </c>
      <c r="AU15" s="24">
        <f t="shared" ref="AU15:AU35" si="24">IF(O15="","",$AU$14)</f>
        <v>1</v>
      </c>
      <c r="AV15" s="24">
        <f t="shared" ref="AV15:AV35" si="25">IF(P15="","",$AV$14)</f>
        <v>5</v>
      </c>
      <c r="AW15" s="24">
        <f t="shared" ref="AW15:AW35" si="26">IF(Q15="","",$AW$14)</f>
        <v>1</v>
      </c>
      <c r="AX15" s="24">
        <f t="shared" ref="AX15:AX35" si="27">IF(R15="","",$AX$14)</f>
        <v>5</v>
      </c>
      <c r="AY15" s="24">
        <f t="shared" ref="AY15:AY35" si="28">IF(S15="","",$AY$14)</f>
        <v>3</v>
      </c>
      <c r="AZ15" s="24">
        <f t="shared" ref="AZ15:AZ35" si="29">IF(T15="","",$AZ$14)</f>
        <v>2</v>
      </c>
      <c r="BA15" s="24">
        <f t="shared" ref="BA15:BA35" si="30">IF(U15="","",$BA$14)</f>
        <v>2</v>
      </c>
      <c r="BB15" s="24">
        <f t="shared" ref="BB15:BB35" si="31">IF(V15="","",$BB$14)</f>
        <v>2</v>
      </c>
      <c r="BC15" s="26">
        <f t="shared" ref="BC15:BC35" si="32">IF(OR(G15="",AM15=""),"",PRODUCT(G15,AM15))</f>
        <v>144</v>
      </c>
      <c r="BD15" s="26">
        <f t="shared" ref="BD15:BD35" si="33">IF(OR(H15="",AN15=""),"",PRODUCT(H15,AN15))</f>
        <v>173.33333333333334</v>
      </c>
      <c r="BE15" s="26">
        <f t="shared" ref="BE15:BE35" si="34">IF(OR(I15="",AO15=""),"",PRODUCT(I15,AO15))</f>
        <v>260</v>
      </c>
      <c r="BF15" s="26">
        <f t="shared" ref="BF15:BF35" si="35">IF(OR(J15="",AP15=""),"",PRODUCT(J15,AP15))</f>
        <v>68</v>
      </c>
      <c r="BG15" s="26">
        <f t="shared" ref="BG15:BG35" si="36">IF(OR(K15="",AQ15=""),"",PRODUCT(K15,AQ15))</f>
        <v>410.50000000000006</v>
      </c>
      <c r="BH15" s="26">
        <f t="shared" ref="BH15:BH35" si="37">IF(OR(L15="",AR15=""),"",PRODUCT(L15,AR15))</f>
        <v>260</v>
      </c>
      <c r="BI15" s="26">
        <f t="shared" ref="BI15:BI35" si="38">IF(OR(M15="",AS15=""),"",PRODUCT(M15,AS15))</f>
        <v>173.33333333333334</v>
      </c>
      <c r="BJ15" s="26">
        <f t="shared" ref="BJ15:BJ35" si="39">IF(OR(N15="",AT15=""),"",PRODUCT(N15,AT15))</f>
        <v>89</v>
      </c>
      <c r="BK15" s="26">
        <f t="shared" ref="BK15:BK35" si="40">IF(OR(O15="",AU15=""),"",PRODUCT(O15,AU15))</f>
        <v>89</v>
      </c>
      <c r="BL15" s="26">
        <f t="shared" ref="BL15:BL35" si="41">IF(OR(P15="",AV15=""),"",PRODUCT(P15,AV15))</f>
        <v>466.93333333333334</v>
      </c>
      <c r="BM15" s="26">
        <f t="shared" ref="BM15:BM35" si="42">IF(OR(Q15="",AW15=""),"",PRODUCT(Q15,AW15))</f>
        <v>93.38666666666667</v>
      </c>
      <c r="BN15" s="26">
        <f t="shared" ref="BN15:BN35" si="43">IF(OR(R15="",AX15=""),"",PRODUCT(R15,AX15))</f>
        <v>295.35000000000002</v>
      </c>
      <c r="BO15" s="26">
        <f t="shared" ref="BO15:BO35" si="44">IF(OR(S15="",AY15=""),"",PRODUCT(S15,AY15))</f>
        <v>181.09090909090909</v>
      </c>
      <c r="BP15" s="26">
        <f t="shared" ref="BP15:BP35" si="45">IF(OR(T15="",AZ15=""),"",PRODUCT(T15,AZ15))</f>
        <v>132</v>
      </c>
      <c r="BQ15" s="26">
        <f t="shared" ref="BQ15:BQ35" si="46">IF(OR(U15="",BA15=""),"",PRODUCT(U15,BA15))</f>
        <v>193</v>
      </c>
      <c r="BR15" s="26">
        <f t="shared" ref="BR15:BR35" si="47">IF(OR(V15="",BB15=""),"",PRODUCT(V15,BB15))</f>
        <v>196</v>
      </c>
      <c r="BS15" s="24">
        <f t="shared" ref="BS15:BS35" si="48">IF(OR(AM15="",W15=""),"",AM15*(IF(OR(W15="A",W15="a"),4,(IF(OR(W459="B",W15="b"),3,(IF(OR(W15="C",W15="c"),2,(IF(OR(W15="D",W15="d"),1.5,(IF(OR(W15="E",W15="e"),1,(IF(OR(W15="F",W15="f"),0)))))))))))))</f>
        <v>4</v>
      </c>
      <c r="BT15" s="24">
        <f t="shared" ref="BT15:BT35" si="49">IF(OR(AN15="",X15=""),"",AN15*(IF(OR(X15="A",X15="a"),4,(IF(OR(X459="B",X15="b"),3,(IF(OR(X15="C",X15="c"),2,(IF(OR(X15="D",X15="d"),1.5,(IF(OR(X15="E",X15="e"),1,(IF(OR(X15="F",X15="f"),0)))))))))))))</f>
        <v>6</v>
      </c>
      <c r="BU15" s="24">
        <f t="shared" ref="BU15:BU35" si="50">IF(OR(AO15="",Y15=""),"",AO15*(IF(OR(Y15="A",Y15="a"),4,(IF(OR(Y459="B",Y15="b"),3,(IF(OR(Y15="C",Y15="c"),2,(IF(OR(Y15="D",Y15="d"),1.5,(IF(OR(Y15="E",Y15="e"),1,(IF(OR(Y15="F",Y15="f"),0)))))))))))))</f>
        <v>9</v>
      </c>
      <c r="BV15" s="24">
        <f t="shared" ref="BV15:BV35" si="51">IF(OR(AP15="",Z15=""),"",AP15*(IF(OR(Z15="A",Z15="a"),4,(IF(OR(Z459="B",Z15="b"),3,(IF(OR(Z15="C",Z15="c"),2,(IF(OR(Z15="D",Z15="d"),1.5,(IF(OR(Z15="E",Z15="e"),1,(IF(OR(Z15="F",Z15="f"),0)))))))))))))</f>
        <v>1.5</v>
      </c>
      <c r="BW15" s="24">
        <f t="shared" ref="BW15:BW35" si="52">IF(OR(AQ15="",AA15=""),"",AQ15*(IF(OR(AA15="A",AA15="a"),4,(IF(OR(AA459="B",AA15="b"),3,(IF(OR(AA15="C",AA15="c"),2,(IF(OR(AA15="D",AA15="d"),1.5,(IF(OR(AA15="E",AA15="e"),1,(IF(OR(AA15="F",AA15="f"),0)))))))))))))</f>
        <v>15</v>
      </c>
      <c r="BX15" s="24">
        <f t="shared" ref="BX15:BX35" si="53">IF(OR(AR15="",AB15=""),"",AR15*(IF(OR(AB15="A",AB15="a"),4,(IF(OR(AE459="B",AB15="b"),3,(IF(OR(AB15="C",AB15="c"),2,(IF(OR(AB15="D",AB15="d"),1.5,(IF(OR(AB15="E",AB15="e"),1,(IF(OR(AB15="F",AB15="f"),0)))))))))))))</f>
        <v>9</v>
      </c>
      <c r="BY15" s="24">
        <f t="shared" ref="BY15:BY35" si="54">IF(OR(AS15="",AC15=""),"",AS15*(IF(OR(AC15="A",AC15="a"),4,(IF(OR(AM459="B",AC15="b"),3,(IF(OR(AC15="C",AC15="c"),2,(IF(OR(AC15="D",AC15="d"),1.5,(IF(OR(AC15="E",AC15="e"),1,(IF(OR(AC15="F",AC15="f"),0)))))))))))))</f>
        <v>6</v>
      </c>
      <c r="BZ15" s="24">
        <f t="shared" ref="BZ15:BZ35" si="55">IF(OR(AT15="",AD15=""),"",AT15*(IF(OR(AD15="A",AD15="a"),4,(IF(OR(AN459="B",AD15="b"),3,(IF(OR(AD15="C",AD15="c"),2,(IF(OR(AD15="D",AD15="d"),1.5,(IF(OR(AD15="E",AD15="e"),1,(IF(OR(AD15="F",AD15="f"),0)))))))))))))</f>
        <v>3</v>
      </c>
      <c r="CA15" s="24">
        <f t="shared" ref="CA15:CA27" si="56">IF(OR(AU15="",AE15=""),"",AU15*(IF(OR(AE15="A",AE15="a"),4,(IF(OR(AE459="B",AE15="b"),3,(IF(OR(AE15="C",AE15="c"),2,(IF(OR(AE15="D",AE15="d"),1.5,(IF(OR(AE15="E",AE15="e"),1,(IF(OR(AE15="F",AE15="f"),0)))))))))))))</f>
        <v>3</v>
      </c>
      <c r="CB15" s="24">
        <f t="shared" ref="CB15:CB27" si="57">IF(OR(AV15="",AF15=""),"",AV15*(IF(OR(AF15="A",AF15="a"),4,(IF(OR(AF459="B",AF15="b"),3,(IF(OR(AF15="C",AF15="c"),2,(IF(OR(AF15="D",AF15="d"),1.5,(IF(OR(AF15="E",AF15="e"),1,(IF(OR(AF15="F",AF15="f"),0)))))))))))))</f>
        <v>20</v>
      </c>
      <c r="CC15" s="24">
        <f t="shared" ref="CC15:CC27" si="58">IF(OR(AW15="",AG15=""),"",AW15*(IF(OR(AG15="A",AG15="a"),4,(IF(OR(AG459="B",AG15="b"),3,(IF(OR(AG15="C",AG15="c"),2,(IF(OR(AG15="D",AG15="d"),1.5,(IF(OR(AG15="E",AG15="e"),1,(IF(OR(AG15="F",AG15="f"),0)))))))))))))</f>
        <v>4</v>
      </c>
      <c r="CD15" s="24">
        <f t="shared" ref="CD15:CD27" si="59">IF(OR(AX15="",AH15=""),"",AX15*(IF(OR(AH15="A",AH15="a"),4,(IF(OR(AH459="B",AH15="b"),3,(IF(OR(AH15="C",AH15="c"),2,(IF(OR(AH15="D",AH15="d"),1.5,(IF(OR(AH15="E",AH15="e"),1,(IF(OR(AH15="F",AH15="f"),0)))))))))))))</f>
        <v>5</v>
      </c>
      <c r="CE15" s="24">
        <f t="shared" ref="CE15:CE27" si="60">IF(OR(AY15="",AI15=""),"",AY15*(IF(OR(AI15="A",AI15="a"),4,(IF(OR(AI459="B",AI15="b"),3,(IF(OR(AI15="C",AI15="c"),2,(IF(OR(AI15="D",AI15="d"),1.5,(IF(OR(AI15="E",AI15="e"),1,(IF(OR(AI15="F",AI15="f"),0)))))))))))))</f>
        <v>4.5</v>
      </c>
      <c r="CF15" s="24">
        <f t="shared" ref="CF15:CG27" si="61">IF(OR(AZ15="",AJ15=""),"",AZ15*(IF(OR(AJ15="A",AJ15="a"),4,(IF(OR(AJ459="B",AJ15="b"),3,(IF(OR(AJ15="C",AJ15="c"),2,(IF(OR(AJ15="D",AJ15="d"),1.5,(IF(OR(AJ15="E",AJ15="e"),1,(IF(OR(AJ15="F",AJ15="f"),0)))))))))))))</f>
        <v>3</v>
      </c>
      <c r="CG15" s="24">
        <f>IF(OR(BA15="",AK15=""),"",BA15*(IF(OR(AK15="A",AK15="a"),4,(IF(OR(AK459="B",AK15="b"),3,(IF(OR(AK15="C",AK15="c"),2,(IF(OR(AK15="D",AK15="d"),1.5,(IF(OR(AK15="E",AK15="e"),1,(IF(OR(AK15="F",AK15="f"),0)))))))))))))</f>
        <v>8</v>
      </c>
      <c r="CH15" s="24">
        <f t="shared" ref="CH15:CH27" si="62">IF(OR(BB15="",AL15=""),"",BB15*(IF(OR(AL15="A",AL15="a"),4,(IF(OR(AV459="B",AL15="b"),3,(IF(OR(AL15="C",AL15="c"),2,(IF(OR(AL15="D",AL15="d"),1.5,(IF(OR(AL15="E",AL15="e"),1,(IF(OR(AL15="F",AL15="f"),0)))))))))))))</f>
        <v>8</v>
      </c>
      <c r="CI15" s="24">
        <f t="shared" ref="CI15:CI35" si="63">IF(B15="","",SUM(AM15:AU15))</f>
        <v>20</v>
      </c>
      <c r="CJ15" s="26">
        <f>IF(B15="","",SUM(BC15:BK15))</f>
        <v>1667.1666666666667</v>
      </c>
      <c r="CK15" s="26">
        <f t="shared" ref="CK15:CK35" si="64">IF(B15="","",SUM(BS15:CA15))</f>
        <v>56.5</v>
      </c>
      <c r="CL15" s="26">
        <f>IF(OR(CI15="",CJ15=""),"",CJ15/CI15)</f>
        <v>83.358333333333334</v>
      </c>
      <c r="CM15" s="24" t="str">
        <f>IF(CL15="","",IF(CL15&gt;=90,"A",IF(CL15&gt;=80,"B",IF(CL15&gt;=70,"C",IF(CL15&gt;=60,"D",IF(CL15&gt;=50,"E",IF(CL15&gt;=0,"F","")))))))</f>
        <v>B</v>
      </c>
      <c r="CN15" s="26">
        <f t="shared" ref="CN15:CN35" si="65">IF(B15="","",CK15/CI15)</f>
        <v>2.8250000000000002</v>
      </c>
      <c r="CO15" s="24">
        <f t="shared" ref="CO15:CO35" si="66">IF(B15="","",SUM(AV15:BB15))</f>
        <v>20</v>
      </c>
      <c r="CP15" s="26">
        <f t="shared" ref="CP15:CP35" si="67">IF(B15="","",SUM(BL15:BR15))</f>
        <v>1557.7609090909091</v>
      </c>
      <c r="CQ15" s="26">
        <f t="shared" ref="CQ15:CQ35" si="68">IF(B15="","",SUM(CB15:CH15))</f>
        <v>52.5</v>
      </c>
      <c r="CR15" s="26">
        <f>IF(OR(CO15="",CP15=""),"",CP15/CO15)</f>
        <v>77.888045454545448</v>
      </c>
      <c r="CS15" s="24" t="str">
        <f>IF(CR15="","",IF(CR15&gt;=90,"A",IF(CR15&gt;=80,"B",IF(CR15&gt;=70,"C",IF(CR15&gt;=60,"D",IF(CR15&gt;=50,"E",IF(CR15&gt;=0,"F","")))))))</f>
        <v>C</v>
      </c>
      <c r="CT15" s="27">
        <f t="shared" ref="CT15:CT35" si="69">IF(B15="","",CQ15/CO15)</f>
        <v>2.625</v>
      </c>
      <c r="CU15" s="52">
        <f t="shared" ref="CU15:CU35" si="70">IF(SUM(AM15:BB15)=0,"",IF(OR(B15="",F15="I",F15="II",F15="M",F15="A"),(SUM(AM15:BB15)),IF(OR(B15="",F15="III"),(SUM(CI15,CO15)))))</f>
        <v>40</v>
      </c>
      <c r="CV15" s="27">
        <f t="shared" ref="CV15:CV35" si="71">IF(SUM(AM15:BB15)=0,"",IF(OR(B15="",F15="I",F15="II",F15="M",F15="A"),(SUM(BC15:BR15)),IF(OR(B15="",F15="III"),(SUM(CJ15,CP15)))))</f>
        <v>3224.9275757575756</v>
      </c>
      <c r="CW15" s="26">
        <f t="shared" ref="CW15:CW35" si="72">IF(SUM(AM15:BB15)=0,"",IF(OR(B15="",F15="I",F15="II",F15="M",F15="A"),(SUM(BS15:CH15)),IF(OR(B15="",F15="III"),(SUM(CQ15,CK15)))))</f>
        <v>109</v>
      </c>
      <c r="CX15" s="26">
        <f>IF(OR(CU15=0,CV15=0),0,IF(OR(CU15="",CV15=""),"",CV15/CU15))</f>
        <v>80.623189393939384</v>
      </c>
      <c r="CY15" s="27" t="str">
        <f>IF(CX15="","",IF(CX15&gt;=90,"A",IF(CX15&gt;=80,"B",IF(CX15&gt;=70,"C",IF(CX15&gt;=60,"D",IF(CX15&gt;=50,"E",IF(CX15&gt;=0,"F","")))))))</f>
        <v>B</v>
      </c>
      <c r="CZ15" s="26">
        <f t="shared" ref="CZ15:CZ35" si="73">IF(B15="","",CW15/CU15)</f>
        <v>2.7250000000000001</v>
      </c>
      <c r="DA15" s="24">
        <f t="shared" ref="DA15:DA35" si="74">IF(OR(B15="",CX15=""),"",RANK(CX15,$CX$15:$CX$35))</f>
        <v>7</v>
      </c>
      <c r="DB15" s="24" t="str">
        <f t="shared" ref="DB15:DB35" si="75">IF(B15="","",$C$9)</f>
        <v>4A</v>
      </c>
      <c r="DC15" s="24">
        <f t="shared" ref="DC15:DC35" si="76">IF(B15="","",COUNTA($B$15:$B$35))</f>
        <v>13</v>
      </c>
      <c r="DD15" s="24">
        <f t="shared" ref="DD15:DD35" si="77">IF(B15="","",$C$8)</f>
        <v>50</v>
      </c>
      <c r="DE15" s="1">
        <v>0</v>
      </c>
      <c r="DF15" s="1">
        <v>0</v>
      </c>
      <c r="DG15" s="1">
        <v>0</v>
      </c>
      <c r="DH15" s="24">
        <f t="shared" ref="DH15:DH35" si="78">IF(B15="","",DF15+DG15)</f>
        <v>0</v>
      </c>
      <c r="DI15" s="25">
        <f t="shared" ref="DI15:DI35" si="79">IF(B15="","",(DD15-DH15)/DD15)</f>
        <v>1</v>
      </c>
      <c r="DJ15" t="str">
        <f t="shared" ref="DJ15:DJ35" si="80">IF(B15="","",$C$11)</f>
        <v>2025-2026</v>
      </c>
      <c r="DK15" s="135"/>
      <c r="DL15" s="9"/>
      <c r="DM15" s="9"/>
      <c r="DN15" s="9"/>
      <c r="DO15" s="9"/>
      <c r="DP15" s="9"/>
      <c r="DQ15" s="136" t="b">
        <f t="shared" ref="DQ15:DQ35" si="81">EXACT(B15,DK15)</f>
        <v>0</v>
      </c>
    </row>
    <row r="16" spans="1:121" ht="27" customHeight="1" x14ac:dyDescent="0.95">
      <c r="A16" s="24">
        <f>IF(B16="","",A15+1)</f>
        <v>2</v>
      </c>
      <c r="B16" s="41" t="s">
        <v>127</v>
      </c>
      <c r="C16" s="41" t="s">
        <v>128</v>
      </c>
      <c r="D16" s="42" t="s">
        <v>124</v>
      </c>
      <c r="E16" s="157">
        <v>689</v>
      </c>
      <c r="F16" s="43" t="s">
        <v>237</v>
      </c>
      <c r="G16" s="7">
        <v>73.333333333333343</v>
      </c>
      <c r="H16" s="7">
        <v>90.066666666666677</v>
      </c>
      <c r="I16" s="7">
        <v>90.066666666666677</v>
      </c>
      <c r="J16" s="7">
        <v>72</v>
      </c>
      <c r="K16" s="7">
        <v>87.600000000000009</v>
      </c>
      <c r="L16" s="7">
        <v>89.966666666666683</v>
      </c>
      <c r="M16" s="7">
        <v>90.066666666666677</v>
      </c>
      <c r="N16" s="7">
        <v>90</v>
      </c>
      <c r="O16" s="7">
        <v>90</v>
      </c>
      <c r="P16" s="7">
        <v>90.506666666666675</v>
      </c>
      <c r="Q16" s="7">
        <v>90.506666666666675</v>
      </c>
      <c r="R16" s="7">
        <v>57.73</v>
      </c>
      <c r="S16" s="7">
        <v>65.969696969696969</v>
      </c>
      <c r="T16" s="7">
        <v>72.2</v>
      </c>
      <c r="U16" s="7">
        <v>87.666666666666671</v>
      </c>
      <c r="V16" s="7">
        <v>79</v>
      </c>
      <c r="W16" s="1" t="str">
        <f t="shared" si="0"/>
        <v>C</v>
      </c>
      <c r="X16" s="1" t="str">
        <f t="shared" si="1"/>
        <v>A</v>
      </c>
      <c r="Y16" s="1" t="str">
        <f t="shared" si="2"/>
        <v>A</v>
      </c>
      <c r="Z16" s="1" t="str">
        <f t="shared" si="3"/>
        <v>C</v>
      </c>
      <c r="AA16" s="1" t="str">
        <f t="shared" si="4"/>
        <v>B</v>
      </c>
      <c r="AB16" s="1" t="str">
        <f t="shared" si="5"/>
        <v>B</v>
      </c>
      <c r="AC16" s="1" t="str">
        <f t="shared" si="6"/>
        <v>A</v>
      </c>
      <c r="AD16" s="1" t="str">
        <f t="shared" si="7"/>
        <v>A</v>
      </c>
      <c r="AE16" s="1" t="str">
        <f t="shared" si="8"/>
        <v>A</v>
      </c>
      <c r="AF16" s="24" t="str">
        <f t="shared" si="9"/>
        <v>A</v>
      </c>
      <c r="AG16" s="24" t="str">
        <f t="shared" si="10"/>
        <v>A</v>
      </c>
      <c r="AH16" s="24" t="str">
        <f t="shared" si="11"/>
        <v>E</v>
      </c>
      <c r="AI16" s="24" t="str">
        <f t="shared" si="12"/>
        <v>D</v>
      </c>
      <c r="AJ16" s="24" t="str">
        <f t="shared" si="13"/>
        <v>C</v>
      </c>
      <c r="AK16" s="24" t="str">
        <f t="shared" si="14"/>
        <v>B</v>
      </c>
      <c r="AL16" s="24" t="str">
        <f t="shared" si="15"/>
        <v>C</v>
      </c>
      <c r="AM16" s="24">
        <f t="shared" si="16"/>
        <v>2</v>
      </c>
      <c r="AN16" s="24">
        <f t="shared" si="17"/>
        <v>2</v>
      </c>
      <c r="AO16" s="24">
        <f t="shared" si="18"/>
        <v>3</v>
      </c>
      <c r="AP16" s="24">
        <f t="shared" si="19"/>
        <v>1</v>
      </c>
      <c r="AQ16" s="24">
        <f t="shared" si="20"/>
        <v>5</v>
      </c>
      <c r="AR16" s="24">
        <f t="shared" si="21"/>
        <v>3</v>
      </c>
      <c r="AS16" s="24">
        <f t="shared" si="22"/>
        <v>2</v>
      </c>
      <c r="AT16" s="24">
        <f t="shared" si="23"/>
        <v>1</v>
      </c>
      <c r="AU16" s="24">
        <f t="shared" si="24"/>
        <v>1</v>
      </c>
      <c r="AV16" s="24">
        <f t="shared" si="25"/>
        <v>5</v>
      </c>
      <c r="AW16" s="24">
        <f t="shared" si="26"/>
        <v>1</v>
      </c>
      <c r="AX16" s="24">
        <f t="shared" si="27"/>
        <v>5</v>
      </c>
      <c r="AY16" s="24">
        <f t="shared" si="28"/>
        <v>3</v>
      </c>
      <c r="AZ16" s="24">
        <f t="shared" si="29"/>
        <v>2</v>
      </c>
      <c r="BA16" s="24">
        <f t="shared" si="30"/>
        <v>2</v>
      </c>
      <c r="BB16" s="24">
        <f t="shared" si="31"/>
        <v>2</v>
      </c>
      <c r="BC16" s="26">
        <f t="shared" si="32"/>
        <v>146.66666666666669</v>
      </c>
      <c r="BD16" s="26">
        <f t="shared" si="33"/>
        <v>180.13333333333335</v>
      </c>
      <c r="BE16" s="26">
        <f t="shared" si="34"/>
        <v>270.20000000000005</v>
      </c>
      <c r="BF16" s="26">
        <f t="shared" si="35"/>
        <v>72</v>
      </c>
      <c r="BG16" s="26">
        <f t="shared" si="36"/>
        <v>438.00000000000006</v>
      </c>
      <c r="BH16" s="26">
        <f t="shared" si="37"/>
        <v>269.90000000000003</v>
      </c>
      <c r="BI16" s="26">
        <f t="shared" si="38"/>
        <v>180.13333333333335</v>
      </c>
      <c r="BJ16" s="26">
        <f t="shared" si="39"/>
        <v>90</v>
      </c>
      <c r="BK16" s="26">
        <f t="shared" si="40"/>
        <v>90</v>
      </c>
      <c r="BL16" s="26">
        <f t="shared" si="41"/>
        <v>452.53333333333336</v>
      </c>
      <c r="BM16" s="26">
        <f t="shared" si="42"/>
        <v>90.506666666666675</v>
      </c>
      <c r="BN16" s="26">
        <f t="shared" si="43"/>
        <v>288.64999999999998</v>
      </c>
      <c r="BO16" s="26">
        <f t="shared" si="44"/>
        <v>197.90909090909091</v>
      </c>
      <c r="BP16" s="26">
        <f t="shared" si="45"/>
        <v>144.4</v>
      </c>
      <c r="BQ16" s="26">
        <f t="shared" si="46"/>
        <v>175.33333333333334</v>
      </c>
      <c r="BR16" s="26">
        <f t="shared" si="47"/>
        <v>158</v>
      </c>
      <c r="BS16" s="24">
        <f t="shared" si="48"/>
        <v>4</v>
      </c>
      <c r="BT16" s="24">
        <f t="shared" si="49"/>
        <v>8</v>
      </c>
      <c r="BU16" s="24">
        <f t="shared" si="50"/>
        <v>12</v>
      </c>
      <c r="BV16" s="24">
        <f t="shared" si="51"/>
        <v>2</v>
      </c>
      <c r="BW16" s="24">
        <f t="shared" si="52"/>
        <v>15</v>
      </c>
      <c r="BX16" s="24">
        <f t="shared" si="53"/>
        <v>9</v>
      </c>
      <c r="BY16" s="24">
        <f t="shared" si="54"/>
        <v>8</v>
      </c>
      <c r="BZ16" s="24">
        <f t="shared" si="55"/>
        <v>4</v>
      </c>
      <c r="CA16" s="24">
        <f t="shared" si="56"/>
        <v>4</v>
      </c>
      <c r="CB16" s="24">
        <f t="shared" si="57"/>
        <v>20</v>
      </c>
      <c r="CC16" s="24">
        <f t="shared" si="58"/>
        <v>4</v>
      </c>
      <c r="CD16" s="24">
        <f t="shared" si="59"/>
        <v>5</v>
      </c>
      <c r="CE16" s="24">
        <f t="shared" si="60"/>
        <v>4.5</v>
      </c>
      <c r="CF16" s="24">
        <f t="shared" si="61"/>
        <v>4</v>
      </c>
      <c r="CG16" s="24">
        <f t="shared" si="61"/>
        <v>6</v>
      </c>
      <c r="CH16" s="24">
        <f t="shared" si="62"/>
        <v>4</v>
      </c>
      <c r="CI16" s="24">
        <f t="shared" si="63"/>
        <v>20</v>
      </c>
      <c r="CJ16" s="26">
        <f t="shared" ref="CJ16:CJ35" si="82">IF(B16="","",SUM(BC16:BK16))</f>
        <v>1737.0333333333338</v>
      </c>
      <c r="CK16" s="26">
        <f t="shared" si="64"/>
        <v>66</v>
      </c>
      <c r="CL16" s="26">
        <f t="shared" ref="CL16:CL35" si="83">IF(OR(CI16="",CJ16=""),"",CJ16/CI16)</f>
        <v>86.851666666666688</v>
      </c>
      <c r="CM16" s="24" t="str">
        <f t="shared" ref="CM16:CM35" si="84">IF(CL16="","",IF(CL16&gt;=90,"A",IF(CL16&gt;=80,"B",IF(CL16&gt;=70,"C",IF(CL16&gt;=60,"D",IF(CL16&gt;=50,"E",IF(CL16&gt;=0,"F","")))))))</f>
        <v>B</v>
      </c>
      <c r="CN16" s="26">
        <f t="shared" si="65"/>
        <v>3.3</v>
      </c>
      <c r="CO16" s="24">
        <f t="shared" si="66"/>
        <v>20</v>
      </c>
      <c r="CP16" s="26">
        <f t="shared" si="67"/>
        <v>1507.3324242424244</v>
      </c>
      <c r="CQ16" s="26">
        <f t="shared" si="68"/>
        <v>47.5</v>
      </c>
      <c r="CR16" s="26">
        <f t="shared" ref="CR16:CR35" si="85">IF(OR(CO16="",CP16=""),"",CP16/CO16)</f>
        <v>75.366621212121217</v>
      </c>
      <c r="CS16" s="24" t="str">
        <f>IF(CR16="","",IF(CR16&gt;=90,"A",IF(CR16&gt;=80,"B",IF(CR16&gt;=70,"C",IF(CR16&gt;=60,"D",IF(CR16&gt;=50,"E",IF(CR16&gt;=0,"F","")))))))</f>
        <v>C</v>
      </c>
      <c r="CT16" s="27">
        <f t="shared" si="69"/>
        <v>2.375</v>
      </c>
      <c r="CU16" s="52">
        <f t="shared" si="70"/>
        <v>40</v>
      </c>
      <c r="CV16" s="27">
        <f t="shared" si="71"/>
        <v>3244.3657575757584</v>
      </c>
      <c r="CW16" s="26">
        <f t="shared" si="72"/>
        <v>113.5</v>
      </c>
      <c r="CX16" s="26">
        <f t="shared" ref="CX16:CX35" si="86">IF(OR(CU16=0,CV16=0),0,IF(OR(CU16="",CV16=""),"",CV16/CU16))</f>
        <v>81.109143939393959</v>
      </c>
      <c r="CY16" s="27" t="str">
        <f>IF(CX16="","",IF(CX16&gt;=90,"A",IF(CX16&gt;=80,"B",IF(CX16&gt;=70,"C",IF(CX16&gt;=60,"D",IF(CX16&gt;=50,"E",IF(CX16&gt;=0,"F","")))))))</f>
        <v>B</v>
      </c>
      <c r="CZ16" s="26">
        <f t="shared" si="73"/>
        <v>2.8374999999999999</v>
      </c>
      <c r="DA16" s="24">
        <f t="shared" si="74"/>
        <v>4</v>
      </c>
      <c r="DB16" s="24" t="str">
        <f t="shared" si="75"/>
        <v>4A</v>
      </c>
      <c r="DC16" s="24">
        <f t="shared" si="76"/>
        <v>13</v>
      </c>
      <c r="DD16" s="24">
        <f t="shared" si="77"/>
        <v>50</v>
      </c>
      <c r="DE16" s="1">
        <v>0</v>
      </c>
      <c r="DF16" s="1">
        <v>0</v>
      </c>
      <c r="DG16" s="1">
        <v>0</v>
      </c>
      <c r="DH16" s="24">
        <f t="shared" si="78"/>
        <v>0</v>
      </c>
      <c r="DI16" s="25">
        <f t="shared" si="79"/>
        <v>1</v>
      </c>
      <c r="DJ16" t="str">
        <f t="shared" si="80"/>
        <v>2025-2026</v>
      </c>
      <c r="DK16" s="9"/>
      <c r="DL16" s="9"/>
      <c r="DM16" s="9"/>
      <c r="DN16" s="9"/>
      <c r="DO16" s="9"/>
      <c r="DP16" s="9"/>
      <c r="DQ16" s="136" t="b">
        <f t="shared" si="81"/>
        <v>0</v>
      </c>
    </row>
    <row r="17" spans="1:121" ht="27" customHeight="1" x14ac:dyDescent="0.95">
      <c r="A17" s="24">
        <f t="shared" ref="A17:A35" si="87">IF(B17="","",A16+1)</f>
        <v>3</v>
      </c>
      <c r="B17" s="41" t="s">
        <v>129</v>
      </c>
      <c r="C17" s="41" t="s">
        <v>130</v>
      </c>
      <c r="D17" s="42" t="s">
        <v>124</v>
      </c>
      <c r="E17" s="157">
        <v>688</v>
      </c>
      <c r="F17" s="43" t="s">
        <v>237</v>
      </c>
      <c r="G17" s="7">
        <v>76</v>
      </c>
      <c r="H17" s="7">
        <v>85.866666666666674</v>
      </c>
      <c r="I17" s="7">
        <v>85.866666666666674</v>
      </c>
      <c r="J17" s="7">
        <v>64</v>
      </c>
      <c r="K17" s="7">
        <v>85.5</v>
      </c>
      <c r="L17" s="7">
        <v>85.2</v>
      </c>
      <c r="M17" s="7">
        <v>85.866666666666674</v>
      </c>
      <c r="N17" s="7">
        <v>91.666666666666671</v>
      </c>
      <c r="O17" s="7">
        <v>91.666666666666671</v>
      </c>
      <c r="P17" s="7">
        <v>93.146666666666675</v>
      </c>
      <c r="Q17" s="7">
        <v>93.146666666666675</v>
      </c>
      <c r="R17" s="7">
        <v>66.73</v>
      </c>
      <c r="S17" s="7">
        <v>58.45454545454546</v>
      </c>
      <c r="T17" s="7">
        <v>63</v>
      </c>
      <c r="U17" s="7">
        <v>89.800000000000011</v>
      </c>
      <c r="V17" s="7">
        <v>91</v>
      </c>
      <c r="W17" s="1" t="str">
        <f t="shared" si="0"/>
        <v>C</v>
      </c>
      <c r="X17" s="1" t="str">
        <f t="shared" si="1"/>
        <v>B</v>
      </c>
      <c r="Y17" s="1" t="str">
        <f t="shared" si="2"/>
        <v>B</v>
      </c>
      <c r="Z17" s="1" t="str">
        <f t="shared" si="3"/>
        <v>D</v>
      </c>
      <c r="AA17" s="1" t="str">
        <f t="shared" si="4"/>
        <v>B</v>
      </c>
      <c r="AB17" s="1" t="str">
        <f t="shared" si="5"/>
        <v>B</v>
      </c>
      <c r="AC17" s="1" t="str">
        <f t="shared" si="6"/>
        <v>B</v>
      </c>
      <c r="AD17" s="1" t="str">
        <f t="shared" si="7"/>
        <v>A</v>
      </c>
      <c r="AE17" s="1" t="str">
        <f t="shared" si="8"/>
        <v>A</v>
      </c>
      <c r="AF17" s="24" t="str">
        <f t="shared" si="9"/>
        <v>A</v>
      </c>
      <c r="AG17" s="24" t="str">
        <f t="shared" si="10"/>
        <v>A</v>
      </c>
      <c r="AH17" s="24" t="str">
        <f t="shared" si="11"/>
        <v>D</v>
      </c>
      <c r="AI17" s="24" t="str">
        <f t="shared" si="12"/>
        <v>E</v>
      </c>
      <c r="AJ17" s="24" t="str">
        <f t="shared" si="13"/>
        <v>D</v>
      </c>
      <c r="AK17" s="24" t="str">
        <f t="shared" si="14"/>
        <v>B</v>
      </c>
      <c r="AL17" s="24" t="str">
        <f t="shared" si="15"/>
        <v>A</v>
      </c>
      <c r="AM17" s="24">
        <f t="shared" si="16"/>
        <v>2</v>
      </c>
      <c r="AN17" s="24">
        <f t="shared" si="17"/>
        <v>2</v>
      </c>
      <c r="AO17" s="24">
        <f t="shared" si="18"/>
        <v>3</v>
      </c>
      <c r="AP17" s="24">
        <f t="shared" si="19"/>
        <v>1</v>
      </c>
      <c r="AQ17" s="24">
        <f t="shared" si="20"/>
        <v>5</v>
      </c>
      <c r="AR17" s="24">
        <f t="shared" si="21"/>
        <v>3</v>
      </c>
      <c r="AS17" s="24">
        <f t="shared" si="22"/>
        <v>2</v>
      </c>
      <c r="AT17" s="24">
        <f t="shared" si="23"/>
        <v>1</v>
      </c>
      <c r="AU17" s="24">
        <f t="shared" si="24"/>
        <v>1</v>
      </c>
      <c r="AV17" s="24">
        <f t="shared" si="25"/>
        <v>5</v>
      </c>
      <c r="AW17" s="24">
        <f t="shared" si="26"/>
        <v>1</v>
      </c>
      <c r="AX17" s="24">
        <f t="shared" si="27"/>
        <v>5</v>
      </c>
      <c r="AY17" s="24">
        <f t="shared" si="28"/>
        <v>3</v>
      </c>
      <c r="AZ17" s="24">
        <f t="shared" si="29"/>
        <v>2</v>
      </c>
      <c r="BA17" s="24">
        <f t="shared" si="30"/>
        <v>2</v>
      </c>
      <c r="BB17" s="24">
        <f t="shared" si="31"/>
        <v>2</v>
      </c>
      <c r="BC17" s="26">
        <f t="shared" si="32"/>
        <v>152</v>
      </c>
      <c r="BD17" s="26">
        <f t="shared" si="33"/>
        <v>171.73333333333335</v>
      </c>
      <c r="BE17" s="26">
        <f t="shared" si="34"/>
        <v>257.60000000000002</v>
      </c>
      <c r="BF17" s="26">
        <f t="shared" si="35"/>
        <v>64</v>
      </c>
      <c r="BG17" s="26">
        <f t="shared" si="36"/>
        <v>427.5</v>
      </c>
      <c r="BH17" s="26">
        <f t="shared" si="37"/>
        <v>255.60000000000002</v>
      </c>
      <c r="BI17" s="26">
        <f t="shared" si="38"/>
        <v>171.73333333333335</v>
      </c>
      <c r="BJ17" s="26">
        <f t="shared" si="39"/>
        <v>91.666666666666671</v>
      </c>
      <c r="BK17" s="26">
        <f t="shared" si="40"/>
        <v>91.666666666666671</v>
      </c>
      <c r="BL17" s="26">
        <f t="shared" si="41"/>
        <v>465.73333333333335</v>
      </c>
      <c r="BM17" s="26">
        <f t="shared" si="42"/>
        <v>93.146666666666675</v>
      </c>
      <c r="BN17" s="26">
        <f t="shared" si="43"/>
        <v>333.65000000000003</v>
      </c>
      <c r="BO17" s="26">
        <f t="shared" si="44"/>
        <v>175.36363636363637</v>
      </c>
      <c r="BP17" s="26">
        <f t="shared" si="45"/>
        <v>126</v>
      </c>
      <c r="BQ17" s="26">
        <f t="shared" si="46"/>
        <v>179.60000000000002</v>
      </c>
      <c r="BR17" s="26">
        <f t="shared" si="47"/>
        <v>182</v>
      </c>
      <c r="BS17" s="24">
        <f t="shared" si="48"/>
        <v>4</v>
      </c>
      <c r="BT17" s="24">
        <f t="shared" si="49"/>
        <v>6</v>
      </c>
      <c r="BU17" s="24">
        <f t="shared" si="50"/>
        <v>9</v>
      </c>
      <c r="BV17" s="24">
        <f t="shared" si="51"/>
        <v>1.5</v>
      </c>
      <c r="BW17" s="24">
        <f t="shared" si="52"/>
        <v>15</v>
      </c>
      <c r="BX17" s="24">
        <f t="shared" si="53"/>
        <v>9</v>
      </c>
      <c r="BY17" s="24">
        <f t="shared" si="54"/>
        <v>6</v>
      </c>
      <c r="BZ17" s="24">
        <f t="shared" si="55"/>
        <v>4</v>
      </c>
      <c r="CA17" s="24">
        <f t="shared" si="56"/>
        <v>4</v>
      </c>
      <c r="CB17" s="24">
        <f t="shared" si="57"/>
        <v>20</v>
      </c>
      <c r="CC17" s="24">
        <f t="shared" si="58"/>
        <v>4</v>
      </c>
      <c r="CD17" s="24">
        <f t="shared" si="59"/>
        <v>7.5</v>
      </c>
      <c r="CE17" s="24">
        <f t="shared" si="60"/>
        <v>3</v>
      </c>
      <c r="CF17" s="24">
        <f t="shared" si="61"/>
        <v>3</v>
      </c>
      <c r="CG17" s="24">
        <f t="shared" si="61"/>
        <v>6</v>
      </c>
      <c r="CH17" s="24">
        <f t="shared" si="62"/>
        <v>8</v>
      </c>
      <c r="CI17" s="24">
        <f t="shared" si="63"/>
        <v>20</v>
      </c>
      <c r="CJ17" s="26">
        <f t="shared" si="82"/>
        <v>1683.5000000000002</v>
      </c>
      <c r="CK17" s="26">
        <f t="shared" si="64"/>
        <v>58.5</v>
      </c>
      <c r="CL17" s="26">
        <f t="shared" si="83"/>
        <v>84.175000000000011</v>
      </c>
      <c r="CM17" s="24" t="str">
        <f t="shared" si="84"/>
        <v>B</v>
      </c>
      <c r="CN17" s="26">
        <f t="shared" si="65"/>
        <v>2.9249999999999998</v>
      </c>
      <c r="CO17" s="24">
        <f t="shared" si="66"/>
        <v>20</v>
      </c>
      <c r="CP17" s="26">
        <f t="shared" si="67"/>
        <v>1555.4936363636361</v>
      </c>
      <c r="CQ17" s="26">
        <f t="shared" si="68"/>
        <v>51.5</v>
      </c>
      <c r="CR17" s="26">
        <f>IF(OR(CO17="",CP17=""),"",CP17/CO17)</f>
        <v>77.774681818181804</v>
      </c>
      <c r="CS17" s="24" t="str">
        <f t="shared" ref="CS17:CS35" si="88">IF(CR17="","",IF(CR17&gt;=90,"A",IF(CR17&gt;=80,"B",IF(CR17&gt;=70,"C",IF(CR17&gt;=60,"D",IF(CR17&gt;=50,"E",IF(CR17&gt;=0,"F","")))))))</f>
        <v>C</v>
      </c>
      <c r="CT17" s="27">
        <f t="shared" si="69"/>
        <v>2.5750000000000002</v>
      </c>
      <c r="CU17" s="52">
        <f t="shared" si="70"/>
        <v>40</v>
      </c>
      <c r="CV17" s="27">
        <f t="shared" si="71"/>
        <v>3238.9936363636366</v>
      </c>
      <c r="CW17" s="26">
        <f t="shared" si="72"/>
        <v>110</v>
      </c>
      <c r="CX17" s="26">
        <f t="shared" si="86"/>
        <v>80.974840909090915</v>
      </c>
      <c r="CY17" s="27" t="str">
        <f t="shared" ref="CY17:CY35" si="89">IF(CX17="","",IF(CX17&gt;=90,"A",IF(CX17&gt;=80,"B",IF(CX17&gt;=70,"C",IF(CX17&gt;=60,"D",IF(CX17&gt;=50,"E",IF(CX17&gt;=0,"F","")))))))</f>
        <v>B</v>
      </c>
      <c r="CZ17" s="26">
        <f t="shared" si="73"/>
        <v>2.75</v>
      </c>
      <c r="DA17" s="24">
        <f t="shared" si="74"/>
        <v>5</v>
      </c>
      <c r="DB17" s="24" t="str">
        <f t="shared" si="75"/>
        <v>4A</v>
      </c>
      <c r="DC17" s="24">
        <f t="shared" si="76"/>
        <v>13</v>
      </c>
      <c r="DD17" s="24">
        <f t="shared" si="77"/>
        <v>50</v>
      </c>
      <c r="DE17" s="1">
        <v>0</v>
      </c>
      <c r="DF17" s="1">
        <v>0</v>
      </c>
      <c r="DG17" s="1">
        <v>1</v>
      </c>
      <c r="DH17" s="24">
        <f t="shared" si="78"/>
        <v>1</v>
      </c>
      <c r="DI17" s="25">
        <f t="shared" si="79"/>
        <v>0.98</v>
      </c>
      <c r="DJ17" t="str">
        <f t="shared" si="80"/>
        <v>2025-2026</v>
      </c>
      <c r="DK17" s="9"/>
      <c r="DL17" s="9"/>
      <c r="DM17" s="9"/>
      <c r="DN17" s="9"/>
      <c r="DO17" s="9"/>
      <c r="DP17" s="9"/>
      <c r="DQ17" s="136" t="b">
        <f t="shared" si="81"/>
        <v>0</v>
      </c>
    </row>
    <row r="18" spans="1:121" ht="27" customHeight="1" x14ac:dyDescent="0.95">
      <c r="A18" s="24">
        <f t="shared" si="87"/>
        <v>4</v>
      </c>
      <c r="B18" s="41" t="s">
        <v>131</v>
      </c>
      <c r="C18" s="44" t="s">
        <v>132</v>
      </c>
      <c r="D18" s="45" t="s">
        <v>124</v>
      </c>
      <c r="E18" s="157">
        <v>693</v>
      </c>
      <c r="F18" s="43" t="s">
        <v>237</v>
      </c>
      <c r="G18" s="7">
        <v>70.666666666666671</v>
      </c>
      <c r="H18" s="7">
        <v>89.066666666666677</v>
      </c>
      <c r="I18" s="7">
        <v>89.066666666666677</v>
      </c>
      <c r="J18" s="7">
        <v>73.333333333333343</v>
      </c>
      <c r="K18" s="7">
        <v>86.600000000000009</v>
      </c>
      <c r="L18" s="7">
        <v>89.066666666666677</v>
      </c>
      <c r="M18" s="7">
        <v>89.066666666666677</v>
      </c>
      <c r="N18" s="7">
        <v>88.666666666666671</v>
      </c>
      <c r="O18" s="7">
        <v>88.666666666666671</v>
      </c>
      <c r="P18" s="7">
        <v>96.4</v>
      </c>
      <c r="Q18" s="7">
        <v>96.4</v>
      </c>
      <c r="R18" s="7">
        <v>78.069999999999993</v>
      </c>
      <c r="S18" s="7">
        <v>90.600000000000009</v>
      </c>
      <c r="T18" s="7">
        <v>70.2</v>
      </c>
      <c r="U18" s="7">
        <v>97.800000000000011</v>
      </c>
      <c r="V18" s="7">
        <v>91</v>
      </c>
      <c r="W18" s="1" t="str">
        <f t="shared" si="0"/>
        <v>C</v>
      </c>
      <c r="X18" s="1" t="str">
        <f t="shared" si="1"/>
        <v>B</v>
      </c>
      <c r="Y18" s="1" t="str">
        <f t="shared" si="2"/>
        <v>B</v>
      </c>
      <c r="Z18" s="1" t="str">
        <f t="shared" si="3"/>
        <v>C</v>
      </c>
      <c r="AA18" s="1" t="str">
        <f t="shared" si="4"/>
        <v>B</v>
      </c>
      <c r="AB18" s="1" t="str">
        <f t="shared" si="5"/>
        <v>B</v>
      </c>
      <c r="AC18" s="1" t="str">
        <f t="shared" si="6"/>
        <v>B</v>
      </c>
      <c r="AD18" s="1" t="str">
        <f t="shared" si="7"/>
        <v>B</v>
      </c>
      <c r="AE18" s="1" t="str">
        <f t="shared" si="8"/>
        <v>B</v>
      </c>
      <c r="AF18" s="24" t="str">
        <f t="shared" si="9"/>
        <v>A</v>
      </c>
      <c r="AG18" s="24" t="str">
        <f t="shared" si="10"/>
        <v>A</v>
      </c>
      <c r="AH18" s="24" t="str">
        <f t="shared" si="11"/>
        <v>C</v>
      </c>
      <c r="AI18" s="24" t="str">
        <f t="shared" si="12"/>
        <v>A</v>
      </c>
      <c r="AJ18" s="24" t="str">
        <f t="shared" si="13"/>
        <v>C</v>
      </c>
      <c r="AK18" s="24" t="str">
        <f t="shared" si="14"/>
        <v>A</v>
      </c>
      <c r="AL18" s="24" t="str">
        <f t="shared" si="15"/>
        <v>A</v>
      </c>
      <c r="AM18" s="24">
        <f t="shared" si="16"/>
        <v>2</v>
      </c>
      <c r="AN18" s="24">
        <f t="shared" si="17"/>
        <v>2</v>
      </c>
      <c r="AO18" s="24">
        <f t="shared" si="18"/>
        <v>3</v>
      </c>
      <c r="AP18" s="24">
        <f t="shared" si="19"/>
        <v>1</v>
      </c>
      <c r="AQ18" s="24">
        <f t="shared" si="20"/>
        <v>5</v>
      </c>
      <c r="AR18" s="24">
        <f t="shared" si="21"/>
        <v>3</v>
      </c>
      <c r="AS18" s="24">
        <f t="shared" si="22"/>
        <v>2</v>
      </c>
      <c r="AT18" s="24">
        <f t="shared" si="23"/>
        <v>1</v>
      </c>
      <c r="AU18" s="24">
        <f t="shared" si="24"/>
        <v>1</v>
      </c>
      <c r="AV18" s="24">
        <f t="shared" si="25"/>
        <v>5</v>
      </c>
      <c r="AW18" s="24">
        <f t="shared" si="26"/>
        <v>1</v>
      </c>
      <c r="AX18" s="24">
        <f t="shared" si="27"/>
        <v>5</v>
      </c>
      <c r="AY18" s="24">
        <f t="shared" si="28"/>
        <v>3</v>
      </c>
      <c r="AZ18" s="24">
        <f t="shared" si="29"/>
        <v>2</v>
      </c>
      <c r="BA18" s="24">
        <f t="shared" si="30"/>
        <v>2</v>
      </c>
      <c r="BB18" s="24">
        <f t="shared" si="31"/>
        <v>2</v>
      </c>
      <c r="BC18" s="26">
        <f t="shared" si="32"/>
        <v>141.33333333333334</v>
      </c>
      <c r="BD18" s="26">
        <f t="shared" si="33"/>
        <v>178.13333333333335</v>
      </c>
      <c r="BE18" s="26">
        <f t="shared" si="34"/>
        <v>267.20000000000005</v>
      </c>
      <c r="BF18" s="26">
        <f t="shared" si="35"/>
        <v>73.333333333333343</v>
      </c>
      <c r="BG18" s="26">
        <f t="shared" si="36"/>
        <v>433.00000000000006</v>
      </c>
      <c r="BH18" s="26">
        <f t="shared" si="37"/>
        <v>267.20000000000005</v>
      </c>
      <c r="BI18" s="26">
        <f t="shared" si="38"/>
        <v>178.13333333333335</v>
      </c>
      <c r="BJ18" s="26">
        <f t="shared" si="39"/>
        <v>88.666666666666671</v>
      </c>
      <c r="BK18" s="26">
        <f t="shared" si="40"/>
        <v>88.666666666666671</v>
      </c>
      <c r="BL18" s="26">
        <f t="shared" si="41"/>
        <v>482</v>
      </c>
      <c r="BM18" s="26">
        <f t="shared" si="42"/>
        <v>96.4</v>
      </c>
      <c r="BN18" s="26">
        <f t="shared" si="43"/>
        <v>390.34999999999997</v>
      </c>
      <c r="BO18" s="26">
        <f t="shared" si="44"/>
        <v>271.8</v>
      </c>
      <c r="BP18" s="26">
        <f t="shared" si="45"/>
        <v>140.4</v>
      </c>
      <c r="BQ18" s="26">
        <f t="shared" si="46"/>
        <v>195.60000000000002</v>
      </c>
      <c r="BR18" s="26">
        <f t="shared" si="47"/>
        <v>182</v>
      </c>
      <c r="BS18" s="24">
        <f t="shared" si="48"/>
        <v>4</v>
      </c>
      <c r="BT18" s="24">
        <f t="shared" si="49"/>
        <v>6</v>
      </c>
      <c r="BU18" s="24">
        <f t="shared" si="50"/>
        <v>9</v>
      </c>
      <c r="BV18" s="24">
        <f t="shared" si="51"/>
        <v>2</v>
      </c>
      <c r="BW18" s="24">
        <f t="shared" si="52"/>
        <v>15</v>
      </c>
      <c r="BX18" s="24">
        <f t="shared" si="53"/>
        <v>9</v>
      </c>
      <c r="BY18" s="24">
        <f t="shared" si="54"/>
        <v>6</v>
      </c>
      <c r="BZ18" s="24">
        <f t="shared" si="55"/>
        <v>3</v>
      </c>
      <c r="CA18" s="24">
        <f t="shared" si="56"/>
        <v>3</v>
      </c>
      <c r="CB18" s="24">
        <f t="shared" si="57"/>
        <v>20</v>
      </c>
      <c r="CC18" s="24">
        <f t="shared" si="58"/>
        <v>4</v>
      </c>
      <c r="CD18" s="24">
        <f t="shared" si="59"/>
        <v>10</v>
      </c>
      <c r="CE18" s="24">
        <f t="shared" si="60"/>
        <v>12</v>
      </c>
      <c r="CF18" s="24">
        <f t="shared" si="61"/>
        <v>4</v>
      </c>
      <c r="CG18" s="24">
        <f t="shared" si="61"/>
        <v>8</v>
      </c>
      <c r="CH18" s="24">
        <f t="shared" si="62"/>
        <v>8</v>
      </c>
      <c r="CI18" s="24">
        <f t="shared" si="63"/>
        <v>20</v>
      </c>
      <c r="CJ18" s="26">
        <f t="shared" si="82"/>
        <v>1715.6666666666672</v>
      </c>
      <c r="CK18" s="26">
        <f t="shared" si="64"/>
        <v>57</v>
      </c>
      <c r="CL18" s="26">
        <f t="shared" si="83"/>
        <v>85.78333333333336</v>
      </c>
      <c r="CM18" s="24" t="str">
        <f t="shared" si="84"/>
        <v>B</v>
      </c>
      <c r="CN18" s="26">
        <f t="shared" si="65"/>
        <v>2.85</v>
      </c>
      <c r="CO18" s="24">
        <f t="shared" si="66"/>
        <v>20</v>
      </c>
      <c r="CP18" s="26">
        <f t="shared" si="67"/>
        <v>1758.5500000000002</v>
      </c>
      <c r="CQ18" s="26">
        <f t="shared" si="68"/>
        <v>66</v>
      </c>
      <c r="CR18" s="26">
        <f t="shared" si="85"/>
        <v>87.927500000000009</v>
      </c>
      <c r="CS18" s="24" t="str">
        <f t="shared" si="88"/>
        <v>B</v>
      </c>
      <c r="CT18" s="27">
        <f t="shared" si="69"/>
        <v>3.3</v>
      </c>
      <c r="CU18" s="52">
        <f t="shared" si="70"/>
        <v>40</v>
      </c>
      <c r="CV18" s="27">
        <f t="shared" si="71"/>
        <v>3474.2166666666672</v>
      </c>
      <c r="CW18" s="26">
        <f t="shared" si="72"/>
        <v>123</v>
      </c>
      <c r="CX18" s="26">
        <f t="shared" si="86"/>
        <v>86.855416666666684</v>
      </c>
      <c r="CY18" s="27" t="str">
        <f t="shared" si="89"/>
        <v>B</v>
      </c>
      <c r="CZ18" s="26">
        <f t="shared" si="73"/>
        <v>3.0750000000000002</v>
      </c>
      <c r="DA18" s="24">
        <f t="shared" si="74"/>
        <v>1</v>
      </c>
      <c r="DB18" s="24" t="str">
        <f t="shared" si="75"/>
        <v>4A</v>
      </c>
      <c r="DC18" s="24">
        <f t="shared" si="76"/>
        <v>13</v>
      </c>
      <c r="DD18" s="24">
        <f t="shared" si="77"/>
        <v>50</v>
      </c>
      <c r="DE18" s="1">
        <v>0</v>
      </c>
      <c r="DF18" s="1">
        <v>0</v>
      </c>
      <c r="DG18" s="1">
        <v>0</v>
      </c>
      <c r="DH18" s="24">
        <f t="shared" si="78"/>
        <v>0</v>
      </c>
      <c r="DI18" s="25">
        <f t="shared" si="79"/>
        <v>1</v>
      </c>
      <c r="DJ18" t="str">
        <f t="shared" si="80"/>
        <v>2025-2026</v>
      </c>
      <c r="DK18" s="9"/>
      <c r="DL18" s="9"/>
      <c r="DM18" s="9"/>
      <c r="DN18" s="9"/>
      <c r="DO18" s="9"/>
      <c r="DP18" s="9"/>
      <c r="DQ18" s="136" t="b">
        <f t="shared" si="81"/>
        <v>0</v>
      </c>
    </row>
    <row r="19" spans="1:121" ht="27" customHeight="1" x14ac:dyDescent="0.95">
      <c r="A19" s="24">
        <f t="shared" si="87"/>
        <v>5</v>
      </c>
      <c r="B19" s="41" t="s">
        <v>133</v>
      </c>
      <c r="C19" s="41" t="s">
        <v>134</v>
      </c>
      <c r="D19" s="42" t="s">
        <v>124</v>
      </c>
      <c r="E19" s="157">
        <v>694</v>
      </c>
      <c r="F19" s="43" t="s">
        <v>237</v>
      </c>
      <c r="G19" s="7">
        <v>57.333333333333343</v>
      </c>
      <c r="H19" s="7">
        <v>71.76666666666668</v>
      </c>
      <c r="I19" s="7">
        <v>72.366666666666674</v>
      </c>
      <c r="J19" s="7">
        <v>57.333333333333343</v>
      </c>
      <c r="K19" s="7">
        <v>67.400000000000006</v>
      </c>
      <c r="L19" s="7">
        <v>70.406666666666666</v>
      </c>
      <c r="M19" s="7">
        <v>71.76666666666668</v>
      </c>
      <c r="N19" s="7">
        <v>67.333333333333343</v>
      </c>
      <c r="O19" s="7">
        <v>67.333333333333343</v>
      </c>
      <c r="P19" s="7">
        <v>90.54000000000002</v>
      </c>
      <c r="Q19" s="7">
        <v>90.54000000000002</v>
      </c>
      <c r="R19" s="7">
        <v>51</v>
      </c>
      <c r="S19" s="7">
        <v>54.606060606060609</v>
      </c>
      <c r="T19" s="7">
        <v>41.6</v>
      </c>
      <c r="U19" s="7">
        <v>82.666666666666671</v>
      </c>
      <c r="V19" s="7">
        <v>79</v>
      </c>
      <c r="W19" s="1" t="str">
        <f t="shared" si="0"/>
        <v>E</v>
      </c>
      <c r="X19" s="1" t="str">
        <f t="shared" si="1"/>
        <v>C</v>
      </c>
      <c r="Y19" s="1" t="str">
        <f t="shared" si="2"/>
        <v>C</v>
      </c>
      <c r="Z19" s="1" t="str">
        <f t="shared" si="3"/>
        <v>E</v>
      </c>
      <c r="AA19" s="1" t="str">
        <f t="shared" si="4"/>
        <v>D</v>
      </c>
      <c r="AB19" s="1" t="str">
        <f t="shared" si="5"/>
        <v>C</v>
      </c>
      <c r="AC19" s="1" t="str">
        <f t="shared" si="6"/>
        <v>C</v>
      </c>
      <c r="AD19" s="1" t="str">
        <f t="shared" si="7"/>
        <v>D</v>
      </c>
      <c r="AE19" s="1" t="str">
        <f t="shared" si="8"/>
        <v>D</v>
      </c>
      <c r="AF19" s="24" t="str">
        <f t="shared" si="9"/>
        <v>A</v>
      </c>
      <c r="AG19" s="24" t="str">
        <f t="shared" si="10"/>
        <v>A</v>
      </c>
      <c r="AH19" s="24" t="str">
        <f t="shared" si="11"/>
        <v>E</v>
      </c>
      <c r="AI19" s="24" t="str">
        <f t="shared" si="12"/>
        <v>E</v>
      </c>
      <c r="AJ19" s="24" t="str">
        <f t="shared" si="13"/>
        <v>F</v>
      </c>
      <c r="AK19" s="24" t="str">
        <f t="shared" si="14"/>
        <v>B</v>
      </c>
      <c r="AL19" s="24" t="str">
        <f t="shared" si="15"/>
        <v>C</v>
      </c>
      <c r="AM19" s="24">
        <f t="shared" si="16"/>
        <v>2</v>
      </c>
      <c r="AN19" s="24">
        <f t="shared" si="17"/>
        <v>2</v>
      </c>
      <c r="AO19" s="24">
        <f t="shared" si="18"/>
        <v>3</v>
      </c>
      <c r="AP19" s="24">
        <f t="shared" si="19"/>
        <v>1</v>
      </c>
      <c r="AQ19" s="24">
        <f t="shared" si="20"/>
        <v>5</v>
      </c>
      <c r="AR19" s="24">
        <f t="shared" si="21"/>
        <v>3</v>
      </c>
      <c r="AS19" s="24">
        <f t="shared" si="22"/>
        <v>2</v>
      </c>
      <c r="AT19" s="24">
        <f t="shared" si="23"/>
        <v>1</v>
      </c>
      <c r="AU19" s="24">
        <f t="shared" si="24"/>
        <v>1</v>
      </c>
      <c r="AV19" s="24">
        <f t="shared" si="25"/>
        <v>5</v>
      </c>
      <c r="AW19" s="24">
        <f t="shared" si="26"/>
        <v>1</v>
      </c>
      <c r="AX19" s="24">
        <f t="shared" si="27"/>
        <v>5</v>
      </c>
      <c r="AY19" s="24">
        <f t="shared" si="28"/>
        <v>3</v>
      </c>
      <c r="AZ19" s="24">
        <f t="shared" si="29"/>
        <v>2</v>
      </c>
      <c r="BA19" s="24">
        <f t="shared" si="30"/>
        <v>2</v>
      </c>
      <c r="BB19" s="24">
        <f t="shared" si="31"/>
        <v>2</v>
      </c>
      <c r="BC19" s="26">
        <f t="shared" si="32"/>
        <v>114.66666666666669</v>
      </c>
      <c r="BD19" s="26">
        <f t="shared" si="33"/>
        <v>143.53333333333336</v>
      </c>
      <c r="BE19" s="26">
        <f t="shared" si="34"/>
        <v>217.10000000000002</v>
      </c>
      <c r="BF19" s="26">
        <f t="shared" si="35"/>
        <v>57.333333333333343</v>
      </c>
      <c r="BG19" s="26">
        <f t="shared" si="36"/>
        <v>337</v>
      </c>
      <c r="BH19" s="26">
        <f t="shared" si="37"/>
        <v>211.22</v>
      </c>
      <c r="BI19" s="26">
        <f t="shared" si="38"/>
        <v>143.53333333333336</v>
      </c>
      <c r="BJ19" s="26">
        <f t="shared" si="39"/>
        <v>67.333333333333343</v>
      </c>
      <c r="BK19" s="26">
        <f t="shared" si="40"/>
        <v>67.333333333333343</v>
      </c>
      <c r="BL19" s="26">
        <f t="shared" si="41"/>
        <v>452.7000000000001</v>
      </c>
      <c r="BM19" s="26">
        <f t="shared" si="42"/>
        <v>90.54000000000002</v>
      </c>
      <c r="BN19" s="26">
        <f t="shared" si="43"/>
        <v>255</v>
      </c>
      <c r="BO19" s="26">
        <f t="shared" si="44"/>
        <v>163.81818181818181</v>
      </c>
      <c r="BP19" s="26">
        <f t="shared" si="45"/>
        <v>83.2</v>
      </c>
      <c r="BQ19" s="26">
        <f t="shared" si="46"/>
        <v>165.33333333333334</v>
      </c>
      <c r="BR19" s="26">
        <f t="shared" si="47"/>
        <v>158</v>
      </c>
      <c r="BS19" s="24">
        <f t="shared" si="48"/>
        <v>2</v>
      </c>
      <c r="BT19" s="24">
        <f t="shared" si="49"/>
        <v>4</v>
      </c>
      <c r="BU19" s="24">
        <f t="shared" si="50"/>
        <v>6</v>
      </c>
      <c r="BV19" s="24">
        <f t="shared" si="51"/>
        <v>1</v>
      </c>
      <c r="BW19" s="24">
        <f t="shared" si="52"/>
        <v>7.5</v>
      </c>
      <c r="BX19" s="24">
        <f t="shared" si="53"/>
        <v>6</v>
      </c>
      <c r="BY19" s="24">
        <f t="shared" si="54"/>
        <v>4</v>
      </c>
      <c r="BZ19" s="24">
        <f t="shared" si="55"/>
        <v>1.5</v>
      </c>
      <c r="CA19" s="24">
        <f t="shared" si="56"/>
        <v>1.5</v>
      </c>
      <c r="CB19" s="24">
        <f t="shared" si="57"/>
        <v>20</v>
      </c>
      <c r="CC19" s="24">
        <f t="shared" si="58"/>
        <v>4</v>
      </c>
      <c r="CD19" s="24">
        <f t="shared" si="59"/>
        <v>5</v>
      </c>
      <c r="CE19" s="24">
        <f t="shared" si="60"/>
        <v>3</v>
      </c>
      <c r="CF19" s="24">
        <f t="shared" si="61"/>
        <v>0</v>
      </c>
      <c r="CG19" s="24">
        <f t="shared" si="61"/>
        <v>6</v>
      </c>
      <c r="CH19" s="24">
        <f t="shared" si="62"/>
        <v>4</v>
      </c>
      <c r="CI19" s="24">
        <f t="shared" si="63"/>
        <v>20</v>
      </c>
      <c r="CJ19" s="26">
        <f t="shared" si="82"/>
        <v>1359.0533333333333</v>
      </c>
      <c r="CK19" s="26">
        <f t="shared" si="64"/>
        <v>33.5</v>
      </c>
      <c r="CL19" s="26">
        <f t="shared" si="83"/>
        <v>67.952666666666659</v>
      </c>
      <c r="CM19" s="24" t="str">
        <f t="shared" si="84"/>
        <v>D</v>
      </c>
      <c r="CN19" s="26">
        <f t="shared" si="65"/>
        <v>1.675</v>
      </c>
      <c r="CO19" s="24">
        <f t="shared" si="66"/>
        <v>20</v>
      </c>
      <c r="CP19" s="26">
        <f t="shared" si="67"/>
        <v>1368.5915151515153</v>
      </c>
      <c r="CQ19" s="26">
        <f t="shared" si="68"/>
        <v>42</v>
      </c>
      <c r="CR19" s="26">
        <f t="shared" si="85"/>
        <v>68.429575757575762</v>
      </c>
      <c r="CS19" s="24" t="str">
        <f t="shared" si="88"/>
        <v>D</v>
      </c>
      <c r="CT19" s="27">
        <f t="shared" si="69"/>
        <v>2.1</v>
      </c>
      <c r="CU19" s="52">
        <f t="shared" si="70"/>
        <v>40</v>
      </c>
      <c r="CV19" s="27">
        <f t="shared" si="71"/>
        <v>2727.6448484848484</v>
      </c>
      <c r="CW19" s="26">
        <f t="shared" si="72"/>
        <v>75.5</v>
      </c>
      <c r="CX19" s="26">
        <f t="shared" si="86"/>
        <v>68.191121212121203</v>
      </c>
      <c r="CY19" s="27" t="str">
        <f t="shared" si="89"/>
        <v>D</v>
      </c>
      <c r="CZ19" s="26">
        <f t="shared" si="73"/>
        <v>1.8875</v>
      </c>
      <c r="DA19" s="24">
        <f t="shared" si="74"/>
        <v>8</v>
      </c>
      <c r="DB19" s="24" t="str">
        <f t="shared" si="75"/>
        <v>4A</v>
      </c>
      <c r="DC19" s="24">
        <f t="shared" si="76"/>
        <v>13</v>
      </c>
      <c r="DD19" s="24">
        <f t="shared" si="77"/>
        <v>50</v>
      </c>
      <c r="DE19" s="1">
        <v>0</v>
      </c>
      <c r="DF19" s="1">
        <v>0</v>
      </c>
      <c r="DG19" s="1">
        <v>0</v>
      </c>
      <c r="DH19" s="24">
        <f t="shared" si="78"/>
        <v>0</v>
      </c>
      <c r="DI19" s="25">
        <f t="shared" si="79"/>
        <v>1</v>
      </c>
      <c r="DJ19" t="str">
        <f t="shared" si="80"/>
        <v>2025-2026</v>
      </c>
      <c r="DK19" s="9"/>
      <c r="DL19" s="9"/>
      <c r="DM19" s="9"/>
      <c r="DN19" s="9"/>
      <c r="DO19" s="9"/>
      <c r="DP19" s="9"/>
      <c r="DQ19" s="136" t="b">
        <f t="shared" si="81"/>
        <v>0</v>
      </c>
    </row>
    <row r="20" spans="1:121" ht="27" customHeight="1" x14ac:dyDescent="0.95">
      <c r="A20" s="24">
        <f t="shared" si="87"/>
        <v>6</v>
      </c>
      <c r="B20" s="41" t="s">
        <v>135</v>
      </c>
      <c r="C20" s="44" t="s">
        <v>136</v>
      </c>
      <c r="D20" s="43" t="s">
        <v>125</v>
      </c>
      <c r="E20" s="157">
        <v>720</v>
      </c>
      <c r="F20" s="43" t="s">
        <v>237</v>
      </c>
      <c r="G20" s="7">
        <v>69.333333333333343</v>
      </c>
      <c r="H20" s="7">
        <v>88.366666666666674</v>
      </c>
      <c r="I20" s="7">
        <v>88.366666666666674</v>
      </c>
      <c r="J20" s="7">
        <v>70.666666666666671</v>
      </c>
      <c r="K20" s="7">
        <v>83.600000000000009</v>
      </c>
      <c r="L20" s="7">
        <v>88.366666666666674</v>
      </c>
      <c r="M20" s="7">
        <v>88.366666666666674</v>
      </c>
      <c r="N20" s="7">
        <v>90.833333333333343</v>
      </c>
      <c r="O20" s="7">
        <v>90.833333333333343</v>
      </c>
      <c r="P20" s="7">
        <v>96.56</v>
      </c>
      <c r="Q20" s="7">
        <v>96.56</v>
      </c>
      <c r="R20" s="7">
        <v>73.930000000000007</v>
      </c>
      <c r="S20" s="7">
        <v>84.333333333333343</v>
      </c>
      <c r="T20" s="7">
        <v>81</v>
      </c>
      <c r="U20" s="7">
        <v>92.666666666666671</v>
      </c>
      <c r="V20" s="7">
        <v>96</v>
      </c>
      <c r="W20" s="1" t="str">
        <f t="shared" si="0"/>
        <v>D</v>
      </c>
      <c r="X20" s="1" t="str">
        <f t="shared" si="1"/>
        <v>B</v>
      </c>
      <c r="Y20" s="1" t="str">
        <f t="shared" si="2"/>
        <v>B</v>
      </c>
      <c r="Z20" s="1" t="str">
        <f t="shared" si="3"/>
        <v>C</v>
      </c>
      <c r="AA20" s="1" t="str">
        <f t="shared" si="4"/>
        <v>B</v>
      </c>
      <c r="AB20" s="1" t="str">
        <f t="shared" si="5"/>
        <v>B</v>
      </c>
      <c r="AC20" s="1" t="str">
        <f t="shared" si="6"/>
        <v>B</v>
      </c>
      <c r="AD20" s="1" t="str">
        <f t="shared" si="7"/>
        <v>A</v>
      </c>
      <c r="AE20" s="1" t="str">
        <f t="shared" si="8"/>
        <v>A</v>
      </c>
      <c r="AF20" s="24" t="str">
        <f t="shared" si="9"/>
        <v>A</v>
      </c>
      <c r="AG20" s="24" t="str">
        <f t="shared" si="10"/>
        <v>A</v>
      </c>
      <c r="AH20" s="24" t="str">
        <f t="shared" si="11"/>
        <v>C</v>
      </c>
      <c r="AI20" s="24" t="str">
        <f t="shared" si="12"/>
        <v>B</v>
      </c>
      <c r="AJ20" s="24" t="str">
        <f t="shared" si="13"/>
        <v>B</v>
      </c>
      <c r="AK20" s="24" t="str">
        <f t="shared" si="14"/>
        <v>A</v>
      </c>
      <c r="AL20" s="24" t="str">
        <f t="shared" si="15"/>
        <v>A</v>
      </c>
      <c r="AM20" s="24">
        <f t="shared" si="16"/>
        <v>2</v>
      </c>
      <c r="AN20" s="24">
        <f t="shared" si="17"/>
        <v>2</v>
      </c>
      <c r="AO20" s="24">
        <f t="shared" si="18"/>
        <v>3</v>
      </c>
      <c r="AP20" s="24">
        <f t="shared" si="19"/>
        <v>1</v>
      </c>
      <c r="AQ20" s="24">
        <f t="shared" si="20"/>
        <v>5</v>
      </c>
      <c r="AR20" s="24">
        <f t="shared" si="21"/>
        <v>3</v>
      </c>
      <c r="AS20" s="24">
        <f t="shared" si="22"/>
        <v>2</v>
      </c>
      <c r="AT20" s="24">
        <f t="shared" si="23"/>
        <v>1</v>
      </c>
      <c r="AU20" s="24">
        <f t="shared" si="24"/>
        <v>1</v>
      </c>
      <c r="AV20" s="24">
        <f t="shared" si="25"/>
        <v>5</v>
      </c>
      <c r="AW20" s="24">
        <f t="shared" si="26"/>
        <v>1</v>
      </c>
      <c r="AX20" s="24">
        <f t="shared" si="27"/>
        <v>5</v>
      </c>
      <c r="AY20" s="24">
        <f t="shared" si="28"/>
        <v>3</v>
      </c>
      <c r="AZ20" s="24">
        <f t="shared" si="29"/>
        <v>2</v>
      </c>
      <c r="BA20" s="24">
        <f t="shared" si="30"/>
        <v>2</v>
      </c>
      <c r="BB20" s="24">
        <f t="shared" si="31"/>
        <v>2</v>
      </c>
      <c r="BC20" s="26">
        <f t="shared" si="32"/>
        <v>138.66666666666669</v>
      </c>
      <c r="BD20" s="26">
        <f t="shared" si="33"/>
        <v>176.73333333333335</v>
      </c>
      <c r="BE20" s="26">
        <f t="shared" si="34"/>
        <v>265.10000000000002</v>
      </c>
      <c r="BF20" s="26">
        <f t="shared" si="35"/>
        <v>70.666666666666671</v>
      </c>
      <c r="BG20" s="26">
        <f t="shared" si="36"/>
        <v>418.00000000000006</v>
      </c>
      <c r="BH20" s="26">
        <f t="shared" si="37"/>
        <v>265.10000000000002</v>
      </c>
      <c r="BI20" s="26">
        <f t="shared" si="38"/>
        <v>176.73333333333335</v>
      </c>
      <c r="BJ20" s="26">
        <f t="shared" si="39"/>
        <v>90.833333333333343</v>
      </c>
      <c r="BK20" s="26">
        <f t="shared" si="40"/>
        <v>90.833333333333343</v>
      </c>
      <c r="BL20" s="26">
        <f t="shared" si="41"/>
        <v>482.8</v>
      </c>
      <c r="BM20" s="26">
        <f t="shared" si="42"/>
        <v>96.56</v>
      </c>
      <c r="BN20" s="26">
        <f t="shared" si="43"/>
        <v>369.65000000000003</v>
      </c>
      <c r="BO20" s="26">
        <f t="shared" si="44"/>
        <v>253.00000000000003</v>
      </c>
      <c r="BP20" s="26">
        <f t="shared" si="45"/>
        <v>162</v>
      </c>
      <c r="BQ20" s="26">
        <f t="shared" si="46"/>
        <v>185.33333333333334</v>
      </c>
      <c r="BR20" s="26">
        <f t="shared" si="47"/>
        <v>192</v>
      </c>
      <c r="BS20" s="24">
        <f t="shared" si="48"/>
        <v>3</v>
      </c>
      <c r="BT20" s="24">
        <f t="shared" si="49"/>
        <v>6</v>
      </c>
      <c r="BU20" s="24">
        <f t="shared" si="50"/>
        <v>9</v>
      </c>
      <c r="BV20" s="24">
        <f t="shared" si="51"/>
        <v>2</v>
      </c>
      <c r="BW20" s="24">
        <f t="shared" si="52"/>
        <v>15</v>
      </c>
      <c r="BX20" s="24">
        <f t="shared" si="53"/>
        <v>9</v>
      </c>
      <c r="BY20" s="24">
        <f t="shared" si="54"/>
        <v>6</v>
      </c>
      <c r="BZ20" s="24">
        <f t="shared" si="55"/>
        <v>4</v>
      </c>
      <c r="CA20" s="24">
        <f t="shared" si="56"/>
        <v>4</v>
      </c>
      <c r="CB20" s="24">
        <f t="shared" si="57"/>
        <v>20</v>
      </c>
      <c r="CC20" s="24">
        <f t="shared" si="58"/>
        <v>4</v>
      </c>
      <c r="CD20" s="24">
        <f t="shared" si="59"/>
        <v>10</v>
      </c>
      <c r="CE20" s="24">
        <f t="shared" si="60"/>
        <v>9</v>
      </c>
      <c r="CF20" s="24">
        <f t="shared" si="61"/>
        <v>6</v>
      </c>
      <c r="CG20" s="24">
        <f t="shared" si="61"/>
        <v>8</v>
      </c>
      <c r="CH20" s="24">
        <f t="shared" si="62"/>
        <v>8</v>
      </c>
      <c r="CI20" s="24">
        <f t="shared" si="63"/>
        <v>20</v>
      </c>
      <c r="CJ20" s="26">
        <f t="shared" si="82"/>
        <v>1692.6666666666667</v>
      </c>
      <c r="CK20" s="26">
        <f t="shared" si="64"/>
        <v>58</v>
      </c>
      <c r="CL20" s="26">
        <f t="shared" si="83"/>
        <v>84.63333333333334</v>
      </c>
      <c r="CM20" s="24" t="str">
        <f t="shared" si="84"/>
        <v>B</v>
      </c>
      <c r="CN20" s="26">
        <f t="shared" si="65"/>
        <v>2.9</v>
      </c>
      <c r="CO20" s="24">
        <f t="shared" si="66"/>
        <v>20</v>
      </c>
      <c r="CP20" s="26">
        <f t="shared" si="67"/>
        <v>1741.3433333333332</v>
      </c>
      <c r="CQ20" s="26">
        <f t="shared" si="68"/>
        <v>65</v>
      </c>
      <c r="CR20" s="26">
        <f t="shared" si="85"/>
        <v>87.067166666666665</v>
      </c>
      <c r="CS20" s="24" t="str">
        <f t="shared" si="88"/>
        <v>B</v>
      </c>
      <c r="CT20" s="27">
        <f t="shared" si="69"/>
        <v>3.25</v>
      </c>
      <c r="CU20" s="52">
        <f t="shared" si="70"/>
        <v>40</v>
      </c>
      <c r="CV20" s="27">
        <f t="shared" si="71"/>
        <v>3434.01</v>
      </c>
      <c r="CW20" s="26">
        <f t="shared" si="72"/>
        <v>123</v>
      </c>
      <c r="CX20" s="26">
        <f t="shared" si="86"/>
        <v>85.850250000000003</v>
      </c>
      <c r="CY20" s="27" t="str">
        <f t="shared" si="89"/>
        <v>B</v>
      </c>
      <c r="CZ20" s="26">
        <f t="shared" si="73"/>
        <v>3.0750000000000002</v>
      </c>
      <c r="DA20" s="24">
        <f t="shared" si="74"/>
        <v>3</v>
      </c>
      <c r="DB20" s="24" t="str">
        <f t="shared" si="75"/>
        <v>4A</v>
      </c>
      <c r="DC20" s="24">
        <f t="shared" si="76"/>
        <v>13</v>
      </c>
      <c r="DD20" s="24">
        <f t="shared" si="77"/>
        <v>50</v>
      </c>
      <c r="DE20" s="1">
        <v>0</v>
      </c>
      <c r="DF20" s="1">
        <v>0</v>
      </c>
      <c r="DG20" s="1">
        <v>0</v>
      </c>
      <c r="DH20" s="24">
        <f t="shared" si="78"/>
        <v>0</v>
      </c>
      <c r="DI20" s="25">
        <f t="shared" si="79"/>
        <v>1</v>
      </c>
      <c r="DJ20" t="str">
        <f t="shared" si="80"/>
        <v>2025-2026</v>
      </c>
      <c r="DK20" s="9"/>
      <c r="DL20" s="9"/>
      <c r="DM20" s="9"/>
      <c r="DN20" s="9"/>
      <c r="DO20" s="9"/>
      <c r="DP20" s="9"/>
      <c r="DQ20" s="136" t="b">
        <f t="shared" si="81"/>
        <v>0</v>
      </c>
    </row>
    <row r="21" spans="1:121" ht="27" customHeight="1" x14ac:dyDescent="0.95">
      <c r="A21" s="24">
        <f t="shared" si="87"/>
        <v>7</v>
      </c>
      <c r="B21" s="41" t="s">
        <v>137</v>
      </c>
      <c r="C21" s="41" t="s">
        <v>138</v>
      </c>
      <c r="D21" s="42" t="s">
        <v>124</v>
      </c>
      <c r="E21" s="157">
        <v>690</v>
      </c>
      <c r="F21" s="43" t="s">
        <v>237</v>
      </c>
      <c r="G21" s="7">
        <v>64</v>
      </c>
      <c r="H21" s="7">
        <v>80.366666666666674</v>
      </c>
      <c r="I21" s="7">
        <v>80.366666666666674</v>
      </c>
      <c r="J21" s="7">
        <v>62.666666666666664</v>
      </c>
      <c r="K21" s="7">
        <v>79.599999999999994</v>
      </c>
      <c r="L21" s="7">
        <v>80.366666666666674</v>
      </c>
      <c r="M21" s="7">
        <v>80.366666666666674</v>
      </c>
      <c r="N21" s="7">
        <v>81.833333333333343</v>
      </c>
      <c r="O21" s="7">
        <v>81.833333333333343</v>
      </c>
      <c r="P21" s="7">
        <v>94.546666666666681</v>
      </c>
      <c r="Q21" s="7">
        <v>94.546666666666681</v>
      </c>
      <c r="R21" s="7">
        <v>78.069999999999993</v>
      </c>
      <c r="S21" s="7">
        <v>86.818181818181813</v>
      </c>
      <c r="T21" s="7">
        <v>51</v>
      </c>
      <c r="U21" s="7">
        <v>89</v>
      </c>
      <c r="V21" s="7">
        <v>88</v>
      </c>
      <c r="W21" s="1" t="str">
        <f t="shared" si="0"/>
        <v>D</v>
      </c>
      <c r="X21" s="1" t="str">
        <f t="shared" si="1"/>
        <v>B</v>
      </c>
      <c r="Y21" s="1" t="str">
        <f t="shared" si="2"/>
        <v>B</v>
      </c>
      <c r="Z21" s="1" t="str">
        <f t="shared" si="3"/>
        <v>D</v>
      </c>
      <c r="AA21" s="1" t="str">
        <f t="shared" si="4"/>
        <v>C</v>
      </c>
      <c r="AB21" s="1" t="str">
        <f t="shared" si="5"/>
        <v>B</v>
      </c>
      <c r="AC21" s="1" t="str">
        <f t="shared" si="6"/>
        <v>B</v>
      </c>
      <c r="AD21" s="1" t="str">
        <f t="shared" si="7"/>
        <v>B</v>
      </c>
      <c r="AE21" s="1" t="str">
        <f t="shared" si="8"/>
        <v>B</v>
      </c>
      <c r="AF21" s="24" t="str">
        <f t="shared" si="9"/>
        <v>A</v>
      </c>
      <c r="AG21" s="24" t="str">
        <f t="shared" si="10"/>
        <v>A</v>
      </c>
      <c r="AH21" s="24" t="str">
        <f t="shared" si="11"/>
        <v>C</v>
      </c>
      <c r="AI21" s="24" t="str">
        <f t="shared" si="12"/>
        <v>B</v>
      </c>
      <c r="AJ21" s="24" t="str">
        <f t="shared" si="13"/>
        <v>E</v>
      </c>
      <c r="AK21" s="24" t="str">
        <f t="shared" si="14"/>
        <v>B</v>
      </c>
      <c r="AL21" s="24" t="str">
        <f t="shared" si="15"/>
        <v>B</v>
      </c>
      <c r="AM21" s="24">
        <f t="shared" si="16"/>
        <v>2</v>
      </c>
      <c r="AN21" s="24">
        <f t="shared" si="17"/>
        <v>2</v>
      </c>
      <c r="AO21" s="24">
        <f t="shared" si="18"/>
        <v>3</v>
      </c>
      <c r="AP21" s="24">
        <f t="shared" si="19"/>
        <v>1</v>
      </c>
      <c r="AQ21" s="24">
        <f t="shared" si="20"/>
        <v>5</v>
      </c>
      <c r="AR21" s="24">
        <f t="shared" si="21"/>
        <v>3</v>
      </c>
      <c r="AS21" s="24">
        <f t="shared" si="22"/>
        <v>2</v>
      </c>
      <c r="AT21" s="24">
        <f t="shared" si="23"/>
        <v>1</v>
      </c>
      <c r="AU21" s="24">
        <f t="shared" si="24"/>
        <v>1</v>
      </c>
      <c r="AV21" s="24">
        <f t="shared" si="25"/>
        <v>5</v>
      </c>
      <c r="AW21" s="24">
        <f t="shared" si="26"/>
        <v>1</v>
      </c>
      <c r="AX21" s="24">
        <f t="shared" si="27"/>
        <v>5</v>
      </c>
      <c r="AY21" s="24">
        <f t="shared" si="28"/>
        <v>3</v>
      </c>
      <c r="AZ21" s="24">
        <f t="shared" si="29"/>
        <v>2</v>
      </c>
      <c r="BA21" s="24">
        <f t="shared" si="30"/>
        <v>2</v>
      </c>
      <c r="BB21" s="24">
        <f t="shared" si="31"/>
        <v>2</v>
      </c>
      <c r="BC21" s="26">
        <f t="shared" si="32"/>
        <v>128</v>
      </c>
      <c r="BD21" s="26">
        <f t="shared" si="33"/>
        <v>160.73333333333335</v>
      </c>
      <c r="BE21" s="26">
        <f t="shared" si="34"/>
        <v>241.10000000000002</v>
      </c>
      <c r="BF21" s="26">
        <f t="shared" si="35"/>
        <v>62.666666666666664</v>
      </c>
      <c r="BG21" s="26">
        <f t="shared" si="36"/>
        <v>398</v>
      </c>
      <c r="BH21" s="26">
        <f t="shared" si="37"/>
        <v>241.10000000000002</v>
      </c>
      <c r="BI21" s="26">
        <f t="shared" si="38"/>
        <v>160.73333333333335</v>
      </c>
      <c r="BJ21" s="26">
        <f t="shared" si="39"/>
        <v>81.833333333333343</v>
      </c>
      <c r="BK21" s="26">
        <f t="shared" si="40"/>
        <v>81.833333333333343</v>
      </c>
      <c r="BL21" s="26">
        <f t="shared" si="41"/>
        <v>472.73333333333341</v>
      </c>
      <c r="BM21" s="26">
        <f t="shared" si="42"/>
        <v>94.546666666666681</v>
      </c>
      <c r="BN21" s="26">
        <f t="shared" si="43"/>
        <v>390.34999999999997</v>
      </c>
      <c r="BO21" s="26">
        <f t="shared" si="44"/>
        <v>260.45454545454544</v>
      </c>
      <c r="BP21" s="26">
        <f t="shared" si="45"/>
        <v>102</v>
      </c>
      <c r="BQ21" s="26">
        <f t="shared" si="46"/>
        <v>178</v>
      </c>
      <c r="BR21" s="26">
        <f t="shared" si="47"/>
        <v>176</v>
      </c>
      <c r="BS21" s="24">
        <f t="shared" si="48"/>
        <v>3</v>
      </c>
      <c r="BT21" s="24">
        <f t="shared" si="49"/>
        <v>6</v>
      </c>
      <c r="BU21" s="24">
        <f t="shared" si="50"/>
        <v>9</v>
      </c>
      <c r="BV21" s="24">
        <f t="shared" si="51"/>
        <v>1.5</v>
      </c>
      <c r="BW21" s="24">
        <f t="shared" si="52"/>
        <v>10</v>
      </c>
      <c r="BX21" s="24">
        <f t="shared" si="53"/>
        <v>9</v>
      </c>
      <c r="BY21" s="24">
        <f t="shared" si="54"/>
        <v>6</v>
      </c>
      <c r="BZ21" s="24">
        <f t="shared" si="55"/>
        <v>3</v>
      </c>
      <c r="CA21" s="24">
        <f t="shared" si="56"/>
        <v>3</v>
      </c>
      <c r="CB21" s="24">
        <f t="shared" si="57"/>
        <v>20</v>
      </c>
      <c r="CC21" s="24">
        <f t="shared" si="58"/>
        <v>4</v>
      </c>
      <c r="CD21" s="24">
        <f t="shared" si="59"/>
        <v>10</v>
      </c>
      <c r="CE21" s="24">
        <f t="shared" si="60"/>
        <v>9</v>
      </c>
      <c r="CF21" s="24">
        <f t="shared" si="61"/>
        <v>2</v>
      </c>
      <c r="CG21" s="24">
        <f t="shared" si="61"/>
        <v>6</v>
      </c>
      <c r="CH21" s="24">
        <f t="shared" si="62"/>
        <v>6</v>
      </c>
      <c r="CI21" s="24">
        <f t="shared" si="63"/>
        <v>20</v>
      </c>
      <c r="CJ21" s="26">
        <f t="shared" si="82"/>
        <v>1555.9999999999998</v>
      </c>
      <c r="CK21" s="26">
        <f t="shared" si="64"/>
        <v>50.5</v>
      </c>
      <c r="CL21" s="26">
        <f t="shared" si="83"/>
        <v>77.799999999999983</v>
      </c>
      <c r="CM21" s="24" t="str">
        <f t="shared" si="84"/>
        <v>C</v>
      </c>
      <c r="CN21" s="26">
        <f t="shared" si="65"/>
        <v>2.5249999999999999</v>
      </c>
      <c r="CO21" s="24">
        <f t="shared" si="66"/>
        <v>20</v>
      </c>
      <c r="CP21" s="26">
        <f t="shared" si="67"/>
        <v>1674.0845454545456</v>
      </c>
      <c r="CQ21" s="26">
        <f t="shared" si="68"/>
        <v>57</v>
      </c>
      <c r="CR21" s="26">
        <f t="shared" si="85"/>
        <v>83.70422727272728</v>
      </c>
      <c r="CS21" s="24" t="str">
        <f t="shared" si="88"/>
        <v>B</v>
      </c>
      <c r="CT21" s="27">
        <f t="shared" si="69"/>
        <v>2.85</v>
      </c>
      <c r="CU21" s="52">
        <f t="shared" si="70"/>
        <v>40</v>
      </c>
      <c r="CV21" s="27">
        <f t="shared" si="71"/>
        <v>3230.0845454545452</v>
      </c>
      <c r="CW21" s="26">
        <f t="shared" si="72"/>
        <v>107.5</v>
      </c>
      <c r="CX21" s="26">
        <f t="shared" si="86"/>
        <v>80.752113636363632</v>
      </c>
      <c r="CY21" s="27" t="str">
        <f t="shared" si="89"/>
        <v>B</v>
      </c>
      <c r="CZ21" s="26">
        <f t="shared" si="73"/>
        <v>2.6875</v>
      </c>
      <c r="DA21" s="24">
        <f t="shared" si="74"/>
        <v>6</v>
      </c>
      <c r="DB21" s="24" t="str">
        <f t="shared" si="75"/>
        <v>4A</v>
      </c>
      <c r="DC21" s="24">
        <f t="shared" si="76"/>
        <v>13</v>
      </c>
      <c r="DD21" s="24">
        <f t="shared" si="77"/>
        <v>50</v>
      </c>
      <c r="DE21" s="1">
        <v>0</v>
      </c>
      <c r="DF21" s="1">
        <v>0</v>
      </c>
      <c r="DG21" s="1">
        <v>0</v>
      </c>
      <c r="DH21" s="24">
        <f t="shared" si="78"/>
        <v>0</v>
      </c>
      <c r="DI21" s="25">
        <f t="shared" si="79"/>
        <v>1</v>
      </c>
      <c r="DJ21" t="str">
        <f t="shared" si="80"/>
        <v>2025-2026</v>
      </c>
      <c r="DK21" s="9"/>
      <c r="DL21" s="9"/>
      <c r="DM21" s="9"/>
      <c r="DN21" s="9"/>
      <c r="DO21" s="9"/>
      <c r="DP21" s="9"/>
      <c r="DQ21" s="136" t="b">
        <f t="shared" si="81"/>
        <v>0</v>
      </c>
    </row>
    <row r="22" spans="1:121" ht="27" customHeight="1" x14ac:dyDescent="0.95">
      <c r="A22" s="24">
        <f t="shared" si="87"/>
        <v>8</v>
      </c>
      <c r="B22" s="41" t="s">
        <v>139</v>
      </c>
      <c r="C22" s="44" t="s">
        <v>140</v>
      </c>
      <c r="D22" s="45" t="s">
        <v>125</v>
      </c>
      <c r="E22" s="157">
        <v>687</v>
      </c>
      <c r="F22" s="43" t="s">
        <v>237</v>
      </c>
      <c r="G22" s="7">
        <v>68</v>
      </c>
      <c r="H22" s="7">
        <v>104.36666666666669</v>
      </c>
      <c r="I22" s="7">
        <v>86.366666666666674</v>
      </c>
      <c r="J22" s="7">
        <v>69.333333333333343</v>
      </c>
      <c r="K22" s="7">
        <v>79.5</v>
      </c>
      <c r="L22" s="7">
        <v>86.366666666666674</v>
      </c>
      <c r="M22" s="7">
        <v>86.366666666666674</v>
      </c>
      <c r="N22" s="7">
        <v>85.833333333333343</v>
      </c>
      <c r="O22" s="7">
        <v>85.833333333333343</v>
      </c>
      <c r="P22" s="7">
        <v>97.433333333333337</v>
      </c>
      <c r="Q22" s="7">
        <v>97.433333333333337</v>
      </c>
      <c r="R22" s="7">
        <v>77.2</v>
      </c>
      <c r="S22" s="7">
        <v>85.909090909090921</v>
      </c>
      <c r="T22" s="7">
        <v>80</v>
      </c>
      <c r="U22" s="7">
        <v>95.800000000000011</v>
      </c>
      <c r="V22" s="7">
        <v>95</v>
      </c>
      <c r="W22" s="1" t="str">
        <f t="shared" si="0"/>
        <v>D</v>
      </c>
      <c r="X22" s="1" t="str">
        <f t="shared" si="1"/>
        <v>A</v>
      </c>
      <c r="Y22" s="1" t="str">
        <f t="shared" si="2"/>
        <v>B</v>
      </c>
      <c r="Z22" s="1" t="str">
        <f t="shared" si="3"/>
        <v>D</v>
      </c>
      <c r="AA22" s="1" t="str">
        <f t="shared" si="4"/>
        <v>C</v>
      </c>
      <c r="AB22" s="1" t="str">
        <f t="shared" si="5"/>
        <v>B</v>
      </c>
      <c r="AC22" s="1" t="str">
        <f t="shared" si="6"/>
        <v>B</v>
      </c>
      <c r="AD22" s="1" t="str">
        <f t="shared" si="7"/>
        <v>B</v>
      </c>
      <c r="AE22" s="1" t="str">
        <f t="shared" si="8"/>
        <v>B</v>
      </c>
      <c r="AF22" s="24" t="str">
        <f t="shared" si="9"/>
        <v>A</v>
      </c>
      <c r="AG22" s="24" t="str">
        <f t="shared" si="10"/>
        <v>A</v>
      </c>
      <c r="AH22" s="24" t="str">
        <f t="shared" si="11"/>
        <v>C</v>
      </c>
      <c r="AI22" s="24" t="str">
        <f t="shared" si="12"/>
        <v>B</v>
      </c>
      <c r="AJ22" s="24" t="str">
        <f t="shared" si="13"/>
        <v>B</v>
      </c>
      <c r="AK22" s="24" t="str">
        <f t="shared" si="14"/>
        <v>A</v>
      </c>
      <c r="AL22" s="24" t="str">
        <f t="shared" si="15"/>
        <v>A</v>
      </c>
      <c r="AM22" s="24">
        <f t="shared" si="16"/>
        <v>2</v>
      </c>
      <c r="AN22" s="24">
        <f t="shared" si="17"/>
        <v>2</v>
      </c>
      <c r="AO22" s="24">
        <f t="shared" si="18"/>
        <v>3</v>
      </c>
      <c r="AP22" s="24">
        <f t="shared" si="19"/>
        <v>1</v>
      </c>
      <c r="AQ22" s="24">
        <f t="shared" si="20"/>
        <v>5</v>
      </c>
      <c r="AR22" s="24">
        <f t="shared" si="21"/>
        <v>3</v>
      </c>
      <c r="AS22" s="24">
        <f t="shared" si="22"/>
        <v>2</v>
      </c>
      <c r="AT22" s="24">
        <f t="shared" si="23"/>
        <v>1</v>
      </c>
      <c r="AU22" s="24">
        <f t="shared" si="24"/>
        <v>1</v>
      </c>
      <c r="AV22" s="24">
        <f t="shared" si="25"/>
        <v>5</v>
      </c>
      <c r="AW22" s="24">
        <f t="shared" si="26"/>
        <v>1</v>
      </c>
      <c r="AX22" s="24">
        <f t="shared" si="27"/>
        <v>5</v>
      </c>
      <c r="AY22" s="24">
        <f t="shared" si="28"/>
        <v>3</v>
      </c>
      <c r="AZ22" s="24">
        <f t="shared" si="29"/>
        <v>2</v>
      </c>
      <c r="BA22" s="24">
        <f t="shared" si="30"/>
        <v>2</v>
      </c>
      <c r="BB22" s="24">
        <f t="shared" si="31"/>
        <v>2</v>
      </c>
      <c r="BC22" s="26">
        <f t="shared" si="32"/>
        <v>136</v>
      </c>
      <c r="BD22" s="26">
        <f t="shared" si="33"/>
        <v>208.73333333333338</v>
      </c>
      <c r="BE22" s="26">
        <f t="shared" si="34"/>
        <v>259.10000000000002</v>
      </c>
      <c r="BF22" s="26">
        <f t="shared" si="35"/>
        <v>69.333333333333343</v>
      </c>
      <c r="BG22" s="26">
        <f t="shared" si="36"/>
        <v>397.5</v>
      </c>
      <c r="BH22" s="26">
        <f t="shared" si="37"/>
        <v>259.10000000000002</v>
      </c>
      <c r="BI22" s="26">
        <f t="shared" si="38"/>
        <v>172.73333333333335</v>
      </c>
      <c r="BJ22" s="26">
        <f t="shared" si="39"/>
        <v>85.833333333333343</v>
      </c>
      <c r="BK22" s="26">
        <f t="shared" si="40"/>
        <v>85.833333333333343</v>
      </c>
      <c r="BL22" s="26">
        <f t="shared" si="41"/>
        <v>487.16666666666669</v>
      </c>
      <c r="BM22" s="26">
        <f t="shared" si="42"/>
        <v>97.433333333333337</v>
      </c>
      <c r="BN22" s="26">
        <f t="shared" si="43"/>
        <v>386</v>
      </c>
      <c r="BO22" s="26">
        <f t="shared" si="44"/>
        <v>257.72727272727275</v>
      </c>
      <c r="BP22" s="26">
        <f t="shared" si="45"/>
        <v>160</v>
      </c>
      <c r="BQ22" s="26">
        <f t="shared" si="46"/>
        <v>191.60000000000002</v>
      </c>
      <c r="BR22" s="26">
        <f t="shared" si="47"/>
        <v>190</v>
      </c>
      <c r="BS22" s="24">
        <f t="shared" si="48"/>
        <v>3</v>
      </c>
      <c r="BT22" s="24">
        <f t="shared" si="49"/>
        <v>8</v>
      </c>
      <c r="BU22" s="24">
        <f t="shared" si="50"/>
        <v>9</v>
      </c>
      <c r="BV22" s="24">
        <f t="shared" si="51"/>
        <v>1.5</v>
      </c>
      <c r="BW22" s="24">
        <f t="shared" si="52"/>
        <v>10</v>
      </c>
      <c r="BX22" s="24">
        <f t="shared" si="53"/>
        <v>9</v>
      </c>
      <c r="BY22" s="24">
        <f t="shared" si="54"/>
        <v>6</v>
      </c>
      <c r="BZ22" s="24">
        <f t="shared" si="55"/>
        <v>3</v>
      </c>
      <c r="CA22" s="24">
        <f t="shared" si="56"/>
        <v>3</v>
      </c>
      <c r="CB22" s="24">
        <f t="shared" si="57"/>
        <v>20</v>
      </c>
      <c r="CC22" s="24">
        <f t="shared" si="58"/>
        <v>4</v>
      </c>
      <c r="CD22" s="24">
        <f t="shared" si="59"/>
        <v>10</v>
      </c>
      <c r="CE22" s="24">
        <f t="shared" si="60"/>
        <v>9</v>
      </c>
      <c r="CF22" s="24">
        <f t="shared" si="61"/>
        <v>6</v>
      </c>
      <c r="CG22" s="24">
        <f t="shared" si="61"/>
        <v>8</v>
      </c>
      <c r="CH22" s="24">
        <f t="shared" si="62"/>
        <v>8</v>
      </c>
      <c r="CI22" s="24">
        <f t="shared" si="63"/>
        <v>20</v>
      </c>
      <c r="CJ22" s="26">
        <f t="shared" si="82"/>
        <v>1674.1666666666667</v>
      </c>
      <c r="CK22" s="26">
        <f t="shared" si="64"/>
        <v>52.5</v>
      </c>
      <c r="CL22" s="26">
        <f t="shared" si="83"/>
        <v>83.708333333333343</v>
      </c>
      <c r="CM22" s="24" t="str">
        <f t="shared" si="84"/>
        <v>B</v>
      </c>
      <c r="CN22" s="26">
        <f t="shared" si="65"/>
        <v>2.625</v>
      </c>
      <c r="CO22" s="24">
        <f t="shared" si="66"/>
        <v>20</v>
      </c>
      <c r="CP22" s="26">
        <f t="shared" si="67"/>
        <v>1769.9272727272728</v>
      </c>
      <c r="CQ22" s="26">
        <f t="shared" si="68"/>
        <v>65</v>
      </c>
      <c r="CR22" s="26">
        <f>IF(OR(CO22="",CP22=""),"",CP22/CO22)</f>
        <v>88.49636363636364</v>
      </c>
      <c r="CS22" s="24" t="str">
        <f t="shared" si="88"/>
        <v>B</v>
      </c>
      <c r="CT22" s="27">
        <f t="shared" si="69"/>
        <v>3.25</v>
      </c>
      <c r="CU22" s="52">
        <f t="shared" si="70"/>
        <v>40</v>
      </c>
      <c r="CV22" s="27">
        <f t="shared" si="71"/>
        <v>3444.0939393939393</v>
      </c>
      <c r="CW22" s="26">
        <f t="shared" si="72"/>
        <v>117.5</v>
      </c>
      <c r="CX22" s="26">
        <f t="shared" si="86"/>
        <v>86.102348484848477</v>
      </c>
      <c r="CY22" s="27" t="str">
        <f t="shared" si="89"/>
        <v>B</v>
      </c>
      <c r="CZ22" s="26">
        <f t="shared" si="73"/>
        <v>2.9375</v>
      </c>
      <c r="DA22" s="24">
        <f t="shared" si="74"/>
        <v>2</v>
      </c>
      <c r="DB22" s="24" t="str">
        <f t="shared" si="75"/>
        <v>4A</v>
      </c>
      <c r="DC22" s="24">
        <f t="shared" si="76"/>
        <v>13</v>
      </c>
      <c r="DD22" s="24">
        <f t="shared" si="77"/>
        <v>50</v>
      </c>
      <c r="DE22" s="1">
        <v>0</v>
      </c>
      <c r="DF22" s="1">
        <v>0</v>
      </c>
      <c r="DG22" s="1">
        <v>0</v>
      </c>
      <c r="DH22" s="24">
        <f t="shared" si="78"/>
        <v>0</v>
      </c>
      <c r="DI22" s="25">
        <f t="shared" si="79"/>
        <v>1</v>
      </c>
      <c r="DJ22" t="str">
        <f t="shared" si="80"/>
        <v>2025-2026</v>
      </c>
      <c r="DK22" s="9"/>
      <c r="DL22" s="9"/>
      <c r="DM22" s="9"/>
      <c r="DN22" s="9"/>
      <c r="DO22" s="9"/>
      <c r="DP22" s="9"/>
      <c r="DQ22" s="136" t="b">
        <f t="shared" si="81"/>
        <v>0</v>
      </c>
    </row>
    <row r="23" spans="1:121" ht="27" customHeight="1" x14ac:dyDescent="0.95">
      <c r="A23" s="24">
        <f t="shared" si="87"/>
        <v>9</v>
      </c>
      <c r="B23" s="41" t="s">
        <v>141</v>
      </c>
      <c r="C23" s="41" t="s">
        <v>142</v>
      </c>
      <c r="D23" s="42" t="s">
        <v>124</v>
      </c>
      <c r="E23" s="157">
        <v>692</v>
      </c>
      <c r="F23" s="43" t="s">
        <v>237</v>
      </c>
      <c r="G23" s="7">
        <v>57.333333333333343</v>
      </c>
      <c r="H23" s="7">
        <v>74.866666666666674</v>
      </c>
      <c r="I23" s="7">
        <v>74.866666666666674</v>
      </c>
      <c r="J23" s="7">
        <v>60</v>
      </c>
      <c r="K23" s="7">
        <v>74.400000000000006</v>
      </c>
      <c r="L23" s="7">
        <v>74.866666666666674</v>
      </c>
      <c r="M23" s="7">
        <v>74.866666666666674</v>
      </c>
      <c r="N23" s="7">
        <v>70.166666666666657</v>
      </c>
      <c r="O23" s="7">
        <v>70.166666666666657</v>
      </c>
      <c r="P23" s="7">
        <v>59.63333333333334</v>
      </c>
      <c r="Q23" s="7">
        <v>59.63333333333334</v>
      </c>
      <c r="R23" s="7">
        <v>46.47</v>
      </c>
      <c r="S23" s="7">
        <v>31.333333333333332</v>
      </c>
      <c r="T23" s="7">
        <v>38.799999999999997</v>
      </c>
      <c r="U23" s="7">
        <v>75.333333333333343</v>
      </c>
      <c r="V23" s="7">
        <v>69.666666666666671</v>
      </c>
      <c r="W23" s="1" t="str">
        <f t="shared" si="0"/>
        <v>E</v>
      </c>
      <c r="X23" s="1" t="str">
        <f t="shared" si="1"/>
        <v>C</v>
      </c>
      <c r="Y23" s="1" t="str">
        <f t="shared" si="2"/>
        <v>C</v>
      </c>
      <c r="Z23" s="1" t="str">
        <f t="shared" si="3"/>
        <v>D</v>
      </c>
      <c r="AA23" s="1" t="str">
        <f t="shared" si="4"/>
        <v>C</v>
      </c>
      <c r="AB23" s="1" t="str">
        <f t="shared" si="5"/>
        <v>C</v>
      </c>
      <c r="AC23" s="1" t="str">
        <f t="shared" si="6"/>
        <v>C</v>
      </c>
      <c r="AD23" s="1" t="str">
        <f t="shared" si="7"/>
        <v>C</v>
      </c>
      <c r="AE23" s="1" t="str">
        <f t="shared" si="8"/>
        <v>C</v>
      </c>
      <c r="AF23" s="24" t="str">
        <f t="shared" si="9"/>
        <v>E</v>
      </c>
      <c r="AG23" s="24" t="str">
        <f t="shared" si="10"/>
        <v>E</v>
      </c>
      <c r="AH23" s="24" t="str">
        <f t="shared" si="11"/>
        <v>F</v>
      </c>
      <c r="AI23" s="24" t="str">
        <f t="shared" si="12"/>
        <v>F</v>
      </c>
      <c r="AJ23" s="24" t="str">
        <f t="shared" si="13"/>
        <v>F</v>
      </c>
      <c r="AK23" s="24" t="str">
        <f t="shared" si="14"/>
        <v>C</v>
      </c>
      <c r="AL23" s="24" t="str">
        <f t="shared" si="15"/>
        <v>D</v>
      </c>
      <c r="AM23" s="24">
        <f t="shared" si="16"/>
        <v>2</v>
      </c>
      <c r="AN23" s="24">
        <f t="shared" si="17"/>
        <v>2</v>
      </c>
      <c r="AO23" s="24">
        <f t="shared" si="18"/>
        <v>3</v>
      </c>
      <c r="AP23" s="24">
        <f t="shared" si="19"/>
        <v>1</v>
      </c>
      <c r="AQ23" s="24">
        <f t="shared" si="20"/>
        <v>5</v>
      </c>
      <c r="AR23" s="24">
        <f t="shared" si="21"/>
        <v>3</v>
      </c>
      <c r="AS23" s="24">
        <f t="shared" si="22"/>
        <v>2</v>
      </c>
      <c r="AT23" s="24">
        <f t="shared" si="23"/>
        <v>1</v>
      </c>
      <c r="AU23" s="24">
        <f t="shared" si="24"/>
        <v>1</v>
      </c>
      <c r="AV23" s="24">
        <f t="shared" si="25"/>
        <v>5</v>
      </c>
      <c r="AW23" s="24">
        <f t="shared" si="26"/>
        <v>1</v>
      </c>
      <c r="AX23" s="24">
        <f t="shared" si="27"/>
        <v>5</v>
      </c>
      <c r="AY23" s="24">
        <f t="shared" si="28"/>
        <v>3</v>
      </c>
      <c r="AZ23" s="24">
        <f t="shared" si="29"/>
        <v>2</v>
      </c>
      <c r="BA23" s="24">
        <f t="shared" si="30"/>
        <v>2</v>
      </c>
      <c r="BB23" s="24">
        <f t="shared" si="31"/>
        <v>2</v>
      </c>
      <c r="BC23" s="26">
        <f t="shared" si="32"/>
        <v>114.66666666666669</v>
      </c>
      <c r="BD23" s="26">
        <f t="shared" si="33"/>
        <v>149.73333333333335</v>
      </c>
      <c r="BE23" s="26">
        <f t="shared" si="34"/>
        <v>224.60000000000002</v>
      </c>
      <c r="BF23" s="26">
        <f t="shared" si="35"/>
        <v>60</v>
      </c>
      <c r="BG23" s="26">
        <f t="shared" si="36"/>
        <v>372</v>
      </c>
      <c r="BH23" s="26">
        <f t="shared" si="37"/>
        <v>224.60000000000002</v>
      </c>
      <c r="BI23" s="26">
        <f t="shared" si="38"/>
        <v>149.73333333333335</v>
      </c>
      <c r="BJ23" s="26">
        <f t="shared" si="39"/>
        <v>70.166666666666657</v>
      </c>
      <c r="BK23" s="26">
        <f t="shared" si="40"/>
        <v>70.166666666666657</v>
      </c>
      <c r="BL23" s="26">
        <f t="shared" si="41"/>
        <v>298.16666666666669</v>
      </c>
      <c r="BM23" s="26">
        <f t="shared" si="42"/>
        <v>59.63333333333334</v>
      </c>
      <c r="BN23" s="26">
        <f t="shared" si="43"/>
        <v>232.35</v>
      </c>
      <c r="BO23" s="26">
        <f t="shared" si="44"/>
        <v>94</v>
      </c>
      <c r="BP23" s="26">
        <f t="shared" si="45"/>
        <v>77.599999999999994</v>
      </c>
      <c r="BQ23" s="26">
        <f t="shared" si="46"/>
        <v>150.66666666666669</v>
      </c>
      <c r="BR23" s="26">
        <f t="shared" si="47"/>
        <v>139.33333333333334</v>
      </c>
      <c r="BS23" s="24">
        <f t="shared" si="48"/>
        <v>2</v>
      </c>
      <c r="BT23" s="24">
        <f t="shared" si="49"/>
        <v>4</v>
      </c>
      <c r="BU23" s="24">
        <f t="shared" si="50"/>
        <v>6</v>
      </c>
      <c r="BV23" s="24">
        <f t="shared" si="51"/>
        <v>1.5</v>
      </c>
      <c r="BW23" s="24">
        <f t="shared" si="52"/>
        <v>10</v>
      </c>
      <c r="BX23" s="24">
        <f t="shared" si="53"/>
        <v>6</v>
      </c>
      <c r="BY23" s="24">
        <f t="shared" si="54"/>
        <v>4</v>
      </c>
      <c r="BZ23" s="24">
        <f t="shared" si="55"/>
        <v>2</v>
      </c>
      <c r="CA23" s="24">
        <f t="shared" si="56"/>
        <v>2</v>
      </c>
      <c r="CB23" s="24">
        <f t="shared" si="57"/>
        <v>5</v>
      </c>
      <c r="CC23" s="24">
        <f t="shared" si="58"/>
        <v>1</v>
      </c>
      <c r="CD23" s="24">
        <f t="shared" si="59"/>
        <v>0</v>
      </c>
      <c r="CE23" s="24">
        <f t="shared" si="60"/>
        <v>0</v>
      </c>
      <c r="CF23" s="24">
        <f t="shared" si="61"/>
        <v>0</v>
      </c>
      <c r="CG23" s="24">
        <f t="shared" si="61"/>
        <v>4</v>
      </c>
      <c r="CH23" s="24">
        <f t="shared" si="62"/>
        <v>3</v>
      </c>
      <c r="CI23" s="24">
        <f t="shared" si="63"/>
        <v>20</v>
      </c>
      <c r="CJ23" s="26">
        <f t="shared" si="82"/>
        <v>1435.6666666666667</v>
      </c>
      <c r="CK23" s="26">
        <f t="shared" si="64"/>
        <v>37.5</v>
      </c>
      <c r="CL23" s="26">
        <f t="shared" si="83"/>
        <v>71.783333333333331</v>
      </c>
      <c r="CM23" s="24" t="str">
        <f t="shared" si="84"/>
        <v>C</v>
      </c>
      <c r="CN23" s="26">
        <f t="shared" si="65"/>
        <v>1.875</v>
      </c>
      <c r="CO23" s="24">
        <f t="shared" si="66"/>
        <v>20</v>
      </c>
      <c r="CP23" s="26">
        <f t="shared" si="67"/>
        <v>1051.75</v>
      </c>
      <c r="CQ23" s="26">
        <f t="shared" si="68"/>
        <v>13</v>
      </c>
      <c r="CR23" s="26">
        <f t="shared" si="85"/>
        <v>52.587499999999999</v>
      </c>
      <c r="CS23" s="24" t="str">
        <f t="shared" si="88"/>
        <v>E</v>
      </c>
      <c r="CT23" s="27">
        <f t="shared" si="69"/>
        <v>0.65</v>
      </c>
      <c r="CU23" s="52">
        <f t="shared" si="70"/>
        <v>40</v>
      </c>
      <c r="CV23" s="27">
        <f t="shared" si="71"/>
        <v>2487.4166666666665</v>
      </c>
      <c r="CW23" s="26">
        <f t="shared" si="72"/>
        <v>50.5</v>
      </c>
      <c r="CX23" s="26">
        <f t="shared" si="86"/>
        <v>62.185416666666661</v>
      </c>
      <c r="CY23" s="27" t="str">
        <f t="shared" si="89"/>
        <v>D</v>
      </c>
      <c r="CZ23" s="26">
        <f t="shared" si="73"/>
        <v>1.2625</v>
      </c>
      <c r="DA23" s="24">
        <f t="shared" si="74"/>
        <v>11</v>
      </c>
      <c r="DB23" s="24" t="str">
        <f t="shared" si="75"/>
        <v>4A</v>
      </c>
      <c r="DC23" s="24">
        <f t="shared" si="76"/>
        <v>13</v>
      </c>
      <c r="DD23" s="24">
        <f t="shared" si="77"/>
        <v>50</v>
      </c>
      <c r="DE23" s="1">
        <v>0</v>
      </c>
      <c r="DF23" s="1">
        <v>0</v>
      </c>
      <c r="DG23" s="1">
        <v>0</v>
      </c>
      <c r="DH23" s="24">
        <f t="shared" si="78"/>
        <v>0</v>
      </c>
      <c r="DI23" s="25">
        <f t="shared" si="79"/>
        <v>1</v>
      </c>
      <c r="DJ23" t="str">
        <f t="shared" si="80"/>
        <v>2025-2026</v>
      </c>
      <c r="DK23" s="9"/>
      <c r="DL23" s="9"/>
      <c r="DM23" s="9"/>
      <c r="DN23" s="9"/>
      <c r="DO23" s="9"/>
      <c r="DP23" s="9"/>
      <c r="DQ23" s="136" t="b">
        <f t="shared" si="81"/>
        <v>0</v>
      </c>
    </row>
    <row r="24" spans="1:121" ht="27" customHeight="1" x14ac:dyDescent="0.95">
      <c r="A24" s="24">
        <f t="shared" si="87"/>
        <v>10</v>
      </c>
      <c r="B24" s="41" t="s">
        <v>143</v>
      </c>
      <c r="C24" s="44" t="s">
        <v>144</v>
      </c>
      <c r="D24" s="45" t="s">
        <v>124</v>
      </c>
      <c r="E24" s="157">
        <v>686</v>
      </c>
      <c r="F24" s="43" t="s">
        <v>237</v>
      </c>
      <c r="G24" s="7">
        <v>56</v>
      </c>
      <c r="H24" s="7">
        <v>69.066666666666677</v>
      </c>
      <c r="I24" s="7">
        <v>69.066666666666677</v>
      </c>
      <c r="J24" s="7">
        <v>56</v>
      </c>
      <c r="K24" s="7">
        <v>66.8</v>
      </c>
      <c r="L24" s="7">
        <v>69.066666666666677</v>
      </c>
      <c r="M24" s="7">
        <v>69.066666666666677</v>
      </c>
      <c r="N24" s="7">
        <v>66</v>
      </c>
      <c r="O24" s="7">
        <v>66</v>
      </c>
      <c r="P24" s="7">
        <v>93.13333333333334</v>
      </c>
      <c r="Q24" s="7">
        <v>93.13333333333334</v>
      </c>
      <c r="R24" s="7">
        <v>54.07</v>
      </c>
      <c r="S24" s="7">
        <v>38.157575757575763</v>
      </c>
      <c r="T24" s="7">
        <v>51</v>
      </c>
      <c r="U24" s="7">
        <v>85.800000000000011</v>
      </c>
      <c r="V24" s="7">
        <v>82.666666666666657</v>
      </c>
      <c r="W24" s="1" t="str">
        <f t="shared" si="0"/>
        <v>E</v>
      </c>
      <c r="X24" s="1" t="str">
        <f t="shared" si="1"/>
        <v>D</v>
      </c>
      <c r="Y24" s="1" t="str">
        <f t="shared" si="2"/>
        <v>D</v>
      </c>
      <c r="Z24" s="1" t="str">
        <f t="shared" si="3"/>
        <v>E</v>
      </c>
      <c r="AA24" s="1" t="str">
        <f t="shared" si="4"/>
        <v>D</v>
      </c>
      <c r="AB24" s="1" t="str">
        <f t="shared" si="5"/>
        <v>D</v>
      </c>
      <c r="AC24" s="1" t="str">
        <f t="shared" si="6"/>
        <v>D</v>
      </c>
      <c r="AD24" s="1" t="str">
        <f t="shared" si="7"/>
        <v>D</v>
      </c>
      <c r="AE24" s="1" t="str">
        <f t="shared" si="8"/>
        <v>D</v>
      </c>
      <c r="AF24" s="24" t="str">
        <f t="shared" si="9"/>
        <v>A</v>
      </c>
      <c r="AG24" s="24" t="str">
        <f t="shared" si="10"/>
        <v>A</v>
      </c>
      <c r="AH24" s="24" t="str">
        <f t="shared" si="11"/>
        <v>E</v>
      </c>
      <c r="AI24" s="24" t="str">
        <f t="shared" si="12"/>
        <v>F</v>
      </c>
      <c r="AJ24" s="24" t="str">
        <f t="shared" si="13"/>
        <v>E</v>
      </c>
      <c r="AK24" s="24" t="str">
        <f t="shared" si="14"/>
        <v>B</v>
      </c>
      <c r="AL24" s="24" t="str">
        <f t="shared" si="15"/>
        <v>B</v>
      </c>
      <c r="AM24" s="24">
        <f t="shared" si="16"/>
        <v>2</v>
      </c>
      <c r="AN24" s="24">
        <f t="shared" si="17"/>
        <v>2</v>
      </c>
      <c r="AO24" s="24">
        <f t="shared" si="18"/>
        <v>3</v>
      </c>
      <c r="AP24" s="24">
        <f t="shared" si="19"/>
        <v>1</v>
      </c>
      <c r="AQ24" s="24">
        <f t="shared" si="20"/>
        <v>5</v>
      </c>
      <c r="AR24" s="24">
        <f t="shared" si="21"/>
        <v>3</v>
      </c>
      <c r="AS24" s="24">
        <f t="shared" si="22"/>
        <v>2</v>
      </c>
      <c r="AT24" s="24">
        <f t="shared" si="23"/>
        <v>1</v>
      </c>
      <c r="AU24" s="24">
        <f t="shared" si="24"/>
        <v>1</v>
      </c>
      <c r="AV24" s="24">
        <f t="shared" si="25"/>
        <v>5</v>
      </c>
      <c r="AW24" s="24">
        <f t="shared" si="26"/>
        <v>1</v>
      </c>
      <c r="AX24" s="24">
        <f t="shared" si="27"/>
        <v>5</v>
      </c>
      <c r="AY24" s="24">
        <f t="shared" si="28"/>
        <v>3</v>
      </c>
      <c r="AZ24" s="24">
        <f t="shared" si="29"/>
        <v>2</v>
      </c>
      <c r="BA24" s="24">
        <f t="shared" si="30"/>
        <v>2</v>
      </c>
      <c r="BB24" s="24">
        <f t="shared" si="31"/>
        <v>2</v>
      </c>
      <c r="BC24" s="26">
        <f t="shared" si="32"/>
        <v>112</v>
      </c>
      <c r="BD24" s="26">
        <f t="shared" si="33"/>
        <v>138.13333333333335</v>
      </c>
      <c r="BE24" s="26">
        <f t="shared" si="34"/>
        <v>207.20000000000005</v>
      </c>
      <c r="BF24" s="26">
        <f t="shared" si="35"/>
        <v>56</v>
      </c>
      <c r="BG24" s="26">
        <f t="shared" si="36"/>
        <v>334</v>
      </c>
      <c r="BH24" s="26">
        <f t="shared" si="37"/>
        <v>207.20000000000005</v>
      </c>
      <c r="BI24" s="26">
        <f t="shared" si="38"/>
        <v>138.13333333333335</v>
      </c>
      <c r="BJ24" s="26">
        <f t="shared" si="39"/>
        <v>66</v>
      </c>
      <c r="BK24" s="26">
        <f t="shared" si="40"/>
        <v>66</v>
      </c>
      <c r="BL24" s="26">
        <f t="shared" si="41"/>
        <v>465.66666666666669</v>
      </c>
      <c r="BM24" s="26">
        <f t="shared" si="42"/>
        <v>93.13333333333334</v>
      </c>
      <c r="BN24" s="26">
        <f t="shared" si="43"/>
        <v>270.35000000000002</v>
      </c>
      <c r="BO24" s="26">
        <f t="shared" si="44"/>
        <v>114.4727272727273</v>
      </c>
      <c r="BP24" s="26">
        <f t="shared" si="45"/>
        <v>102</v>
      </c>
      <c r="BQ24" s="26">
        <f t="shared" si="46"/>
        <v>171.60000000000002</v>
      </c>
      <c r="BR24" s="26">
        <f t="shared" si="47"/>
        <v>165.33333333333331</v>
      </c>
      <c r="BS24" s="24">
        <f t="shared" si="48"/>
        <v>2</v>
      </c>
      <c r="BT24" s="24">
        <f t="shared" si="49"/>
        <v>3</v>
      </c>
      <c r="BU24" s="24">
        <f t="shared" si="50"/>
        <v>4.5</v>
      </c>
      <c r="BV24" s="24">
        <f t="shared" si="51"/>
        <v>1</v>
      </c>
      <c r="BW24" s="24">
        <f t="shared" si="52"/>
        <v>7.5</v>
      </c>
      <c r="BX24" s="24">
        <f t="shared" si="53"/>
        <v>4.5</v>
      </c>
      <c r="BY24" s="24">
        <f t="shared" si="54"/>
        <v>3</v>
      </c>
      <c r="BZ24" s="24">
        <f t="shared" si="55"/>
        <v>1.5</v>
      </c>
      <c r="CA24" s="24">
        <f t="shared" si="56"/>
        <v>1.5</v>
      </c>
      <c r="CB24" s="24">
        <f t="shared" si="57"/>
        <v>20</v>
      </c>
      <c r="CC24" s="24">
        <f t="shared" si="58"/>
        <v>4</v>
      </c>
      <c r="CD24" s="24">
        <f t="shared" si="59"/>
        <v>5</v>
      </c>
      <c r="CE24" s="24">
        <f t="shared" si="60"/>
        <v>0</v>
      </c>
      <c r="CF24" s="24">
        <f t="shared" si="61"/>
        <v>2</v>
      </c>
      <c r="CG24" s="24">
        <f t="shared" si="61"/>
        <v>6</v>
      </c>
      <c r="CH24" s="24">
        <f t="shared" si="62"/>
        <v>6</v>
      </c>
      <c r="CI24" s="24">
        <f t="shared" si="63"/>
        <v>20</v>
      </c>
      <c r="CJ24" s="26">
        <f t="shared" si="82"/>
        <v>1324.6666666666667</v>
      </c>
      <c r="CK24" s="26">
        <f t="shared" si="64"/>
        <v>28.5</v>
      </c>
      <c r="CL24" s="26">
        <f t="shared" si="83"/>
        <v>66.233333333333334</v>
      </c>
      <c r="CM24" s="24" t="str">
        <f t="shared" si="84"/>
        <v>D</v>
      </c>
      <c r="CN24" s="26">
        <f t="shared" si="65"/>
        <v>1.425</v>
      </c>
      <c r="CO24" s="24">
        <f t="shared" si="66"/>
        <v>20</v>
      </c>
      <c r="CP24" s="26">
        <f t="shared" si="67"/>
        <v>1382.5560606060606</v>
      </c>
      <c r="CQ24" s="26">
        <f t="shared" si="68"/>
        <v>43</v>
      </c>
      <c r="CR24" s="26">
        <f t="shared" si="85"/>
        <v>69.127803030303028</v>
      </c>
      <c r="CS24" s="24" t="str">
        <f t="shared" si="88"/>
        <v>D</v>
      </c>
      <c r="CT24" s="27">
        <f t="shared" si="69"/>
        <v>2.15</v>
      </c>
      <c r="CU24" s="52">
        <f t="shared" si="70"/>
        <v>40</v>
      </c>
      <c r="CV24" s="27">
        <f t="shared" si="71"/>
        <v>2707.2227272727278</v>
      </c>
      <c r="CW24" s="26">
        <f t="shared" si="72"/>
        <v>71.5</v>
      </c>
      <c r="CX24" s="26">
        <f t="shared" si="86"/>
        <v>67.680568181818188</v>
      </c>
      <c r="CY24" s="27" t="str">
        <f t="shared" si="89"/>
        <v>D</v>
      </c>
      <c r="CZ24" s="26">
        <f t="shared" si="73"/>
        <v>1.7875000000000001</v>
      </c>
      <c r="DA24" s="24">
        <f t="shared" si="74"/>
        <v>9</v>
      </c>
      <c r="DB24" s="24" t="str">
        <f t="shared" si="75"/>
        <v>4A</v>
      </c>
      <c r="DC24" s="24">
        <f t="shared" si="76"/>
        <v>13</v>
      </c>
      <c r="DD24" s="24">
        <f t="shared" si="77"/>
        <v>50</v>
      </c>
      <c r="DE24" s="1">
        <v>0</v>
      </c>
      <c r="DF24" s="1">
        <v>0</v>
      </c>
      <c r="DG24" s="1">
        <v>0</v>
      </c>
      <c r="DH24" s="24">
        <f t="shared" si="78"/>
        <v>0</v>
      </c>
      <c r="DI24" s="25">
        <f t="shared" si="79"/>
        <v>1</v>
      </c>
      <c r="DJ24" t="str">
        <f t="shared" si="80"/>
        <v>2025-2026</v>
      </c>
      <c r="DK24" s="9"/>
      <c r="DL24" s="9"/>
      <c r="DM24" s="9"/>
      <c r="DN24" s="9"/>
      <c r="DO24" s="9"/>
      <c r="DP24" s="9"/>
      <c r="DQ24" s="136" t="b">
        <f t="shared" si="81"/>
        <v>0</v>
      </c>
    </row>
    <row r="25" spans="1:121" ht="27" customHeight="1" x14ac:dyDescent="1.1499999999999999">
      <c r="A25" s="24">
        <f t="shared" si="87"/>
        <v>11</v>
      </c>
      <c r="B25" s="36" t="s">
        <v>246</v>
      </c>
      <c r="C25" s="13" t="s">
        <v>247</v>
      </c>
      <c r="D25" s="1" t="s">
        <v>124</v>
      </c>
      <c r="E25" s="157">
        <v>789</v>
      </c>
      <c r="F25" s="43" t="s">
        <v>237</v>
      </c>
      <c r="G25" s="7">
        <v>70</v>
      </c>
      <c r="H25" s="7">
        <v>70</v>
      </c>
      <c r="I25" s="7">
        <v>62.8</v>
      </c>
      <c r="J25" s="7">
        <v>58</v>
      </c>
      <c r="K25" s="7">
        <v>58</v>
      </c>
      <c r="L25" s="7">
        <v>62.8</v>
      </c>
      <c r="M25" s="7">
        <v>58</v>
      </c>
      <c r="N25" s="7">
        <v>58</v>
      </c>
      <c r="O25" s="7">
        <v>58</v>
      </c>
      <c r="P25" s="7">
        <v>59.83</v>
      </c>
      <c r="Q25" s="7">
        <v>59.83</v>
      </c>
      <c r="R25" s="7">
        <v>70.47</v>
      </c>
      <c r="S25" s="7">
        <v>56.8</v>
      </c>
      <c r="T25" s="7">
        <v>62.09</v>
      </c>
      <c r="U25" s="7">
        <v>69</v>
      </c>
      <c r="V25" s="7">
        <v>70.47</v>
      </c>
      <c r="W25" s="1" t="str">
        <f t="shared" si="0"/>
        <v>C</v>
      </c>
      <c r="X25" s="1" t="str">
        <f t="shared" si="1"/>
        <v>C</v>
      </c>
      <c r="Y25" s="1" t="str">
        <f t="shared" si="2"/>
        <v>D</v>
      </c>
      <c r="Z25" s="1" t="str">
        <f t="shared" si="3"/>
        <v>E</v>
      </c>
      <c r="AA25" s="1" t="str">
        <f t="shared" si="4"/>
        <v>E</v>
      </c>
      <c r="AB25" s="1" t="str">
        <f t="shared" si="5"/>
        <v>D</v>
      </c>
      <c r="AC25" s="1" t="str">
        <f t="shared" si="6"/>
        <v>E</v>
      </c>
      <c r="AD25" s="1" t="str">
        <f t="shared" si="7"/>
        <v>E</v>
      </c>
      <c r="AE25" s="1" t="str">
        <f t="shared" si="8"/>
        <v>E</v>
      </c>
      <c r="AF25" s="24" t="str">
        <f t="shared" si="9"/>
        <v>E</v>
      </c>
      <c r="AG25" s="24" t="str">
        <f t="shared" si="10"/>
        <v>E</v>
      </c>
      <c r="AH25" s="24" t="str">
        <f t="shared" si="11"/>
        <v>C</v>
      </c>
      <c r="AI25" s="24" t="str">
        <f t="shared" si="12"/>
        <v>E</v>
      </c>
      <c r="AJ25" s="24" t="str">
        <f t="shared" si="13"/>
        <v>D</v>
      </c>
      <c r="AK25" s="24" t="str">
        <f t="shared" si="14"/>
        <v>D</v>
      </c>
      <c r="AL25" s="24" t="str">
        <f t="shared" si="15"/>
        <v>C</v>
      </c>
      <c r="AM25" s="24">
        <f t="shared" si="16"/>
        <v>2</v>
      </c>
      <c r="AN25" s="24">
        <f t="shared" si="17"/>
        <v>2</v>
      </c>
      <c r="AO25" s="24">
        <f t="shared" si="18"/>
        <v>3</v>
      </c>
      <c r="AP25" s="24">
        <f t="shared" si="19"/>
        <v>1</v>
      </c>
      <c r="AQ25" s="24">
        <f t="shared" si="20"/>
        <v>5</v>
      </c>
      <c r="AR25" s="24">
        <f t="shared" si="21"/>
        <v>3</v>
      </c>
      <c r="AS25" s="24">
        <f t="shared" si="22"/>
        <v>2</v>
      </c>
      <c r="AT25" s="24">
        <f t="shared" si="23"/>
        <v>1</v>
      </c>
      <c r="AU25" s="24">
        <f t="shared" si="24"/>
        <v>1</v>
      </c>
      <c r="AV25" s="24">
        <f t="shared" si="25"/>
        <v>5</v>
      </c>
      <c r="AW25" s="24">
        <f t="shared" si="26"/>
        <v>1</v>
      </c>
      <c r="AX25" s="24">
        <f t="shared" si="27"/>
        <v>5</v>
      </c>
      <c r="AY25" s="24">
        <f t="shared" si="28"/>
        <v>3</v>
      </c>
      <c r="AZ25" s="24">
        <f t="shared" si="29"/>
        <v>2</v>
      </c>
      <c r="BA25" s="24">
        <f t="shared" si="30"/>
        <v>2</v>
      </c>
      <c r="BB25" s="24">
        <f t="shared" si="31"/>
        <v>2</v>
      </c>
      <c r="BC25" s="26">
        <f t="shared" si="32"/>
        <v>140</v>
      </c>
      <c r="BD25" s="26">
        <f t="shared" si="33"/>
        <v>140</v>
      </c>
      <c r="BE25" s="26">
        <f t="shared" si="34"/>
        <v>188.39999999999998</v>
      </c>
      <c r="BF25" s="26">
        <f t="shared" si="35"/>
        <v>58</v>
      </c>
      <c r="BG25" s="26">
        <f t="shared" si="36"/>
        <v>290</v>
      </c>
      <c r="BH25" s="26">
        <f t="shared" si="37"/>
        <v>188.39999999999998</v>
      </c>
      <c r="BI25" s="26">
        <f t="shared" si="38"/>
        <v>116</v>
      </c>
      <c r="BJ25" s="26">
        <f t="shared" si="39"/>
        <v>58</v>
      </c>
      <c r="BK25" s="26">
        <f t="shared" si="40"/>
        <v>58</v>
      </c>
      <c r="BL25" s="26">
        <f t="shared" si="41"/>
        <v>299.14999999999998</v>
      </c>
      <c r="BM25" s="26">
        <f t="shared" si="42"/>
        <v>59.83</v>
      </c>
      <c r="BN25" s="26">
        <f t="shared" si="43"/>
        <v>352.35</v>
      </c>
      <c r="BO25" s="26">
        <f t="shared" si="44"/>
        <v>170.39999999999998</v>
      </c>
      <c r="BP25" s="26">
        <f t="shared" si="45"/>
        <v>124.18</v>
      </c>
      <c r="BQ25" s="26">
        <f t="shared" si="46"/>
        <v>138</v>
      </c>
      <c r="BR25" s="26">
        <f t="shared" si="47"/>
        <v>140.94</v>
      </c>
      <c r="BS25" s="24">
        <f t="shared" si="48"/>
        <v>4</v>
      </c>
      <c r="BT25" s="24">
        <f t="shared" si="49"/>
        <v>4</v>
      </c>
      <c r="BU25" s="24">
        <f t="shared" si="50"/>
        <v>4.5</v>
      </c>
      <c r="BV25" s="24">
        <f t="shared" si="51"/>
        <v>1</v>
      </c>
      <c r="BW25" s="24">
        <f t="shared" si="52"/>
        <v>5</v>
      </c>
      <c r="BX25" s="24">
        <f t="shared" si="53"/>
        <v>4.5</v>
      </c>
      <c r="BY25" s="24">
        <f t="shared" si="54"/>
        <v>2</v>
      </c>
      <c r="BZ25" s="24">
        <f t="shared" si="55"/>
        <v>1</v>
      </c>
      <c r="CA25" s="24">
        <f t="shared" si="56"/>
        <v>1</v>
      </c>
      <c r="CB25" s="24">
        <f t="shared" si="57"/>
        <v>5</v>
      </c>
      <c r="CC25" s="24">
        <f t="shared" si="58"/>
        <v>1</v>
      </c>
      <c r="CD25" s="24">
        <f t="shared" si="59"/>
        <v>10</v>
      </c>
      <c r="CE25" s="24">
        <f t="shared" si="60"/>
        <v>3</v>
      </c>
      <c r="CF25" s="24">
        <f t="shared" si="61"/>
        <v>3</v>
      </c>
      <c r="CG25" s="24" t="e">
        <f>IF(OR(BA25="",AK25=""),"",BA25*(IF(OR(AK25="A",AK25="a"),4,(IF(OR(#REF!="B",AK25="b"),3,(IF(OR(AK25="C",AK25="c"),2,(IF(OR(AK25="D",AK25="d"),1.5,(IF(OR(AK25="E",AK25="e"),1,(IF(OR(AK25="F",AK25="f"),0)))))))))))))</f>
        <v>#REF!</v>
      </c>
      <c r="CH25" s="24">
        <f t="shared" si="62"/>
        <v>4</v>
      </c>
      <c r="CI25" s="24">
        <f t="shared" si="63"/>
        <v>20</v>
      </c>
      <c r="CJ25" s="26">
        <f t="shared" si="82"/>
        <v>1236.8</v>
      </c>
      <c r="CK25" s="26">
        <f t="shared" si="64"/>
        <v>27</v>
      </c>
      <c r="CL25" s="26">
        <f t="shared" si="83"/>
        <v>61.839999999999996</v>
      </c>
      <c r="CM25" s="24" t="str">
        <f t="shared" si="84"/>
        <v>D</v>
      </c>
      <c r="CN25" s="26">
        <f t="shared" si="65"/>
        <v>1.35</v>
      </c>
      <c r="CO25" s="24">
        <f t="shared" si="66"/>
        <v>20</v>
      </c>
      <c r="CP25" s="26">
        <f t="shared" si="67"/>
        <v>1284.8499999999999</v>
      </c>
      <c r="CQ25" s="26" t="e">
        <f t="shared" si="68"/>
        <v>#REF!</v>
      </c>
      <c r="CR25" s="26">
        <f t="shared" si="85"/>
        <v>64.242499999999993</v>
      </c>
      <c r="CS25" s="24" t="str">
        <f t="shared" si="88"/>
        <v>D</v>
      </c>
      <c r="CT25" s="27" t="e">
        <f t="shared" si="69"/>
        <v>#REF!</v>
      </c>
      <c r="CU25" s="52">
        <f t="shared" si="70"/>
        <v>40</v>
      </c>
      <c r="CV25" s="27">
        <f t="shared" si="71"/>
        <v>2521.6499999999996</v>
      </c>
      <c r="CW25" s="26" t="e">
        <f t="shared" si="72"/>
        <v>#REF!</v>
      </c>
      <c r="CX25" s="26">
        <f t="shared" si="86"/>
        <v>63.041249999999991</v>
      </c>
      <c r="CY25" s="27" t="str">
        <f t="shared" si="89"/>
        <v>D</v>
      </c>
      <c r="CZ25" s="26" t="e">
        <f t="shared" si="73"/>
        <v>#REF!</v>
      </c>
      <c r="DA25" s="24">
        <f t="shared" si="74"/>
        <v>10</v>
      </c>
      <c r="DB25" s="24" t="str">
        <f t="shared" si="75"/>
        <v>4A</v>
      </c>
      <c r="DC25" s="24">
        <f t="shared" si="76"/>
        <v>13</v>
      </c>
      <c r="DD25" s="24">
        <f t="shared" si="77"/>
        <v>50</v>
      </c>
      <c r="DE25" s="1">
        <v>0</v>
      </c>
      <c r="DF25" s="1">
        <v>0</v>
      </c>
      <c r="DG25" s="1">
        <v>0</v>
      </c>
      <c r="DH25" s="24">
        <f t="shared" si="78"/>
        <v>0</v>
      </c>
      <c r="DI25" s="25">
        <f t="shared" si="79"/>
        <v>1</v>
      </c>
      <c r="DJ25" t="str">
        <f t="shared" si="80"/>
        <v>2025-2026</v>
      </c>
      <c r="DK25" s="9"/>
      <c r="DL25" s="9"/>
      <c r="DM25" s="9"/>
      <c r="DN25" s="9"/>
      <c r="DO25" s="9"/>
      <c r="DP25" s="9"/>
      <c r="DQ25" s="136" t="b">
        <f t="shared" si="81"/>
        <v>0</v>
      </c>
    </row>
    <row r="26" spans="1:121" ht="27" customHeight="1" x14ac:dyDescent="0.95">
      <c r="A26" s="24">
        <f t="shared" si="87"/>
        <v>12</v>
      </c>
      <c r="B26" s="41" t="s">
        <v>248</v>
      </c>
      <c r="C26" s="41" t="s">
        <v>249</v>
      </c>
      <c r="D26" s="42" t="s">
        <v>124</v>
      </c>
      <c r="E26" s="157">
        <v>769</v>
      </c>
      <c r="F26" s="43" t="s">
        <v>237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 t="str">
        <f t="shared" si="5"/>
        <v/>
      </c>
      <c r="AC26" s="1" t="str">
        <f t="shared" si="6"/>
        <v/>
      </c>
      <c r="AD26" s="1" t="str">
        <f t="shared" si="7"/>
        <v/>
      </c>
      <c r="AE26" s="1" t="str">
        <f t="shared" si="8"/>
        <v/>
      </c>
      <c r="AF26" s="24" t="str">
        <f t="shared" si="9"/>
        <v/>
      </c>
      <c r="AG26" s="24" t="str">
        <f t="shared" si="10"/>
        <v/>
      </c>
      <c r="AH26" s="24" t="str">
        <f t="shared" si="11"/>
        <v/>
      </c>
      <c r="AI26" s="24" t="str">
        <f t="shared" si="12"/>
        <v/>
      </c>
      <c r="AJ26" s="24" t="str">
        <f t="shared" si="13"/>
        <v/>
      </c>
      <c r="AK26" s="24" t="str">
        <f t="shared" si="14"/>
        <v/>
      </c>
      <c r="AL26" s="24" t="str">
        <f t="shared" si="15"/>
        <v/>
      </c>
      <c r="AM26" s="24" t="str">
        <f t="shared" si="16"/>
        <v/>
      </c>
      <c r="AN26" s="24" t="str">
        <f>IF(H26="","",$AN$14)</f>
        <v/>
      </c>
      <c r="AO26" s="24" t="str">
        <f t="shared" si="18"/>
        <v/>
      </c>
      <c r="AP26" s="24" t="str">
        <f t="shared" si="19"/>
        <v/>
      </c>
      <c r="AQ26" s="24" t="str">
        <f t="shared" si="20"/>
        <v/>
      </c>
      <c r="AR26" s="24" t="str">
        <f t="shared" si="21"/>
        <v/>
      </c>
      <c r="AS26" s="24" t="str">
        <f t="shared" si="22"/>
        <v/>
      </c>
      <c r="AT26" s="24" t="str">
        <f t="shared" si="23"/>
        <v/>
      </c>
      <c r="AU26" s="24" t="str">
        <f t="shared" si="24"/>
        <v/>
      </c>
      <c r="AV26" s="24" t="str">
        <f t="shared" si="25"/>
        <v/>
      </c>
      <c r="AW26" s="24" t="str">
        <f t="shared" si="26"/>
        <v/>
      </c>
      <c r="AX26" s="24" t="str">
        <f t="shared" si="27"/>
        <v/>
      </c>
      <c r="AY26" s="24" t="str">
        <f t="shared" si="28"/>
        <v/>
      </c>
      <c r="AZ26" s="24" t="str">
        <f t="shared" si="29"/>
        <v/>
      </c>
      <c r="BA26" s="24" t="str">
        <f t="shared" si="30"/>
        <v/>
      </c>
      <c r="BB26" s="24" t="str">
        <f t="shared" si="31"/>
        <v/>
      </c>
      <c r="BC26" s="26" t="str">
        <f t="shared" si="32"/>
        <v/>
      </c>
      <c r="BD26" s="26" t="str">
        <f t="shared" si="33"/>
        <v/>
      </c>
      <c r="BE26" s="26" t="str">
        <f t="shared" si="34"/>
        <v/>
      </c>
      <c r="BF26" s="26" t="str">
        <f t="shared" si="35"/>
        <v/>
      </c>
      <c r="BG26" s="26" t="str">
        <f t="shared" si="36"/>
        <v/>
      </c>
      <c r="BH26" s="26" t="str">
        <f t="shared" si="37"/>
        <v/>
      </c>
      <c r="BI26" s="26" t="str">
        <f t="shared" si="38"/>
        <v/>
      </c>
      <c r="BJ26" s="26" t="str">
        <f t="shared" si="39"/>
        <v/>
      </c>
      <c r="BK26" s="26" t="str">
        <f t="shared" si="40"/>
        <v/>
      </c>
      <c r="BL26" s="26" t="str">
        <f t="shared" si="41"/>
        <v/>
      </c>
      <c r="BM26" s="26" t="str">
        <f t="shared" si="42"/>
        <v/>
      </c>
      <c r="BN26" s="26" t="str">
        <f t="shared" si="43"/>
        <v/>
      </c>
      <c r="BO26" s="26" t="str">
        <f t="shared" si="44"/>
        <v/>
      </c>
      <c r="BP26" s="26" t="str">
        <f t="shared" si="45"/>
        <v/>
      </c>
      <c r="BQ26" s="26" t="str">
        <f t="shared" si="46"/>
        <v/>
      </c>
      <c r="BR26" s="26" t="str">
        <f t="shared" si="47"/>
        <v/>
      </c>
      <c r="BS26" s="24" t="str">
        <f t="shared" si="48"/>
        <v/>
      </c>
      <c r="BT26" s="24" t="str">
        <f t="shared" si="49"/>
        <v/>
      </c>
      <c r="BU26" s="24" t="str">
        <f t="shared" si="50"/>
        <v/>
      </c>
      <c r="BV26" s="24" t="str">
        <f t="shared" si="51"/>
        <v/>
      </c>
      <c r="BW26" s="24" t="str">
        <f t="shared" si="52"/>
        <v/>
      </c>
      <c r="BX26" s="24" t="str">
        <f t="shared" si="53"/>
        <v/>
      </c>
      <c r="BY26" s="24" t="str">
        <f t="shared" si="54"/>
        <v/>
      </c>
      <c r="BZ26" s="24" t="str">
        <f t="shared" si="55"/>
        <v/>
      </c>
      <c r="CA26" s="24" t="str">
        <f t="shared" si="56"/>
        <v/>
      </c>
      <c r="CB26" s="24" t="str">
        <f t="shared" si="57"/>
        <v/>
      </c>
      <c r="CC26" s="24" t="str">
        <f t="shared" si="58"/>
        <v/>
      </c>
      <c r="CD26" s="24" t="str">
        <f t="shared" si="59"/>
        <v/>
      </c>
      <c r="CE26" s="24" t="str">
        <f t="shared" si="60"/>
        <v/>
      </c>
      <c r="CF26" s="24" t="str">
        <f t="shared" si="61"/>
        <v/>
      </c>
      <c r="CG26" s="24" t="str">
        <f>IF(OR(BA26="",AK26=""),"",BA26*(IF(OR(AK26="A",AK26="a"),4,(IF(OR(#REF!="B",AK26="b"),3,(IF(OR(AK26="C",AK26="c"),2,(IF(OR(AK26="D",AK26="d"),1.5,(IF(OR(AK26="E",AK26="e"),1,(IF(OR(AK26="F",AK26="f"),0)))))))))))))</f>
        <v/>
      </c>
      <c r="CH26" s="24" t="str">
        <f t="shared" si="62"/>
        <v/>
      </c>
      <c r="CI26" s="24">
        <f t="shared" si="63"/>
        <v>0</v>
      </c>
      <c r="CJ26" s="26">
        <f t="shared" si="82"/>
        <v>0</v>
      </c>
      <c r="CK26" s="26">
        <f t="shared" si="64"/>
        <v>0</v>
      </c>
      <c r="CL26" s="26" t="e">
        <f t="shared" si="83"/>
        <v>#DIV/0!</v>
      </c>
      <c r="CM26" s="24" t="e">
        <f t="shared" si="84"/>
        <v>#DIV/0!</v>
      </c>
      <c r="CN26" s="26" t="e">
        <f t="shared" si="65"/>
        <v>#DIV/0!</v>
      </c>
      <c r="CO26" s="24">
        <f t="shared" si="66"/>
        <v>0</v>
      </c>
      <c r="CP26" s="26">
        <f t="shared" si="67"/>
        <v>0</v>
      </c>
      <c r="CQ26" s="26">
        <f t="shared" si="68"/>
        <v>0</v>
      </c>
      <c r="CR26" s="26" t="e">
        <f t="shared" si="85"/>
        <v>#DIV/0!</v>
      </c>
      <c r="CS26" s="24" t="e">
        <f t="shared" si="88"/>
        <v>#DIV/0!</v>
      </c>
      <c r="CT26" s="27" t="e">
        <f t="shared" si="69"/>
        <v>#DIV/0!</v>
      </c>
      <c r="CU26" s="52" t="str">
        <f t="shared" si="70"/>
        <v/>
      </c>
      <c r="CV26" s="27" t="str">
        <f t="shared" si="71"/>
        <v/>
      </c>
      <c r="CW26" s="26" t="str">
        <f t="shared" si="72"/>
        <v/>
      </c>
      <c r="CX26" s="26" t="str">
        <f t="shared" si="86"/>
        <v/>
      </c>
      <c r="CY26" s="27" t="str">
        <f t="shared" si="89"/>
        <v/>
      </c>
      <c r="CZ26" s="26" t="e">
        <f t="shared" si="73"/>
        <v>#VALUE!</v>
      </c>
      <c r="DA26" s="24" t="str">
        <f t="shared" si="74"/>
        <v/>
      </c>
      <c r="DB26" s="24" t="str">
        <f t="shared" si="75"/>
        <v>4A</v>
      </c>
      <c r="DC26" s="24">
        <f t="shared" si="76"/>
        <v>13</v>
      </c>
      <c r="DD26" s="24">
        <f t="shared" si="77"/>
        <v>50</v>
      </c>
      <c r="DE26" s="1">
        <v>0</v>
      </c>
      <c r="DF26" s="1">
        <v>0</v>
      </c>
      <c r="DG26" s="1">
        <v>0</v>
      </c>
      <c r="DH26" s="24">
        <f t="shared" si="78"/>
        <v>0</v>
      </c>
      <c r="DI26" s="25">
        <f t="shared" si="79"/>
        <v>1</v>
      </c>
      <c r="DJ26" t="str">
        <f t="shared" si="80"/>
        <v>2025-2026</v>
      </c>
      <c r="DK26" s="9"/>
      <c r="DL26" s="9"/>
      <c r="DM26" s="9"/>
      <c r="DN26" s="9"/>
      <c r="DO26" s="9"/>
      <c r="DP26" s="9"/>
      <c r="DQ26" s="136" t="b">
        <f t="shared" si="81"/>
        <v>0</v>
      </c>
    </row>
    <row r="27" spans="1:121" ht="27" customHeight="1" x14ac:dyDescent="0.95">
      <c r="A27" s="24">
        <f t="shared" si="87"/>
        <v>13</v>
      </c>
      <c r="B27" s="41" t="s">
        <v>250</v>
      </c>
      <c r="C27" s="41" t="s">
        <v>251</v>
      </c>
      <c r="D27" s="42" t="s">
        <v>124</v>
      </c>
      <c r="E27" s="157">
        <v>773</v>
      </c>
      <c r="F27" s="43" t="s">
        <v>237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 t="str">
        <f t="shared" si="5"/>
        <v/>
      </c>
      <c r="AC27" s="1" t="str">
        <f t="shared" si="6"/>
        <v/>
      </c>
      <c r="AD27" s="1" t="str">
        <f t="shared" si="7"/>
        <v/>
      </c>
      <c r="AE27" s="1" t="str">
        <f t="shared" si="8"/>
        <v/>
      </c>
      <c r="AF27" s="24" t="str">
        <f t="shared" si="9"/>
        <v/>
      </c>
      <c r="AG27" s="24" t="str">
        <f t="shared" si="10"/>
        <v/>
      </c>
      <c r="AH27" s="24" t="str">
        <f t="shared" si="11"/>
        <v/>
      </c>
      <c r="AI27" s="24" t="str">
        <f t="shared" si="12"/>
        <v/>
      </c>
      <c r="AJ27" s="24" t="str">
        <f t="shared" si="13"/>
        <v/>
      </c>
      <c r="AK27" s="24" t="str">
        <f t="shared" si="14"/>
        <v/>
      </c>
      <c r="AL27" s="24" t="str">
        <f t="shared" si="15"/>
        <v/>
      </c>
      <c r="AM27" s="24" t="str">
        <f t="shared" si="16"/>
        <v/>
      </c>
      <c r="AN27" s="24" t="str">
        <f t="shared" si="17"/>
        <v/>
      </c>
      <c r="AO27" s="24" t="str">
        <f t="shared" si="18"/>
        <v/>
      </c>
      <c r="AP27" s="24" t="str">
        <f t="shared" si="19"/>
        <v/>
      </c>
      <c r="AQ27" s="24" t="str">
        <f t="shared" si="20"/>
        <v/>
      </c>
      <c r="AR27" s="24" t="str">
        <f t="shared" si="21"/>
        <v/>
      </c>
      <c r="AS27" s="24" t="str">
        <f t="shared" si="22"/>
        <v/>
      </c>
      <c r="AT27" s="24" t="str">
        <f t="shared" si="23"/>
        <v/>
      </c>
      <c r="AU27" s="24" t="str">
        <f t="shared" si="24"/>
        <v/>
      </c>
      <c r="AV27" s="24" t="str">
        <f t="shared" si="25"/>
        <v/>
      </c>
      <c r="AW27" s="24" t="str">
        <f t="shared" si="26"/>
        <v/>
      </c>
      <c r="AX27" s="24" t="str">
        <f t="shared" si="27"/>
        <v/>
      </c>
      <c r="AY27" s="24" t="str">
        <f t="shared" si="28"/>
        <v/>
      </c>
      <c r="AZ27" s="24" t="str">
        <f t="shared" si="29"/>
        <v/>
      </c>
      <c r="BA27" s="24" t="str">
        <f t="shared" si="30"/>
        <v/>
      </c>
      <c r="BB27" s="24" t="str">
        <f t="shared" si="31"/>
        <v/>
      </c>
      <c r="BC27" s="26" t="str">
        <f t="shared" si="32"/>
        <v/>
      </c>
      <c r="BD27" s="26" t="str">
        <f t="shared" si="33"/>
        <v/>
      </c>
      <c r="BE27" s="26" t="str">
        <f t="shared" si="34"/>
        <v/>
      </c>
      <c r="BF27" s="26" t="str">
        <f t="shared" si="35"/>
        <v/>
      </c>
      <c r="BG27" s="26" t="str">
        <f t="shared" si="36"/>
        <v/>
      </c>
      <c r="BH27" s="26" t="str">
        <f t="shared" si="37"/>
        <v/>
      </c>
      <c r="BI27" s="26" t="str">
        <f t="shared" si="38"/>
        <v/>
      </c>
      <c r="BJ27" s="26" t="str">
        <f t="shared" si="39"/>
        <v/>
      </c>
      <c r="BK27" s="26" t="str">
        <f t="shared" si="40"/>
        <v/>
      </c>
      <c r="BL27" s="26" t="str">
        <f t="shared" si="41"/>
        <v/>
      </c>
      <c r="BM27" s="26" t="str">
        <f t="shared" si="42"/>
        <v/>
      </c>
      <c r="BN27" s="26" t="str">
        <f t="shared" si="43"/>
        <v/>
      </c>
      <c r="BO27" s="26" t="str">
        <f t="shared" si="44"/>
        <v/>
      </c>
      <c r="BP27" s="26" t="str">
        <f t="shared" si="45"/>
        <v/>
      </c>
      <c r="BQ27" s="26" t="str">
        <f t="shared" si="46"/>
        <v/>
      </c>
      <c r="BR27" s="26" t="str">
        <f t="shared" si="47"/>
        <v/>
      </c>
      <c r="BS27" s="24" t="str">
        <f t="shared" si="48"/>
        <v/>
      </c>
      <c r="BT27" s="24" t="str">
        <f t="shared" si="49"/>
        <v/>
      </c>
      <c r="BU27" s="24" t="str">
        <f t="shared" si="50"/>
        <v/>
      </c>
      <c r="BV27" s="24" t="str">
        <f t="shared" si="51"/>
        <v/>
      </c>
      <c r="BW27" s="24" t="str">
        <f t="shared" si="52"/>
        <v/>
      </c>
      <c r="BX27" s="24" t="str">
        <f t="shared" si="53"/>
        <v/>
      </c>
      <c r="BY27" s="24" t="str">
        <f t="shared" si="54"/>
        <v/>
      </c>
      <c r="BZ27" s="24" t="str">
        <f t="shared" si="55"/>
        <v/>
      </c>
      <c r="CA27" s="24" t="str">
        <f t="shared" si="56"/>
        <v/>
      </c>
      <c r="CB27" s="24" t="str">
        <f t="shared" si="57"/>
        <v/>
      </c>
      <c r="CC27" s="24" t="str">
        <f t="shared" si="58"/>
        <v/>
      </c>
      <c r="CD27" s="24" t="str">
        <f t="shared" si="59"/>
        <v/>
      </c>
      <c r="CE27" s="24" t="str">
        <f t="shared" si="60"/>
        <v/>
      </c>
      <c r="CF27" s="24" t="str">
        <f t="shared" si="61"/>
        <v/>
      </c>
      <c r="CG27" s="24" t="str">
        <f>IF(OR(BA27="",AK27=""),"",BA27*(IF(OR(AK27="A",AK27="a"),4,(IF(OR(#REF!="B",AK27="b"),3,(IF(OR(AK27="C",AK27="c"),2,(IF(OR(AK27="D",AK27="d"),1.5,(IF(OR(AK27="E",AK27="e"),1,(IF(OR(AK27="F",AK27="f"),0)))))))))))))</f>
        <v/>
      </c>
      <c r="CH27" s="24" t="str">
        <f t="shared" si="62"/>
        <v/>
      </c>
      <c r="CI27" s="24">
        <f t="shared" si="63"/>
        <v>0</v>
      </c>
      <c r="CJ27" s="26">
        <f t="shared" si="82"/>
        <v>0</v>
      </c>
      <c r="CK27" s="26">
        <f t="shared" si="64"/>
        <v>0</v>
      </c>
      <c r="CL27" s="26" t="e">
        <f t="shared" si="83"/>
        <v>#DIV/0!</v>
      </c>
      <c r="CM27" s="24" t="e">
        <f t="shared" si="84"/>
        <v>#DIV/0!</v>
      </c>
      <c r="CN27" s="26" t="e">
        <f t="shared" si="65"/>
        <v>#DIV/0!</v>
      </c>
      <c r="CO27" s="24">
        <f t="shared" si="66"/>
        <v>0</v>
      </c>
      <c r="CP27" s="26">
        <f t="shared" si="67"/>
        <v>0</v>
      </c>
      <c r="CQ27" s="26">
        <f t="shared" si="68"/>
        <v>0</v>
      </c>
      <c r="CR27" s="26" t="e">
        <f t="shared" si="85"/>
        <v>#DIV/0!</v>
      </c>
      <c r="CS27" s="24" t="e">
        <f t="shared" si="88"/>
        <v>#DIV/0!</v>
      </c>
      <c r="CT27" s="27" t="e">
        <f t="shared" si="69"/>
        <v>#DIV/0!</v>
      </c>
      <c r="CU27" s="52" t="str">
        <f t="shared" si="70"/>
        <v/>
      </c>
      <c r="CV27" s="27" t="str">
        <f t="shared" si="71"/>
        <v/>
      </c>
      <c r="CW27" s="26" t="str">
        <f t="shared" si="72"/>
        <v/>
      </c>
      <c r="CX27" s="26" t="str">
        <f t="shared" si="86"/>
        <v/>
      </c>
      <c r="CY27" s="27" t="str">
        <f t="shared" si="89"/>
        <v/>
      </c>
      <c r="CZ27" s="26" t="e">
        <f t="shared" si="73"/>
        <v>#VALUE!</v>
      </c>
      <c r="DA27" s="24" t="str">
        <f t="shared" si="74"/>
        <v/>
      </c>
      <c r="DB27" s="24" t="str">
        <f t="shared" si="75"/>
        <v>4A</v>
      </c>
      <c r="DC27" s="24">
        <f t="shared" si="76"/>
        <v>13</v>
      </c>
      <c r="DD27" s="24">
        <f t="shared" si="77"/>
        <v>50</v>
      </c>
      <c r="DE27" s="1">
        <v>0</v>
      </c>
      <c r="DF27" s="1">
        <v>0</v>
      </c>
      <c r="DG27" s="1">
        <v>0</v>
      </c>
      <c r="DH27" s="24">
        <f t="shared" si="78"/>
        <v>0</v>
      </c>
      <c r="DI27" s="25">
        <f t="shared" si="79"/>
        <v>1</v>
      </c>
      <c r="DJ27" t="str">
        <f t="shared" si="80"/>
        <v>2025-2026</v>
      </c>
      <c r="DK27" s="9"/>
      <c r="DL27" s="9"/>
      <c r="DM27" s="9"/>
      <c r="DN27" s="9"/>
      <c r="DO27" s="9"/>
      <c r="DP27" s="9"/>
      <c r="DQ27" s="136" t="b">
        <f t="shared" si="81"/>
        <v>0</v>
      </c>
    </row>
    <row r="28" spans="1:121" ht="27" customHeight="1" x14ac:dyDescent="0.95">
      <c r="A28" s="24" t="str">
        <f t="shared" si="87"/>
        <v/>
      </c>
      <c r="B28" s="41"/>
      <c r="C28" s="44"/>
      <c r="D28" s="43"/>
      <c r="E28" s="42"/>
      <c r="F28" s="43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 t="str">
        <f t="shared" si="5"/>
        <v/>
      </c>
      <c r="AC28" s="1" t="str">
        <f t="shared" si="6"/>
        <v/>
      </c>
      <c r="AD28" s="1" t="str">
        <f t="shared" si="7"/>
        <v/>
      </c>
      <c r="AE28" s="1" t="str">
        <f t="shared" si="8"/>
        <v/>
      </c>
      <c r="AF28" s="24" t="str">
        <f t="shared" si="9"/>
        <v/>
      </c>
      <c r="AG28" s="24" t="str">
        <f t="shared" si="10"/>
        <v/>
      </c>
      <c r="AH28" s="24" t="str">
        <f t="shared" si="11"/>
        <v/>
      </c>
      <c r="AI28" s="24" t="str">
        <f t="shared" si="12"/>
        <v/>
      </c>
      <c r="AJ28" s="24" t="str">
        <f t="shared" si="13"/>
        <v/>
      </c>
      <c r="AK28" s="24" t="str">
        <f t="shared" si="14"/>
        <v/>
      </c>
      <c r="AL28" s="24" t="str">
        <f t="shared" si="15"/>
        <v/>
      </c>
      <c r="AM28" s="24" t="str">
        <f t="shared" si="16"/>
        <v/>
      </c>
      <c r="AN28" s="24" t="str">
        <f t="shared" si="17"/>
        <v/>
      </c>
      <c r="AO28" s="24" t="str">
        <f t="shared" si="18"/>
        <v/>
      </c>
      <c r="AP28" s="24" t="str">
        <f t="shared" si="19"/>
        <v/>
      </c>
      <c r="AQ28" s="24" t="str">
        <f t="shared" si="20"/>
        <v/>
      </c>
      <c r="AR28" s="24" t="str">
        <f t="shared" si="21"/>
        <v/>
      </c>
      <c r="AS28" s="24" t="str">
        <f t="shared" si="22"/>
        <v/>
      </c>
      <c r="AT28" s="24" t="str">
        <f t="shared" si="23"/>
        <v/>
      </c>
      <c r="AU28" s="24" t="str">
        <f t="shared" si="24"/>
        <v/>
      </c>
      <c r="AV28" s="24" t="str">
        <f t="shared" si="25"/>
        <v/>
      </c>
      <c r="AW28" s="24" t="str">
        <f t="shared" si="26"/>
        <v/>
      </c>
      <c r="AX28" s="24" t="str">
        <f t="shared" si="27"/>
        <v/>
      </c>
      <c r="AY28" s="24" t="str">
        <f t="shared" si="28"/>
        <v/>
      </c>
      <c r="AZ28" s="24" t="str">
        <f t="shared" si="29"/>
        <v/>
      </c>
      <c r="BA28" s="24" t="str">
        <f t="shared" si="30"/>
        <v/>
      </c>
      <c r="BB28" s="24" t="str">
        <f t="shared" si="31"/>
        <v/>
      </c>
      <c r="BC28" s="26" t="str">
        <f t="shared" si="32"/>
        <v/>
      </c>
      <c r="BD28" s="26" t="str">
        <f t="shared" si="33"/>
        <v/>
      </c>
      <c r="BE28" s="26" t="str">
        <f t="shared" si="34"/>
        <v/>
      </c>
      <c r="BF28" s="26" t="str">
        <f t="shared" si="35"/>
        <v/>
      </c>
      <c r="BG28" s="26" t="str">
        <f t="shared" si="36"/>
        <v/>
      </c>
      <c r="BH28" s="26" t="str">
        <f t="shared" si="37"/>
        <v/>
      </c>
      <c r="BI28" s="26" t="str">
        <f t="shared" si="38"/>
        <v/>
      </c>
      <c r="BJ28" s="26" t="str">
        <f t="shared" si="39"/>
        <v/>
      </c>
      <c r="BK28" s="26" t="str">
        <f t="shared" si="40"/>
        <v/>
      </c>
      <c r="BL28" s="26" t="str">
        <f t="shared" si="41"/>
        <v/>
      </c>
      <c r="BM28" s="26" t="str">
        <f t="shared" si="42"/>
        <v/>
      </c>
      <c r="BN28" s="26" t="str">
        <f t="shared" si="43"/>
        <v/>
      </c>
      <c r="BO28" s="26" t="str">
        <f t="shared" si="44"/>
        <v/>
      </c>
      <c r="BP28" s="26" t="str">
        <f t="shared" si="45"/>
        <v/>
      </c>
      <c r="BQ28" s="26" t="str">
        <f t="shared" si="46"/>
        <v/>
      </c>
      <c r="BR28" s="26" t="str">
        <f t="shared" si="47"/>
        <v/>
      </c>
      <c r="BS28" s="24" t="str">
        <f t="shared" si="48"/>
        <v/>
      </c>
      <c r="BT28" s="24" t="str">
        <f t="shared" si="49"/>
        <v/>
      </c>
      <c r="BU28" s="24" t="str">
        <f t="shared" si="50"/>
        <v/>
      </c>
      <c r="BV28" s="24" t="str">
        <f t="shared" si="51"/>
        <v/>
      </c>
      <c r="BW28" s="24" t="str">
        <f t="shared" si="52"/>
        <v/>
      </c>
      <c r="BX28" s="24" t="str">
        <f t="shared" si="53"/>
        <v/>
      </c>
      <c r="BY28" s="24" t="str">
        <f t="shared" si="54"/>
        <v/>
      </c>
      <c r="BZ28" s="24" t="str">
        <f t="shared" si="55"/>
        <v/>
      </c>
      <c r="CA28" s="24" t="str">
        <f t="shared" ref="CA28:CA35" si="90">IF(OR(AU28="",AE28=""),"",AU28*(IF(OR(AE28="A",AE28="a"),4,(IF(OR(AE472="B",AE28="b"),3,(IF(OR(AE28="C",AE28="c"),2,(IF(OR(AE28="D",AE28="d"),1.5,(IF(OR(AE28="E",AE28="e"),1,(IF(OR(AE28="F",AE28="f"),0)))))))))))))</f>
        <v/>
      </c>
      <c r="CB28" s="24" t="str">
        <f t="shared" ref="CB28:CF29" si="91">IF(OR(AV28="",AF28=""),"",AV28*(IF(OR(AF28="A",AF28="a"),4,(IF(OR(AF473="B",AF28="b"),3,(IF(OR(AF28="C",AF28="c"),2,(IF(OR(AF28="D",AF28="d"),1.5,(IF(OR(AF28="E",AF28="e"),1,(IF(OR(AF28="F",AF28="f"),0)))))))))))))</f>
        <v/>
      </c>
      <c r="CC28" s="24" t="str">
        <f t="shared" si="91"/>
        <v/>
      </c>
      <c r="CD28" s="24" t="str">
        <f t="shared" si="91"/>
        <v/>
      </c>
      <c r="CE28" s="24" t="str">
        <f t="shared" si="91"/>
        <v/>
      </c>
      <c r="CF28" s="24" t="str">
        <f t="shared" si="91"/>
        <v/>
      </c>
      <c r="CG28" s="24" t="str">
        <f>IF(OR(BA28="",AK28=""),"",BA28*(IF(OR(AK28="A",AK28="a"),4,(IF(OR(#REF!="B",AK28="b"),3,(IF(OR(AK28="C",AK28="c"),2,(IF(OR(AK28="D",AK28="d"),1.5,(IF(OR(AK28="E",AK28="e"),1,(IF(OR(AK28="F",AK28="f"),0)))))))))))))</f>
        <v/>
      </c>
      <c r="CH28" s="24" t="str">
        <f>IF(OR(BB28="",AL28=""),"",BB28*(IF(OR(AL28="A",AL28="a"),4,(IF(OR(AV473="B",AL28="b"),3,(IF(OR(AL28="C",AL28="c"),2,(IF(OR(AL28="D",AL28="d"),1.5,(IF(OR(AL28="E",AL28="e"),1,(IF(OR(AL28="F",AL28="f"),0)))))))))))))</f>
        <v/>
      </c>
      <c r="CI28" s="24" t="str">
        <f t="shared" si="63"/>
        <v/>
      </c>
      <c r="CJ28" s="26" t="str">
        <f t="shared" si="82"/>
        <v/>
      </c>
      <c r="CK28" s="26" t="str">
        <f t="shared" si="64"/>
        <v/>
      </c>
      <c r="CL28" s="26" t="str">
        <f t="shared" si="83"/>
        <v/>
      </c>
      <c r="CM28" s="24" t="str">
        <f t="shared" si="84"/>
        <v/>
      </c>
      <c r="CN28" s="26" t="str">
        <f t="shared" si="65"/>
        <v/>
      </c>
      <c r="CO28" s="24" t="str">
        <f t="shared" si="66"/>
        <v/>
      </c>
      <c r="CP28" s="26" t="str">
        <f t="shared" si="67"/>
        <v/>
      </c>
      <c r="CQ28" s="26" t="str">
        <f t="shared" si="68"/>
        <v/>
      </c>
      <c r="CR28" s="26" t="str">
        <f t="shared" si="85"/>
        <v/>
      </c>
      <c r="CS28" s="24" t="str">
        <f t="shared" si="88"/>
        <v/>
      </c>
      <c r="CT28" s="27" t="str">
        <f t="shared" si="69"/>
        <v/>
      </c>
      <c r="CU28" s="52" t="str">
        <f t="shared" si="70"/>
        <v/>
      </c>
      <c r="CV28" s="27" t="str">
        <f t="shared" si="71"/>
        <v/>
      </c>
      <c r="CW28" s="26" t="str">
        <f t="shared" si="72"/>
        <v/>
      </c>
      <c r="CX28" s="26" t="str">
        <f t="shared" si="86"/>
        <v/>
      </c>
      <c r="CY28" s="27" t="str">
        <f t="shared" si="89"/>
        <v/>
      </c>
      <c r="CZ28" s="26" t="str">
        <f t="shared" si="73"/>
        <v/>
      </c>
      <c r="DA28" s="24" t="str">
        <f t="shared" si="74"/>
        <v/>
      </c>
      <c r="DB28" s="24" t="str">
        <f t="shared" si="75"/>
        <v/>
      </c>
      <c r="DC28" s="24" t="str">
        <f t="shared" si="76"/>
        <v/>
      </c>
      <c r="DD28" s="24" t="str">
        <f t="shared" si="77"/>
        <v/>
      </c>
      <c r="DE28" s="1">
        <v>0</v>
      </c>
      <c r="DF28" s="1">
        <v>0</v>
      </c>
      <c r="DG28" s="1">
        <v>0</v>
      </c>
      <c r="DH28" s="24" t="str">
        <f t="shared" si="78"/>
        <v/>
      </c>
      <c r="DI28" s="25" t="str">
        <f t="shared" si="79"/>
        <v/>
      </c>
      <c r="DJ28" t="str">
        <f t="shared" si="80"/>
        <v/>
      </c>
      <c r="DK28" s="9"/>
      <c r="DL28" s="9"/>
      <c r="DM28" s="9"/>
      <c r="DN28" s="9"/>
      <c r="DO28" s="9"/>
      <c r="DP28" s="9"/>
      <c r="DQ28" s="136" t="b">
        <f t="shared" si="81"/>
        <v>1</v>
      </c>
    </row>
    <row r="29" spans="1:121" ht="27" customHeight="1" x14ac:dyDescent="0.95">
      <c r="A29" s="24" t="str">
        <f t="shared" si="87"/>
        <v/>
      </c>
      <c r="B29" s="41"/>
      <c r="C29" s="41"/>
      <c r="D29" s="42"/>
      <c r="E29" s="42"/>
      <c r="F29" s="43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 t="str">
        <f t="shared" si="5"/>
        <v/>
      </c>
      <c r="AC29" s="1" t="str">
        <f t="shared" si="6"/>
        <v/>
      </c>
      <c r="AD29" s="1" t="str">
        <f t="shared" si="7"/>
        <v/>
      </c>
      <c r="AE29" s="1" t="str">
        <f t="shared" si="8"/>
        <v/>
      </c>
      <c r="AF29" s="24" t="str">
        <f t="shared" si="9"/>
        <v/>
      </c>
      <c r="AG29" s="24" t="str">
        <f t="shared" si="10"/>
        <v/>
      </c>
      <c r="AH29" s="24" t="str">
        <f t="shared" si="11"/>
        <v/>
      </c>
      <c r="AI29" s="24" t="str">
        <f t="shared" si="12"/>
        <v/>
      </c>
      <c r="AJ29" s="24" t="str">
        <f t="shared" si="13"/>
        <v/>
      </c>
      <c r="AK29" s="24" t="str">
        <f t="shared" si="14"/>
        <v/>
      </c>
      <c r="AL29" s="24" t="str">
        <f t="shared" si="15"/>
        <v/>
      </c>
      <c r="AM29" s="24" t="str">
        <f t="shared" si="16"/>
        <v/>
      </c>
      <c r="AN29" s="24" t="str">
        <f t="shared" si="17"/>
        <v/>
      </c>
      <c r="AO29" s="24" t="str">
        <f t="shared" si="18"/>
        <v/>
      </c>
      <c r="AP29" s="24" t="str">
        <f t="shared" si="19"/>
        <v/>
      </c>
      <c r="AQ29" s="24" t="str">
        <f t="shared" si="20"/>
        <v/>
      </c>
      <c r="AR29" s="24" t="str">
        <f t="shared" si="21"/>
        <v/>
      </c>
      <c r="AS29" s="24" t="str">
        <f t="shared" si="22"/>
        <v/>
      </c>
      <c r="AT29" s="24" t="str">
        <f t="shared" si="23"/>
        <v/>
      </c>
      <c r="AU29" s="24" t="str">
        <f t="shared" si="24"/>
        <v/>
      </c>
      <c r="AV29" s="24" t="str">
        <f t="shared" si="25"/>
        <v/>
      </c>
      <c r="AW29" s="24" t="str">
        <f t="shared" si="26"/>
        <v/>
      </c>
      <c r="AX29" s="24" t="str">
        <f t="shared" si="27"/>
        <v/>
      </c>
      <c r="AY29" s="24" t="str">
        <f t="shared" si="28"/>
        <v/>
      </c>
      <c r="AZ29" s="24" t="str">
        <f t="shared" si="29"/>
        <v/>
      </c>
      <c r="BA29" s="24" t="str">
        <f t="shared" si="30"/>
        <v/>
      </c>
      <c r="BB29" s="24" t="str">
        <f t="shared" si="31"/>
        <v/>
      </c>
      <c r="BC29" s="26" t="str">
        <f t="shared" si="32"/>
        <v/>
      </c>
      <c r="BD29" s="26" t="str">
        <f t="shared" si="33"/>
        <v/>
      </c>
      <c r="BE29" s="26" t="str">
        <f t="shared" si="34"/>
        <v/>
      </c>
      <c r="BF29" s="26" t="str">
        <f t="shared" si="35"/>
        <v/>
      </c>
      <c r="BG29" s="26" t="str">
        <f t="shared" si="36"/>
        <v/>
      </c>
      <c r="BH29" s="26" t="str">
        <f t="shared" si="37"/>
        <v/>
      </c>
      <c r="BI29" s="26" t="str">
        <f t="shared" si="38"/>
        <v/>
      </c>
      <c r="BJ29" s="26" t="str">
        <f t="shared" si="39"/>
        <v/>
      </c>
      <c r="BK29" s="26" t="str">
        <f t="shared" si="40"/>
        <v/>
      </c>
      <c r="BL29" s="26" t="str">
        <f t="shared" si="41"/>
        <v/>
      </c>
      <c r="BM29" s="26" t="str">
        <f t="shared" si="42"/>
        <v/>
      </c>
      <c r="BN29" s="26" t="str">
        <f t="shared" si="43"/>
        <v/>
      </c>
      <c r="BO29" s="26" t="str">
        <f t="shared" si="44"/>
        <v/>
      </c>
      <c r="BP29" s="26" t="str">
        <f t="shared" si="45"/>
        <v/>
      </c>
      <c r="BQ29" s="26" t="str">
        <f t="shared" si="46"/>
        <v/>
      </c>
      <c r="BR29" s="26" t="str">
        <f t="shared" si="47"/>
        <v/>
      </c>
      <c r="BS29" s="24" t="str">
        <f t="shared" si="48"/>
        <v/>
      </c>
      <c r="BT29" s="24" t="str">
        <f t="shared" si="49"/>
        <v/>
      </c>
      <c r="BU29" s="24" t="str">
        <f t="shared" si="50"/>
        <v/>
      </c>
      <c r="BV29" s="24" t="str">
        <f t="shared" si="51"/>
        <v/>
      </c>
      <c r="BW29" s="24" t="str">
        <f t="shared" si="52"/>
        <v/>
      </c>
      <c r="BX29" s="24" t="str">
        <f t="shared" si="53"/>
        <v/>
      </c>
      <c r="BY29" s="24" t="str">
        <f t="shared" si="54"/>
        <v/>
      </c>
      <c r="BZ29" s="24" t="str">
        <f t="shared" si="55"/>
        <v/>
      </c>
      <c r="CA29" s="24" t="str">
        <f t="shared" si="90"/>
        <v/>
      </c>
      <c r="CB29" s="24" t="str">
        <f t="shared" si="91"/>
        <v/>
      </c>
      <c r="CC29" s="24" t="str">
        <f t="shared" si="91"/>
        <v/>
      </c>
      <c r="CD29" s="24" t="str">
        <f t="shared" si="91"/>
        <v/>
      </c>
      <c r="CE29" s="24" t="str">
        <f t="shared" si="91"/>
        <v/>
      </c>
      <c r="CF29" s="24" t="str">
        <f t="shared" si="91"/>
        <v/>
      </c>
      <c r="CG29" s="24" t="str">
        <f>IF(OR(BA29="",AK29=""),"",BA29*(IF(OR(AK29="A",AK29="a"),4,(IF(OR(#REF!="B",AK29="b"),3,(IF(OR(AK29="C",AK29="c"),2,(IF(OR(AK29="D",AK29="d"),1.5,(IF(OR(AK29="E",AK29="e"),1,(IF(OR(AK29="F",AK29="f"),0)))))))))))))</f>
        <v/>
      </c>
      <c r="CH29" s="24" t="str">
        <f>IF(OR(BB29="",AL29=""),"",BB29*(IF(OR(AL29="A",AL29="a"),4,(IF(OR(AV474="B",AL29="b"),3,(IF(OR(AL29="C",AL29="c"),2,(IF(OR(AL29="D",AL29="d"),1.5,(IF(OR(AL29="E",AL29="e"),1,(IF(OR(AL29="F",AL29="f"),0)))))))))))))</f>
        <v/>
      </c>
      <c r="CI29" s="24" t="str">
        <f t="shared" si="63"/>
        <v/>
      </c>
      <c r="CJ29" s="26" t="str">
        <f t="shared" si="82"/>
        <v/>
      </c>
      <c r="CK29" s="26" t="str">
        <f t="shared" si="64"/>
        <v/>
      </c>
      <c r="CL29" s="26" t="str">
        <f t="shared" si="83"/>
        <v/>
      </c>
      <c r="CM29" s="24" t="str">
        <f t="shared" si="84"/>
        <v/>
      </c>
      <c r="CN29" s="26" t="str">
        <f t="shared" si="65"/>
        <v/>
      </c>
      <c r="CO29" s="24" t="str">
        <f t="shared" si="66"/>
        <v/>
      </c>
      <c r="CP29" s="26" t="str">
        <f t="shared" si="67"/>
        <v/>
      </c>
      <c r="CQ29" s="26" t="str">
        <f t="shared" si="68"/>
        <v/>
      </c>
      <c r="CR29" s="26" t="str">
        <f t="shared" si="85"/>
        <v/>
      </c>
      <c r="CS29" s="24" t="str">
        <f t="shared" si="88"/>
        <v/>
      </c>
      <c r="CT29" s="27" t="str">
        <f t="shared" si="69"/>
        <v/>
      </c>
      <c r="CU29" s="52" t="str">
        <f t="shared" si="70"/>
        <v/>
      </c>
      <c r="CV29" s="27" t="str">
        <f t="shared" si="71"/>
        <v/>
      </c>
      <c r="CW29" s="26" t="str">
        <f t="shared" si="72"/>
        <v/>
      </c>
      <c r="CX29" s="26" t="str">
        <f t="shared" si="86"/>
        <v/>
      </c>
      <c r="CY29" s="27" t="str">
        <f t="shared" si="89"/>
        <v/>
      </c>
      <c r="CZ29" s="26" t="str">
        <f t="shared" si="73"/>
        <v/>
      </c>
      <c r="DA29" s="24" t="str">
        <f t="shared" si="74"/>
        <v/>
      </c>
      <c r="DB29" s="24" t="str">
        <f t="shared" si="75"/>
        <v/>
      </c>
      <c r="DC29" s="24" t="str">
        <f t="shared" si="76"/>
        <v/>
      </c>
      <c r="DD29" s="24" t="str">
        <f t="shared" si="77"/>
        <v/>
      </c>
      <c r="DE29" s="1">
        <v>0</v>
      </c>
      <c r="DF29" s="1">
        <v>0</v>
      </c>
      <c r="DG29" s="1">
        <v>0</v>
      </c>
      <c r="DH29" s="24" t="str">
        <f t="shared" si="78"/>
        <v/>
      </c>
      <c r="DI29" s="25" t="str">
        <f t="shared" si="79"/>
        <v/>
      </c>
      <c r="DJ29" t="str">
        <f t="shared" si="80"/>
        <v/>
      </c>
      <c r="DK29" s="9"/>
      <c r="DL29" s="9"/>
      <c r="DM29" s="9"/>
      <c r="DN29" s="9"/>
      <c r="DO29" s="9"/>
      <c r="DP29" s="9"/>
      <c r="DQ29" s="136" t="b">
        <f t="shared" si="81"/>
        <v>1</v>
      </c>
    </row>
    <row r="30" spans="1:121" ht="27" customHeight="1" x14ac:dyDescent="0.95">
      <c r="A30" s="24" t="str">
        <f t="shared" si="87"/>
        <v/>
      </c>
      <c r="B30" s="41"/>
      <c r="C30" s="44"/>
      <c r="D30" s="43"/>
      <c r="E30" s="42"/>
      <c r="F30" s="43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 t="str">
        <f t="shared" si="5"/>
        <v/>
      </c>
      <c r="AC30" s="1" t="str">
        <f t="shared" si="6"/>
        <v/>
      </c>
      <c r="AD30" s="1" t="str">
        <f t="shared" si="7"/>
        <v/>
      </c>
      <c r="AE30" s="1" t="str">
        <f t="shared" si="8"/>
        <v/>
      </c>
      <c r="AF30" s="24" t="str">
        <f t="shared" si="9"/>
        <v/>
      </c>
      <c r="AG30" s="24" t="str">
        <f t="shared" si="10"/>
        <v/>
      </c>
      <c r="AH30" s="24" t="str">
        <f t="shared" si="11"/>
        <v/>
      </c>
      <c r="AI30" s="24" t="str">
        <f t="shared" si="12"/>
        <v/>
      </c>
      <c r="AJ30" s="24" t="str">
        <f t="shared" si="13"/>
        <v/>
      </c>
      <c r="AK30" s="24" t="str">
        <f t="shared" si="14"/>
        <v/>
      </c>
      <c r="AL30" s="24" t="str">
        <f t="shared" si="15"/>
        <v/>
      </c>
      <c r="AM30" s="24" t="str">
        <f t="shared" si="16"/>
        <v/>
      </c>
      <c r="AN30" s="24" t="str">
        <f t="shared" si="17"/>
        <v/>
      </c>
      <c r="AO30" s="24" t="str">
        <f t="shared" si="18"/>
        <v/>
      </c>
      <c r="AP30" s="24" t="str">
        <f t="shared" si="19"/>
        <v/>
      </c>
      <c r="AQ30" s="24" t="str">
        <f t="shared" si="20"/>
        <v/>
      </c>
      <c r="AR30" s="24" t="str">
        <f t="shared" si="21"/>
        <v/>
      </c>
      <c r="AS30" s="24" t="str">
        <f t="shared" si="22"/>
        <v/>
      </c>
      <c r="AT30" s="24" t="str">
        <f t="shared" si="23"/>
        <v/>
      </c>
      <c r="AU30" s="24" t="str">
        <f t="shared" si="24"/>
        <v/>
      </c>
      <c r="AV30" s="24" t="str">
        <f t="shared" si="25"/>
        <v/>
      </c>
      <c r="AW30" s="24" t="str">
        <f t="shared" si="26"/>
        <v/>
      </c>
      <c r="AX30" s="24" t="str">
        <f t="shared" si="27"/>
        <v/>
      </c>
      <c r="AY30" s="24" t="str">
        <f t="shared" si="28"/>
        <v/>
      </c>
      <c r="AZ30" s="24" t="str">
        <f t="shared" si="29"/>
        <v/>
      </c>
      <c r="BA30" s="24" t="str">
        <f t="shared" si="30"/>
        <v/>
      </c>
      <c r="BB30" s="24" t="str">
        <f t="shared" si="31"/>
        <v/>
      </c>
      <c r="BC30" s="26" t="str">
        <f t="shared" si="32"/>
        <v/>
      </c>
      <c r="BD30" s="26" t="str">
        <f t="shared" si="33"/>
        <v/>
      </c>
      <c r="BE30" s="26" t="str">
        <f t="shared" si="34"/>
        <v/>
      </c>
      <c r="BF30" s="26" t="str">
        <f t="shared" si="35"/>
        <v/>
      </c>
      <c r="BG30" s="26" t="str">
        <f t="shared" si="36"/>
        <v/>
      </c>
      <c r="BH30" s="26" t="str">
        <f t="shared" si="37"/>
        <v/>
      </c>
      <c r="BI30" s="26" t="str">
        <f t="shared" si="38"/>
        <v/>
      </c>
      <c r="BJ30" s="26" t="str">
        <f t="shared" si="39"/>
        <v/>
      </c>
      <c r="BK30" s="26" t="str">
        <f t="shared" si="40"/>
        <v/>
      </c>
      <c r="BL30" s="26" t="str">
        <f t="shared" si="41"/>
        <v/>
      </c>
      <c r="BM30" s="26" t="str">
        <f t="shared" si="42"/>
        <v/>
      </c>
      <c r="BN30" s="26" t="str">
        <f t="shared" si="43"/>
        <v/>
      </c>
      <c r="BO30" s="26" t="str">
        <f t="shared" si="44"/>
        <v/>
      </c>
      <c r="BP30" s="26" t="str">
        <f t="shared" si="45"/>
        <v/>
      </c>
      <c r="BQ30" s="26" t="str">
        <f t="shared" si="46"/>
        <v/>
      </c>
      <c r="BR30" s="26" t="str">
        <f t="shared" si="47"/>
        <v/>
      </c>
      <c r="BS30" s="24" t="str">
        <f t="shared" si="48"/>
        <v/>
      </c>
      <c r="BT30" s="24" t="str">
        <f t="shared" si="49"/>
        <v/>
      </c>
      <c r="BU30" s="24" t="str">
        <f t="shared" si="50"/>
        <v/>
      </c>
      <c r="BV30" s="24" t="str">
        <f t="shared" si="51"/>
        <v/>
      </c>
      <c r="BW30" s="24" t="str">
        <f t="shared" si="52"/>
        <v/>
      </c>
      <c r="BX30" s="24" t="str">
        <f t="shared" si="53"/>
        <v/>
      </c>
      <c r="BY30" s="24" t="str">
        <f t="shared" si="54"/>
        <v/>
      </c>
      <c r="BZ30" s="24" t="str">
        <f t="shared" si="55"/>
        <v/>
      </c>
      <c r="CA30" s="24" t="str">
        <f t="shared" si="90"/>
        <v/>
      </c>
      <c r="CB30" s="24" t="str">
        <f t="shared" ref="CB30:CF31" si="92">IF(OR(AV30="",AF30=""),"",AV30*(IF(OR(AF30="A",AF30="a"),4,(IF(OR(AF476="B",AF30="b"),3,(IF(OR(AF30="C",AF30="c"),2,(IF(OR(AF30="D",AF30="d"),1.5,(IF(OR(AF30="E",AF30="e"),1,(IF(OR(AF30="F",AF30="f"),0)))))))))))))</f>
        <v/>
      </c>
      <c r="CC30" s="24" t="str">
        <f t="shared" si="92"/>
        <v/>
      </c>
      <c r="CD30" s="24" t="str">
        <f t="shared" si="92"/>
        <v/>
      </c>
      <c r="CE30" s="24" t="str">
        <f t="shared" si="92"/>
        <v/>
      </c>
      <c r="CF30" s="24" t="str">
        <f t="shared" si="92"/>
        <v/>
      </c>
      <c r="CG30" s="24" t="str">
        <f>IF(OR(BA30="",AK30=""),"",BA30*(IF(OR(AK30="A",AK30="a"),4,(IF(OR(#REF!="B",AK30="b"),3,(IF(OR(AK30="C",AK30="c"),2,(IF(OR(AK30="D",AK30="d"),1.5,(IF(OR(AK30="E",AK30="e"),1,(IF(OR(AK30="F",AK30="f"),0)))))))))))))</f>
        <v/>
      </c>
      <c r="CH30" s="24" t="str">
        <f>IF(OR(BB30="",AL30=""),"",BB30*(IF(OR(AL30="A",AL30="a"),4,(IF(OR(AV476="B",AL30="b"),3,(IF(OR(AL30="C",AL30="c"),2,(IF(OR(AL30="D",AL30="d"),1.5,(IF(OR(AL30="E",AL30="e"),1,(IF(OR(AL30="F",AL30="f"),0)))))))))))))</f>
        <v/>
      </c>
      <c r="CI30" s="24" t="str">
        <f t="shared" si="63"/>
        <v/>
      </c>
      <c r="CJ30" s="26" t="str">
        <f t="shared" si="82"/>
        <v/>
      </c>
      <c r="CK30" s="26" t="str">
        <f t="shared" si="64"/>
        <v/>
      </c>
      <c r="CL30" s="26" t="str">
        <f t="shared" si="83"/>
        <v/>
      </c>
      <c r="CM30" s="24" t="str">
        <f t="shared" si="84"/>
        <v/>
      </c>
      <c r="CN30" s="26" t="str">
        <f t="shared" si="65"/>
        <v/>
      </c>
      <c r="CO30" s="24" t="str">
        <f t="shared" si="66"/>
        <v/>
      </c>
      <c r="CP30" s="26" t="str">
        <f t="shared" si="67"/>
        <v/>
      </c>
      <c r="CQ30" s="26" t="str">
        <f t="shared" si="68"/>
        <v/>
      </c>
      <c r="CR30" s="26" t="str">
        <f t="shared" si="85"/>
        <v/>
      </c>
      <c r="CS30" s="24" t="str">
        <f t="shared" si="88"/>
        <v/>
      </c>
      <c r="CT30" s="27" t="str">
        <f t="shared" si="69"/>
        <v/>
      </c>
      <c r="CU30" s="52" t="str">
        <f t="shared" si="70"/>
        <v/>
      </c>
      <c r="CV30" s="27" t="str">
        <f t="shared" si="71"/>
        <v/>
      </c>
      <c r="CW30" s="26" t="str">
        <f t="shared" si="72"/>
        <v/>
      </c>
      <c r="CX30" s="26" t="str">
        <f t="shared" si="86"/>
        <v/>
      </c>
      <c r="CY30" s="27" t="str">
        <f t="shared" si="89"/>
        <v/>
      </c>
      <c r="CZ30" s="26" t="str">
        <f t="shared" si="73"/>
        <v/>
      </c>
      <c r="DA30" s="24" t="str">
        <f t="shared" si="74"/>
        <v/>
      </c>
      <c r="DB30" s="24" t="str">
        <f t="shared" si="75"/>
        <v/>
      </c>
      <c r="DC30" s="24" t="str">
        <f t="shared" si="76"/>
        <v/>
      </c>
      <c r="DD30" s="24" t="str">
        <f t="shared" si="77"/>
        <v/>
      </c>
      <c r="DE30" s="1">
        <v>0</v>
      </c>
      <c r="DF30" s="1">
        <v>0</v>
      </c>
      <c r="DG30" s="1">
        <v>0</v>
      </c>
      <c r="DH30" s="24" t="str">
        <f t="shared" si="78"/>
        <v/>
      </c>
      <c r="DI30" s="25" t="str">
        <f t="shared" si="79"/>
        <v/>
      </c>
      <c r="DJ30" t="str">
        <f t="shared" si="80"/>
        <v/>
      </c>
      <c r="DK30" s="9"/>
      <c r="DL30" s="9"/>
      <c r="DM30" s="9"/>
      <c r="DN30" s="9"/>
      <c r="DO30" s="9"/>
      <c r="DP30" s="9"/>
      <c r="DQ30" s="136" t="b">
        <f t="shared" si="81"/>
        <v>1</v>
      </c>
    </row>
    <row r="31" spans="1:121" ht="27" customHeight="1" x14ac:dyDescent="0.95">
      <c r="A31" s="24" t="str">
        <f t="shared" si="87"/>
        <v/>
      </c>
      <c r="B31" s="41"/>
      <c r="C31" s="41"/>
      <c r="D31" s="42"/>
      <c r="E31" s="42"/>
      <c r="F31" s="43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 t="str">
        <f t="shared" si="5"/>
        <v/>
      </c>
      <c r="AC31" s="1" t="str">
        <f t="shared" si="6"/>
        <v/>
      </c>
      <c r="AD31" s="1" t="str">
        <f t="shared" si="7"/>
        <v/>
      </c>
      <c r="AE31" s="1" t="str">
        <f t="shared" si="8"/>
        <v/>
      </c>
      <c r="AF31" s="24" t="str">
        <f t="shared" si="9"/>
        <v/>
      </c>
      <c r="AG31" s="24" t="str">
        <f t="shared" si="10"/>
        <v/>
      </c>
      <c r="AH31" s="24" t="str">
        <f t="shared" si="11"/>
        <v/>
      </c>
      <c r="AI31" s="24" t="str">
        <f t="shared" si="12"/>
        <v/>
      </c>
      <c r="AJ31" s="24" t="str">
        <f t="shared" si="13"/>
        <v/>
      </c>
      <c r="AK31" s="24" t="str">
        <f t="shared" si="14"/>
        <v/>
      </c>
      <c r="AL31" s="24" t="str">
        <f t="shared" si="15"/>
        <v/>
      </c>
      <c r="AM31" s="24" t="str">
        <f t="shared" si="16"/>
        <v/>
      </c>
      <c r="AN31" s="24" t="str">
        <f t="shared" si="17"/>
        <v/>
      </c>
      <c r="AO31" s="24" t="str">
        <f t="shared" si="18"/>
        <v/>
      </c>
      <c r="AP31" s="24" t="str">
        <f t="shared" si="19"/>
        <v/>
      </c>
      <c r="AQ31" s="24" t="str">
        <f t="shared" si="20"/>
        <v/>
      </c>
      <c r="AR31" s="24" t="str">
        <f t="shared" si="21"/>
        <v/>
      </c>
      <c r="AS31" s="24" t="str">
        <f t="shared" si="22"/>
        <v/>
      </c>
      <c r="AT31" s="24" t="str">
        <f t="shared" si="23"/>
        <v/>
      </c>
      <c r="AU31" s="24" t="str">
        <f t="shared" si="24"/>
        <v/>
      </c>
      <c r="AV31" s="24" t="str">
        <f t="shared" si="25"/>
        <v/>
      </c>
      <c r="AW31" s="24" t="str">
        <f t="shared" si="26"/>
        <v/>
      </c>
      <c r="AX31" s="24" t="str">
        <f t="shared" si="27"/>
        <v/>
      </c>
      <c r="AY31" s="24" t="str">
        <f t="shared" si="28"/>
        <v/>
      </c>
      <c r="AZ31" s="24" t="str">
        <f t="shared" si="29"/>
        <v/>
      </c>
      <c r="BA31" s="24" t="str">
        <f t="shared" si="30"/>
        <v/>
      </c>
      <c r="BB31" s="24" t="str">
        <f t="shared" si="31"/>
        <v/>
      </c>
      <c r="BC31" s="26" t="str">
        <f t="shared" si="32"/>
        <v/>
      </c>
      <c r="BD31" s="26" t="str">
        <f t="shared" si="33"/>
        <v/>
      </c>
      <c r="BE31" s="26" t="str">
        <f t="shared" si="34"/>
        <v/>
      </c>
      <c r="BF31" s="26" t="str">
        <f t="shared" si="35"/>
        <v/>
      </c>
      <c r="BG31" s="26" t="str">
        <f t="shared" si="36"/>
        <v/>
      </c>
      <c r="BH31" s="26" t="str">
        <f t="shared" si="37"/>
        <v/>
      </c>
      <c r="BI31" s="26" t="str">
        <f t="shared" si="38"/>
        <v/>
      </c>
      <c r="BJ31" s="26" t="str">
        <f t="shared" si="39"/>
        <v/>
      </c>
      <c r="BK31" s="26" t="str">
        <f t="shared" si="40"/>
        <v/>
      </c>
      <c r="BL31" s="26" t="str">
        <f t="shared" si="41"/>
        <v/>
      </c>
      <c r="BM31" s="26" t="str">
        <f t="shared" si="42"/>
        <v/>
      </c>
      <c r="BN31" s="26" t="str">
        <f t="shared" si="43"/>
        <v/>
      </c>
      <c r="BO31" s="26" t="str">
        <f t="shared" si="44"/>
        <v/>
      </c>
      <c r="BP31" s="26" t="str">
        <f t="shared" si="45"/>
        <v/>
      </c>
      <c r="BQ31" s="26" t="str">
        <f t="shared" si="46"/>
        <v/>
      </c>
      <c r="BR31" s="26" t="str">
        <f t="shared" si="47"/>
        <v/>
      </c>
      <c r="BS31" s="24" t="str">
        <f t="shared" si="48"/>
        <v/>
      </c>
      <c r="BT31" s="24" t="str">
        <f t="shared" si="49"/>
        <v/>
      </c>
      <c r="BU31" s="24" t="str">
        <f t="shared" si="50"/>
        <v/>
      </c>
      <c r="BV31" s="24" t="str">
        <f t="shared" si="51"/>
        <v/>
      </c>
      <c r="BW31" s="24" t="str">
        <f t="shared" si="52"/>
        <v/>
      </c>
      <c r="BX31" s="24" t="str">
        <f t="shared" si="53"/>
        <v/>
      </c>
      <c r="BY31" s="24" t="str">
        <f t="shared" si="54"/>
        <v/>
      </c>
      <c r="BZ31" s="24" t="str">
        <f t="shared" si="55"/>
        <v/>
      </c>
      <c r="CA31" s="24" t="str">
        <f t="shared" si="90"/>
        <v/>
      </c>
      <c r="CB31" s="24" t="str">
        <f t="shared" si="92"/>
        <v/>
      </c>
      <c r="CC31" s="24" t="str">
        <f t="shared" si="92"/>
        <v/>
      </c>
      <c r="CD31" s="24" t="str">
        <f t="shared" si="92"/>
        <v/>
      </c>
      <c r="CE31" s="24" t="str">
        <f t="shared" si="92"/>
        <v/>
      </c>
      <c r="CF31" s="24" t="str">
        <f t="shared" si="92"/>
        <v/>
      </c>
      <c r="CG31" s="24" t="str">
        <f>IF(OR(BA31="",AK31=""),"",BA31*(IF(OR(AK31="A",AK31="a"),4,(IF(OR(#REF!="B",AK31="b"),3,(IF(OR(AK31="C",AK31="c"),2,(IF(OR(AK31="D",AK31="d"),1.5,(IF(OR(AK31="E",AK31="e"),1,(IF(OR(AK31="F",AK31="f"),0)))))))))))))</f>
        <v/>
      </c>
      <c r="CH31" s="24" t="str">
        <f>IF(OR(BB31="",AL31=""),"",BB31*(IF(OR(AL31="A",AL31="a"),4,(IF(OR(AV477="B",AL31="b"),3,(IF(OR(AL31="C",AL31="c"),2,(IF(OR(AL31="D",AL31="d"),1.5,(IF(OR(AL31="E",AL31="e"),1,(IF(OR(AL31="F",AL31="f"),0)))))))))))))</f>
        <v/>
      </c>
      <c r="CI31" s="24" t="str">
        <f t="shared" si="63"/>
        <v/>
      </c>
      <c r="CJ31" s="26" t="str">
        <f t="shared" si="82"/>
        <v/>
      </c>
      <c r="CK31" s="26" t="str">
        <f t="shared" si="64"/>
        <v/>
      </c>
      <c r="CL31" s="26" t="str">
        <f t="shared" si="83"/>
        <v/>
      </c>
      <c r="CM31" s="24" t="str">
        <f t="shared" si="84"/>
        <v/>
      </c>
      <c r="CN31" s="26" t="str">
        <f t="shared" si="65"/>
        <v/>
      </c>
      <c r="CO31" s="24" t="str">
        <f t="shared" si="66"/>
        <v/>
      </c>
      <c r="CP31" s="26" t="str">
        <f t="shared" si="67"/>
        <v/>
      </c>
      <c r="CQ31" s="26" t="str">
        <f t="shared" si="68"/>
        <v/>
      </c>
      <c r="CR31" s="26" t="str">
        <f t="shared" si="85"/>
        <v/>
      </c>
      <c r="CS31" s="24" t="str">
        <f t="shared" si="88"/>
        <v/>
      </c>
      <c r="CT31" s="27" t="str">
        <f t="shared" si="69"/>
        <v/>
      </c>
      <c r="CU31" s="52" t="str">
        <f t="shared" si="70"/>
        <v/>
      </c>
      <c r="CV31" s="27" t="str">
        <f t="shared" si="71"/>
        <v/>
      </c>
      <c r="CW31" s="26" t="str">
        <f t="shared" si="72"/>
        <v/>
      </c>
      <c r="CX31" s="26" t="str">
        <f t="shared" si="86"/>
        <v/>
      </c>
      <c r="CY31" s="27" t="str">
        <f t="shared" si="89"/>
        <v/>
      </c>
      <c r="CZ31" s="26" t="str">
        <f t="shared" si="73"/>
        <v/>
      </c>
      <c r="DA31" s="24" t="str">
        <f t="shared" si="74"/>
        <v/>
      </c>
      <c r="DB31" s="24" t="str">
        <f t="shared" si="75"/>
        <v/>
      </c>
      <c r="DC31" s="24" t="str">
        <f t="shared" si="76"/>
        <v/>
      </c>
      <c r="DD31" s="24" t="str">
        <f t="shared" si="77"/>
        <v/>
      </c>
      <c r="DE31" s="1">
        <v>0</v>
      </c>
      <c r="DF31" s="1">
        <v>0</v>
      </c>
      <c r="DG31" s="1">
        <v>0</v>
      </c>
      <c r="DH31" s="24" t="str">
        <f t="shared" si="78"/>
        <v/>
      </c>
      <c r="DI31" s="25" t="str">
        <f t="shared" si="79"/>
        <v/>
      </c>
      <c r="DJ31" t="str">
        <f t="shared" si="80"/>
        <v/>
      </c>
      <c r="DK31" s="9"/>
      <c r="DL31" s="9"/>
      <c r="DM31" s="9"/>
      <c r="DN31" s="9"/>
      <c r="DO31" s="9"/>
      <c r="DP31" s="9"/>
      <c r="DQ31" s="136" t="b">
        <f t="shared" si="81"/>
        <v>1</v>
      </c>
    </row>
    <row r="32" spans="1:121" ht="27" customHeight="1" x14ac:dyDescent="0.95">
      <c r="A32" s="24" t="str">
        <f t="shared" si="87"/>
        <v/>
      </c>
      <c r="B32" s="44"/>
      <c r="C32" s="44"/>
      <c r="D32" s="45"/>
      <c r="E32" s="42"/>
      <c r="F32" s="43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1" t="str">
        <f t="shared" si="0"/>
        <v/>
      </c>
      <c r="X32" s="1" t="str">
        <f t="shared" si="1"/>
        <v/>
      </c>
      <c r="Y32" s="1" t="str">
        <f t="shared" si="2"/>
        <v/>
      </c>
      <c r="Z32" s="1" t="str">
        <f t="shared" si="3"/>
        <v/>
      </c>
      <c r="AA32" s="1" t="str">
        <f t="shared" si="4"/>
        <v/>
      </c>
      <c r="AB32" s="1" t="str">
        <f t="shared" si="5"/>
        <v/>
      </c>
      <c r="AC32" s="1" t="str">
        <f t="shared" si="6"/>
        <v/>
      </c>
      <c r="AD32" s="1" t="str">
        <f t="shared" si="7"/>
        <v/>
      </c>
      <c r="AE32" s="1" t="str">
        <f t="shared" si="8"/>
        <v/>
      </c>
      <c r="AF32" s="24" t="str">
        <f t="shared" si="9"/>
        <v/>
      </c>
      <c r="AG32" s="24" t="str">
        <f t="shared" si="10"/>
        <v/>
      </c>
      <c r="AH32" s="24" t="str">
        <f t="shared" si="11"/>
        <v/>
      </c>
      <c r="AI32" s="24" t="str">
        <f t="shared" si="12"/>
        <v/>
      </c>
      <c r="AJ32" s="24" t="str">
        <f t="shared" si="13"/>
        <v/>
      </c>
      <c r="AK32" s="24" t="str">
        <f t="shared" si="14"/>
        <v/>
      </c>
      <c r="AL32" s="24" t="str">
        <f t="shared" si="15"/>
        <v/>
      </c>
      <c r="AM32" s="24" t="str">
        <f t="shared" si="16"/>
        <v/>
      </c>
      <c r="AN32" s="24" t="str">
        <f t="shared" si="17"/>
        <v/>
      </c>
      <c r="AO32" s="24" t="str">
        <f t="shared" si="18"/>
        <v/>
      </c>
      <c r="AP32" s="24" t="str">
        <f t="shared" si="19"/>
        <v/>
      </c>
      <c r="AQ32" s="24" t="str">
        <f t="shared" si="20"/>
        <v/>
      </c>
      <c r="AR32" s="24" t="str">
        <f t="shared" si="21"/>
        <v/>
      </c>
      <c r="AS32" s="24" t="str">
        <f t="shared" si="22"/>
        <v/>
      </c>
      <c r="AT32" s="24" t="str">
        <f t="shared" si="23"/>
        <v/>
      </c>
      <c r="AU32" s="24" t="str">
        <f t="shared" si="24"/>
        <v/>
      </c>
      <c r="AV32" s="24" t="str">
        <f t="shared" si="25"/>
        <v/>
      </c>
      <c r="AW32" s="24" t="str">
        <f t="shared" si="26"/>
        <v/>
      </c>
      <c r="AX32" s="24" t="str">
        <f t="shared" si="27"/>
        <v/>
      </c>
      <c r="AY32" s="24" t="str">
        <f t="shared" si="28"/>
        <v/>
      </c>
      <c r="AZ32" s="24" t="str">
        <f t="shared" si="29"/>
        <v/>
      </c>
      <c r="BA32" s="24" t="str">
        <f t="shared" si="30"/>
        <v/>
      </c>
      <c r="BB32" s="24" t="str">
        <f t="shared" si="31"/>
        <v/>
      </c>
      <c r="BC32" s="26" t="str">
        <f t="shared" si="32"/>
        <v/>
      </c>
      <c r="BD32" s="26" t="str">
        <f t="shared" si="33"/>
        <v/>
      </c>
      <c r="BE32" s="26" t="str">
        <f t="shared" si="34"/>
        <v/>
      </c>
      <c r="BF32" s="26" t="str">
        <f t="shared" si="35"/>
        <v/>
      </c>
      <c r="BG32" s="26" t="str">
        <f t="shared" si="36"/>
        <v/>
      </c>
      <c r="BH32" s="26" t="str">
        <f t="shared" si="37"/>
        <v/>
      </c>
      <c r="BI32" s="26" t="str">
        <f t="shared" si="38"/>
        <v/>
      </c>
      <c r="BJ32" s="26" t="str">
        <f t="shared" si="39"/>
        <v/>
      </c>
      <c r="BK32" s="26" t="str">
        <f t="shared" si="40"/>
        <v/>
      </c>
      <c r="BL32" s="26" t="str">
        <f t="shared" si="41"/>
        <v/>
      </c>
      <c r="BM32" s="26" t="str">
        <f t="shared" si="42"/>
        <v/>
      </c>
      <c r="BN32" s="26" t="str">
        <f t="shared" si="43"/>
        <v/>
      </c>
      <c r="BO32" s="26" t="str">
        <f t="shared" si="44"/>
        <v/>
      </c>
      <c r="BP32" s="26" t="str">
        <f t="shared" si="45"/>
        <v/>
      </c>
      <c r="BQ32" s="26" t="str">
        <f t="shared" si="46"/>
        <v/>
      </c>
      <c r="BR32" s="26" t="str">
        <f t="shared" si="47"/>
        <v/>
      </c>
      <c r="BS32" s="24" t="str">
        <f t="shared" si="48"/>
        <v/>
      </c>
      <c r="BT32" s="24" t="str">
        <f t="shared" si="49"/>
        <v/>
      </c>
      <c r="BU32" s="24" t="str">
        <f t="shared" si="50"/>
        <v/>
      </c>
      <c r="BV32" s="24" t="str">
        <f t="shared" si="51"/>
        <v/>
      </c>
      <c r="BW32" s="24" t="str">
        <f t="shared" si="52"/>
        <v/>
      </c>
      <c r="BX32" s="24" t="str">
        <f t="shared" si="53"/>
        <v/>
      </c>
      <c r="BY32" s="24" t="str">
        <f t="shared" si="54"/>
        <v/>
      </c>
      <c r="BZ32" s="24" t="str">
        <f t="shared" si="55"/>
        <v/>
      </c>
      <c r="CA32" s="24" t="str">
        <f t="shared" si="90"/>
        <v/>
      </c>
      <c r="CB32" s="24" t="str">
        <f t="shared" ref="CB32:CF35" si="93">IF(OR(AV32="",AF32=""),"",AV32*(IF(OR(AF32="A",AF32="a"),4,(IF(OR(AF479="B",AF32="b"),3,(IF(OR(AF32="C",AF32="c"),2,(IF(OR(AF32="D",AF32="d"),1.5,(IF(OR(AF32="E",AF32="e"),1,(IF(OR(AF32="F",AF32="f"),0)))))))))))))</f>
        <v/>
      </c>
      <c r="CC32" s="24" t="str">
        <f t="shared" si="93"/>
        <v/>
      </c>
      <c r="CD32" s="24" t="str">
        <f t="shared" si="93"/>
        <v/>
      </c>
      <c r="CE32" s="24" t="str">
        <f t="shared" si="93"/>
        <v/>
      </c>
      <c r="CF32" s="24" t="str">
        <f t="shared" si="93"/>
        <v/>
      </c>
      <c r="CG32" s="24" t="str">
        <f>IF(OR(BA32="",AK32=""),"",BA32*(IF(OR(AK32="A",AK32="a"),4,(IF(OR(#REF!="B",AK32="b"),3,(IF(OR(AK32="C",AK32="c"),2,(IF(OR(AK32="D",AK32="d"),1.5,(IF(OR(AK32="E",AK32="e"),1,(IF(OR(AK32="F",AK32="f"),0)))))))))))))</f>
        <v/>
      </c>
      <c r="CH32" s="24" t="str">
        <f>IF(OR(BB32="",AL32=""),"",BB32*(IF(OR(AL32="A",AL32="a"),4,(IF(OR(AV479="B",AL32="b"),3,(IF(OR(AL32="C",AL32="c"),2,(IF(OR(AL32="D",AL32="d"),1.5,(IF(OR(AL32="E",AL32="e"),1,(IF(OR(AL32="F",AL32="f"),0)))))))))))))</f>
        <v/>
      </c>
      <c r="CI32" s="24" t="str">
        <f t="shared" si="63"/>
        <v/>
      </c>
      <c r="CJ32" s="26" t="str">
        <f t="shared" si="82"/>
        <v/>
      </c>
      <c r="CK32" s="26" t="str">
        <f t="shared" si="64"/>
        <v/>
      </c>
      <c r="CL32" s="26" t="str">
        <f t="shared" si="83"/>
        <v/>
      </c>
      <c r="CM32" s="24" t="str">
        <f t="shared" si="84"/>
        <v/>
      </c>
      <c r="CN32" s="26" t="str">
        <f t="shared" si="65"/>
        <v/>
      </c>
      <c r="CO32" s="24" t="str">
        <f t="shared" si="66"/>
        <v/>
      </c>
      <c r="CP32" s="26" t="str">
        <f t="shared" si="67"/>
        <v/>
      </c>
      <c r="CQ32" s="26" t="str">
        <f t="shared" si="68"/>
        <v/>
      </c>
      <c r="CR32" s="26" t="str">
        <f t="shared" si="85"/>
        <v/>
      </c>
      <c r="CS32" s="24" t="str">
        <f t="shared" si="88"/>
        <v/>
      </c>
      <c r="CT32" s="27" t="str">
        <f t="shared" si="69"/>
        <v/>
      </c>
      <c r="CU32" s="52" t="str">
        <f t="shared" si="70"/>
        <v/>
      </c>
      <c r="CV32" s="27" t="str">
        <f t="shared" si="71"/>
        <v/>
      </c>
      <c r="CW32" s="26" t="str">
        <f t="shared" si="72"/>
        <v/>
      </c>
      <c r="CX32" s="26" t="str">
        <f t="shared" si="86"/>
        <v/>
      </c>
      <c r="CY32" s="27" t="str">
        <f t="shared" si="89"/>
        <v/>
      </c>
      <c r="CZ32" s="26" t="str">
        <f t="shared" si="73"/>
        <v/>
      </c>
      <c r="DA32" s="24" t="str">
        <f t="shared" si="74"/>
        <v/>
      </c>
      <c r="DB32" s="24" t="str">
        <f t="shared" si="75"/>
        <v/>
      </c>
      <c r="DC32" s="24" t="str">
        <f t="shared" si="76"/>
        <v/>
      </c>
      <c r="DD32" s="24" t="str">
        <f t="shared" si="77"/>
        <v/>
      </c>
      <c r="DE32" s="1">
        <v>0</v>
      </c>
      <c r="DF32" s="1">
        <v>0</v>
      </c>
      <c r="DG32" s="1">
        <v>0</v>
      </c>
      <c r="DH32" s="24" t="str">
        <f t="shared" si="78"/>
        <v/>
      </c>
      <c r="DI32" s="25" t="str">
        <f t="shared" si="79"/>
        <v/>
      </c>
      <c r="DJ32" t="str">
        <f t="shared" si="80"/>
        <v/>
      </c>
      <c r="DK32" s="9"/>
      <c r="DL32" s="9"/>
      <c r="DM32" s="9"/>
      <c r="DN32" s="9"/>
      <c r="DO32" s="9"/>
      <c r="DP32" s="9"/>
      <c r="DQ32" s="136" t="b">
        <f t="shared" si="81"/>
        <v>1</v>
      </c>
    </row>
    <row r="33" spans="1:121" ht="27" customHeight="1" x14ac:dyDescent="0.95">
      <c r="A33" s="24" t="str">
        <f t="shared" si="87"/>
        <v/>
      </c>
      <c r="B33" s="41"/>
      <c r="C33" s="41"/>
      <c r="D33" s="42"/>
      <c r="E33" s="42"/>
      <c r="F33" s="43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1" t="str">
        <f t="shared" si="0"/>
        <v/>
      </c>
      <c r="X33" s="1" t="str">
        <f t="shared" si="1"/>
        <v/>
      </c>
      <c r="Y33" s="1" t="str">
        <f t="shared" si="2"/>
        <v/>
      </c>
      <c r="Z33" s="1" t="str">
        <f t="shared" si="3"/>
        <v/>
      </c>
      <c r="AA33" s="1" t="str">
        <f t="shared" si="4"/>
        <v/>
      </c>
      <c r="AB33" s="1" t="str">
        <f t="shared" si="5"/>
        <v/>
      </c>
      <c r="AC33" s="1" t="str">
        <f t="shared" si="6"/>
        <v/>
      </c>
      <c r="AD33" s="1" t="str">
        <f t="shared" si="7"/>
        <v/>
      </c>
      <c r="AE33" s="1" t="str">
        <f t="shared" si="8"/>
        <v/>
      </c>
      <c r="AF33" s="24" t="str">
        <f t="shared" si="9"/>
        <v/>
      </c>
      <c r="AG33" s="24" t="str">
        <f t="shared" si="10"/>
        <v/>
      </c>
      <c r="AH33" s="24" t="str">
        <f t="shared" si="11"/>
        <v/>
      </c>
      <c r="AI33" s="24" t="str">
        <f t="shared" si="12"/>
        <v/>
      </c>
      <c r="AJ33" s="24" t="str">
        <f t="shared" si="13"/>
        <v/>
      </c>
      <c r="AK33" s="24" t="str">
        <f t="shared" si="14"/>
        <v/>
      </c>
      <c r="AL33" s="24" t="str">
        <f t="shared" si="15"/>
        <v/>
      </c>
      <c r="AM33" s="24" t="str">
        <f t="shared" si="16"/>
        <v/>
      </c>
      <c r="AN33" s="24" t="str">
        <f t="shared" si="17"/>
        <v/>
      </c>
      <c r="AO33" s="24" t="str">
        <f t="shared" si="18"/>
        <v/>
      </c>
      <c r="AP33" s="24" t="str">
        <f t="shared" si="19"/>
        <v/>
      </c>
      <c r="AQ33" s="24" t="str">
        <f t="shared" si="20"/>
        <v/>
      </c>
      <c r="AR33" s="24" t="str">
        <f t="shared" si="21"/>
        <v/>
      </c>
      <c r="AS33" s="24" t="str">
        <f t="shared" si="22"/>
        <v/>
      </c>
      <c r="AT33" s="24" t="str">
        <f t="shared" si="23"/>
        <v/>
      </c>
      <c r="AU33" s="24" t="str">
        <f t="shared" si="24"/>
        <v/>
      </c>
      <c r="AV33" s="24" t="str">
        <f t="shared" si="25"/>
        <v/>
      </c>
      <c r="AW33" s="24" t="str">
        <f t="shared" si="26"/>
        <v/>
      </c>
      <c r="AX33" s="24" t="str">
        <f t="shared" si="27"/>
        <v/>
      </c>
      <c r="AY33" s="24" t="str">
        <f t="shared" si="28"/>
        <v/>
      </c>
      <c r="AZ33" s="24" t="str">
        <f t="shared" si="29"/>
        <v/>
      </c>
      <c r="BA33" s="24" t="str">
        <f t="shared" si="30"/>
        <v/>
      </c>
      <c r="BB33" s="24" t="str">
        <f t="shared" si="31"/>
        <v/>
      </c>
      <c r="BC33" s="26" t="str">
        <f t="shared" si="32"/>
        <v/>
      </c>
      <c r="BD33" s="26" t="str">
        <f t="shared" si="33"/>
        <v/>
      </c>
      <c r="BE33" s="26" t="str">
        <f t="shared" si="34"/>
        <v/>
      </c>
      <c r="BF33" s="26" t="str">
        <f t="shared" si="35"/>
        <v/>
      </c>
      <c r="BG33" s="26" t="str">
        <f t="shared" si="36"/>
        <v/>
      </c>
      <c r="BH33" s="26" t="str">
        <f t="shared" si="37"/>
        <v/>
      </c>
      <c r="BI33" s="26" t="str">
        <f t="shared" si="38"/>
        <v/>
      </c>
      <c r="BJ33" s="26" t="str">
        <f t="shared" si="39"/>
        <v/>
      </c>
      <c r="BK33" s="26" t="str">
        <f t="shared" si="40"/>
        <v/>
      </c>
      <c r="BL33" s="26" t="str">
        <f t="shared" si="41"/>
        <v/>
      </c>
      <c r="BM33" s="26" t="str">
        <f t="shared" si="42"/>
        <v/>
      </c>
      <c r="BN33" s="26" t="str">
        <f t="shared" si="43"/>
        <v/>
      </c>
      <c r="BO33" s="26" t="str">
        <f t="shared" si="44"/>
        <v/>
      </c>
      <c r="BP33" s="26" t="str">
        <f t="shared" si="45"/>
        <v/>
      </c>
      <c r="BQ33" s="26" t="str">
        <f t="shared" si="46"/>
        <v/>
      </c>
      <c r="BR33" s="26" t="str">
        <f t="shared" si="47"/>
        <v/>
      </c>
      <c r="BS33" s="24" t="str">
        <f t="shared" si="48"/>
        <v/>
      </c>
      <c r="BT33" s="24" t="str">
        <f t="shared" si="49"/>
        <v/>
      </c>
      <c r="BU33" s="24" t="str">
        <f t="shared" si="50"/>
        <v/>
      </c>
      <c r="BV33" s="24" t="str">
        <f t="shared" si="51"/>
        <v/>
      </c>
      <c r="BW33" s="24" t="str">
        <f t="shared" si="52"/>
        <v/>
      </c>
      <c r="BX33" s="24" t="str">
        <f t="shared" si="53"/>
        <v/>
      </c>
      <c r="BY33" s="24" t="str">
        <f t="shared" si="54"/>
        <v/>
      </c>
      <c r="BZ33" s="24" t="str">
        <f t="shared" si="55"/>
        <v/>
      </c>
      <c r="CA33" s="24" t="str">
        <f t="shared" si="90"/>
        <v/>
      </c>
      <c r="CB33" s="24" t="str">
        <f t="shared" si="93"/>
        <v/>
      </c>
      <c r="CC33" s="24" t="str">
        <f t="shared" si="93"/>
        <v/>
      </c>
      <c r="CD33" s="24" t="str">
        <f t="shared" si="93"/>
        <v/>
      </c>
      <c r="CE33" s="24" t="str">
        <f t="shared" si="93"/>
        <v/>
      </c>
      <c r="CF33" s="24" t="str">
        <f t="shared" si="93"/>
        <v/>
      </c>
      <c r="CG33" s="24" t="str">
        <f>IF(OR(BA33="",AK33=""),"",BA33*(IF(OR(AK33="A",AK33="a"),4,(IF(OR(#REF!="B",AK33="b"),3,(IF(OR(AK33="C",AK33="c"),2,(IF(OR(AK33="D",AK33="d"),1.5,(IF(OR(AK33="E",AK33="e"),1,(IF(OR(AK33="F",AK33="f"),0)))))))))))))</f>
        <v/>
      </c>
      <c r="CH33" s="24" t="str">
        <f>IF(OR(BB33="",AL33=""),"",BB33*(IF(OR(AL33="A",AL33="a"),4,(IF(OR(AV480="B",AL33="b"),3,(IF(OR(AL33="C",AL33="c"),2,(IF(OR(AL33="D",AL33="d"),1.5,(IF(OR(AL33="E",AL33="e"),1,(IF(OR(AL33="F",AL33="f"),0)))))))))))))</f>
        <v/>
      </c>
      <c r="CI33" s="24" t="str">
        <f t="shared" si="63"/>
        <v/>
      </c>
      <c r="CJ33" s="26" t="str">
        <f t="shared" si="82"/>
        <v/>
      </c>
      <c r="CK33" s="26" t="str">
        <f t="shared" si="64"/>
        <v/>
      </c>
      <c r="CL33" s="26" t="str">
        <f t="shared" si="83"/>
        <v/>
      </c>
      <c r="CM33" s="24" t="str">
        <f t="shared" si="84"/>
        <v/>
      </c>
      <c r="CN33" s="26" t="str">
        <f t="shared" si="65"/>
        <v/>
      </c>
      <c r="CO33" s="24" t="str">
        <f t="shared" si="66"/>
        <v/>
      </c>
      <c r="CP33" s="26" t="str">
        <f t="shared" si="67"/>
        <v/>
      </c>
      <c r="CQ33" s="26" t="str">
        <f t="shared" si="68"/>
        <v/>
      </c>
      <c r="CR33" s="26" t="str">
        <f t="shared" si="85"/>
        <v/>
      </c>
      <c r="CS33" s="24" t="str">
        <f t="shared" si="88"/>
        <v/>
      </c>
      <c r="CT33" s="27" t="str">
        <f t="shared" si="69"/>
        <v/>
      </c>
      <c r="CU33" s="52" t="str">
        <f t="shared" si="70"/>
        <v/>
      </c>
      <c r="CV33" s="27" t="str">
        <f t="shared" si="71"/>
        <v/>
      </c>
      <c r="CW33" s="26" t="str">
        <f t="shared" si="72"/>
        <v/>
      </c>
      <c r="CX33" s="26" t="str">
        <f t="shared" si="86"/>
        <v/>
      </c>
      <c r="CY33" s="27" t="str">
        <f t="shared" si="89"/>
        <v/>
      </c>
      <c r="CZ33" s="26" t="str">
        <f t="shared" si="73"/>
        <v/>
      </c>
      <c r="DA33" s="24" t="str">
        <f t="shared" si="74"/>
        <v/>
      </c>
      <c r="DB33" s="24" t="str">
        <f t="shared" si="75"/>
        <v/>
      </c>
      <c r="DC33" s="24" t="str">
        <f t="shared" si="76"/>
        <v/>
      </c>
      <c r="DD33" s="24" t="str">
        <f t="shared" si="77"/>
        <v/>
      </c>
      <c r="DE33" s="1">
        <v>0</v>
      </c>
      <c r="DF33" s="1">
        <v>0</v>
      </c>
      <c r="DG33" s="1">
        <v>0</v>
      </c>
      <c r="DH33" s="24" t="str">
        <f t="shared" si="78"/>
        <v/>
      </c>
      <c r="DI33" s="25" t="str">
        <f t="shared" si="79"/>
        <v/>
      </c>
      <c r="DJ33" t="str">
        <f t="shared" si="80"/>
        <v/>
      </c>
      <c r="DK33" s="9"/>
      <c r="DL33" s="9"/>
      <c r="DM33" s="9"/>
      <c r="DN33" s="9"/>
      <c r="DO33" s="9"/>
      <c r="DP33" s="9"/>
      <c r="DQ33" s="136" t="b">
        <f t="shared" si="81"/>
        <v>1</v>
      </c>
    </row>
    <row r="34" spans="1:121" ht="27" customHeight="1" x14ac:dyDescent="0.95">
      <c r="A34" s="24" t="str">
        <f t="shared" si="87"/>
        <v/>
      </c>
      <c r="B34" s="41"/>
      <c r="C34" s="41"/>
      <c r="D34" s="42"/>
      <c r="E34" s="42"/>
      <c r="F34" s="43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1" t="str">
        <f t="shared" si="0"/>
        <v/>
      </c>
      <c r="X34" s="1" t="str">
        <f t="shared" si="1"/>
        <v/>
      </c>
      <c r="Y34" s="1" t="str">
        <f t="shared" si="2"/>
        <v/>
      </c>
      <c r="Z34" s="1" t="str">
        <f t="shared" si="3"/>
        <v/>
      </c>
      <c r="AA34" s="1" t="str">
        <f t="shared" si="4"/>
        <v/>
      </c>
      <c r="AB34" s="1" t="str">
        <f t="shared" si="5"/>
        <v/>
      </c>
      <c r="AC34" s="1" t="str">
        <f t="shared" si="6"/>
        <v/>
      </c>
      <c r="AD34" s="1" t="str">
        <f t="shared" si="7"/>
        <v/>
      </c>
      <c r="AE34" s="1" t="str">
        <f t="shared" si="8"/>
        <v/>
      </c>
      <c r="AF34" s="24" t="str">
        <f t="shared" si="9"/>
        <v/>
      </c>
      <c r="AG34" s="24" t="str">
        <f t="shared" si="10"/>
        <v/>
      </c>
      <c r="AH34" s="24" t="str">
        <f t="shared" si="11"/>
        <v/>
      </c>
      <c r="AI34" s="24" t="str">
        <f t="shared" si="12"/>
        <v/>
      </c>
      <c r="AJ34" s="24" t="str">
        <f t="shared" si="13"/>
        <v/>
      </c>
      <c r="AK34" s="24" t="str">
        <f t="shared" si="14"/>
        <v/>
      </c>
      <c r="AL34" s="24" t="str">
        <f t="shared" si="15"/>
        <v/>
      </c>
      <c r="AM34" s="24" t="str">
        <f t="shared" si="16"/>
        <v/>
      </c>
      <c r="AN34" s="24" t="str">
        <f t="shared" si="17"/>
        <v/>
      </c>
      <c r="AO34" s="24" t="str">
        <f t="shared" si="18"/>
        <v/>
      </c>
      <c r="AP34" s="24" t="str">
        <f t="shared" si="19"/>
        <v/>
      </c>
      <c r="AQ34" s="24" t="str">
        <f t="shared" si="20"/>
        <v/>
      </c>
      <c r="AR34" s="24" t="str">
        <f t="shared" si="21"/>
        <v/>
      </c>
      <c r="AS34" s="24" t="str">
        <f t="shared" si="22"/>
        <v/>
      </c>
      <c r="AT34" s="24" t="str">
        <f t="shared" si="23"/>
        <v/>
      </c>
      <c r="AU34" s="24" t="str">
        <f t="shared" si="24"/>
        <v/>
      </c>
      <c r="AV34" s="24" t="str">
        <f t="shared" si="25"/>
        <v/>
      </c>
      <c r="AW34" s="24" t="str">
        <f t="shared" si="26"/>
        <v/>
      </c>
      <c r="AX34" s="24" t="str">
        <f t="shared" si="27"/>
        <v/>
      </c>
      <c r="AY34" s="24" t="str">
        <f t="shared" si="28"/>
        <v/>
      </c>
      <c r="AZ34" s="24" t="str">
        <f t="shared" si="29"/>
        <v/>
      </c>
      <c r="BA34" s="24" t="str">
        <f t="shared" si="30"/>
        <v/>
      </c>
      <c r="BB34" s="24" t="str">
        <f t="shared" si="31"/>
        <v/>
      </c>
      <c r="BC34" s="26" t="str">
        <f t="shared" si="32"/>
        <v/>
      </c>
      <c r="BD34" s="26" t="str">
        <f t="shared" si="33"/>
        <v/>
      </c>
      <c r="BE34" s="26" t="str">
        <f t="shared" si="34"/>
        <v/>
      </c>
      <c r="BF34" s="26" t="str">
        <f t="shared" si="35"/>
        <v/>
      </c>
      <c r="BG34" s="26" t="str">
        <f t="shared" si="36"/>
        <v/>
      </c>
      <c r="BH34" s="26" t="str">
        <f t="shared" si="37"/>
        <v/>
      </c>
      <c r="BI34" s="26" t="str">
        <f t="shared" si="38"/>
        <v/>
      </c>
      <c r="BJ34" s="26" t="str">
        <f t="shared" si="39"/>
        <v/>
      </c>
      <c r="BK34" s="26" t="str">
        <f t="shared" si="40"/>
        <v/>
      </c>
      <c r="BL34" s="26" t="str">
        <f t="shared" si="41"/>
        <v/>
      </c>
      <c r="BM34" s="26" t="str">
        <f t="shared" si="42"/>
        <v/>
      </c>
      <c r="BN34" s="26" t="str">
        <f t="shared" si="43"/>
        <v/>
      </c>
      <c r="BO34" s="26" t="str">
        <f t="shared" si="44"/>
        <v/>
      </c>
      <c r="BP34" s="26" t="str">
        <f t="shared" si="45"/>
        <v/>
      </c>
      <c r="BQ34" s="26" t="str">
        <f t="shared" si="46"/>
        <v/>
      </c>
      <c r="BR34" s="26" t="str">
        <f t="shared" si="47"/>
        <v/>
      </c>
      <c r="BS34" s="24" t="str">
        <f t="shared" si="48"/>
        <v/>
      </c>
      <c r="BT34" s="24" t="str">
        <f t="shared" si="49"/>
        <v/>
      </c>
      <c r="BU34" s="24" t="str">
        <f t="shared" si="50"/>
        <v/>
      </c>
      <c r="BV34" s="24" t="str">
        <f t="shared" si="51"/>
        <v/>
      </c>
      <c r="BW34" s="24" t="str">
        <f t="shared" si="52"/>
        <v/>
      </c>
      <c r="BX34" s="24" t="str">
        <f t="shared" si="53"/>
        <v/>
      </c>
      <c r="BY34" s="24" t="str">
        <f t="shared" si="54"/>
        <v/>
      </c>
      <c r="BZ34" s="24" t="str">
        <f t="shared" si="55"/>
        <v/>
      </c>
      <c r="CA34" s="24" t="str">
        <f t="shared" si="90"/>
        <v/>
      </c>
      <c r="CB34" s="24" t="str">
        <f t="shared" si="93"/>
        <v/>
      </c>
      <c r="CC34" s="24" t="str">
        <f t="shared" si="93"/>
        <v/>
      </c>
      <c r="CD34" s="24" t="str">
        <f t="shared" si="93"/>
        <v/>
      </c>
      <c r="CE34" s="24" t="str">
        <f t="shared" si="93"/>
        <v/>
      </c>
      <c r="CF34" s="24" t="str">
        <f t="shared" si="93"/>
        <v/>
      </c>
      <c r="CG34" s="24" t="str">
        <f>IF(OR(BA34="",AK34=""),"",BA34*(IF(OR(AK34="A",AK34="a"),4,(IF(OR(#REF!="B",AK34="b"),3,(IF(OR(AK34="C",AK34="c"),2,(IF(OR(AK34="D",AK34="d"),1.5,(IF(OR(AK34="E",AK34="e"),1,(IF(OR(AK34="F",AK34="f"),0)))))))))))))</f>
        <v/>
      </c>
      <c r="CH34" s="24" t="str">
        <f>IF(OR(BB34="",AL34=""),"",BB34*(IF(OR(AL34="A",AL34="a"),4,(IF(OR(AV481="B",AL34="b"),3,(IF(OR(AL34="C",AL34="c"),2,(IF(OR(AL34="D",AL34="d"),1.5,(IF(OR(AL34="E",AL34="e"),1,(IF(OR(AL34="F",AL34="f"),0)))))))))))))</f>
        <v/>
      </c>
      <c r="CI34" s="24" t="str">
        <f t="shared" si="63"/>
        <v/>
      </c>
      <c r="CJ34" s="26" t="str">
        <f t="shared" si="82"/>
        <v/>
      </c>
      <c r="CK34" s="26" t="str">
        <f t="shared" si="64"/>
        <v/>
      </c>
      <c r="CL34" s="26" t="str">
        <f t="shared" si="83"/>
        <v/>
      </c>
      <c r="CM34" s="24" t="str">
        <f t="shared" si="84"/>
        <v/>
      </c>
      <c r="CN34" s="26" t="str">
        <f t="shared" si="65"/>
        <v/>
      </c>
      <c r="CO34" s="24" t="str">
        <f t="shared" si="66"/>
        <v/>
      </c>
      <c r="CP34" s="26" t="str">
        <f t="shared" si="67"/>
        <v/>
      </c>
      <c r="CQ34" s="26" t="str">
        <f t="shared" si="68"/>
        <v/>
      </c>
      <c r="CR34" s="26" t="str">
        <f t="shared" si="85"/>
        <v/>
      </c>
      <c r="CS34" s="24" t="str">
        <f t="shared" si="88"/>
        <v/>
      </c>
      <c r="CT34" s="27" t="str">
        <f t="shared" si="69"/>
        <v/>
      </c>
      <c r="CU34" s="52" t="str">
        <f t="shared" si="70"/>
        <v/>
      </c>
      <c r="CV34" s="27" t="str">
        <f t="shared" si="71"/>
        <v/>
      </c>
      <c r="CW34" s="26" t="str">
        <f t="shared" si="72"/>
        <v/>
      </c>
      <c r="CX34" s="26" t="str">
        <f t="shared" si="86"/>
        <v/>
      </c>
      <c r="CY34" s="27" t="str">
        <f t="shared" si="89"/>
        <v/>
      </c>
      <c r="CZ34" s="26" t="str">
        <f t="shared" si="73"/>
        <v/>
      </c>
      <c r="DA34" s="24" t="str">
        <f t="shared" si="74"/>
        <v/>
      </c>
      <c r="DB34" s="24" t="str">
        <f t="shared" si="75"/>
        <v/>
      </c>
      <c r="DC34" s="24" t="str">
        <f t="shared" si="76"/>
        <v/>
      </c>
      <c r="DD34" s="24" t="str">
        <f t="shared" si="77"/>
        <v/>
      </c>
      <c r="DE34" s="1">
        <v>0</v>
      </c>
      <c r="DF34" s="1">
        <v>0</v>
      </c>
      <c r="DG34" s="1">
        <v>0</v>
      </c>
      <c r="DH34" s="24" t="str">
        <f t="shared" si="78"/>
        <v/>
      </c>
      <c r="DI34" s="25" t="str">
        <f t="shared" si="79"/>
        <v/>
      </c>
      <c r="DJ34" t="str">
        <f t="shared" si="80"/>
        <v/>
      </c>
      <c r="DK34" s="9"/>
      <c r="DL34" s="9"/>
      <c r="DM34" s="9"/>
      <c r="DN34" s="9"/>
      <c r="DO34" s="9"/>
      <c r="DP34" s="9"/>
      <c r="DQ34" s="136" t="b">
        <f t="shared" si="81"/>
        <v>1</v>
      </c>
    </row>
    <row r="35" spans="1:121" ht="27" customHeight="1" x14ac:dyDescent="0.95">
      <c r="A35" s="24" t="str">
        <f t="shared" si="87"/>
        <v/>
      </c>
      <c r="B35" s="41"/>
      <c r="C35" s="41"/>
      <c r="D35" s="42"/>
      <c r="E35" s="42"/>
      <c r="F35" s="43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1" t="str">
        <f t="shared" si="0"/>
        <v/>
      </c>
      <c r="X35" s="1" t="str">
        <f t="shared" si="1"/>
        <v/>
      </c>
      <c r="Y35" s="1" t="str">
        <f t="shared" si="2"/>
        <v/>
      </c>
      <c r="Z35" s="1" t="str">
        <f t="shared" si="3"/>
        <v/>
      </c>
      <c r="AA35" s="1" t="str">
        <f t="shared" si="4"/>
        <v/>
      </c>
      <c r="AB35" s="1" t="str">
        <f t="shared" si="5"/>
        <v/>
      </c>
      <c r="AC35" s="1" t="str">
        <f t="shared" si="6"/>
        <v/>
      </c>
      <c r="AD35" s="1" t="str">
        <f t="shared" si="7"/>
        <v/>
      </c>
      <c r="AE35" s="1" t="str">
        <f t="shared" si="8"/>
        <v/>
      </c>
      <c r="AF35" s="24" t="str">
        <f t="shared" si="9"/>
        <v/>
      </c>
      <c r="AG35" s="24" t="str">
        <f t="shared" si="10"/>
        <v/>
      </c>
      <c r="AH35" s="24" t="str">
        <f t="shared" si="11"/>
        <v/>
      </c>
      <c r="AI35" s="24" t="str">
        <f t="shared" si="12"/>
        <v/>
      </c>
      <c r="AJ35" s="24" t="str">
        <f t="shared" si="13"/>
        <v/>
      </c>
      <c r="AK35" s="24" t="str">
        <f t="shared" si="14"/>
        <v/>
      </c>
      <c r="AL35" s="24" t="str">
        <f t="shared" si="15"/>
        <v/>
      </c>
      <c r="AM35" s="24" t="str">
        <f t="shared" si="16"/>
        <v/>
      </c>
      <c r="AN35" s="24" t="str">
        <f t="shared" si="17"/>
        <v/>
      </c>
      <c r="AO35" s="24" t="str">
        <f t="shared" si="18"/>
        <v/>
      </c>
      <c r="AP35" s="24" t="str">
        <f t="shared" si="19"/>
        <v/>
      </c>
      <c r="AQ35" s="24" t="str">
        <f t="shared" si="20"/>
        <v/>
      </c>
      <c r="AR35" s="24" t="str">
        <f t="shared" si="21"/>
        <v/>
      </c>
      <c r="AS35" s="24" t="str">
        <f t="shared" si="22"/>
        <v/>
      </c>
      <c r="AT35" s="24" t="str">
        <f t="shared" si="23"/>
        <v/>
      </c>
      <c r="AU35" s="24" t="str">
        <f t="shared" si="24"/>
        <v/>
      </c>
      <c r="AV35" s="24" t="str">
        <f t="shared" si="25"/>
        <v/>
      </c>
      <c r="AW35" s="24" t="str">
        <f t="shared" si="26"/>
        <v/>
      </c>
      <c r="AX35" s="24" t="str">
        <f t="shared" si="27"/>
        <v/>
      </c>
      <c r="AY35" s="24" t="str">
        <f t="shared" si="28"/>
        <v/>
      </c>
      <c r="AZ35" s="24" t="str">
        <f t="shared" si="29"/>
        <v/>
      </c>
      <c r="BA35" s="24" t="str">
        <f t="shared" si="30"/>
        <v/>
      </c>
      <c r="BB35" s="24" t="str">
        <f t="shared" si="31"/>
        <v/>
      </c>
      <c r="BC35" s="26" t="str">
        <f t="shared" si="32"/>
        <v/>
      </c>
      <c r="BD35" s="26" t="str">
        <f t="shared" si="33"/>
        <v/>
      </c>
      <c r="BE35" s="26" t="str">
        <f t="shared" si="34"/>
        <v/>
      </c>
      <c r="BF35" s="26" t="str">
        <f t="shared" si="35"/>
        <v/>
      </c>
      <c r="BG35" s="26" t="str">
        <f t="shared" si="36"/>
        <v/>
      </c>
      <c r="BH35" s="26" t="str">
        <f t="shared" si="37"/>
        <v/>
      </c>
      <c r="BI35" s="26" t="str">
        <f t="shared" si="38"/>
        <v/>
      </c>
      <c r="BJ35" s="26" t="str">
        <f t="shared" si="39"/>
        <v/>
      </c>
      <c r="BK35" s="26" t="str">
        <f t="shared" si="40"/>
        <v/>
      </c>
      <c r="BL35" s="26" t="str">
        <f t="shared" si="41"/>
        <v/>
      </c>
      <c r="BM35" s="26" t="str">
        <f t="shared" si="42"/>
        <v/>
      </c>
      <c r="BN35" s="26" t="str">
        <f t="shared" si="43"/>
        <v/>
      </c>
      <c r="BO35" s="26" t="str">
        <f t="shared" si="44"/>
        <v/>
      </c>
      <c r="BP35" s="26" t="str">
        <f t="shared" si="45"/>
        <v/>
      </c>
      <c r="BQ35" s="26" t="str">
        <f t="shared" si="46"/>
        <v/>
      </c>
      <c r="BR35" s="26" t="str">
        <f t="shared" si="47"/>
        <v/>
      </c>
      <c r="BS35" s="24" t="str">
        <f t="shared" si="48"/>
        <v/>
      </c>
      <c r="BT35" s="24" t="str">
        <f t="shared" si="49"/>
        <v/>
      </c>
      <c r="BU35" s="24" t="str">
        <f t="shared" si="50"/>
        <v/>
      </c>
      <c r="BV35" s="24" t="str">
        <f t="shared" si="51"/>
        <v/>
      </c>
      <c r="BW35" s="24" t="str">
        <f t="shared" si="52"/>
        <v/>
      </c>
      <c r="BX35" s="24" t="str">
        <f t="shared" si="53"/>
        <v/>
      </c>
      <c r="BY35" s="24" t="str">
        <f t="shared" si="54"/>
        <v/>
      </c>
      <c r="BZ35" s="24" t="str">
        <f t="shared" si="55"/>
        <v/>
      </c>
      <c r="CA35" s="24" t="str">
        <f t="shared" si="90"/>
        <v/>
      </c>
      <c r="CB35" s="24" t="str">
        <f t="shared" si="93"/>
        <v/>
      </c>
      <c r="CC35" s="24" t="str">
        <f t="shared" si="93"/>
        <v/>
      </c>
      <c r="CD35" s="24" t="str">
        <f t="shared" si="93"/>
        <v/>
      </c>
      <c r="CE35" s="24" t="str">
        <f t="shared" si="93"/>
        <v/>
      </c>
      <c r="CF35" s="24" t="str">
        <f t="shared" si="93"/>
        <v/>
      </c>
      <c r="CG35" s="24" t="str">
        <f>IF(OR(BA35="",AK35=""),"",BA35*(IF(OR(AK35="A",AK35="a"),4,(IF(OR(#REF!="B",AK35="b"),3,(IF(OR(AK35="C",AK35="c"),2,(IF(OR(AK35="D",AK35="d"),1.5,(IF(OR(AK35="E",AK35="e"),1,(IF(OR(AK35="F",AK35="f"),0)))))))))))))</f>
        <v/>
      </c>
      <c r="CH35" s="24" t="str">
        <f>IF(OR(BB35="",AL35=""),"",BB35*(IF(OR(AL35="A",AL35="a"),4,(IF(OR(AV482="B",AL35="b"),3,(IF(OR(AL35="C",AL35="c"),2,(IF(OR(AL35="D",AL35="d"),1.5,(IF(OR(AL35="E",AL35="e"),1,(IF(OR(AL35="F",AL35="f"),0)))))))))))))</f>
        <v/>
      </c>
      <c r="CI35" s="24" t="str">
        <f t="shared" si="63"/>
        <v/>
      </c>
      <c r="CJ35" s="26" t="str">
        <f t="shared" si="82"/>
        <v/>
      </c>
      <c r="CK35" s="26" t="str">
        <f t="shared" si="64"/>
        <v/>
      </c>
      <c r="CL35" s="26" t="str">
        <f t="shared" si="83"/>
        <v/>
      </c>
      <c r="CM35" s="24" t="str">
        <f t="shared" si="84"/>
        <v/>
      </c>
      <c r="CN35" s="26" t="str">
        <f t="shared" si="65"/>
        <v/>
      </c>
      <c r="CO35" s="24" t="str">
        <f t="shared" si="66"/>
        <v/>
      </c>
      <c r="CP35" s="26" t="str">
        <f t="shared" si="67"/>
        <v/>
      </c>
      <c r="CQ35" s="26" t="str">
        <f t="shared" si="68"/>
        <v/>
      </c>
      <c r="CR35" s="26" t="str">
        <f t="shared" si="85"/>
        <v/>
      </c>
      <c r="CS35" s="24" t="str">
        <f t="shared" si="88"/>
        <v/>
      </c>
      <c r="CT35" s="27" t="str">
        <f t="shared" si="69"/>
        <v/>
      </c>
      <c r="CU35" s="52" t="str">
        <f t="shared" si="70"/>
        <v/>
      </c>
      <c r="CV35" s="27" t="str">
        <f t="shared" si="71"/>
        <v/>
      </c>
      <c r="CW35" s="26" t="str">
        <f t="shared" si="72"/>
        <v/>
      </c>
      <c r="CX35" s="26" t="str">
        <f t="shared" si="86"/>
        <v/>
      </c>
      <c r="CY35" s="27" t="str">
        <f t="shared" si="89"/>
        <v/>
      </c>
      <c r="CZ35" s="26" t="str">
        <f t="shared" si="73"/>
        <v/>
      </c>
      <c r="DA35" s="24" t="str">
        <f t="shared" si="74"/>
        <v/>
      </c>
      <c r="DB35" s="24" t="str">
        <f t="shared" si="75"/>
        <v/>
      </c>
      <c r="DC35" s="24" t="str">
        <f t="shared" si="76"/>
        <v/>
      </c>
      <c r="DD35" s="24" t="str">
        <f t="shared" si="77"/>
        <v/>
      </c>
      <c r="DE35" s="1">
        <v>0</v>
      </c>
      <c r="DF35" s="1">
        <v>0</v>
      </c>
      <c r="DG35" s="1">
        <v>0</v>
      </c>
      <c r="DH35" s="24" t="str">
        <f t="shared" si="78"/>
        <v/>
      </c>
      <c r="DI35" s="25" t="str">
        <f t="shared" si="79"/>
        <v/>
      </c>
      <c r="DJ35" t="str">
        <f t="shared" si="80"/>
        <v/>
      </c>
      <c r="DK35" s="9"/>
      <c r="DL35" s="9"/>
      <c r="DM35" s="9"/>
      <c r="DN35" s="9"/>
      <c r="DO35" s="9"/>
      <c r="DP35" s="9"/>
      <c r="DQ35" s="136" t="b">
        <f t="shared" si="81"/>
        <v>1</v>
      </c>
    </row>
  </sheetData>
  <sortState xmlns:xlrd2="http://schemas.microsoft.com/office/spreadsheetml/2017/richdata2" ref="B15:E35">
    <sortCondition ref="B15:B35"/>
  </sortState>
  <mergeCells count="121">
    <mergeCell ref="DK12:DP12"/>
    <mergeCell ref="DK13:DK14"/>
    <mergeCell ref="DL13:DL14"/>
    <mergeCell ref="DM13:DM14"/>
    <mergeCell ref="DN13:DN14"/>
    <mergeCell ref="DO13:DO14"/>
    <mergeCell ref="DP13:DP14"/>
    <mergeCell ref="DQ12:DQ14"/>
    <mergeCell ref="Q13:Q14"/>
    <mergeCell ref="R13:R14"/>
    <mergeCell ref="T13:T14"/>
    <mergeCell ref="P12:V12"/>
    <mergeCell ref="S13:S14"/>
    <mergeCell ref="U13:U14"/>
    <mergeCell ref="DD13:DD14"/>
    <mergeCell ref="DE12:DI12"/>
    <mergeCell ref="DE13:DE14"/>
    <mergeCell ref="DF13:DF14"/>
    <mergeCell ref="DG13:DG14"/>
    <mergeCell ref="DH13:DH14"/>
    <mergeCell ref="DI13:DI14"/>
    <mergeCell ref="DC13:DC14"/>
    <mergeCell ref="AF12:AL12"/>
    <mergeCell ref="AG13:AG14"/>
    <mergeCell ref="A9:B9"/>
    <mergeCell ref="V13:V14"/>
    <mergeCell ref="A8:B8"/>
    <mergeCell ref="A12:F12"/>
    <mergeCell ref="A13:A14"/>
    <mergeCell ref="B13:B14"/>
    <mergeCell ref="C13:C14"/>
    <mergeCell ref="D13:D14"/>
    <mergeCell ref="E13:E14"/>
    <mergeCell ref="F13:F14"/>
    <mergeCell ref="P13:P14"/>
    <mergeCell ref="A11:B11"/>
    <mergeCell ref="A10:B10"/>
    <mergeCell ref="G12:O12"/>
    <mergeCell ref="G13:G14"/>
    <mergeCell ref="H13:H14"/>
    <mergeCell ref="I13:I14"/>
    <mergeCell ref="J13:J14"/>
    <mergeCell ref="K13:K14"/>
    <mergeCell ref="L13:L14"/>
    <mergeCell ref="M13:M14"/>
    <mergeCell ref="N13:N14"/>
    <mergeCell ref="O13:O14"/>
    <mergeCell ref="BO13:BO14"/>
    <mergeCell ref="CE13:CE14"/>
    <mergeCell ref="BQ13:BQ14"/>
    <mergeCell ref="CT13:CT14"/>
    <mergeCell ref="CO13:CO14"/>
    <mergeCell ref="CP13:CP14"/>
    <mergeCell ref="CQ13:CQ14"/>
    <mergeCell ref="CR13:CR14"/>
    <mergeCell ref="CB13:CB14"/>
    <mergeCell ref="CC13:CC14"/>
    <mergeCell ref="CD13:CD14"/>
    <mergeCell ref="CF13:CF14"/>
    <mergeCell ref="CN13:CN14"/>
    <mergeCell ref="CG13:CG14"/>
    <mergeCell ref="CH13:CH14"/>
    <mergeCell ref="CS13:CS14"/>
    <mergeCell ref="BS12:CA12"/>
    <mergeCell ref="BS13:BS14"/>
    <mergeCell ref="BT13:BT14"/>
    <mergeCell ref="BU13:BU14"/>
    <mergeCell ref="BV13:BV14"/>
    <mergeCell ref="BW13:BW14"/>
    <mergeCell ref="BX13:BX14"/>
    <mergeCell ref="BY13:BY14"/>
    <mergeCell ref="BZ13:BZ14"/>
    <mergeCell ref="CA13:CA14"/>
    <mergeCell ref="AH13:AH14"/>
    <mergeCell ref="AJ13:AJ14"/>
    <mergeCell ref="AF13:AF14"/>
    <mergeCell ref="AK13:AK14"/>
    <mergeCell ref="AI13:AI14"/>
    <mergeCell ref="AL13:AL14"/>
    <mergeCell ref="A7:B7"/>
    <mergeCell ref="CI12:CN12"/>
    <mergeCell ref="CO12:CT12"/>
    <mergeCell ref="AB13:AB14"/>
    <mergeCell ref="AC13:AC14"/>
    <mergeCell ref="AD13:AD14"/>
    <mergeCell ref="AE13:AE14"/>
    <mergeCell ref="W12:AE12"/>
    <mergeCell ref="W13:W14"/>
    <mergeCell ref="X13:X14"/>
    <mergeCell ref="Y13:Y14"/>
    <mergeCell ref="Z13:Z14"/>
    <mergeCell ref="AA13:AA14"/>
    <mergeCell ref="BL11:BR11"/>
    <mergeCell ref="BL12:BR12"/>
    <mergeCell ref="CB12:CH12"/>
    <mergeCell ref="BP13:BP14"/>
    <mergeCell ref="BL13:BL14"/>
    <mergeCell ref="CU14:CZ14"/>
    <mergeCell ref="CI13:CI14"/>
    <mergeCell ref="CJ13:CJ14"/>
    <mergeCell ref="CK13:CK14"/>
    <mergeCell ref="CL13:CL14"/>
    <mergeCell ref="CM13:CM14"/>
    <mergeCell ref="AM12:AU12"/>
    <mergeCell ref="BC13:BC14"/>
    <mergeCell ref="BD13:BD14"/>
    <mergeCell ref="BE13:BE14"/>
    <mergeCell ref="BC12:BK12"/>
    <mergeCell ref="BF13:BF14"/>
    <mergeCell ref="BG13:BG14"/>
    <mergeCell ref="BH13:BH14"/>
    <mergeCell ref="BI13:BI14"/>
    <mergeCell ref="BJ13:BJ14"/>
    <mergeCell ref="AV12:BB12"/>
    <mergeCell ref="BK13:BK14"/>
    <mergeCell ref="CU12:DD12"/>
    <mergeCell ref="DA13:DA14"/>
    <mergeCell ref="DB13:DB14"/>
    <mergeCell ref="BM13:BM14"/>
    <mergeCell ref="BN13:BN14"/>
    <mergeCell ref="BR13:BR14"/>
  </mergeCells>
  <conditionalFormatting sqref="CR15:CR35">
    <cfRule type="cellIs" dxfId="32" priority="9" operator="lessThan">
      <formula>50</formula>
    </cfRule>
  </conditionalFormatting>
  <conditionalFormatting sqref="CS15:CS35">
    <cfRule type="cellIs" dxfId="31" priority="8" operator="equal">
      <formula>"F"</formula>
    </cfRule>
  </conditionalFormatting>
  <conditionalFormatting sqref="DQ15:DQ35">
    <cfRule type="cellIs" dxfId="30" priority="1" stopIfTrue="1" operator="equal">
      <formula>FALSE</formula>
    </cfRule>
  </conditionalFormatting>
  <dataValidations count="1">
    <dataValidation allowBlank="1" showInputMessage="1" showErrorMessage="1" promptTitle="Creadit" prompt="Please insert credit here!" sqref="G14:J14 BS14:BV14 BC14:BF14 W14:Z14" xr:uid="{00000000-0002-0000-0000-000000000000}"/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A1:CA67"/>
  <sheetViews>
    <sheetView zoomScale="85" zoomScaleNormal="85" workbookViewId="0">
      <selection activeCell="C2" sqref="C2:D2"/>
    </sheetView>
  </sheetViews>
  <sheetFormatPr defaultRowHeight="23" x14ac:dyDescent="0.95"/>
  <cols>
    <col min="2" max="2" width="28.1796875" style="105" customWidth="1"/>
    <col min="3" max="3" width="24.54296875" style="108" customWidth="1"/>
    <col min="4" max="4" width="16.453125" style="33" customWidth="1"/>
    <col min="7" max="7" width="12.54296875" customWidth="1"/>
    <col min="10" max="10" width="12.26953125" bestFit="1" customWidth="1"/>
    <col min="32" max="32" width="10.7265625" bestFit="1" customWidth="1"/>
  </cols>
  <sheetData>
    <row r="1" spans="1:79" ht="23.5" thickBot="1" x14ac:dyDescent="1">
      <c r="A1" s="137"/>
      <c r="B1" s="142"/>
      <c r="C1" s="143"/>
      <c r="D1" s="139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</row>
    <row r="2" spans="1:79" ht="20.5" thickBot="1" x14ac:dyDescent="0.4">
      <c r="A2" s="277" t="s">
        <v>21</v>
      </c>
      <c r="B2" s="277"/>
      <c r="C2" s="278" t="s">
        <v>235</v>
      </c>
      <c r="D2" s="278"/>
      <c r="E2" s="138"/>
      <c r="F2" s="139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9"/>
      <c r="AN2" s="139"/>
      <c r="AO2" s="139"/>
      <c r="AP2" s="139"/>
      <c r="AQ2" s="139"/>
      <c r="AR2" s="139"/>
      <c r="AS2" s="139"/>
      <c r="AT2" s="139"/>
      <c r="AU2" s="139"/>
      <c r="AV2" s="139"/>
      <c r="AW2" s="139"/>
      <c r="AX2" s="139"/>
      <c r="AY2" s="137"/>
      <c r="AZ2" s="137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40"/>
      <c r="BV2" s="140"/>
      <c r="BW2" s="140"/>
      <c r="BX2" s="140"/>
      <c r="BY2" s="140"/>
      <c r="BZ2" s="140"/>
      <c r="CA2" s="140"/>
    </row>
    <row r="3" spans="1:79" ht="20.5" thickBot="1" x14ac:dyDescent="0.4">
      <c r="A3" s="277" t="s">
        <v>108</v>
      </c>
      <c r="B3" s="277"/>
      <c r="C3" s="278" t="s">
        <v>110</v>
      </c>
      <c r="D3" s="278"/>
      <c r="E3" s="138"/>
      <c r="F3" s="139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37"/>
      <c r="AZ3" s="137"/>
      <c r="BA3" s="139"/>
      <c r="BB3" s="139"/>
      <c r="BC3" s="139"/>
      <c r="BD3" s="139"/>
      <c r="BE3" s="139"/>
      <c r="BF3" s="139"/>
      <c r="BG3" s="139"/>
      <c r="BH3" s="139"/>
      <c r="BI3" s="139"/>
      <c r="BJ3" s="139"/>
      <c r="BK3" s="139"/>
      <c r="BL3" s="139"/>
      <c r="BM3" s="139"/>
      <c r="BN3" s="139"/>
      <c r="BO3" s="139"/>
      <c r="BP3" s="139"/>
      <c r="BQ3" s="139"/>
      <c r="BR3" s="139"/>
      <c r="BS3" s="139"/>
      <c r="BT3" s="139"/>
      <c r="BU3" s="140"/>
      <c r="BV3" s="140"/>
      <c r="BW3" s="140"/>
      <c r="BX3" s="140"/>
      <c r="BY3" s="140"/>
      <c r="BZ3" s="140"/>
      <c r="CA3" s="140"/>
    </row>
    <row r="4" spans="1:79" ht="33" customHeight="1" thickBot="1" x14ac:dyDescent="0.4">
      <c r="A4" s="280" t="s">
        <v>86</v>
      </c>
      <c r="B4" s="280"/>
      <c r="C4" s="279" t="str">
        <f>""&amp;'Q1'!C11</f>
        <v>2025-2026</v>
      </c>
      <c r="D4" s="279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/>
      <c r="AU4" s="141"/>
      <c r="AV4" s="141"/>
      <c r="AW4" s="141"/>
      <c r="AX4" s="141"/>
      <c r="AY4" s="141"/>
      <c r="AZ4" s="141"/>
      <c r="BA4" s="141"/>
      <c r="BB4" s="141"/>
      <c r="BC4" s="141"/>
      <c r="BD4" s="141"/>
      <c r="BE4" s="141"/>
      <c r="BF4" s="141"/>
      <c r="BG4" s="141"/>
      <c r="BH4" s="141"/>
      <c r="BI4" s="141"/>
      <c r="BJ4" s="141"/>
      <c r="BK4" s="141"/>
      <c r="BL4" s="141"/>
      <c r="BM4" s="141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</row>
    <row r="5" spans="1:79" ht="34" hidden="1" thickTop="1" thickBot="1" x14ac:dyDescent="0.4">
      <c r="A5" s="87"/>
      <c r="B5" s="88"/>
      <c r="C5" s="106"/>
      <c r="D5" s="103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87"/>
      <c r="BM5" s="87"/>
      <c r="BN5" s="87"/>
      <c r="BO5" s="87"/>
      <c r="BP5" s="87"/>
      <c r="BQ5" s="87"/>
      <c r="BR5" s="87"/>
      <c r="BS5" s="87"/>
      <c r="BT5" s="87"/>
      <c r="BU5" s="87"/>
      <c r="BV5" s="87"/>
      <c r="BW5" s="87"/>
      <c r="BX5" s="87"/>
      <c r="BY5" s="87"/>
      <c r="BZ5" s="87"/>
      <c r="CA5" s="87"/>
    </row>
    <row r="6" spans="1:79" ht="27.75" customHeight="1" x14ac:dyDescent="0.35">
      <c r="A6" s="158" t="s">
        <v>0</v>
      </c>
      <c r="B6" s="160" t="s">
        <v>1</v>
      </c>
      <c r="C6" s="162" t="s">
        <v>84</v>
      </c>
      <c r="D6" s="164" t="s">
        <v>3</v>
      </c>
      <c r="E6" s="166" t="s">
        <v>4</v>
      </c>
      <c r="F6" s="166" t="s">
        <v>5</v>
      </c>
      <c r="G6" s="275" t="s">
        <v>99</v>
      </c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O6" s="276"/>
      <c r="AP6" s="276"/>
      <c r="AQ6" s="275" t="s">
        <v>100</v>
      </c>
      <c r="AR6" s="276"/>
      <c r="AS6" s="276"/>
      <c r="AT6" s="276"/>
      <c r="AU6" s="276"/>
      <c r="AV6" s="276"/>
      <c r="AW6" s="276"/>
      <c r="AX6" s="276"/>
      <c r="AY6" s="276"/>
      <c r="AZ6" s="276"/>
      <c r="BA6" s="276"/>
      <c r="BB6" s="276"/>
      <c r="BC6" s="276"/>
      <c r="BD6" s="276"/>
      <c r="BE6" s="276"/>
      <c r="BF6" s="276"/>
      <c r="BG6" s="276"/>
      <c r="BH6" s="276"/>
      <c r="BI6" s="276"/>
      <c r="BJ6" s="276"/>
      <c r="BK6" s="276"/>
      <c r="BL6" s="276"/>
      <c r="BM6" s="276"/>
      <c r="BN6" s="276"/>
      <c r="BO6" s="276"/>
      <c r="BP6" s="276"/>
      <c r="BQ6" s="276"/>
      <c r="BR6" s="276"/>
      <c r="BS6" s="276"/>
      <c r="BT6" s="276"/>
      <c r="BU6" s="276"/>
      <c r="BV6" s="276"/>
      <c r="BW6" s="276"/>
      <c r="BX6" s="276"/>
      <c r="BY6" s="276"/>
      <c r="BZ6" s="276"/>
      <c r="CA6" s="89"/>
    </row>
    <row r="7" spans="1:79" ht="117.75" customHeight="1" x14ac:dyDescent="0.35">
      <c r="A7" s="159"/>
      <c r="B7" s="161"/>
      <c r="C7" s="163"/>
      <c r="D7" s="165"/>
      <c r="E7" s="167"/>
      <c r="F7" s="167"/>
      <c r="G7" s="109" t="s">
        <v>8</v>
      </c>
      <c r="H7" s="110" t="s">
        <v>9</v>
      </c>
      <c r="I7" s="111" t="s">
        <v>10</v>
      </c>
      <c r="J7" s="112" t="s">
        <v>11</v>
      </c>
      <c r="K7" s="109" t="s">
        <v>8</v>
      </c>
      <c r="L7" s="110" t="s">
        <v>9</v>
      </c>
      <c r="M7" s="111" t="s">
        <v>10</v>
      </c>
      <c r="N7" s="112" t="s">
        <v>11</v>
      </c>
      <c r="O7" s="109" t="s">
        <v>8</v>
      </c>
      <c r="P7" s="110" t="s">
        <v>9</v>
      </c>
      <c r="Q7" s="111" t="s">
        <v>10</v>
      </c>
      <c r="R7" s="112" t="s">
        <v>11</v>
      </c>
      <c r="S7" s="109" t="s">
        <v>8</v>
      </c>
      <c r="T7" s="110" t="s">
        <v>9</v>
      </c>
      <c r="U7" s="111" t="s">
        <v>10</v>
      </c>
      <c r="V7" s="112" t="s">
        <v>11</v>
      </c>
      <c r="W7" s="109" t="s">
        <v>8</v>
      </c>
      <c r="X7" s="110" t="s">
        <v>9</v>
      </c>
      <c r="Y7" s="111" t="s">
        <v>10</v>
      </c>
      <c r="Z7" s="112" t="s">
        <v>11</v>
      </c>
      <c r="AA7" s="109" t="s">
        <v>8</v>
      </c>
      <c r="AB7" s="110" t="s">
        <v>9</v>
      </c>
      <c r="AC7" s="111" t="s">
        <v>10</v>
      </c>
      <c r="AD7" s="112" t="s">
        <v>11</v>
      </c>
      <c r="AE7" s="109" t="s">
        <v>8</v>
      </c>
      <c r="AF7" s="110" t="s">
        <v>9</v>
      </c>
      <c r="AG7" s="111" t="s">
        <v>10</v>
      </c>
      <c r="AH7" s="112" t="s">
        <v>11</v>
      </c>
      <c r="AI7" s="109" t="s">
        <v>8</v>
      </c>
      <c r="AJ7" s="110" t="s">
        <v>9</v>
      </c>
      <c r="AK7" s="111" t="s">
        <v>10</v>
      </c>
      <c r="AL7" s="112" t="s">
        <v>11</v>
      </c>
      <c r="AM7" s="109" t="s">
        <v>8</v>
      </c>
      <c r="AN7" s="110" t="s">
        <v>9</v>
      </c>
      <c r="AO7" s="111" t="s">
        <v>10</v>
      </c>
      <c r="AP7" s="112" t="s">
        <v>11</v>
      </c>
      <c r="AQ7" s="113" t="s">
        <v>8</v>
      </c>
      <c r="AR7" s="114" t="s">
        <v>9</v>
      </c>
      <c r="AS7" s="115" t="s">
        <v>10</v>
      </c>
      <c r="AT7" s="116" t="s">
        <v>11</v>
      </c>
      <c r="AU7" s="113" t="s">
        <v>8</v>
      </c>
      <c r="AV7" s="114" t="s">
        <v>9</v>
      </c>
      <c r="AW7" s="115" t="s">
        <v>10</v>
      </c>
      <c r="AX7" s="116" t="s">
        <v>11</v>
      </c>
      <c r="AY7" s="113" t="s">
        <v>8</v>
      </c>
      <c r="AZ7" s="114" t="s">
        <v>9</v>
      </c>
      <c r="BA7" s="115" t="s">
        <v>10</v>
      </c>
      <c r="BB7" s="116" t="s">
        <v>11</v>
      </c>
      <c r="BC7" s="113" t="s">
        <v>8</v>
      </c>
      <c r="BD7" s="114" t="s">
        <v>9</v>
      </c>
      <c r="BE7" s="115" t="s">
        <v>10</v>
      </c>
      <c r="BF7" s="116" t="s">
        <v>11</v>
      </c>
      <c r="BG7" s="113" t="s">
        <v>8</v>
      </c>
      <c r="BH7" s="114" t="s">
        <v>9</v>
      </c>
      <c r="BI7" s="115" t="s">
        <v>10</v>
      </c>
      <c r="BJ7" s="116" t="s">
        <v>11</v>
      </c>
      <c r="BK7" s="113" t="s">
        <v>8</v>
      </c>
      <c r="BL7" s="114" t="s">
        <v>9</v>
      </c>
      <c r="BM7" s="115" t="s">
        <v>10</v>
      </c>
      <c r="BN7" s="116" t="s">
        <v>11</v>
      </c>
      <c r="BO7" s="113" t="s">
        <v>8</v>
      </c>
      <c r="BP7" s="114" t="s">
        <v>9</v>
      </c>
      <c r="BQ7" s="115" t="s">
        <v>10</v>
      </c>
      <c r="BR7" s="116" t="s">
        <v>11</v>
      </c>
      <c r="BS7" s="113" t="s">
        <v>8</v>
      </c>
      <c r="BT7" s="114" t="s">
        <v>9</v>
      </c>
      <c r="BU7" s="115" t="s">
        <v>10</v>
      </c>
      <c r="BV7" s="116" t="s">
        <v>11</v>
      </c>
      <c r="BW7" s="113" t="s">
        <v>8</v>
      </c>
      <c r="BX7" s="114" t="s">
        <v>9</v>
      </c>
      <c r="BY7" s="115" t="s">
        <v>10</v>
      </c>
      <c r="BZ7" s="116" t="s">
        <v>11</v>
      </c>
      <c r="CA7" s="266" t="s">
        <v>85</v>
      </c>
    </row>
    <row r="8" spans="1:79" ht="24" customHeight="1" thickBot="1" x14ac:dyDescent="0.4">
      <c r="A8" s="159"/>
      <c r="B8" s="161"/>
      <c r="C8" s="163"/>
      <c r="D8" s="165"/>
      <c r="E8" s="167"/>
      <c r="F8" s="168"/>
      <c r="G8" s="267" t="s">
        <v>6</v>
      </c>
      <c r="H8" s="268"/>
      <c r="I8" s="268"/>
      <c r="J8" s="269"/>
      <c r="K8" s="267" t="s">
        <v>87</v>
      </c>
      <c r="L8" s="268"/>
      <c r="M8" s="268"/>
      <c r="N8" s="269"/>
      <c r="O8" s="267" t="s">
        <v>88</v>
      </c>
      <c r="P8" s="268"/>
      <c r="Q8" s="268"/>
      <c r="R8" s="269"/>
      <c r="S8" s="267" t="s">
        <v>51</v>
      </c>
      <c r="T8" s="268"/>
      <c r="U8" s="268"/>
      <c r="V8" s="269"/>
      <c r="W8" s="267" t="s">
        <v>89</v>
      </c>
      <c r="X8" s="268"/>
      <c r="Y8" s="268"/>
      <c r="Z8" s="269"/>
      <c r="AA8" s="267" t="s">
        <v>31</v>
      </c>
      <c r="AB8" s="268"/>
      <c r="AC8" s="268"/>
      <c r="AD8" s="269"/>
      <c r="AE8" s="267" t="s">
        <v>7</v>
      </c>
      <c r="AF8" s="268"/>
      <c r="AG8" s="268"/>
      <c r="AH8" s="269"/>
      <c r="AI8" s="273" t="s">
        <v>90</v>
      </c>
      <c r="AJ8" s="271"/>
      <c r="AK8" s="271"/>
      <c r="AL8" s="274"/>
      <c r="AM8" s="273" t="s">
        <v>91</v>
      </c>
      <c r="AN8" s="271"/>
      <c r="AO8" s="271"/>
      <c r="AP8" s="274"/>
      <c r="AQ8" s="273" t="s">
        <v>92</v>
      </c>
      <c r="AR8" s="271"/>
      <c r="AS8" s="271"/>
      <c r="AT8" s="274"/>
      <c r="AU8" s="273" t="s">
        <v>101</v>
      </c>
      <c r="AV8" s="271"/>
      <c r="AW8" s="271"/>
      <c r="AX8" s="274"/>
      <c r="AY8" s="273" t="s">
        <v>93</v>
      </c>
      <c r="AZ8" s="271"/>
      <c r="BA8" s="271"/>
      <c r="BB8" s="271"/>
      <c r="BC8" s="271" t="s">
        <v>94</v>
      </c>
      <c r="BD8" s="271"/>
      <c r="BE8" s="271"/>
      <c r="BF8" s="272"/>
      <c r="BG8" s="270" t="s">
        <v>95</v>
      </c>
      <c r="BH8" s="271"/>
      <c r="BI8" s="271"/>
      <c r="BJ8" s="272"/>
      <c r="BK8" s="270" t="s">
        <v>97</v>
      </c>
      <c r="BL8" s="271"/>
      <c r="BM8" s="271"/>
      <c r="BN8" s="129"/>
      <c r="BO8" s="271" t="s">
        <v>96</v>
      </c>
      <c r="BP8" s="271"/>
      <c r="BQ8" s="271"/>
      <c r="BR8" s="272"/>
      <c r="BS8" s="270" t="s">
        <v>98</v>
      </c>
      <c r="BT8" s="271"/>
      <c r="BU8" s="271"/>
      <c r="BV8" s="272"/>
      <c r="BW8" s="273" t="s">
        <v>103</v>
      </c>
      <c r="BX8" s="271"/>
      <c r="BY8" s="271"/>
      <c r="BZ8" s="272"/>
      <c r="CA8" s="266"/>
    </row>
    <row r="9" spans="1:79" ht="21.75" customHeight="1" x14ac:dyDescent="0.35">
      <c r="A9" s="90">
        <f>IF('Q4'!A15="","",'Q4'!A15)</f>
        <v>1</v>
      </c>
      <c r="B9" s="90" t="str">
        <f>IF('Q1'!B15="","",'Q1'!B15)</f>
        <v>Sor Ketryawin</v>
      </c>
      <c r="C9" s="90" t="str">
        <f>IF('Q1'!C15="","",'Q1'!C15)</f>
        <v>ស កេតទ្រីយ៉ាវីន</v>
      </c>
      <c r="D9" s="90"/>
      <c r="E9" s="90" t="s">
        <v>124</v>
      </c>
      <c r="F9" s="90" t="str">
        <f>IF('Q1'!F15="","",'Q1'!F15)</f>
        <v>I</v>
      </c>
      <c r="G9" s="152" t="s">
        <v>163</v>
      </c>
      <c r="H9" s="153" t="s">
        <v>163</v>
      </c>
      <c r="I9" s="152" t="s">
        <v>196</v>
      </c>
      <c r="J9" s="153" t="s">
        <v>164</v>
      </c>
      <c r="K9" s="119" t="s">
        <v>165</v>
      </c>
      <c r="L9" s="146" t="s">
        <v>166</v>
      </c>
      <c r="M9" s="119" t="s">
        <v>167</v>
      </c>
      <c r="N9" s="146" t="s">
        <v>168</v>
      </c>
      <c r="O9" s="119" t="s">
        <v>187</v>
      </c>
      <c r="P9" s="146" t="s">
        <v>188</v>
      </c>
      <c r="Q9" s="119" t="s">
        <v>189</v>
      </c>
      <c r="R9" s="146" t="s">
        <v>190</v>
      </c>
      <c r="S9" s="119" t="s">
        <v>159</v>
      </c>
      <c r="T9" s="146" t="s">
        <v>160</v>
      </c>
      <c r="U9" s="119" t="s">
        <v>161</v>
      </c>
      <c r="V9" s="146" t="s">
        <v>162</v>
      </c>
      <c r="W9" s="119"/>
      <c r="X9" s="118"/>
      <c r="Y9" s="119"/>
      <c r="Z9" s="118"/>
      <c r="AA9" s="119" t="s">
        <v>153</v>
      </c>
      <c r="AB9" s="146" t="s">
        <v>153</v>
      </c>
      <c r="AC9" s="120" t="s">
        <v>154</v>
      </c>
      <c r="AD9" s="121" t="s">
        <v>158</v>
      </c>
      <c r="AE9" s="147" t="s">
        <v>159</v>
      </c>
      <c r="AF9" s="121" t="s">
        <v>160</v>
      </c>
      <c r="AG9" s="148" t="s">
        <v>161</v>
      </c>
      <c r="AH9" s="149" t="s">
        <v>162</v>
      </c>
      <c r="AI9" s="152" t="s">
        <v>163</v>
      </c>
      <c r="AJ9" s="153" t="s">
        <v>163</v>
      </c>
      <c r="AK9" s="152" t="s">
        <v>196</v>
      </c>
      <c r="AL9" s="153" t="s">
        <v>164</v>
      </c>
      <c r="AM9" s="119"/>
      <c r="AN9" s="118"/>
      <c r="AO9" s="119"/>
      <c r="AP9" s="118"/>
      <c r="AQ9" s="119" t="s">
        <v>145</v>
      </c>
      <c r="AR9" s="146" t="s">
        <v>146</v>
      </c>
      <c r="AS9" s="119" t="s">
        <v>147</v>
      </c>
      <c r="AT9" s="146" t="s">
        <v>148</v>
      </c>
      <c r="AU9" s="119" t="s">
        <v>145</v>
      </c>
      <c r="AV9" s="146" t="s">
        <v>146</v>
      </c>
      <c r="AW9" s="119" t="s">
        <v>147</v>
      </c>
      <c r="AX9" s="146" t="s">
        <v>148</v>
      </c>
      <c r="AY9" s="119" t="s">
        <v>145</v>
      </c>
      <c r="AZ9" s="146" t="s">
        <v>146</v>
      </c>
      <c r="BA9" s="119" t="s">
        <v>147</v>
      </c>
      <c r="BB9" s="146" t="s">
        <v>148</v>
      </c>
      <c r="BC9" s="119" t="s">
        <v>145</v>
      </c>
      <c r="BD9" s="146" t="s">
        <v>146</v>
      </c>
      <c r="BE9" s="120" t="s">
        <v>147</v>
      </c>
      <c r="BF9" s="121" t="s">
        <v>148</v>
      </c>
      <c r="BG9" s="147" t="s">
        <v>145</v>
      </c>
      <c r="BH9" s="121" t="s">
        <v>146</v>
      </c>
      <c r="BI9" s="150" t="s">
        <v>147</v>
      </c>
      <c r="BJ9" s="149" t="s">
        <v>148</v>
      </c>
      <c r="BK9" s="125" t="s">
        <v>145</v>
      </c>
      <c r="BL9" s="151" t="s">
        <v>146</v>
      </c>
      <c r="BM9" s="127" t="s">
        <v>147</v>
      </c>
      <c r="BN9" s="151" t="s">
        <v>148</v>
      </c>
      <c r="BO9" s="127" t="s">
        <v>145</v>
      </c>
      <c r="BP9" s="151" t="s">
        <v>146</v>
      </c>
      <c r="BQ9" s="127" t="s">
        <v>147</v>
      </c>
      <c r="BR9" s="151" t="s">
        <v>148</v>
      </c>
      <c r="BS9" s="127" t="s">
        <v>145</v>
      </c>
      <c r="BT9" s="151" t="s">
        <v>146</v>
      </c>
      <c r="BU9" s="127" t="s">
        <v>147</v>
      </c>
      <c r="BV9" s="151" t="s">
        <v>148</v>
      </c>
      <c r="BW9" s="127" t="s">
        <v>145</v>
      </c>
      <c r="BX9" s="151" t="s">
        <v>146</v>
      </c>
      <c r="BY9" s="127" t="s">
        <v>147</v>
      </c>
      <c r="BZ9" s="151" t="s">
        <v>148</v>
      </c>
      <c r="CA9" s="128" t="str">
        <f>IF(OR(B9="",$C$2=""),"",$C$2)</f>
        <v>6A</v>
      </c>
    </row>
    <row r="10" spans="1:79" ht="30" customHeight="1" x14ac:dyDescent="0.35">
      <c r="A10" s="90">
        <f>IF('Q4'!A16="","",'Q4'!A16)</f>
        <v>2</v>
      </c>
      <c r="B10" s="90" t="str">
        <f>IF('Q1'!B16="","",'Q1'!B16)</f>
        <v>Ly Sovannarith</v>
      </c>
      <c r="C10" s="90" t="str">
        <f>IF('Q1'!C16="","",'Q1'!C16)</f>
        <v>លី សុវណ្ណារិទ្ធ</v>
      </c>
      <c r="D10" s="90"/>
      <c r="E10" s="90" t="s">
        <v>124</v>
      </c>
      <c r="F10" s="90" t="str">
        <f>IF('Q1'!F16="","",'Q1'!F16)</f>
        <v>I</v>
      </c>
      <c r="G10" s="152" t="s">
        <v>163</v>
      </c>
      <c r="H10" s="153" t="s">
        <v>163</v>
      </c>
      <c r="I10" s="152" t="s">
        <v>196</v>
      </c>
      <c r="J10" s="153" t="s">
        <v>164</v>
      </c>
      <c r="K10" s="119" t="s">
        <v>169</v>
      </c>
      <c r="L10" s="146" t="s">
        <v>170</v>
      </c>
      <c r="M10" s="119" t="s">
        <v>171</v>
      </c>
      <c r="N10" s="146" t="s">
        <v>172</v>
      </c>
      <c r="O10" s="119" t="s">
        <v>191</v>
      </c>
      <c r="P10" s="146" t="s">
        <v>188</v>
      </c>
      <c r="Q10" s="119" t="s">
        <v>192</v>
      </c>
      <c r="R10" s="146" t="s">
        <v>190</v>
      </c>
      <c r="S10" s="119" t="s">
        <v>159</v>
      </c>
      <c r="T10" s="146" t="s">
        <v>160</v>
      </c>
      <c r="U10" s="119" t="s">
        <v>161</v>
      </c>
      <c r="V10" s="146" t="s">
        <v>162</v>
      </c>
      <c r="W10" s="119"/>
      <c r="X10" s="118"/>
      <c r="Y10" s="119"/>
      <c r="Z10" s="118"/>
      <c r="AA10" s="119" t="s">
        <v>153</v>
      </c>
      <c r="AB10" s="146" t="s">
        <v>153</v>
      </c>
      <c r="AC10" s="120" t="s">
        <v>154</v>
      </c>
      <c r="AD10" s="121" t="s">
        <v>158</v>
      </c>
      <c r="AE10" s="147" t="s">
        <v>159</v>
      </c>
      <c r="AF10" s="121" t="s">
        <v>160</v>
      </c>
      <c r="AG10" s="148" t="s">
        <v>161</v>
      </c>
      <c r="AH10" s="149" t="s">
        <v>162</v>
      </c>
      <c r="AI10" s="152" t="s">
        <v>163</v>
      </c>
      <c r="AJ10" s="153" t="s">
        <v>163</v>
      </c>
      <c r="AK10" s="152" t="s">
        <v>196</v>
      </c>
      <c r="AL10" s="153" t="s">
        <v>164</v>
      </c>
      <c r="AM10" s="119"/>
      <c r="AN10" s="118"/>
      <c r="AO10" s="119"/>
      <c r="AP10" s="118"/>
      <c r="AQ10" s="119" t="s">
        <v>146</v>
      </c>
      <c r="AR10" s="146" t="s">
        <v>146</v>
      </c>
      <c r="AS10" s="119" t="s">
        <v>149</v>
      </c>
      <c r="AT10" s="146" t="s">
        <v>148</v>
      </c>
      <c r="AU10" s="119" t="s">
        <v>146</v>
      </c>
      <c r="AV10" s="146" t="s">
        <v>146</v>
      </c>
      <c r="AW10" s="119" t="s">
        <v>149</v>
      </c>
      <c r="AX10" s="146" t="s">
        <v>148</v>
      </c>
      <c r="AY10" s="119" t="s">
        <v>146</v>
      </c>
      <c r="AZ10" s="146" t="s">
        <v>146</v>
      </c>
      <c r="BA10" s="119" t="s">
        <v>149</v>
      </c>
      <c r="BB10" s="146" t="s">
        <v>148</v>
      </c>
      <c r="BC10" s="119" t="s">
        <v>146</v>
      </c>
      <c r="BD10" s="146" t="s">
        <v>146</v>
      </c>
      <c r="BE10" s="120" t="s">
        <v>149</v>
      </c>
      <c r="BF10" s="121" t="s">
        <v>148</v>
      </c>
      <c r="BG10" s="147" t="s">
        <v>146</v>
      </c>
      <c r="BH10" s="121" t="s">
        <v>146</v>
      </c>
      <c r="BI10" s="148" t="s">
        <v>149</v>
      </c>
      <c r="BJ10" s="149" t="s">
        <v>148</v>
      </c>
      <c r="BK10" s="125" t="s">
        <v>146</v>
      </c>
      <c r="BL10" s="151" t="s">
        <v>146</v>
      </c>
      <c r="BM10" s="127" t="s">
        <v>149</v>
      </c>
      <c r="BN10" s="151" t="s">
        <v>148</v>
      </c>
      <c r="BO10" s="127" t="s">
        <v>146</v>
      </c>
      <c r="BP10" s="151" t="s">
        <v>146</v>
      </c>
      <c r="BQ10" s="127" t="s">
        <v>149</v>
      </c>
      <c r="BR10" s="151" t="s">
        <v>148</v>
      </c>
      <c r="BS10" s="127" t="s">
        <v>146</v>
      </c>
      <c r="BT10" s="151" t="s">
        <v>146</v>
      </c>
      <c r="BU10" s="127" t="s">
        <v>149</v>
      </c>
      <c r="BV10" s="151" t="s">
        <v>148</v>
      </c>
      <c r="BW10" s="127" t="s">
        <v>146</v>
      </c>
      <c r="BX10" s="151" t="s">
        <v>146</v>
      </c>
      <c r="BY10" s="127" t="s">
        <v>149</v>
      </c>
      <c r="BZ10" s="151" t="s">
        <v>148</v>
      </c>
      <c r="CA10" s="128" t="str">
        <f t="shared" ref="CA10:CA60" si="0">IF(OR(B10="",$C$2=""),"",$C$2)</f>
        <v>6A</v>
      </c>
    </row>
    <row r="11" spans="1:79" ht="30" customHeight="1" x14ac:dyDescent="0.35">
      <c r="A11" s="90">
        <f>IF('Q4'!A17="","",'Q4'!A17)</f>
        <v>3</v>
      </c>
      <c r="B11" s="90" t="str">
        <f>IF('Q1'!B17="","",'Q1'!B17)</f>
        <v>Phal Mengly</v>
      </c>
      <c r="C11" s="90" t="str">
        <f>IF('Q1'!C17="","",'Q1'!C17)</f>
        <v>ផល ម៉េងលី</v>
      </c>
      <c r="D11" s="90"/>
      <c r="E11" s="90" t="s">
        <v>125</v>
      </c>
      <c r="F11" s="90" t="str">
        <f>IF('Q1'!F17="","",'Q1'!F17)</f>
        <v>I</v>
      </c>
      <c r="G11" s="152" t="s">
        <v>163</v>
      </c>
      <c r="H11" s="153" t="s">
        <v>163</v>
      </c>
      <c r="I11" s="152" t="s">
        <v>196</v>
      </c>
      <c r="J11" s="153" t="s">
        <v>164</v>
      </c>
      <c r="K11" s="119" t="s">
        <v>173</v>
      </c>
      <c r="L11" s="146" t="s">
        <v>174</v>
      </c>
      <c r="M11" s="119" t="s">
        <v>175</v>
      </c>
      <c r="N11" s="146" t="s">
        <v>172</v>
      </c>
      <c r="O11" s="119" t="s">
        <v>193</v>
      </c>
      <c r="P11" s="146" t="s">
        <v>194</v>
      </c>
      <c r="Q11" s="119" t="s">
        <v>195</v>
      </c>
      <c r="R11" s="146" t="s">
        <v>190</v>
      </c>
      <c r="S11" s="119" t="s">
        <v>159</v>
      </c>
      <c r="T11" s="146" t="s">
        <v>160</v>
      </c>
      <c r="U11" s="119" t="s">
        <v>161</v>
      </c>
      <c r="V11" s="146" t="s">
        <v>162</v>
      </c>
      <c r="W11" s="119"/>
      <c r="X11" s="118"/>
      <c r="Y11" s="119"/>
      <c r="Z11" s="118"/>
      <c r="AA11" s="119" t="s">
        <v>155</v>
      </c>
      <c r="AB11" s="146" t="s">
        <v>153</v>
      </c>
      <c r="AC11" s="120" t="s">
        <v>154</v>
      </c>
      <c r="AD11" s="121" t="s">
        <v>158</v>
      </c>
      <c r="AE11" s="147" t="s">
        <v>159</v>
      </c>
      <c r="AF11" s="121" t="s">
        <v>160</v>
      </c>
      <c r="AG11" s="148" t="s">
        <v>161</v>
      </c>
      <c r="AH11" s="149" t="s">
        <v>162</v>
      </c>
      <c r="AI11" s="152" t="s">
        <v>163</v>
      </c>
      <c r="AJ11" s="153" t="s">
        <v>163</v>
      </c>
      <c r="AK11" s="152" t="s">
        <v>196</v>
      </c>
      <c r="AL11" s="153" t="s">
        <v>164</v>
      </c>
      <c r="AM11" s="119"/>
      <c r="AN11" s="118"/>
      <c r="AO11" s="119"/>
      <c r="AP11" s="118"/>
      <c r="AQ11" s="119" t="s">
        <v>146</v>
      </c>
      <c r="AR11" s="146" t="s">
        <v>146</v>
      </c>
      <c r="AS11" s="119" t="s">
        <v>150</v>
      </c>
      <c r="AT11" s="146" t="s">
        <v>148</v>
      </c>
      <c r="AU11" s="119" t="s">
        <v>146</v>
      </c>
      <c r="AV11" s="146" t="s">
        <v>146</v>
      </c>
      <c r="AW11" s="119" t="s">
        <v>150</v>
      </c>
      <c r="AX11" s="146" t="s">
        <v>148</v>
      </c>
      <c r="AY11" s="119" t="s">
        <v>146</v>
      </c>
      <c r="AZ11" s="146" t="s">
        <v>146</v>
      </c>
      <c r="BA11" s="119" t="s">
        <v>150</v>
      </c>
      <c r="BB11" s="146" t="s">
        <v>148</v>
      </c>
      <c r="BC11" s="119" t="s">
        <v>146</v>
      </c>
      <c r="BD11" s="146" t="s">
        <v>146</v>
      </c>
      <c r="BE11" s="120" t="s">
        <v>150</v>
      </c>
      <c r="BF11" s="121" t="s">
        <v>148</v>
      </c>
      <c r="BG11" s="147" t="s">
        <v>146</v>
      </c>
      <c r="BH11" s="121" t="s">
        <v>146</v>
      </c>
      <c r="BI11" s="148" t="s">
        <v>150</v>
      </c>
      <c r="BJ11" s="149" t="s">
        <v>148</v>
      </c>
      <c r="BK11" s="125" t="s">
        <v>146</v>
      </c>
      <c r="BL11" s="151" t="s">
        <v>146</v>
      </c>
      <c r="BM11" s="127" t="s">
        <v>150</v>
      </c>
      <c r="BN11" s="151" t="s">
        <v>148</v>
      </c>
      <c r="BO11" s="127" t="s">
        <v>146</v>
      </c>
      <c r="BP11" s="151" t="s">
        <v>146</v>
      </c>
      <c r="BQ11" s="127" t="s">
        <v>150</v>
      </c>
      <c r="BR11" s="151" t="s">
        <v>148</v>
      </c>
      <c r="BS11" s="127" t="s">
        <v>146</v>
      </c>
      <c r="BT11" s="151" t="s">
        <v>146</v>
      </c>
      <c r="BU11" s="127" t="s">
        <v>150</v>
      </c>
      <c r="BV11" s="151" t="s">
        <v>148</v>
      </c>
      <c r="BW11" s="127" t="s">
        <v>146</v>
      </c>
      <c r="BX11" s="151" t="s">
        <v>146</v>
      </c>
      <c r="BY11" s="127" t="s">
        <v>150</v>
      </c>
      <c r="BZ11" s="151" t="s">
        <v>148</v>
      </c>
      <c r="CA11" s="128" t="str">
        <f t="shared" si="0"/>
        <v>6A</v>
      </c>
    </row>
    <row r="12" spans="1:79" ht="30" customHeight="1" x14ac:dyDescent="0.35">
      <c r="A12" s="90">
        <f>IF('Q4'!A18="","",'Q4'!A18)</f>
        <v>4</v>
      </c>
      <c r="B12" s="90" t="str">
        <f>IF('Q1'!B18="","",'Q1'!B18)</f>
        <v>Song Santharasatya</v>
      </c>
      <c r="C12" s="90" t="str">
        <f>IF('Q1'!C18="","",'Q1'!C18)</f>
        <v>សុង សន្ទរសត្យា</v>
      </c>
      <c r="D12" s="90"/>
      <c r="E12" s="90" t="s">
        <v>125</v>
      </c>
      <c r="F12" s="90" t="str">
        <f>IF('Q1'!F18="","",'Q1'!F18)</f>
        <v>I</v>
      </c>
      <c r="G12" s="152" t="s">
        <v>163</v>
      </c>
      <c r="H12" s="153" t="s">
        <v>163</v>
      </c>
      <c r="I12" s="152" t="s">
        <v>196</v>
      </c>
      <c r="J12" s="153" t="s">
        <v>164</v>
      </c>
      <c r="K12" s="119" t="s">
        <v>173</v>
      </c>
      <c r="L12" s="146" t="s">
        <v>176</v>
      </c>
      <c r="M12" s="119" t="s">
        <v>177</v>
      </c>
      <c r="N12" s="146" t="s">
        <v>172</v>
      </c>
      <c r="O12" s="119" t="s">
        <v>196</v>
      </c>
      <c r="P12" s="146" t="s">
        <v>197</v>
      </c>
      <c r="Q12" s="119" t="s">
        <v>198</v>
      </c>
      <c r="R12" s="146" t="s">
        <v>190</v>
      </c>
      <c r="S12" s="119" t="s">
        <v>159</v>
      </c>
      <c r="T12" s="146" t="s">
        <v>160</v>
      </c>
      <c r="U12" s="119" t="s">
        <v>161</v>
      </c>
      <c r="V12" s="146" t="s">
        <v>162</v>
      </c>
      <c r="W12" s="119"/>
      <c r="X12" s="118"/>
      <c r="Y12" s="119"/>
      <c r="Z12" s="118"/>
      <c r="AA12" s="119" t="s">
        <v>153</v>
      </c>
      <c r="AB12" s="146" t="s">
        <v>153</v>
      </c>
      <c r="AC12" s="120" t="s">
        <v>154</v>
      </c>
      <c r="AD12" s="121" t="s">
        <v>158</v>
      </c>
      <c r="AE12" s="147" t="s">
        <v>159</v>
      </c>
      <c r="AF12" s="121" t="s">
        <v>160</v>
      </c>
      <c r="AG12" s="148" t="s">
        <v>161</v>
      </c>
      <c r="AH12" s="149" t="s">
        <v>162</v>
      </c>
      <c r="AI12" s="152" t="s">
        <v>163</v>
      </c>
      <c r="AJ12" s="153" t="s">
        <v>163</v>
      </c>
      <c r="AK12" s="152" t="s">
        <v>196</v>
      </c>
      <c r="AL12" s="153" t="s">
        <v>164</v>
      </c>
      <c r="AM12" s="119"/>
      <c r="AN12" s="118"/>
      <c r="AO12" s="119"/>
      <c r="AP12" s="118"/>
      <c r="AQ12" s="119" t="s">
        <v>146</v>
      </c>
      <c r="AR12" s="146" t="s">
        <v>146</v>
      </c>
      <c r="AS12" s="119" t="s">
        <v>149</v>
      </c>
      <c r="AT12" s="146" t="s">
        <v>148</v>
      </c>
      <c r="AU12" s="119" t="s">
        <v>146</v>
      </c>
      <c r="AV12" s="146" t="s">
        <v>146</v>
      </c>
      <c r="AW12" s="119" t="s">
        <v>149</v>
      </c>
      <c r="AX12" s="146" t="s">
        <v>148</v>
      </c>
      <c r="AY12" s="119" t="s">
        <v>146</v>
      </c>
      <c r="AZ12" s="146" t="s">
        <v>146</v>
      </c>
      <c r="BA12" s="119" t="s">
        <v>149</v>
      </c>
      <c r="BB12" s="146" t="s">
        <v>148</v>
      </c>
      <c r="BC12" s="119" t="s">
        <v>146</v>
      </c>
      <c r="BD12" s="146" t="s">
        <v>146</v>
      </c>
      <c r="BE12" s="120" t="s">
        <v>149</v>
      </c>
      <c r="BF12" s="121" t="s">
        <v>148</v>
      </c>
      <c r="BG12" s="147" t="s">
        <v>146</v>
      </c>
      <c r="BH12" s="121" t="s">
        <v>146</v>
      </c>
      <c r="BI12" s="148" t="s">
        <v>149</v>
      </c>
      <c r="BJ12" s="149" t="s">
        <v>148</v>
      </c>
      <c r="BK12" s="125" t="s">
        <v>146</v>
      </c>
      <c r="BL12" s="151" t="s">
        <v>146</v>
      </c>
      <c r="BM12" s="127" t="s">
        <v>149</v>
      </c>
      <c r="BN12" s="151" t="s">
        <v>148</v>
      </c>
      <c r="BO12" s="127" t="s">
        <v>146</v>
      </c>
      <c r="BP12" s="151" t="s">
        <v>146</v>
      </c>
      <c r="BQ12" s="127" t="s">
        <v>149</v>
      </c>
      <c r="BR12" s="151" t="s">
        <v>148</v>
      </c>
      <c r="BS12" s="127" t="s">
        <v>146</v>
      </c>
      <c r="BT12" s="151" t="s">
        <v>146</v>
      </c>
      <c r="BU12" s="127" t="s">
        <v>149</v>
      </c>
      <c r="BV12" s="151" t="s">
        <v>148</v>
      </c>
      <c r="BW12" s="127" t="s">
        <v>146</v>
      </c>
      <c r="BX12" s="151" t="s">
        <v>146</v>
      </c>
      <c r="BY12" s="127" t="s">
        <v>149</v>
      </c>
      <c r="BZ12" s="151" t="s">
        <v>148</v>
      </c>
      <c r="CA12" s="128" t="str">
        <f t="shared" si="0"/>
        <v>6A</v>
      </c>
    </row>
    <row r="13" spans="1:79" ht="30" customHeight="1" x14ac:dyDescent="0.35">
      <c r="A13" s="90">
        <f>IF('Q4'!A19="","",'Q4'!A19)</f>
        <v>5</v>
      </c>
      <c r="B13" s="90" t="str">
        <f>IF('Q1'!B19="","",'Q1'!B19)</f>
        <v>Heng Bunpiseth</v>
      </c>
      <c r="C13" s="90" t="str">
        <f>IF('Q1'!C19="","",'Q1'!C19)</f>
        <v>ហេង ប៊ុនពិសិដ្ឋ</v>
      </c>
      <c r="D13" s="90"/>
      <c r="E13" s="90" t="s">
        <v>125</v>
      </c>
      <c r="F13" s="90" t="str">
        <f>IF('Q1'!F19="","",'Q1'!F19)</f>
        <v>I</v>
      </c>
      <c r="G13" s="152" t="s">
        <v>163</v>
      </c>
      <c r="H13" s="153" t="s">
        <v>163</v>
      </c>
      <c r="I13" s="152" t="s">
        <v>196</v>
      </c>
      <c r="J13" s="153" t="s">
        <v>164</v>
      </c>
      <c r="K13" s="119" t="s">
        <v>178</v>
      </c>
      <c r="L13" s="146" t="s">
        <v>174</v>
      </c>
      <c r="M13" s="119" t="s">
        <v>179</v>
      </c>
      <c r="N13" s="146" t="s">
        <v>172</v>
      </c>
      <c r="O13" s="119" t="s">
        <v>199</v>
      </c>
      <c r="P13" s="146" t="s">
        <v>200</v>
      </c>
      <c r="Q13" s="119" t="s">
        <v>192</v>
      </c>
      <c r="R13" s="146" t="s">
        <v>190</v>
      </c>
      <c r="S13" s="119" t="s">
        <v>159</v>
      </c>
      <c r="T13" s="146" t="s">
        <v>160</v>
      </c>
      <c r="U13" s="119" t="s">
        <v>161</v>
      </c>
      <c r="V13" s="146" t="s">
        <v>162</v>
      </c>
      <c r="W13" s="119"/>
      <c r="X13" s="118"/>
      <c r="Y13" s="119"/>
      <c r="Z13" s="118"/>
      <c r="AA13" s="119" t="s">
        <v>155</v>
      </c>
      <c r="AB13" s="146" t="s">
        <v>153</v>
      </c>
      <c r="AC13" s="120" t="s">
        <v>154</v>
      </c>
      <c r="AD13" s="121" t="s">
        <v>158</v>
      </c>
      <c r="AE13" s="147" t="s">
        <v>159</v>
      </c>
      <c r="AF13" s="121" t="s">
        <v>160</v>
      </c>
      <c r="AG13" s="148" t="s">
        <v>161</v>
      </c>
      <c r="AH13" s="149" t="s">
        <v>162</v>
      </c>
      <c r="AI13" s="152" t="s">
        <v>163</v>
      </c>
      <c r="AJ13" s="153" t="s">
        <v>163</v>
      </c>
      <c r="AK13" s="152" t="s">
        <v>196</v>
      </c>
      <c r="AL13" s="153" t="s">
        <v>164</v>
      </c>
      <c r="AM13" s="119"/>
      <c r="AN13" s="118"/>
      <c r="AO13" s="119"/>
      <c r="AP13" s="118"/>
      <c r="AQ13" s="119" t="s">
        <v>151</v>
      </c>
      <c r="AR13" s="146" t="s">
        <v>146</v>
      </c>
      <c r="AS13" s="119" t="s">
        <v>147</v>
      </c>
      <c r="AT13" s="146" t="s">
        <v>148</v>
      </c>
      <c r="AU13" s="119" t="s">
        <v>151</v>
      </c>
      <c r="AV13" s="146" t="s">
        <v>146</v>
      </c>
      <c r="AW13" s="119" t="s">
        <v>147</v>
      </c>
      <c r="AX13" s="146" t="s">
        <v>148</v>
      </c>
      <c r="AY13" s="119" t="s">
        <v>151</v>
      </c>
      <c r="AZ13" s="146" t="s">
        <v>146</v>
      </c>
      <c r="BA13" s="119" t="s">
        <v>147</v>
      </c>
      <c r="BB13" s="146" t="s">
        <v>148</v>
      </c>
      <c r="BC13" s="119" t="s">
        <v>151</v>
      </c>
      <c r="BD13" s="146" t="s">
        <v>146</v>
      </c>
      <c r="BE13" s="120" t="s">
        <v>147</v>
      </c>
      <c r="BF13" s="121" t="s">
        <v>148</v>
      </c>
      <c r="BG13" s="147" t="s">
        <v>151</v>
      </c>
      <c r="BH13" s="121" t="s">
        <v>146</v>
      </c>
      <c r="BI13" s="148" t="s">
        <v>147</v>
      </c>
      <c r="BJ13" s="149" t="s">
        <v>148</v>
      </c>
      <c r="BK13" s="125" t="s">
        <v>151</v>
      </c>
      <c r="BL13" s="151" t="s">
        <v>146</v>
      </c>
      <c r="BM13" s="127" t="s">
        <v>147</v>
      </c>
      <c r="BN13" s="151" t="s">
        <v>148</v>
      </c>
      <c r="BO13" s="127" t="s">
        <v>151</v>
      </c>
      <c r="BP13" s="151" t="s">
        <v>146</v>
      </c>
      <c r="BQ13" s="127" t="s">
        <v>147</v>
      </c>
      <c r="BR13" s="151" t="s">
        <v>148</v>
      </c>
      <c r="BS13" s="127" t="s">
        <v>151</v>
      </c>
      <c r="BT13" s="151" t="s">
        <v>146</v>
      </c>
      <c r="BU13" s="127" t="s">
        <v>147</v>
      </c>
      <c r="BV13" s="151" t="s">
        <v>148</v>
      </c>
      <c r="BW13" s="127" t="s">
        <v>151</v>
      </c>
      <c r="BX13" s="151" t="s">
        <v>146</v>
      </c>
      <c r="BY13" s="127" t="s">
        <v>147</v>
      </c>
      <c r="BZ13" s="151" t="s">
        <v>148</v>
      </c>
      <c r="CA13" s="128" t="str">
        <f t="shared" si="0"/>
        <v>6A</v>
      </c>
    </row>
    <row r="14" spans="1:79" ht="30" customHeight="1" x14ac:dyDescent="0.35">
      <c r="A14" s="90">
        <f>IF('Q4'!A20="","",'Q4'!A20)</f>
        <v>6</v>
      </c>
      <c r="B14" s="90" t="str">
        <f>IF('Q1'!B20="","",'Q1'!B20)</f>
        <v>Pheng Meili</v>
      </c>
      <c r="C14" s="90" t="str">
        <f>IF('Q1'!C20="","",'Q1'!C20)</f>
        <v>ផេង ម៉ីលី</v>
      </c>
      <c r="D14" s="90"/>
      <c r="E14" s="90" t="s">
        <v>124</v>
      </c>
      <c r="F14" s="90" t="str">
        <f>IF('Q1'!F20="","",'Q1'!F20)</f>
        <v>I</v>
      </c>
      <c r="G14" s="152" t="s">
        <v>163</v>
      </c>
      <c r="H14" s="153" t="s">
        <v>163</v>
      </c>
      <c r="I14" s="152" t="s">
        <v>196</v>
      </c>
      <c r="J14" s="153" t="s">
        <v>164</v>
      </c>
      <c r="K14" s="119" t="s">
        <v>180</v>
      </c>
      <c r="L14" s="146" t="s">
        <v>166</v>
      </c>
      <c r="M14" s="119" t="s">
        <v>181</v>
      </c>
      <c r="N14" s="146" t="s">
        <v>172</v>
      </c>
      <c r="O14" s="119" t="s">
        <v>201</v>
      </c>
      <c r="P14" s="146" t="s">
        <v>202</v>
      </c>
      <c r="Q14" s="119" t="s">
        <v>203</v>
      </c>
      <c r="R14" s="146" t="s">
        <v>190</v>
      </c>
      <c r="S14" s="119" t="s">
        <v>159</v>
      </c>
      <c r="T14" s="146" t="s">
        <v>160</v>
      </c>
      <c r="U14" s="119" t="s">
        <v>161</v>
      </c>
      <c r="V14" s="146" t="s">
        <v>162</v>
      </c>
      <c r="W14" s="119"/>
      <c r="X14" s="118"/>
      <c r="Y14" s="119"/>
      <c r="Z14" s="118"/>
      <c r="AA14" s="119" t="s">
        <v>156</v>
      </c>
      <c r="AB14" s="146" t="s">
        <v>153</v>
      </c>
      <c r="AC14" s="120" t="s">
        <v>154</v>
      </c>
      <c r="AD14" s="121" t="s">
        <v>158</v>
      </c>
      <c r="AE14" s="147" t="s">
        <v>159</v>
      </c>
      <c r="AF14" s="121" t="s">
        <v>160</v>
      </c>
      <c r="AG14" s="148" t="s">
        <v>161</v>
      </c>
      <c r="AH14" s="149" t="s">
        <v>162</v>
      </c>
      <c r="AI14" s="152" t="s">
        <v>163</v>
      </c>
      <c r="AJ14" s="153" t="s">
        <v>163</v>
      </c>
      <c r="AK14" s="152" t="s">
        <v>196</v>
      </c>
      <c r="AL14" s="153" t="s">
        <v>164</v>
      </c>
      <c r="AM14" s="119"/>
      <c r="AN14" s="118"/>
      <c r="AO14" s="119"/>
      <c r="AP14" s="118"/>
      <c r="AQ14" s="119" t="s">
        <v>146</v>
      </c>
      <c r="AR14" s="146" t="s">
        <v>146</v>
      </c>
      <c r="AS14" s="119" t="s">
        <v>149</v>
      </c>
      <c r="AT14" s="146" t="s">
        <v>148</v>
      </c>
      <c r="AU14" s="119" t="s">
        <v>146</v>
      </c>
      <c r="AV14" s="146" t="s">
        <v>146</v>
      </c>
      <c r="AW14" s="119" t="s">
        <v>149</v>
      </c>
      <c r="AX14" s="146" t="s">
        <v>148</v>
      </c>
      <c r="AY14" s="119" t="s">
        <v>146</v>
      </c>
      <c r="AZ14" s="146" t="s">
        <v>146</v>
      </c>
      <c r="BA14" s="119" t="s">
        <v>149</v>
      </c>
      <c r="BB14" s="146" t="s">
        <v>148</v>
      </c>
      <c r="BC14" s="119" t="s">
        <v>146</v>
      </c>
      <c r="BD14" s="146" t="s">
        <v>146</v>
      </c>
      <c r="BE14" s="120" t="s">
        <v>149</v>
      </c>
      <c r="BF14" s="121" t="s">
        <v>148</v>
      </c>
      <c r="BG14" s="147" t="s">
        <v>146</v>
      </c>
      <c r="BH14" s="121" t="s">
        <v>146</v>
      </c>
      <c r="BI14" s="148" t="s">
        <v>149</v>
      </c>
      <c r="BJ14" s="149" t="s">
        <v>148</v>
      </c>
      <c r="BK14" s="125" t="s">
        <v>146</v>
      </c>
      <c r="BL14" s="151" t="s">
        <v>146</v>
      </c>
      <c r="BM14" s="127" t="s">
        <v>149</v>
      </c>
      <c r="BN14" s="151" t="s">
        <v>148</v>
      </c>
      <c r="BO14" s="127" t="s">
        <v>146</v>
      </c>
      <c r="BP14" s="151" t="s">
        <v>146</v>
      </c>
      <c r="BQ14" s="127" t="s">
        <v>149</v>
      </c>
      <c r="BR14" s="151" t="s">
        <v>148</v>
      </c>
      <c r="BS14" s="127" t="s">
        <v>146</v>
      </c>
      <c r="BT14" s="151" t="s">
        <v>146</v>
      </c>
      <c r="BU14" s="127" t="s">
        <v>149</v>
      </c>
      <c r="BV14" s="151" t="s">
        <v>148</v>
      </c>
      <c r="BW14" s="127" t="s">
        <v>146</v>
      </c>
      <c r="BX14" s="151" t="s">
        <v>146</v>
      </c>
      <c r="BY14" s="127" t="s">
        <v>149</v>
      </c>
      <c r="BZ14" s="151" t="s">
        <v>148</v>
      </c>
      <c r="CA14" s="128" t="str">
        <f t="shared" si="0"/>
        <v>6A</v>
      </c>
    </row>
    <row r="15" spans="1:79" ht="30" customHeight="1" x14ac:dyDescent="0.35">
      <c r="A15" s="90">
        <f>IF('Q4'!A21="","",'Q4'!A21)</f>
        <v>7</v>
      </c>
      <c r="B15" s="90" t="str">
        <f>IF('Q1'!B21="","",'Q1'!B21)</f>
        <v>Vuthy Eanvisal</v>
      </c>
      <c r="C15" s="90" t="str">
        <f>IF('Q1'!C21="","",'Q1'!C21)</f>
        <v>វុទ្ធី អ៊ានវិសាល</v>
      </c>
      <c r="D15" s="90"/>
      <c r="E15" s="90" t="s">
        <v>125</v>
      </c>
      <c r="F15" s="90" t="str">
        <f>IF('Q1'!F21="","",'Q1'!F21)</f>
        <v>I</v>
      </c>
      <c r="G15" s="152" t="s">
        <v>163</v>
      </c>
      <c r="H15" s="153" t="s">
        <v>163</v>
      </c>
      <c r="I15" s="152" t="s">
        <v>196</v>
      </c>
      <c r="J15" s="153" t="s">
        <v>164</v>
      </c>
      <c r="K15" s="119" t="s">
        <v>173</v>
      </c>
      <c r="L15" s="146" t="s">
        <v>182</v>
      </c>
      <c r="M15" s="119" t="s">
        <v>177</v>
      </c>
      <c r="N15" s="146" t="s">
        <v>172</v>
      </c>
      <c r="O15" s="119" t="s">
        <v>204</v>
      </c>
      <c r="P15" s="146" t="s">
        <v>205</v>
      </c>
      <c r="Q15" s="119" t="s">
        <v>198</v>
      </c>
      <c r="R15" s="146" t="s">
        <v>190</v>
      </c>
      <c r="S15" s="119" t="s">
        <v>159</v>
      </c>
      <c r="T15" s="146" t="s">
        <v>160</v>
      </c>
      <c r="U15" s="119" t="s">
        <v>161</v>
      </c>
      <c r="V15" s="146" t="s">
        <v>162</v>
      </c>
      <c r="W15" s="119"/>
      <c r="X15" s="118"/>
      <c r="Y15" s="119"/>
      <c r="Z15" s="118"/>
      <c r="AA15" s="119" t="s">
        <v>157</v>
      </c>
      <c r="AB15" s="146" t="s">
        <v>153</v>
      </c>
      <c r="AC15" s="120" t="s">
        <v>154</v>
      </c>
      <c r="AD15" s="121" t="s">
        <v>158</v>
      </c>
      <c r="AE15" s="147" t="s">
        <v>159</v>
      </c>
      <c r="AF15" s="121" t="s">
        <v>160</v>
      </c>
      <c r="AG15" s="148" t="s">
        <v>161</v>
      </c>
      <c r="AH15" s="149" t="s">
        <v>162</v>
      </c>
      <c r="AI15" s="152" t="s">
        <v>163</v>
      </c>
      <c r="AJ15" s="153" t="s">
        <v>163</v>
      </c>
      <c r="AK15" s="152" t="s">
        <v>196</v>
      </c>
      <c r="AL15" s="153" t="s">
        <v>164</v>
      </c>
      <c r="AM15" s="119"/>
      <c r="AN15" s="118"/>
      <c r="AO15" s="119"/>
      <c r="AP15" s="118"/>
      <c r="AQ15" s="119" t="s">
        <v>145</v>
      </c>
      <c r="AR15" s="146" t="s">
        <v>146</v>
      </c>
      <c r="AS15" s="119" t="s">
        <v>152</v>
      </c>
      <c r="AT15" s="146" t="s">
        <v>148</v>
      </c>
      <c r="AU15" s="119" t="s">
        <v>145</v>
      </c>
      <c r="AV15" s="146" t="s">
        <v>146</v>
      </c>
      <c r="AW15" s="119" t="s">
        <v>152</v>
      </c>
      <c r="AX15" s="146" t="s">
        <v>148</v>
      </c>
      <c r="AY15" s="119" t="s">
        <v>145</v>
      </c>
      <c r="AZ15" s="146" t="s">
        <v>146</v>
      </c>
      <c r="BA15" s="119" t="s">
        <v>152</v>
      </c>
      <c r="BB15" s="146" t="s">
        <v>148</v>
      </c>
      <c r="BC15" s="119" t="s">
        <v>145</v>
      </c>
      <c r="BD15" s="146" t="s">
        <v>146</v>
      </c>
      <c r="BE15" s="120" t="s">
        <v>152</v>
      </c>
      <c r="BF15" s="121" t="s">
        <v>148</v>
      </c>
      <c r="BG15" s="147" t="s">
        <v>145</v>
      </c>
      <c r="BH15" s="121" t="s">
        <v>146</v>
      </c>
      <c r="BI15" s="148" t="s">
        <v>152</v>
      </c>
      <c r="BJ15" s="149" t="s">
        <v>148</v>
      </c>
      <c r="BK15" s="125" t="s">
        <v>145</v>
      </c>
      <c r="BL15" s="151" t="s">
        <v>146</v>
      </c>
      <c r="BM15" s="127" t="s">
        <v>152</v>
      </c>
      <c r="BN15" s="151" t="s">
        <v>148</v>
      </c>
      <c r="BO15" s="127" t="s">
        <v>145</v>
      </c>
      <c r="BP15" s="151" t="s">
        <v>146</v>
      </c>
      <c r="BQ15" s="127" t="s">
        <v>152</v>
      </c>
      <c r="BR15" s="151" t="s">
        <v>148</v>
      </c>
      <c r="BS15" s="127" t="s">
        <v>145</v>
      </c>
      <c r="BT15" s="151" t="s">
        <v>146</v>
      </c>
      <c r="BU15" s="127" t="s">
        <v>152</v>
      </c>
      <c r="BV15" s="151" t="s">
        <v>148</v>
      </c>
      <c r="BW15" s="127" t="s">
        <v>145</v>
      </c>
      <c r="BX15" s="151" t="s">
        <v>146</v>
      </c>
      <c r="BY15" s="127" t="s">
        <v>152</v>
      </c>
      <c r="BZ15" s="151" t="s">
        <v>148</v>
      </c>
      <c r="CA15" s="128" t="str">
        <f t="shared" si="0"/>
        <v>6A</v>
      </c>
    </row>
    <row r="16" spans="1:79" ht="30" customHeight="1" x14ac:dyDescent="0.35">
      <c r="A16" s="90">
        <f>IF('Q4'!A22="","",'Q4'!A22)</f>
        <v>8</v>
      </c>
      <c r="B16" s="90" t="str">
        <f>IF('Q1'!B22="","",'Q1'!B22)</f>
        <v>Dyna Sovanysa</v>
      </c>
      <c r="C16" s="90" t="str">
        <f>IF('Q1'!C22="","",'Q1'!C22)</f>
        <v>ឌីណា សុវណ្ណីហ្សា</v>
      </c>
      <c r="D16" s="90"/>
      <c r="E16" s="90" t="s">
        <v>124</v>
      </c>
      <c r="F16" s="90" t="str">
        <f>IF('Q1'!F22="","",'Q1'!F22)</f>
        <v>I</v>
      </c>
      <c r="G16" s="152" t="s">
        <v>163</v>
      </c>
      <c r="H16" s="153" t="s">
        <v>163</v>
      </c>
      <c r="I16" s="152" t="s">
        <v>196</v>
      </c>
      <c r="J16" s="153" t="s">
        <v>164</v>
      </c>
      <c r="K16" s="119" t="s">
        <v>173</v>
      </c>
      <c r="L16" s="146" t="s">
        <v>183</v>
      </c>
      <c r="M16" s="119" t="s">
        <v>177</v>
      </c>
      <c r="N16" s="146" t="s">
        <v>172</v>
      </c>
      <c r="O16" s="119" t="s">
        <v>206</v>
      </c>
      <c r="P16" s="146" t="s">
        <v>188</v>
      </c>
      <c r="Q16" s="119" t="s">
        <v>198</v>
      </c>
      <c r="R16" s="146" t="s">
        <v>190</v>
      </c>
      <c r="S16" s="119" t="s">
        <v>159</v>
      </c>
      <c r="T16" s="146" t="s">
        <v>160</v>
      </c>
      <c r="U16" s="119" t="s">
        <v>161</v>
      </c>
      <c r="V16" s="146" t="s">
        <v>162</v>
      </c>
      <c r="W16" s="119"/>
      <c r="X16" s="118"/>
      <c r="Y16" s="119"/>
      <c r="Z16" s="118"/>
      <c r="AA16" s="119" t="s">
        <v>155</v>
      </c>
      <c r="AB16" s="146" t="s">
        <v>153</v>
      </c>
      <c r="AC16" s="120" t="s">
        <v>154</v>
      </c>
      <c r="AD16" s="121" t="s">
        <v>158</v>
      </c>
      <c r="AE16" s="147" t="s">
        <v>159</v>
      </c>
      <c r="AF16" s="121" t="s">
        <v>160</v>
      </c>
      <c r="AG16" s="148" t="s">
        <v>161</v>
      </c>
      <c r="AH16" s="149" t="s">
        <v>162</v>
      </c>
      <c r="AI16" s="152" t="s">
        <v>163</v>
      </c>
      <c r="AJ16" s="153" t="s">
        <v>163</v>
      </c>
      <c r="AK16" s="152" t="s">
        <v>196</v>
      </c>
      <c r="AL16" s="153" t="s">
        <v>164</v>
      </c>
      <c r="AM16" s="119"/>
      <c r="AN16" s="118"/>
      <c r="AO16" s="119"/>
      <c r="AP16" s="118"/>
      <c r="AQ16" s="119" t="s">
        <v>146</v>
      </c>
      <c r="AR16" s="146" t="s">
        <v>146</v>
      </c>
      <c r="AS16" s="119" t="s">
        <v>149</v>
      </c>
      <c r="AT16" s="146" t="s">
        <v>148</v>
      </c>
      <c r="AU16" s="119" t="s">
        <v>146</v>
      </c>
      <c r="AV16" s="146" t="s">
        <v>146</v>
      </c>
      <c r="AW16" s="119" t="s">
        <v>149</v>
      </c>
      <c r="AX16" s="146" t="s">
        <v>148</v>
      </c>
      <c r="AY16" s="119" t="s">
        <v>146</v>
      </c>
      <c r="AZ16" s="146" t="s">
        <v>146</v>
      </c>
      <c r="BA16" s="119" t="s">
        <v>149</v>
      </c>
      <c r="BB16" s="146" t="s">
        <v>148</v>
      </c>
      <c r="BC16" s="119" t="s">
        <v>146</v>
      </c>
      <c r="BD16" s="146" t="s">
        <v>146</v>
      </c>
      <c r="BE16" s="120" t="s">
        <v>149</v>
      </c>
      <c r="BF16" s="121" t="s">
        <v>148</v>
      </c>
      <c r="BG16" s="147" t="s">
        <v>146</v>
      </c>
      <c r="BH16" s="121" t="s">
        <v>146</v>
      </c>
      <c r="BI16" s="148" t="s">
        <v>149</v>
      </c>
      <c r="BJ16" s="149" t="s">
        <v>148</v>
      </c>
      <c r="BK16" s="125" t="s">
        <v>146</v>
      </c>
      <c r="BL16" s="151" t="s">
        <v>146</v>
      </c>
      <c r="BM16" s="127" t="s">
        <v>149</v>
      </c>
      <c r="BN16" s="151" t="s">
        <v>148</v>
      </c>
      <c r="BO16" s="127" t="s">
        <v>146</v>
      </c>
      <c r="BP16" s="151" t="s">
        <v>146</v>
      </c>
      <c r="BQ16" s="127" t="s">
        <v>149</v>
      </c>
      <c r="BR16" s="151" t="s">
        <v>148</v>
      </c>
      <c r="BS16" s="127" t="s">
        <v>146</v>
      </c>
      <c r="BT16" s="151" t="s">
        <v>146</v>
      </c>
      <c r="BU16" s="127" t="s">
        <v>149</v>
      </c>
      <c r="BV16" s="151" t="s">
        <v>148</v>
      </c>
      <c r="BW16" s="127" t="s">
        <v>146</v>
      </c>
      <c r="BX16" s="151" t="s">
        <v>146</v>
      </c>
      <c r="BY16" s="127" t="s">
        <v>149</v>
      </c>
      <c r="BZ16" s="151" t="s">
        <v>148</v>
      </c>
      <c r="CA16" s="128" t="str">
        <f t="shared" si="0"/>
        <v>6A</v>
      </c>
    </row>
    <row r="17" spans="1:79" ht="30" customHeight="1" x14ac:dyDescent="0.35">
      <c r="A17" s="90">
        <f>IF('Q4'!A23="","",'Q4'!A23)</f>
        <v>9</v>
      </c>
      <c r="B17" s="90" t="str">
        <f>IF('Q1'!B23="","",'Q1'!B23)</f>
        <v>Sann Visorth</v>
      </c>
      <c r="C17" s="90" t="str">
        <f>IF('Q1'!C23="","",'Q1'!C23)</f>
        <v>សាន វីសុទ្ធ</v>
      </c>
      <c r="D17" s="90"/>
      <c r="E17" s="90" t="s">
        <v>125</v>
      </c>
      <c r="F17" s="90" t="str">
        <f>IF('Q1'!F23="","",'Q1'!F23)</f>
        <v>I</v>
      </c>
      <c r="G17" s="152" t="s">
        <v>163</v>
      </c>
      <c r="H17" s="153" t="s">
        <v>163</v>
      </c>
      <c r="I17" s="152" t="s">
        <v>196</v>
      </c>
      <c r="J17" s="153" t="s">
        <v>164</v>
      </c>
      <c r="K17" s="119" t="s">
        <v>178</v>
      </c>
      <c r="L17" s="146" t="s">
        <v>174</v>
      </c>
      <c r="M17" s="119" t="s">
        <v>184</v>
      </c>
      <c r="N17" s="146" t="s">
        <v>172</v>
      </c>
      <c r="O17" s="119" t="s">
        <v>207</v>
      </c>
      <c r="P17" s="146" t="s">
        <v>208</v>
      </c>
      <c r="Q17" s="119" t="s">
        <v>209</v>
      </c>
      <c r="R17" s="146" t="s">
        <v>190</v>
      </c>
      <c r="S17" s="119" t="s">
        <v>159</v>
      </c>
      <c r="T17" s="146" t="s">
        <v>160</v>
      </c>
      <c r="U17" s="119" t="s">
        <v>161</v>
      </c>
      <c r="V17" s="146" t="s">
        <v>162</v>
      </c>
      <c r="W17" s="119"/>
      <c r="X17" s="118"/>
      <c r="Y17" s="119"/>
      <c r="Z17" s="118"/>
      <c r="AA17" s="119" t="s">
        <v>155</v>
      </c>
      <c r="AB17" s="146" t="s">
        <v>153</v>
      </c>
      <c r="AC17" s="120" t="s">
        <v>154</v>
      </c>
      <c r="AD17" s="121" t="s">
        <v>158</v>
      </c>
      <c r="AE17" s="147" t="s">
        <v>159</v>
      </c>
      <c r="AF17" s="121" t="s">
        <v>160</v>
      </c>
      <c r="AG17" s="148" t="s">
        <v>161</v>
      </c>
      <c r="AH17" s="149" t="s">
        <v>162</v>
      </c>
      <c r="AI17" s="152" t="s">
        <v>163</v>
      </c>
      <c r="AJ17" s="153" t="s">
        <v>163</v>
      </c>
      <c r="AK17" s="152" t="s">
        <v>196</v>
      </c>
      <c r="AL17" s="153" t="s">
        <v>164</v>
      </c>
      <c r="AM17" s="119"/>
      <c r="AN17" s="118"/>
      <c r="AO17" s="119"/>
      <c r="AP17" s="118"/>
      <c r="AQ17" s="119" t="s">
        <v>151</v>
      </c>
      <c r="AR17" s="146" t="s">
        <v>146</v>
      </c>
      <c r="AS17" s="119" t="s">
        <v>152</v>
      </c>
      <c r="AT17" s="146" t="s">
        <v>148</v>
      </c>
      <c r="AU17" s="119" t="s">
        <v>151</v>
      </c>
      <c r="AV17" s="146" t="s">
        <v>146</v>
      </c>
      <c r="AW17" s="119" t="s">
        <v>152</v>
      </c>
      <c r="AX17" s="146" t="s">
        <v>148</v>
      </c>
      <c r="AY17" s="119" t="s">
        <v>151</v>
      </c>
      <c r="AZ17" s="146" t="s">
        <v>146</v>
      </c>
      <c r="BA17" s="119" t="s">
        <v>152</v>
      </c>
      <c r="BB17" s="146" t="s">
        <v>148</v>
      </c>
      <c r="BC17" s="119" t="s">
        <v>151</v>
      </c>
      <c r="BD17" s="146" t="s">
        <v>146</v>
      </c>
      <c r="BE17" s="120" t="s">
        <v>152</v>
      </c>
      <c r="BF17" s="121" t="s">
        <v>148</v>
      </c>
      <c r="BG17" s="147" t="s">
        <v>151</v>
      </c>
      <c r="BH17" s="121" t="s">
        <v>146</v>
      </c>
      <c r="BI17" s="148" t="s">
        <v>152</v>
      </c>
      <c r="BJ17" s="149" t="s">
        <v>148</v>
      </c>
      <c r="BK17" s="125" t="s">
        <v>151</v>
      </c>
      <c r="BL17" s="151" t="s">
        <v>146</v>
      </c>
      <c r="BM17" s="127" t="s">
        <v>152</v>
      </c>
      <c r="BN17" s="151" t="s">
        <v>148</v>
      </c>
      <c r="BO17" s="127" t="s">
        <v>151</v>
      </c>
      <c r="BP17" s="151" t="s">
        <v>146</v>
      </c>
      <c r="BQ17" s="127" t="s">
        <v>152</v>
      </c>
      <c r="BR17" s="151" t="s">
        <v>148</v>
      </c>
      <c r="BS17" s="127" t="s">
        <v>151</v>
      </c>
      <c r="BT17" s="151" t="s">
        <v>146</v>
      </c>
      <c r="BU17" s="127" t="s">
        <v>152</v>
      </c>
      <c r="BV17" s="151" t="s">
        <v>148</v>
      </c>
      <c r="BW17" s="127" t="s">
        <v>151</v>
      </c>
      <c r="BX17" s="151" t="s">
        <v>146</v>
      </c>
      <c r="BY17" s="127" t="s">
        <v>152</v>
      </c>
      <c r="BZ17" s="151" t="s">
        <v>148</v>
      </c>
      <c r="CA17" s="128" t="str">
        <f t="shared" si="0"/>
        <v>6A</v>
      </c>
    </row>
    <row r="18" spans="1:79" ht="30" customHeight="1" x14ac:dyDescent="0.35">
      <c r="A18" s="90">
        <f>IF('Q4'!A24="","",'Q4'!A24)</f>
        <v>10</v>
      </c>
      <c r="B18" s="90" t="str">
        <f>IF('Q1'!B24="","",'Q1'!B24)</f>
        <v xml:space="preserve">Danong Kellen </v>
      </c>
      <c r="C18" s="90" t="str">
        <f>IF('Q1'!C24="","",'Q1'!C24)</f>
        <v>ដាណង់ ខេលេន</v>
      </c>
      <c r="D18" s="90"/>
      <c r="E18" s="90" t="s">
        <v>125</v>
      </c>
      <c r="F18" s="90" t="str">
        <f>IF('Q1'!F24="","",'Q1'!F24)</f>
        <v>I</v>
      </c>
      <c r="G18" s="152" t="s">
        <v>163</v>
      </c>
      <c r="H18" s="153" t="s">
        <v>163</v>
      </c>
      <c r="I18" s="152" t="s">
        <v>196</v>
      </c>
      <c r="J18" s="153" t="s">
        <v>164</v>
      </c>
      <c r="K18" s="119" t="s">
        <v>185</v>
      </c>
      <c r="L18" s="146" t="s">
        <v>186</v>
      </c>
      <c r="M18" s="119" t="s">
        <v>179</v>
      </c>
      <c r="N18" s="146" t="s">
        <v>172</v>
      </c>
      <c r="O18" s="119" t="s">
        <v>207</v>
      </c>
      <c r="P18" s="146" t="s">
        <v>208</v>
      </c>
      <c r="Q18" s="119" t="s">
        <v>192</v>
      </c>
      <c r="R18" s="146" t="s">
        <v>190</v>
      </c>
      <c r="S18" s="119" t="s">
        <v>159</v>
      </c>
      <c r="T18" s="146" t="s">
        <v>160</v>
      </c>
      <c r="U18" s="119" t="s">
        <v>161</v>
      </c>
      <c r="V18" s="146" t="s">
        <v>162</v>
      </c>
      <c r="W18" s="119"/>
      <c r="X18" s="118"/>
      <c r="Y18" s="119"/>
      <c r="Z18" s="118"/>
      <c r="AA18" s="119" t="s">
        <v>153</v>
      </c>
      <c r="AB18" s="146" t="s">
        <v>153</v>
      </c>
      <c r="AC18" s="120" t="s">
        <v>154</v>
      </c>
      <c r="AD18" s="121" t="s">
        <v>158</v>
      </c>
      <c r="AE18" s="147" t="s">
        <v>159</v>
      </c>
      <c r="AF18" s="121" t="s">
        <v>160</v>
      </c>
      <c r="AG18" s="148" t="s">
        <v>161</v>
      </c>
      <c r="AH18" s="149" t="s">
        <v>162</v>
      </c>
      <c r="AI18" s="152" t="s">
        <v>163</v>
      </c>
      <c r="AJ18" s="153" t="s">
        <v>163</v>
      </c>
      <c r="AK18" s="152" t="s">
        <v>196</v>
      </c>
      <c r="AL18" s="153" t="s">
        <v>164</v>
      </c>
      <c r="AM18" s="119"/>
      <c r="AN18" s="118"/>
      <c r="AO18" s="119"/>
      <c r="AP18" s="118"/>
      <c r="AQ18" s="119" t="s">
        <v>151</v>
      </c>
      <c r="AR18" s="146" t="s">
        <v>146</v>
      </c>
      <c r="AS18" s="119" t="s">
        <v>147</v>
      </c>
      <c r="AT18" s="146" t="s">
        <v>148</v>
      </c>
      <c r="AU18" s="119" t="s">
        <v>151</v>
      </c>
      <c r="AV18" s="146" t="s">
        <v>146</v>
      </c>
      <c r="AW18" s="119" t="s">
        <v>147</v>
      </c>
      <c r="AX18" s="146" t="s">
        <v>148</v>
      </c>
      <c r="AY18" s="119" t="s">
        <v>151</v>
      </c>
      <c r="AZ18" s="146" t="s">
        <v>146</v>
      </c>
      <c r="BA18" s="119" t="s">
        <v>147</v>
      </c>
      <c r="BB18" s="146" t="s">
        <v>148</v>
      </c>
      <c r="BC18" s="119" t="s">
        <v>151</v>
      </c>
      <c r="BD18" s="146" t="s">
        <v>146</v>
      </c>
      <c r="BE18" s="120" t="s">
        <v>147</v>
      </c>
      <c r="BF18" s="121" t="s">
        <v>148</v>
      </c>
      <c r="BG18" s="147" t="s">
        <v>151</v>
      </c>
      <c r="BH18" s="121" t="s">
        <v>146</v>
      </c>
      <c r="BI18" s="148" t="s">
        <v>147</v>
      </c>
      <c r="BJ18" s="149" t="s">
        <v>148</v>
      </c>
      <c r="BK18" s="125" t="s">
        <v>151</v>
      </c>
      <c r="BL18" s="151" t="s">
        <v>146</v>
      </c>
      <c r="BM18" s="127" t="s">
        <v>147</v>
      </c>
      <c r="BN18" s="151" t="s">
        <v>148</v>
      </c>
      <c r="BO18" s="127" t="s">
        <v>151</v>
      </c>
      <c r="BP18" s="151" t="s">
        <v>146</v>
      </c>
      <c r="BQ18" s="127" t="s">
        <v>147</v>
      </c>
      <c r="BR18" s="151" t="s">
        <v>148</v>
      </c>
      <c r="BS18" s="127" t="s">
        <v>151</v>
      </c>
      <c r="BT18" s="151" t="s">
        <v>146</v>
      </c>
      <c r="BU18" s="127" t="s">
        <v>147</v>
      </c>
      <c r="BV18" s="151" t="s">
        <v>148</v>
      </c>
      <c r="BW18" s="127" t="s">
        <v>151</v>
      </c>
      <c r="BX18" s="151" t="s">
        <v>146</v>
      </c>
      <c r="BY18" s="127" t="s">
        <v>147</v>
      </c>
      <c r="BZ18" s="151" t="s">
        <v>148</v>
      </c>
      <c r="CA18" s="128" t="str">
        <f t="shared" si="0"/>
        <v>6A</v>
      </c>
    </row>
    <row r="19" spans="1:79" ht="30" customHeight="1" x14ac:dyDescent="0.35">
      <c r="A19" s="90">
        <f>IF('Q4'!A25="","",'Q4'!A25)</f>
        <v>11</v>
      </c>
      <c r="B19" s="90" t="str">
        <f>IF('Q1'!B25="","",'Q1'!B25)</f>
        <v>Reaksmey Vorakbot</v>
      </c>
      <c r="C19" s="90" t="str">
        <f>IF('Q1'!C25="","",'Q1'!C25)</f>
        <v>រស្មី វរបុត្រ</v>
      </c>
      <c r="D19" s="90"/>
      <c r="E19" s="90"/>
      <c r="F19" s="90" t="str">
        <f>IF('Q1'!F25="","",'Q1'!F25)</f>
        <v>I</v>
      </c>
      <c r="G19" s="117"/>
      <c r="H19" s="118"/>
      <c r="I19" s="117"/>
      <c r="J19" s="118"/>
      <c r="K19" s="119"/>
      <c r="L19" s="146"/>
      <c r="M19" s="119"/>
      <c r="N19" s="146"/>
      <c r="O19" s="119"/>
      <c r="P19" s="146"/>
      <c r="Q19" s="119"/>
      <c r="R19" s="146"/>
      <c r="S19" s="119"/>
      <c r="T19" s="146"/>
      <c r="U19" s="119"/>
      <c r="V19" s="146"/>
      <c r="W19" s="119"/>
      <c r="X19" s="118"/>
      <c r="Y19" s="119"/>
      <c r="Z19" s="118"/>
      <c r="AA19" s="119"/>
      <c r="AB19" s="146"/>
      <c r="AC19" s="120"/>
      <c r="AD19" s="121"/>
      <c r="AE19" s="147"/>
      <c r="AF19" s="121"/>
      <c r="AG19" s="148"/>
      <c r="AH19" s="149"/>
      <c r="AI19" s="117"/>
      <c r="AJ19" s="118"/>
      <c r="AK19" s="119"/>
      <c r="AL19" s="118"/>
      <c r="AM19" s="119"/>
      <c r="AN19" s="118"/>
      <c r="AO19" s="119"/>
      <c r="AP19" s="118"/>
      <c r="AQ19" s="119"/>
      <c r="AR19" s="118"/>
      <c r="AS19" s="119"/>
      <c r="AT19" s="118"/>
      <c r="AU19" s="119"/>
      <c r="AV19" s="118"/>
      <c r="AW19" s="119"/>
      <c r="AX19" s="118"/>
      <c r="AY19" s="119"/>
      <c r="AZ19" s="118"/>
      <c r="BA19" s="119"/>
      <c r="BB19" s="118"/>
      <c r="BC19" s="119"/>
      <c r="BD19" s="118"/>
      <c r="BE19" s="120"/>
      <c r="BF19" s="121"/>
      <c r="BG19" s="122"/>
      <c r="BH19" s="121"/>
      <c r="BI19" s="123"/>
      <c r="BJ19" s="124"/>
      <c r="BK19" s="125"/>
      <c r="BL19" s="126"/>
      <c r="BM19" s="127"/>
      <c r="BN19" s="126"/>
      <c r="BO19" s="127"/>
      <c r="BP19" s="126"/>
      <c r="BQ19" s="127"/>
      <c r="BR19" s="126"/>
      <c r="BS19" s="127"/>
      <c r="BT19" s="126"/>
      <c r="BU19" s="127"/>
      <c r="BV19" s="126"/>
      <c r="BW19" s="127"/>
      <c r="BX19" s="126"/>
      <c r="BY19" s="127"/>
      <c r="BZ19" s="126"/>
      <c r="CA19" s="128" t="str">
        <f t="shared" si="0"/>
        <v>6A</v>
      </c>
    </row>
    <row r="20" spans="1:79" ht="30" customHeight="1" x14ac:dyDescent="0.35">
      <c r="A20" s="90">
        <f>IF('Q4'!A26="","",'Q4'!A26)</f>
        <v>12</v>
      </c>
      <c r="B20" s="90" t="str">
        <f>IF('Q1'!B26="","",'Q1'!B26)</f>
        <v>Nean Lyhour</v>
      </c>
      <c r="C20" s="90" t="str">
        <f>IF('Q1'!C26="","",'Q1'!C26)</f>
        <v>នាន លីហួរ</v>
      </c>
      <c r="D20" s="90"/>
      <c r="E20" s="90"/>
      <c r="F20" s="90" t="str">
        <f>IF('Q1'!F26="","",'Q1'!F26)</f>
        <v>I</v>
      </c>
      <c r="G20" s="117"/>
      <c r="H20" s="118"/>
      <c r="I20" s="117"/>
      <c r="J20" s="118"/>
      <c r="K20" s="119"/>
      <c r="L20" s="146"/>
      <c r="M20" s="119"/>
      <c r="N20" s="146"/>
      <c r="O20" s="119"/>
      <c r="P20" s="146"/>
      <c r="Q20" s="119"/>
      <c r="R20" s="146"/>
      <c r="S20" s="119"/>
      <c r="T20" s="146"/>
      <c r="U20" s="119"/>
      <c r="V20" s="146"/>
      <c r="W20" s="119"/>
      <c r="X20" s="118"/>
      <c r="Y20" s="119"/>
      <c r="Z20" s="118"/>
      <c r="AA20" s="119"/>
      <c r="AB20" s="146"/>
      <c r="AC20" s="120"/>
      <c r="AD20" s="121"/>
      <c r="AE20" s="147"/>
      <c r="AF20" s="121"/>
      <c r="AG20" s="148"/>
      <c r="AH20" s="149"/>
      <c r="AI20" s="117"/>
      <c r="AJ20" s="118"/>
      <c r="AK20" s="119"/>
      <c r="AL20" s="118"/>
      <c r="AM20" s="119"/>
      <c r="AN20" s="118"/>
      <c r="AO20" s="119"/>
      <c r="AP20" s="118"/>
      <c r="AQ20" s="119"/>
      <c r="AR20" s="118"/>
      <c r="AS20" s="119"/>
      <c r="AT20" s="118"/>
      <c r="AU20" s="119"/>
      <c r="AV20" s="118"/>
      <c r="AW20" s="119"/>
      <c r="AX20" s="118"/>
      <c r="AY20" s="119"/>
      <c r="AZ20" s="118"/>
      <c r="BA20" s="119"/>
      <c r="BB20" s="118"/>
      <c r="BC20" s="119"/>
      <c r="BD20" s="118"/>
      <c r="BE20" s="120"/>
      <c r="BF20" s="121"/>
      <c r="BG20" s="122"/>
      <c r="BH20" s="121"/>
      <c r="BI20" s="123"/>
      <c r="BJ20" s="124"/>
      <c r="BK20" s="125"/>
      <c r="BL20" s="126"/>
      <c r="BM20" s="127"/>
      <c r="BN20" s="126"/>
      <c r="BO20" s="127"/>
      <c r="BP20" s="126"/>
      <c r="BQ20" s="127"/>
      <c r="BR20" s="126"/>
      <c r="BS20" s="127"/>
      <c r="BT20" s="126"/>
      <c r="BU20" s="127"/>
      <c r="BV20" s="126"/>
      <c r="BW20" s="127"/>
      <c r="BX20" s="126"/>
      <c r="BY20" s="127"/>
      <c r="BZ20" s="126"/>
      <c r="CA20" s="128" t="str">
        <f t="shared" si="0"/>
        <v>6A</v>
      </c>
    </row>
    <row r="21" spans="1:79" ht="30" customHeight="1" x14ac:dyDescent="0.35">
      <c r="A21" s="90">
        <f>IF('Q4'!A27="","",'Q4'!A27)</f>
        <v>13</v>
      </c>
      <c r="B21" s="90" t="str">
        <f>IF('Q1'!B27="","",'Q1'!B27)</f>
        <v>Pheng Udomveha</v>
      </c>
      <c r="C21" s="90" t="str">
        <f>IF('Q1'!C27="","",'Q1'!C27)</f>
        <v>ផេង ឧត្តមវេហា</v>
      </c>
      <c r="D21" s="90"/>
      <c r="E21" s="90"/>
      <c r="F21" s="90" t="str">
        <f>IF('Q1'!F27="","",'Q1'!F27)</f>
        <v>I</v>
      </c>
      <c r="G21" s="117"/>
      <c r="H21" s="118"/>
      <c r="I21" s="117"/>
      <c r="J21" s="118"/>
      <c r="K21" s="119"/>
      <c r="L21" s="146"/>
      <c r="M21" s="119"/>
      <c r="N21" s="146"/>
      <c r="O21" s="119"/>
      <c r="P21" s="146"/>
      <c r="Q21" s="119"/>
      <c r="R21" s="146"/>
      <c r="S21" s="119"/>
      <c r="T21" s="146"/>
      <c r="U21" s="119"/>
      <c r="V21" s="146"/>
      <c r="W21" s="119"/>
      <c r="X21" s="118"/>
      <c r="Y21" s="119"/>
      <c r="Z21" s="118"/>
      <c r="AA21" s="119"/>
      <c r="AB21" s="146"/>
      <c r="AC21" s="120"/>
      <c r="AD21" s="121"/>
      <c r="AE21" s="147"/>
      <c r="AF21" s="121"/>
      <c r="AG21" s="148"/>
      <c r="AH21" s="149"/>
      <c r="AI21" s="117"/>
      <c r="AJ21" s="118"/>
      <c r="AK21" s="119"/>
      <c r="AL21" s="118"/>
      <c r="AM21" s="119"/>
      <c r="AN21" s="118"/>
      <c r="AO21" s="119"/>
      <c r="AP21" s="118"/>
      <c r="AQ21" s="119"/>
      <c r="AR21" s="118"/>
      <c r="AS21" s="119"/>
      <c r="AT21" s="118"/>
      <c r="AU21" s="119"/>
      <c r="AV21" s="118"/>
      <c r="AW21" s="119"/>
      <c r="AX21" s="118"/>
      <c r="AY21" s="119"/>
      <c r="AZ21" s="118"/>
      <c r="BA21" s="119"/>
      <c r="BB21" s="118"/>
      <c r="BC21" s="119"/>
      <c r="BD21" s="118"/>
      <c r="BE21" s="120"/>
      <c r="BF21" s="121"/>
      <c r="BG21" s="122"/>
      <c r="BH21" s="121"/>
      <c r="BI21" s="123"/>
      <c r="BJ21" s="124"/>
      <c r="BK21" s="125"/>
      <c r="BL21" s="126"/>
      <c r="BM21" s="127"/>
      <c r="BN21" s="126"/>
      <c r="BO21" s="127"/>
      <c r="BP21" s="126"/>
      <c r="BQ21" s="127"/>
      <c r="BR21" s="126"/>
      <c r="BS21" s="127"/>
      <c r="BT21" s="126"/>
      <c r="BU21" s="127"/>
      <c r="BV21" s="126"/>
      <c r="BW21" s="127"/>
      <c r="BX21" s="126"/>
      <c r="BY21" s="127"/>
      <c r="BZ21" s="126"/>
      <c r="CA21" s="128" t="str">
        <f t="shared" si="0"/>
        <v>6A</v>
      </c>
    </row>
    <row r="22" spans="1:79" ht="30" customHeight="1" x14ac:dyDescent="0.35">
      <c r="A22" s="90" t="str">
        <f>IF('Q4'!A28="","",'Q4'!A28)</f>
        <v/>
      </c>
      <c r="B22" s="90" t="str">
        <f>IF('Q1'!B28="","",'Q1'!B28)</f>
        <v/>
      </c>
      <c r="C22" s="90" t="str">
        <f>IF('Q1'!C28="","",'Q1'!C28)</f>
        <v/>
      </c>
      <c r="D22" s="90"/>
      <c r="E22" s="90"/>
      <c r="F22" s="90" t="str">
        <f>IF('Q1'!F28="","",'Q1'!F28)</f>
        <v/>
      </c>
      <c r="G22" s="117"/>
      <c r="H22" s="118"/>
      <c r="I22" s="117"/>
      <c r="J22" s="118"/>
      <c r="K22" s="119"/>
      <c r="L22" s="146"/>
      <c r="M22" s="119"/>
      <c r="N22" s="146"/>
      <c r="O22" s="119"/>
      <c r="P22" s="146"/>
      <c r="Q22" s="119"/>
      <c r="R22" s="146"/>
      <c r="S22" s="119"/>
      <c r="T22" s="146"/>
      <c r="U22" s="119"/>
      <c r="V22" s="146"/>
      <c r="W22" s="119"/>
      <c r="X22" s="118"/>
      <c r="Y22" s="119"/>
      <c r="Z22" s="118"/>
      <c r="AA22" s="119"/>
      <c r="AB22" s="146"/>
      <c r="AC22" s="120"/>
      <c r="AD22" s="121"/>
      <c r="AE22" s="147"/>
      <c r="AF22" s="121"/>
      <c r="AG22" s="148"/>
      <c r="AH22" s="149"/>
      <c r="AI22" s="117"/>
      <c r="AJ22" s="118"/>
      <c r="AK22" s="119"/>
      <c r="AL22" s="118"/>
      <c r="AM22" s="119"/>
      <c r="AN22" s="118"/>
      <c r="AO22" s="119"/>
      <c r="AP22" s="118"/>
      <c r="AQ22" s="119"/>
      <c r="AR22" s="118"/>
      <c r="AS22" s="119"/>
      <c r="AT22" s="118"/>
      <c r="AU22" s="119"/>
      <c r="AV22" s="118"/>
      <c r="AW22" s="119"/>
      <c r="AX22" s="118"/>
      <c r="AY22" s="119"/>
      <c r="AZ22" s="118"/>
      <c r="BA22" s="119"/>
      <c r="BB22" s="118"/>
      <c r="BC22" s="119"/>
      <c r="BD22" s="118"/>
      <c r="BE22" s="120"/>
      <c r="BF22" s="121"/>
      <c r="BG22" s="122"/>
      <c r="BH22" s="121"/>
      <c r="BI22" s="123"/>
      <c r="BJ22" s="124"/>
      <c r="BK22" s="125"/>
      <c r="BL22" s="126"/>
      <c r="BM22" s="127"/>
      <c r="BN22" s="126"/>
      <c r="BO22" s="127"/>
      <c r="BP22" s="126"/>
      <c r="BQ22" s="127"/>
      <c r="BR22" s="126"/>
      <c r="BS22" s="127"/>
      <c r="BT22" s="126"/>
      <c r="BU22" s="127"/>
      <c r="BV22" s="126"/>
      <c r="BW22" s="127"/>
      <c r="BX22" s="126"/>
      <c r="BY22" s="127"/>
      <c r="BZ22" s="126"/>
      <c r="CA22" s="128" t="str">
        <f t="shared" si="0"/>
        <v/>
      </c>
    </row>
    <row r="23" spans="1:79" ht="30" customHeight="1" x14ac:dyDescent="0.35">
      <c r="A23" s="90" t="str">
        <f>IF('Q4'!A29="","",'Q4'!A29)</f>
        <v/>
      </c>
      <c r="B23" s="90" t="str">
        <f>IF('Q1'!B29="","",'Q1'!B29)</f>
        <v/>
      </c>
      <c r="C23" s="90" t="str">
        <f>IF('Q1'!C29="","",'Q1'!C29)</f>
        <v/>
      </c>
      <c r="D23" s="90"/>
      <c r="E23" s="90"/>
      <c r="F23" s="90" t="str">
        <f>IF('Q1'!F29="","",'Q1'!F29)</f>
        <v/>
      </c>
      <c r="G23" s="117"/>
      <c r="H23" s="118"/>
      <c r="I23" s="117"/>
      <c r="J23" s="118"/>
      <c r="K23" s="119"/>
      <c r="L23" s="146"/>
      <c r="M23" s="119"/>
      <c r="N23" s="146"/>
      <c r="O23" s="119"/>
      <c r="P23" s="146"/>
      <c r="Q23" s="119"/>
      <c r="R23" s="146"/>
      <c r="S23" s="119"/>
      <c r="T23" s="146"/>
      <c r="U23" s="119"/>
      <c r="V23" s="146"/>
      <c r="W23" s="119"/>
      <c r="X23" s="118"/>
      <c r="Y23" s="119"/>
      <c r="Z23" s="118"/>
      <c r="AA23" s="119"/>
      <c r="AB23" s="146"/>
      <c r="AC23" s="120"/>
      <c r="AD23" s="121"/>
      <c r="AE23" s="147"/>
      <c r="AF23" s="121"/>
      <c r="AG23" s="148"/>
      <c r="AH23" s="149"/>
      <c r="AI23" s="117"/>
      <c r="AJ23" s="118"/>
      <c r="AK23" s="119"/>
      <c r="AL23" s="118"/>
      <c r="AM23" s="119"/>
      <c r="AN23" s="118"/>
      <c r="AO23" s="119"/>
      <c r="AP23" s="118"/>
      <c r="AQ23" s="119"/>
      <c r="AR23" s="118"/>
      <c r="AS23" s="119"/>
      <c r="AT23" s="118"/>
      <c r="AU23" s="119"/>
      <c r="AV23" s="118"/>
      <c r="AW23" s="119"/>
      <c r="AX23" s="118"/>
      <c r="AY23" s="119"/>
      <c r="AZ23" s="118"/>
      <c r="BA23" s="119"/>
      <c r="BB23" s="118"/>
      <c r="BC23" s="119"/>
      <c r="BD23" s="118"/>
      <c r="BE23" s="120"/>
      <c r="BF23" s="121"/>
      <c r="BG23" s="122"/>
      <c r="BH23" s="121"/>
      <c r="BI23" s="123"/>
      <c r="BJ23" s="124"/>
      <c r="BK23" s="125"/>
      <c r="BL23" s="126"/>
      <c r="BM23" s="127"/>
      <c r="BN23" s="126"/>
      <c r="BO23" s="127"/>
      <c r="BP23" s="126"/>
      <c r="BQ23" s="127"/>
      <c r="BR23" s="126"/>
      <c r="BS23" s="127"/>
      <c r="BT23" s="126"/>
      <c r="BU23" s="127"/>
      <c r="BV23" s="126"/>
      <c r="BW23" s="127"/>
      <c r="BX23" s="126"/>
      <c r="BY23" s="127"/>
      <c r="BZ23" s="126"/>
      <c r="CA23" s="128" t="str">
        <f t="shared" si="0"/>
        <v/>
      </c>
    </row>
    <row r="24" spans="1:79" ht="30" customHeight="1" x14ac:dyDescent="0.35">
      <c r="A24" s="90" t="str">
        <f>IF('Q4'!A30="","",'Q4'!A30)</f>
        <v/>
      </c>
      <c r="B24" s="90" t="str">
        <f>IF('Q1'!B30="","",'Q1'!B30)</f>
        <v/>
      </c>
      <c r="C24" s="90" t="str">
        <f>IF('Q1'!C30="","",'Q1'!C30)</f>
        <v/>
      </c>
      <c r="D24" s="90"/>
      <c r="E24" s="90"/>
      <c r="F24" s="90" t="str">
        <f>IF('Q1'!F30="","",'Q1'!F30)</f>
        <v/>
      </c>
      <c r="G24" s="117"/>
      <c r="H24" s="118"/>
      <c r="I24" s="117"/>
      <c r="J24" s="118"/>
      <c r="K24" s="119"/>
      <c r="L24" s="146"/>
      <c r="M24" s="119"/>
      <c r="N24" s="146"/>
      <c r="O24" s="119"/>
      <c r="P24" s="146"/>
      <c r="Q24" s="119"/>
      <c r="R24" s="146"/>
      <c r="S24" s="119"/>
      <c r="T24" s="146"/>
      <c r="U24" s="119"/>
      <c r="V24" s="146"/>
      <c r="W24" s="119"/>
      <c r="X24" s="118"/>
      <c r="Y24" s="119"/>
      <c r="Z24" s="118"/>
      <c r="AA24" s="119"/>
      <c r="AB24" s="146"/>
      <c r="AC24" s="120"/>
      <c r="AD24" s="121"/>
      <c r="AE24" s="147"/>
      <c r="AF24" s="121"/>
      <c r="AG24" s="148"/>
      <c r="AH24" s="149"/>
      <c r="AI24" s="117"/>
      <c r="AJ24" s="118"/>
      <c r="AK24" s="119"/>
      <c r="AL24" s="118"/>
      <c r="AM24" s="119"/>
      <c r="AN24" s="118"/>
      <c r="AO24" s="119"/>
      <c r="AP24" s="118"/>
      <c r="AQ24" s="119"/>
      <c r="AR24" s="118"/>
      <c r="AS24" s="119"/>
      <c r="AT24" s="118"/>
      <c r="AU24" s="119"/>
      <c r="AV24" s="118"/>
      <c r="AW24" s="119"/>
      <c r="AX24" s="118"/>
      <c r="AY24" s="119"/>
      <c r="AZ24" s="118"/>
      <c r="BA24" s="119"/>
      <c r="BB24" s="118"/>
      <c r="BC24" s="119"/>
      <c r="BD24" s="118"/>
      <c r="BE24" s="120"/>
      <c r="BF24" s="121"/>
      <c r="BG24" s="122"/>
      <c r="BH24" s="121"/>
      <c r="BI24" s="123"/>
      <c r="BJ24" s="124"/>
      <c r="BK24" s="125"/>
      <c r="BL24" s="126"/>
      <c r="BM24" s="127"/>
      <c r="BN24" s="126"/>
      <c r="BO24" s="127"/>
      <c r="BP24" s="126"/>
      <c r="BQ24" s="127"/>
      <c r="BR24" s="126"/>
      <c r="BS24" s="127"/>
      <c r="BT24" s="126"/>
      <c r="BU24" s="127"/>
      <c r="BV24" s="126"/>
      <c r="BW24" s="127"/>
      <c r="BX24" s="126"/>
      <c r="BY24" s="127"/>
      <c r="BZ24" s="126"/>
      <c r="CA24" s="128" t="str">
        <f t="shared" si="0"/>
        <v/>
      </c>
    </row>
    <row r="25" spans="1:79" ht="30" customHeight="1" x14ac:dyDescent="0.35">
      <c r="A25" s="90" t="str">
        <f>IF('Q4'!A31="","",'Q4'!A31)</f>
        <v/>
      </c>
      <c r="B25" s="90" t="str">
        <f>IF('Q1'!B31="","",'Q1'!B31)</f>
        <v/>
      </c>
      <c r="C25" s="90" t="str">
        <f>IF('Q1'!C31="","",'Q1'!C31)</f>
        <v/>
      </c>
      <c r="D25" s="90"/>
      <c r="E25" s="90"/>
      <c r="F25" s="90" t="str">
        <f>IF('Q1'!F31="","",'Q1'!F31)</f>
        <v/>
      </c>
      <c r="G25" s="117"/>
      <c r="H25" s="118"/>
      <c r="I25" s="117"/>
      <c r="J25" s="118"/>
      <c r="K25" s="119"/>
      <c r="L25" s="146"/>
      <c r="M25" s="119"/>
      <c r="N25" s="146"/>
      <c r="O25" s="119"/>
      <c r="P25" s="146"/>
      <c r="Q25" s="119"/>
      <c r="R25" s="146"/>
      <c r="S25" s="119"/>
      <c r="T25" s="146"/>
      <c r="U25" s="119"/>
      <c r="V25" s="146"/>
      <c r="W25" s="119"/>
      <c r="X25" s="118"/>
      <c r="Y25" s="119"/>
      <c r="Z25" s="118"/>
      <c r="AA25" s="119"/>
      <c r="AB25" s="146"/>
      <c r="AC25" s="120"/>
      <c r="AD25" s="121"/>
      <c r="AE25" s="147"/>
      <c r="AF25" s="121"/>
      <c r="AG25" s="148"/>
      <c r="AH25" s="149"/>
      <c r="AI25" s="117"/>
      <c r="AJ25" s="118"/>
      <c r="AK25" s="119"/>
      <c r="AL25" s="118"/>
      <c r="AM25" s="119"/>
      <c r="AN25" s="118"/>
      <c r="AO25" s="119"/>
      <c r="AP25" s="118"/>
      <c r="AQ25" s="119"/>
      <c r="AR25" s="118"/>
      <c r="AS25" s="119"/>
      <c r="AT25" s="118"/>
      <c r="AU25" s="119"/>
      <c r="AV25" s="118"/>
      <c r="AW25" s="119"/>
      <c r="AX25" s="118"/>
      <c r="AY25" s="119"/>
      <c r="AZ25" s="118"/>
      <c r="BA25" s="119"/>
      <c r="BB25" s="118"/>
      <c r="BC25" s="119"/>
      <c r="BD25" s="118"/>
      <c r="BE25" s="120"/>
      <c r="BF25" s="121"/>
      <c r="BG25" s="122"/>
      <c r="BH25" s="121"/>
      <c r="BI25" s="123"/>
      <c r="BJ25" s="124"/>
      <c r="BK25" s="125"/>
      <c r="BL25" s="126"/>
      <c r="BM25" s="127"/>
      <c r="BN25" s="126"/>
      <c r="BO25" s="127"/>
      <c r="BP25" s="126"/>
      <c r="BQ25" s="127"/>
      <c r="BR25" s="126"/>
      <c r="BS25" s="127"/>
      <c r="BT25" s="126"/>
      <c r="BU25" s="127"/>
      <c r="BV25" s="126"/>
      <c r="BW25" s="127"/>
      <c r="BX25" s="126"/>
      <c r="BY25" s="127"/>
      <c r="BZ25" s="126"/>
      <c r="CA25" s="128" t="str">
        <f t="shared" si="0"/>
        <v/>
      </c>
    </row>
    <row r="26" spans="1:79" ht="30" customHeight="1" x14ac:dyDescent="0.35">
      <c r="A26" s="90" t="str">
        <f>IF('Q4'!A32="","",'Q4'!A32)</f>
        <v/>
      </c>
      <c r="B26" s="90" t="str">
        <f>IF('Q1'!B32="","",'Q1'!B32)</f>
        <v/>
      </c>
      <c r="C26" s="90" t="str">
        <f>IF('Q1'!C32="","",'Q1'!C32)</f>
        <v/>
      </c>
      <c r="D26" s="90"/>
      <c r="E26" s="90"/>
      <c r="F26" s="90" t="str">
        <f>IF('Q1'!F32="","",'Q1'!F32)</f>
        <v/>
      </c>
      <c r="G26" s="117"/>
      <c r="H26" s="118"/>
      <c r="I26" s="117"/>
      <c r="J26" s="118"/>
      <c r="K26" s="119"/>
      <c r="L26" s="146"/>
      <c r="M26" s="119"/>
      <c r="N26" s="146"/>
      <c r="O26" s="119"/>
      <c r="P26" s="146"/>
      <c r="Q26" s="119"/>
      <c r="R26" s="146"/>
      <c r="S26" s="119"/>
      <c r="T26" s="146"/>
      <c r="U26" s="119"/>
      <c r="V26" s="146"/>
      <c r="W26" s="119"/>
      <c r="X26" s="118"/>
      <c r="Y26" s="119"/>
      <c r="Z26" s="118"/>
      <c r="AA26" s="119"/>
      <c r="AB26" s="146"/>
      <c r="AC26" s="120"/>
      <c r="AD26" s="121"/>
      <c r="AE26" s="147"/>
      <c r="AF26" s="121"/>
      <c r="AG26" s="148"/>
      <c r="AH26" s="149"/>
      <c r="AI26" s="117"/>
      <c r="AJ26" s="118"/>
      <c r="AK26" s="119"/>
      <c r="AL26" s="118"/>
      <c r="AM26" s="119"/>
      <c r="AN26" s="118"/>
      <c r="AO26" s="119"/>
      <c r="AP26" s="118"/>
      <c r="AQ26" s="119"/>
      <c r="AR26" s="118"/>
      <c r="AS26" s="119"/>
      <c r="AT26" s="118"/>
      <c r="AU26" s="119"/>
      <c r="AV26" s="118"/>
      <c r="AW26" s="119"/>
      <c r="AX26" s="118"/>
      <c r="AY26" s="119"/>
      <c r="AZ26" s="118"/>
      <c r="BA26" s="119"/>
      <c r="BB26" s="118"/>
      <c r="BC26" s="119"/>
      <c r="BD26" s="118"/>
      <c r="BE26" s="120"/>
      <c r="BF26" s="121"/>
      <c r="BG26" s="122"/>
      <c r="BH26" s="121"/>
      <c r="BI26" s="123"/>
      <c r="BJ26" s="124"/>
      <c r="BK26" s="125"/>
      <c r="BL26" s="126"/>
      <c r="BM26" s="127"/>
      <c r="BN26" s="126"/>
      <c r="BO26" s="127"/>
      <c r="BP26" s="126"/>
      <c r="BQ26" s="127"/>
      <c r="BR26" s="126"/>
      <c r="BS26" s="127"/>
      <c r="BT26" s="126"/>
      <c r="BU26" s="127"/>
      <c r="BV26" s="126"/>
      <c r="BW26" s="127"/>
      <c r="BX26" s="126"/>
      <c r="BY26" s="127"/>
      <c r="BZ26" s="126"/>
      <c r="CA26" s="128" t="str">
        <f t="shared" si="0"/>
        <v/>
      </c>
    </row>
    <row r="27" spans="1:79" ht="30" customHeight="1" x14ac:dyDescent="0.35">
      <c r="A27" s="90" t="str">
        <f>IF('Q4'!A33="","",'Q4'!A33)</f>
        <v/>
      </c>
      <c r="B27" s="90" t="str">
        <f>IF('Q1'!B33="","",'Q1'!B33)</f>
        <v/>
      </c>
      <c r="C27" s="90" t="str">
        <f>IF('Q1'!C33="","",'Q1'!C33)</f>
        <v/>
      </c>
      <c r="D27" s="90"/>
      <c r="E27" s="90"/>
      <c r="F27" s="90" t="str">
        <f>IF('Q1'!F33="","",'Q1'!F33)</f>
        <v/>
      </c>
      <c r="G27" s="117"/>
      <c r="H27" s="118"/>
      <c r="I27" s="117"/>
      <c r="J27" s="118"/>
      <c r="K27" s="119"/>
      <c r="L27" s="146"/>
      <c r="M27" s="119"/>
      <c r="N27" s="146"/>
      <c r="O27" s="119"/>
      <c r="P27" s="146"/>
      <c r="Q27" s="119"/>
      <c r="R27" s="146"/>
      <c r="S27" s="119"/>
      <c r="T27" s="146"/>
      <c r="U27" s="119"/>
      <c r="V27" s="146"/>
      <c r="W27" s="119"/>
      <c r="X27" s="118"/>
      <c r="Y27" s="119"/>
      <c r="Z27" s="118"/>
      <c r="AA27" s="119"/>
      <c r="AB27" s="146"/>
      <c r="AC27" s="120"/>
      <c r="AD27" s="121"/>
      <c r="AE27" s="147"/>
      <c r="AF27" s="121"/>
      <c r="AG27" s="148"/>
      <c r="AH27" s="149"/>
      <c r="AI27" s="117"/>
      <c r="AJ27" s="118"/>
      <c r="AK27" s="119"/>
      <c r="AL27" s="118"/>
      <c r="AM27" s="119"/>
      <c r="AN27" s="118"/>
      <c r="AO27" s="119"/>
      <c r="AP27" s="118"/>
      <c r="AQ27" s="119"/>
      <c r="AR27" s="118"/>
      <c r="AS27" s="119"/>
      <c r="AT27" s="118"/>
      <c r="AU27" s="119"/>
      <c r="AV27" s="118"/>
      <c r="AW27" s="119"/>
      <c r="AX27" s="118"/>
      <c r="AY27" s="119"/>
      <c r="AZ27" s="118"/>
      <c r="BA27" s="119"/>
      <c r="BB27" s="118"/>
      <c r="BC27" s="119"/>
      <c r="BD27" s="118"/>
      <c r="BE27" s="120"/>
      <c r="BF27" s="121"/>
      <c r="BG27" s="122"/>
      <c r="BH27" s="121"/>
      <c r="BI27" s="123"/>
      <c r="BJ27" s="124"/>
      <c r="BK27" s="125"/>
      <c r="BL27" s="126"/>
      <c r="BM27" s="127"/>
      <c r="BN27" s="126"/>
      <c r="BO27" s="127"/>
      <c r="BP27" s="126"/>
      <c r="BQ27" s="127"/>
      <c r="BR27" s="126"/>
      <c r="BS27" s="127"/>
      <c r="BT27" s="126"/>
      <c r="BU27" s="127"/>
      <c r="BV27" s="126"/>
      <c r="BW27" s="127"/>
      <c r="BX27" s="126"/>
      <c r="BY27" s="127"/>
      <c r="BZ27" s="126"/>
      <c r="CA27" s="128" t="str">
        <f t="shared" si="0"/>
        <v/>
      </c>
    </row>
    <row r="28" spans="1:79" ht="30" customHeight="1" x14ac:dyDescent="0.35">
      <c r="A28" s="90" t="str">
        <f>IF('Q4'!A34="","",'Q4'!A34)</f>
        <v/>
      </c>
      <c r="B28" s="90" t="str">
        <f>IF('Q1'!B34="","",'Q1'!B34)</f>
        <v/>
      </c>
      <c r="C28" s="90" t="str">
        <f>IF('Q1'!C34="","",'Q1'!C34)</f>
        <v/>
      </c>
      <c r="D28" s="90"/>
      <c r="E28" s="90"/>
      <c r="F28" s="90" t="str">
        <f>IF('Q1'!F34="","",'Q1'!F34)</f>
        <v/>
      </c>
      <c r="G28" s="117"/>
      <c r="H28" s="118"/>
      <c r="I28" s="117"/>
      <c r="J28" s="118"/>
      <c r="K28" s="119"/>
      <c r="L28" s="146"/>
      <c r="M28" s="119"/>
      <c r="N28" s="146"/>
      <c r="O28" s="119"/>
      <c r="P28" s="146"/>
      <c r="Q28" s="119"/>
      <c r="R28" s="146"/>
      <c r="S28" s="119"/>
      <c r="T28" s="146"/>
      <c r="U28" s="119"/>
      <c r="V28" s="146"/>
      <c r="W28" s="119"/>
      <c r="X28" s="118"/>
      <c r="Y28" s="119"/>
      <c r="Z28" s="118"/>
      <c r="AA28" s="119"/>
      <c r="AB28" s="146"/>
      <c r="AC28" s="120"/>
      <c r="AD28" s="121"/>
      <c r="AE28" s="147"/>
      <c r="AF28" s="121"/>
      <c r="AG28" s="148"/>
      <c r="AH28" s="149"/>
      <c r="AI28" s="117"/>
      <c r="AJ28" s="118"/>
      <c r="AK28" s="119"/>
      <c r="AL28" s="118"/>
      <c r="AM28" s="119"/>
      <c r="AN28" s="118"/>
      <c r="AO28" s="119"/>
      <c r="AP28" s="118"/>
      <c r="AQ28" s="119"/>
      <c r="AR28" s="118"/>
      <c r="AS28" s="119"/>
      <c r="AT28" s="118"/>
      <c r="AU28" s="119"/>
      <c r="AV28" s="118"/>
      <c r="AW28" s="119"/>
      <c r="AX28" s="118"/>
      <c r="AY28" s="119"/>
      <c r="AZ28" s="118"/>
      <c r="BA28" s="119"/>
      <c r="BB28" s="118"/>
      <c r="BC28" s="119"/>
      <c r="BD28" s="118"/>
      <c r="BE28" s="120"/>
      <c r="BF28" s="121"/>
      <c r="BG28" s="122"/>
      <c r="BH28" s="121"/>
      <c r="BI28" s="123"/>
      <c r="BJ28" s="124"/>
      <c r="BK28" s="125"/>
      <c r="BL28" s="126"/>
      <c r="BM28" s="127"/>
      <c r="BN28" s="126"/>
      <c r="BO28" s="127"/>
      <c r="BP28" s="126"/>
      <c r="BQ28" s="127"/>
      <c r="BR28" s="126"/>
      <c r="BS28" s="127"/>
      <c r="BT28" s="126"/>
      <c r="BU28" s="127"/>
      <c r="BV28" s="126"/>
      <c r="BW28" s="127"/>
      <c r="BX28" s="126"/>
      <c r="BY28" s="127"/>
      <c r="BZ28" s="126"/>
      <c r="CA28" s="128" t="str">
        <f t="shared" si="0"/>
        <v/>
      </c>
    </row>
    <row r="29" spans="1:79" ht="30" customHeight="1" x14ac:dyDescent="0.35">
      <c r="A29" s="90" t="str">
        <f>IF('Q4'!A35="","",'Q4'!A35)</f>
        <v/>
      </c>
      <c r="B29" s="90" t="str">
        <f>IF('Q1'!B35="","",'Q1'!B35)</f>
        <v/>
      </c>
      <c r="C29" s="90" t="str">
        <f>IF('Q1'!C35="","",'Q1'!C35)</f>
        <v/>
      </c>
      <c r="D29" s="90"/>
      <c r="E29" s="90"/>
      <c r="F29" s="90" t="str">
        <f>IF('Q1'!F35="","",'Q1'!F35)</f>
        <v/>
      </c>
      <c r="G29" s="117"/>
      <c r="H29" s="118"/>
      <c r="I29" s="117"/>
      <c r="J29" s="118"/>
      <c r="K29" s="119"/>
      <c r="L29" s="146"/>
      <c r="M29" s="119"/>
      <c r="N29" s="146"/>
      <c r="O29" s="119"/>
      <c r="P29" s="146"/>
      <c r="Q29" s="119"/>
      <c r="R29" s="146"/>
      <c r="S29" s="119"/>
      <c r="T29" s="146"/>
      <c r="U29" s="119"/>
      <c r="V29" s="146"/>
      <c r="W29" s="119"/>
      <c r="X29" s="118"/>
      <c r="Y29" s="119"/>
      <c r="Z29" s="118"/>
      <c r="AA29" s="119"/>
      <c r="AB29" s="146"/>
      <c r="AC29" s="120"/>
      <c r="AD29" s="121"/>
      <c r="AE29" s="147"/>
      <c r="AF29" s="121"/>
      <c r="AG29" s="148"/>
      <c r="AH29" s="149"/>
      <c r="AI29" s="117"/>
      <c r="AJ29" s="118"/>
      <c r="AK29" s="119"/>
      <c r="AL29" s="118"/>
      <c r="AM29" s="119"/>
      <c r="AN29" s="118"/>
      <c r="AO29" s="119"/>
      <c r="AP29" s="118"/>
      <c r="AQ29" s="119"/>
      <c r="AR29" s="118"/>
      <c r="AS29" s="119"/>
      <c r="AT29" s="118"/>
      <c r="AU29" s="119"/>
      <c r="AV29" s="118"/>
      <c r="AW29" s="119"/>
      <c r="AX29" s="118"/>
      <c r="AY29" s="119"/>
      <c r="AZ29" s="118"/>
      <c r="BA29" s="119"/>
      <c r="BB29" s="118"/>
      <c r="BC29" s="119"/>
      <c r="BD29" s="118"/>
      <c r="BE29" s="120"/>
      <c r="BF29" s="121"/>
      <c r="BG29" s="122"/>
      <c r="BH29" s="121"/>
      <c r="BI29" s="123"/>
      <c r="BJ29" s="124"/>
      <c r="BK29" s="125"/>
      <c r="BL29" s="126"/>
      <c r="BM29" s="127"/>
      <c r="BN29" s="126"/>
      <c r="BO29" s="127"/>
      <c r="BP29" s="126"/>
      <c r="BQ29" s="127"/>
      <c r="BR29" s="126"/>
      <c r="BS29" s="127"/>
      <c r="BT29" s="126"/>
      <c r="BU29" s="127"/>
      <c r="BV29" s="126"/>
      <c r="BW29" s="127"/>
      <c r="BX29" s="126"/>
      <c r="BY29" s="127"/>
      <c r="BZ29" s="126"/>
      <c r="CA29" s="128" t="str">
        <f t="shared" si="0"/>
        <v/>
      </c>
    </row>
    <row r="30" spans="1:79" ht="30" customHeight="1" x14ac:dyDescent="0.35">
      <c r="A30" s="90" t="str">
        <f>IF('Q4'!A36="","",'Q4'!A36)</f>
        <v/>
      </c>
      <c r="B30" s="90" t="str">
        <f>IF('Q1'!B36="","",'Q1'!B36)</f>
        <v/>
      </c>
      <c r="C30" s="90" t="str">
        <f>IF('Q1'!C36="","",'Q1'!C36)</f>
        <v/>
      </c>
      <c r="D30" s="90"/>
      <c r="E30" s="90" t="str">
        <f>IF('Q1'!E36="","",'Q1'!E36)</f>
        <v/>
      </c>
      <c r="F30" s="90" t="str">
        <f>IF('Q1'!F36="","",'Q1'!F36)</f>
        <v/>
      </c>
      <c r="G30" s="117"/>
      <c r="H30" s="118"/>
      <c r="I30" s="117"/>
      <c r="J30" s="118"/>
      <c r="K30" s="119"/>
      <c r="L30" s="118"/>
      <c r="M30" s="119"/>
      <c r="N30" s="118"/>
      <c r="O30" s="119"/>
      <c r="P30" s="118"/>
      <c r="Q30" s="119"/>
      <c r="R30" s="118"/>
      <c r="S30" s="119"/>
      <c r="T30" s="118"/>
      <c r="U30" s="119"/>
      <c r="V30" s="118"/>
      <c r="W30" s="119"/>
      <c r="X30" s="118"/>
      <c r="Y30" s="119"/>
      <c r="Z30" s="118"/>
      <c r="AA30" s="119"/>
      <c r="AB30" s="118"/>
      <c r="AC30" s="120"/>
      <c r="AD30" s="121"/>
      <c r="AE30" s="122"/>
      <c r="AF30" s="121"/>
      <c r="AG30" s="123"/>
      <c r="AH30" s="124"/>
      <c r="AI30" s="117"/>
      <c r="AJ30" s="118"/>
      <c r="AK30" s="119"/>
      <c r="AL30" s="118"/>
      <c r="AM30" s="119"/>
      <c r="AN30" s="118"/>
      <c r="AO30" s="119"/>
      <c r="AP30" s="118"/>
      <c r="AQ30" s="119"/>
      <c r="AR30" s="118"/>
      <c r="AS30" s="119"/>
      <c r="AT30" s="118"/>
      <c r="AU30" s="119"/>
      <c r="AV30" s="118"/>
      <c r="AW30" s="119"/>
      <c r="AX30" s="118"/>
      <c r="AY30" s="119"/>
      <c r="AZ30" s="118"/>
      <c r="BA30" s="119"/>
      <c r="BB30" s="118"/>
      <c r="BC30" s="119"/>
      <c r="BD30" s="118"/>
      <c r="BE30" s="120"/>
      <c r="BF30" s="121"/>
      <c r="BG30" s="122"/>
      <c r="BH30" s="121"/>
      <c r="BI30" s="123"/>
      <c r="BJ30" s="124"/>
      <c r="BK30" s="125"/>
      <c r="BL30" s="126"/>
      <c r="BM30" s="127"/>
      <c r="BN30" s="126"/>
      <c r="BO30" s="127"/>
      <c r="BP30" s="126"/>
      <c r="BQ30" s="127"/>
      <c r="BR30" s="126"/>
      <c r="BS30" s="127"/>
      <c r="BT30" s="126"/>
      <c r="BU30" s="127"/>
      <c r="BV30" s="126"/>
      <c r="BW30" s="127"/>
      <c r="BX30" s="126"/>
      <c r="BY30" s="127"/>
      <c r="BZ30" s="126"/>
      <c r="CA30" s="128" t="str">
        <f t="shared" si="0"/>
        <v/>
      </c>
    </row>
    <row r="31" spans="1:79" ht="30" customHeight="1" x14ac:dyDescent="0.35">
      <c r="A31" s="90" t="str">
        <f>IF('Q4'!A37="","",'Q4'!A37)</f>
        <v/>
      </c>
      <c r="B31" s="90" t="str">
        <f>IF('Q1'!B37="","",'Q1'!B37)</f>
        <v/>
      </c>
      <c r="C31" s="90" t="str">
        <f>IF('Q1'!C37="","",'Q1'!C37)</f>
        <v/>
      </c>
      <c r="D31" s="90"/>
      <c r="E31" s="90" t="str">
        <f>IF('Q1'!E37="","",'Q1'!E37)</f>
        <v/>
      </c>
      <c r="F31" s="90" t="str">
        <f>IF('Q1'!F37="","",'Q1'!F37)</f>
        <v/>
      </c>
      <c r="G31" s="117"/>
      <c r="H31" s="118"/>
      <c r="I31" s="117"/>
      <c r="J31" s="118"/>
      <c r="K31" s="119"/>
      <c r="L31" s="118"/>
      <c r="M31" s="119"/>
      <c r="N31" s="118"/>
      <c r="O31" s="119"/>
      <c r="P31" s="118"/>
      <c r="Q31" s="119"/>
      <c r="R31" s="118"/>
      <c r="S31" s="119"/>
      <c r="T31" s="118"/>
      <c r="U31" s="119"/>
      <c r="V31" s="118"/>
      <c r="W31" s="119"/>
      <c r="X31" s="118"/>
      <c r="Y31" s="119"/>
      <c r="Z31" s="118"/>
      <c r="AA31" s="119"/>
      <c r="AB31" s="118"/>
      <c r="AC31" s="120"/>
      <c r="AD31" s="121"/>
      <c r="AE31" s="122"/>
      <c r="AF31" s="121"/>
      <c r="AG31" s="123"/>
      <c r="AH31" s="124"/>
      <c r="AI31" s="117"/>
      <c r="AJ31" s="118"/>
      <c r="AK31" s="119"/>
      <c r="AL31" s="118"/>
      <c r="AM31" s="119"/>
      <c r="AN31" s="118"/>
      <c r="AO31" s="119"/>
      <c r="AP31" s="118"/>
      <c r="AQ31" s="119"/>
      <c r="AR31" s="118"/>
      <c r="AS31" s="119"/>
      <c r="AT31" s="118"/>
      <c r="AU31" s="119"/>
      <c r="AV31" s="118"/>
      <c r="AW31" s="119"/>
      <c r="AX31" s="118"/>
      <c r="AY31" s="119"/>
      <c r="AZ31" s="118"/>
      <c r="BA31" s="119"/>
      <c r="BB31" s="118"/>
      <c r="BC31" s="119"/>
      <c r="BD31" s="118"/>
      <c r="BE31" s="120"/>
      <c r="BF31" s="121"/>
      <c r="BG31" s="122"/>
      <c r="BH31" s="121"/>
      <c r="BI31" s="123"/>
      <c r="BJ31" s="124"/>
      <c r="BK31" s="125"/>
      <c r="BL31" s="126"/>
      <c r="BM31" s="127"/>
      <c r="BN31" s="126"/>
      <c r="BO31" s="127"/>
      <c r="BP31" s="126"/>
      <c r="BQ31" s="127"/>
      <c r="BR31" s="126"/>
      <c r="BS31" s="127"/>
      <c r="BT31" s="126"/>
      <c r="BU31" s="127"/>
      <c r="BV31" s="126"/>
      <c r="BW31" s="127"/>
      <c r="BX31" s="126"/>
      <c r="BY31" s="127"/>
      <c r="BZ31" s="126"/>
      <c r="CA31" s="128" t="str">
        <f t="shared" si="0"/>
        <v/>
      </c>
    </row>
    <row r="32" spans="1:79" ht="30" customHeight="1" x14ac:dyDescent="0.35">
      <c r="A32" s="90" t="str">
        <f>IF('Q4'!A38="","",'Q4'!A38)</f>
        <v/>
      </c>
      <c r="B32" s="90" t="str">
        <f>IF('Q1'!B38="","",'Q1'!B38)</f>
        <v/>
      </c>
      <c r="C32" s="90" t="str">
        <f>IF('Q1'!C38="","",'Q1'!C38)</f>
        <v/>
      </c>
      <c r="D32" s="90"/>
      <c r="E32" s="90" t="str">
        <f>IF('Q1'!E38="","",'Q1'!E38)</f>
        <v/>
      </c>
      <c r="F32" s="90" t="str">
        <f>IF('Q1'!F38="","",'Q1'!F38)</f>
        <v/>
      </c>
      <c r="G32" s="117"/>
      <c r="H32" s="118"/>
      <c r="I32" s="117"/>
      <c r="J32" s="118"/>
      <c r="K32" s="119"/>
      <c r="L32" s="118"/>
      <c r="M32" s="119"/>
      <c r="N32" s="118"/>
      <c r="O32" s="119"/>
      <c r="P32" s="118"/>
      <c r="Q32" s="119"/>
      <c r="R32" s="118"/>
      <c r="S32" s="119"/>
      <c r="T32" s="118"/>
      <c r="U32" s="119"/>
      <c r="V32" s="118"/>
      <c r="W32" s="119"/>
      <c r="X32" s="118"/>
      <c r="Y32" s="119"/>
      <c r="Z32" s="118"/>
      <c r="AA32" s="119"/>
      <c r="AB32" s="118"/>
      <c r="AC32" s="120"/>
      <c r="AD32" s="121"/>
      <c r="AE32" s="122"/>
      <c r="AF32" s="121"/>
      <c r="AG32" s="123"/>
      <c r="AH32" s="124"/>
      <c r="AI32" s="117"/>
      <c r="AJ32" s="118"/>
      <c r="AK32" s="119"/>
      <c r="AL32" s="118"/>
      <c r="AM32" s="119"/>
      <c r="AN32" s="118"/>
      <c r="AO32" s="119"/>
      <c r="AP32" s="118"/>
      <c r="AQ32" s="119"/>
      <c r="AR32" s="118"/>
      <c r="AS32" s="119"/>
      <c r="AT32" s="118"/>
      <c r="AU32" s="119"/>
      <c r="AV32" s="118"/>
      <c r="AW32" s="119"/>
      <c r="AX32" s="118"/>
      <c r="AY32" s="119"/>
      <c r="AZ32" s="118"/>
      <c r="BA32" s="119"/>
      <c r="BB32" s="118"/>
      <c r="BC32" s="119"/>
      <c r="BD32" s="118"/>
      <c r="BE32" s="120"/>
      <c r="BF32" s="121"/>
      <c r="BG32" s="122"/>
      <c r="BH32" s="121"/>
      <c r="BI32" s="123"/>
      <c r="BJ32" s="124"/>
      <c r="BK32" s="125"/>
      <c r="BL32" s="126"/>
      <c r="BM32" s="127"/>
      <c r="BN32" s="126"/>
      <c r="BO32" s="127"/>
      <c r="BP32" s="126"/>
      <c r="BQ32" s="127"/>
      <c r="BR32" s="126"/>
      <c r="BS32" s="127"/>
      <c r="BT32" s="126"/>
      <c r="BU32" s="127"/>
      <c r="BV32" s="126"/>
      <c r="BW32" s="127"/>
      <c r="BX32" s="126"/>
      <c r="BY32" s="127"/>
      <c r="BZ32" s="126"/>
      <c r="CA32" s="128" t="str">
        <f t="shared" si="0"/>
        <v/>
      </c>
    </row>
    <row r="33" spans="1:79" ht="30" customHeight="1" x14ac:dyDescent="0.35">
      <c r="A33" s="90" t="str">
        <f>IF('Q4'!A39="","",'Q4'!A39)</f>
        <v/>
      </c>
      <c r="B33" s="90" t="str">
        <f>IF('Q1'!B39="","",'Q1'!B39)</f>
        <v/>
      </c>
      <c r="C33" s="90" t="str">
        <f>IF('Q1'!C39="","",'Q1'!C39)</f>
        <v/>
      </c>
      <c r="D33" s="90"/>
      <c r="E33" s="90" t="str">
        <f>IF('Q1'!E39="","",'Q1'!E39)</f>
        <v/>
      </c>
      <c r="F33" s="90" t="str">
        <f>IF('Q1'!F39="","",'Q1'!F39)</f>
        <v/>
      </c>
      <c r="G33" s="117"/>
      <c r="H33" s="118"/>
      <c r="I33" s="117"/>
      <c r="J33" s="118"/>
      <c r="K33" s="119"/>
      <c r="L33" s="118"/>
      <c r="M33" s="119"/>
      <c r="N33" s="118"/>
      <c r="O33" s="119"/>
      <c r="P33" s="118"/>
      <c r="Q33" s="119"/>
      <c r="R33" s="118"/>
      <c r="S33" s="119"/>
      <c r="T33" s="118"/>
      <c r="U33" s="119"/>
      <c r="V33" s="118"/>
      <c r="W33" s="119"/>
      <c r="X33" s="118"/>
      <c r="Y33" s="119"/>
      <c r="Z33" s="118"/>
      <c r="AA33" s="119"/>
      <c r="AB33" s="118"/>
      <c r="AC33" s="120"/>
      <c r="AD33" s="121"/>
      <c r="AE33" s="122"/>
      <c r="AF33" s="121"/>
      <c r="AG33" s="123"/>
      <c r="AH33" s="124"/>
      <c r="AI33" s="117"/>
      <c r="AJ33" s="118"/>
      <c r="AK33" s="119"/>
      <c r="AL33" s="118"/>
      <c r="AM33" s="119"/>
      <c r="AN33" s="118"/>
      <c r="AO33" s="119"/>
      <c r="AP33" s="118"/>
      <c r="AQ33" s="119"/>
      <c r="AR33" s="118"/>
      <c r="AS33" s="119"/>
      <c r="AT33" s="118"/>
      <c r="AU33" s="119"/>
      <c r="AV33" s="118"/>
      <c r="AW33" s="119"/>
      <c r="AX33" s="118"/>
      <c r="AY33" s="119"/>
      <c r="AZ33" s="118"/>
      <c r="BA33" s="119"/>
      <c r="BB33" s="118"/>
      <c r="BC33" s="119"/>
      <c r="BD33" s="118"/>
      <c r="BE33" s="120"/>
      <c r="BF33" s="121"/>
      <c r="BG33" s="122"/>
      <c r="BH33" s="121"/>
      <c r="BI33" s="123"/>
      <c r="BJ33" s="124"/>
      <c r="BK33" s="125"/>
      <c r="BL33" s="126"/>
      <c r="BM33" s="127"/>
      <c r="BN33" s="126"/>
      <c r="BO33" s="127"/>
      <c r="BP33" s="126"/>
      <c r="BQ33" s="127"/>
      <c r="BR33" s="126"/>
      <c r="BS33" s="127"/>
      <c r="BT33" s="126"/>
      <c r="BU33" s="127"/>
      <c r="BV33" s="126"/>
      <c r="BW33" s="127"/>
      <c r="BX33" s="126"/>
      <c r="BY33" s="127"/>
      <c r="BZ33" s="126"/>
      <c r="CA33" s="128" t="str">
        <f t="shared" si="0"/>
        <v/>
      </c>
    </row>
    <row r="34" spans="1:79" ht="30" customHeight="1" x14ac:dyDescent="0.35">
      <c r="A34" s="90" t="str">
        <f>IF('Q4'!A40="","",'Q4'!A40)</f>
        <v/>
      </c>
      <c r="B34" s="90" t="str">
        <f>IF('Q1'!B40="","",'Q1'!B40)</f>
        <v/>
      </c>
      <c r="C34" s="90" t="str">
        <f>IF('Q1'!C40="","",'Q1'!C40)</f>
        <v/>
      </c>
      <c r="D34" s="90"/>
      <c r="E34" s="90" t="str">
        <f>IF('Q1'!E40="","",'Q1'!E40)</f>
        <v/>
      </c>
      <c r="F34" s="90" t="str">
        <f>IF('Q1'!F40="","",'Q1'!F40)</f>
        <v/>
      </c>
      <c r="G34" s="117"/>
      <c r="H34" s="118"/>
      <c r="I34" s="117"/>
      <c r="J34" s="118"/>
      <c r="K34" s="119"/>
      <c r="L34" s="118"/>
      <c r="M34" s="119"/>
      <c r="N34" s="118"/>
      <c r="O34" s="119"/>
      <c r="P34" s="118"/>
      <c r="Q34" s="119"/>
      <c r="R34" s="118"/>
      <c r="S34" s="119"/>
      <c r="T34" s="118"/>
      <c r="U34" s="119"/>
      <c r="V34" s="118"/>
      <c r="W34" s="119"/>
      <c r="X34" s="118"/>
      <c r="Y34" s="119"/>
      <c r="Z34" s="118"/>
      <c r="AA34" s="119"/>
      <c r="AB34" s="118"/>
      <c r="AC34" s="120"/>
      <c r="AD34" s="121"/>
      <c r="AE34" s="122"/>
      <c r="AF34" s="121"/>
      <c r="AG34" s="123"/>
      <c r="AH34" s="124"/>
      <c r="AI34" s="117"/>
      <c r="AJ34" s="118"/>
      <c r="AK34" s="119"/>
      <c r="AL34" s="118"/>
      <c r="AM34" s="119"/>
      <c r="AN34" s="118"/>
      <c r="AO34" s="119"/>
      <c r="AP34" s="118"/>
      <c r="AQ34" s="119"/>
      <c r="AR34" s="118"/>
      <c r="AS34" s="119"/>
      <c r="AT34" s="118"/>
      <c r="AU34" s="119"/>
      <c r="AV34" s="118"/>
      <c r="AW34" s="119"/>
      <c r="AX34" s="118"/>
      <c r="AY34" s="119"/>
      <c r="AZ34" s="118"/>
      <c r="BA34" s="119"/>
      <c r="BB34" s="118"/>
      <c r="BC34" s="119"/>
      <c r="BD34" s="118"/>
      <c r="BE34" s="120"/>
      <c r="BF34" s="121"/>
      <c r="BG34" s="122"/>
      <c r="BH34" s="121"/>
      <c r="BI34" s="123"/>
      <c r="BJ34" s="124"/>
      <c r="BK34" s="125"/>
      <c r="BL34" s="126"/>
      <c r="BM34" s="127"/>
      <c r="BN34" s="126"/>
      <c r="BO34" s="127"/>
      <c r="BP34" s="126"/>
      <c r="BQ34" s="127"/>
      <c r="BR34" s="126"/>
      <c r="BS34" s="127"/>
      <c r="BT34" s="126"/>
      <c r="BU34" s="127"/>
      <c r="BV34" s="126"/>
      <c r="BW34" s="127"/>
      <c r="BX34" s="126"/>
      <c r="BY34" s="127"/>
      <c r="BZ34" s="126"/>
      <c r="CA34" s="128" t="str">
        <f t="shared" si="0"/>
        <v/>
      </c>
    </row>
    <row r="35" spans="1:79" ht="30" customHeight="1" x14ac:dyDescent="0.35">
      <c r="A35" s="90" t="str">
        <f>IF('Q4'!A41="","",'Q4'!A41)</f>
        <v/>
      </c>
      <c r="B35" s="90" t="str">
        <f>IF('Q1'!B41="","",'Q1'!B41)</f>
        <v/>
      </c>
      <c r="C35" s="90" t="str">
        <f>IF('Q1'!C41="","",'Q1'!C41)</f>
        <v/>
      </c>
      <c r="D35" s="90"/>
      <c r="E35" s="90" t="str">
        <f>IF('Q1'!E41="","",'Q1'!E41)</f>
        <v/>
      </c>
      <c r="F35" s="90" t="str">
        <f>IF('Q1'!F41="","",'Q1'!F41)</f>
        <v/>
      </c>
      <c r="G35" s="117"/>
      <c r="H35" s="118"/>
      <c r="I35" s="117"/>
      <c r="J35" s="118"/>
      <c r="K35" s="119"/>
      <c r="L35" s="118"/>
      <c r="M35" s="119"/>
      <c r="N35" s="118"/>
      <c r="O35" s="119"/>
      <c r="P35" s="118"/>
      <c r="Q35" s="119"/>
      <c r="R35" s="118"/>
      <c r="S35" s="119"/>
      <c r="T35" s="118"/>
      <c r="U35" s="119"/>
      <c r="V35" s="118"/>
      <c r="W35" s="119"/>
      <c r="X35" s="118"/>
      <c r="Y35" s="119"/>
      <c r="Z35" s="118"/>
      <c r="AA35" s="119"/>
      <c r="AB35" s="118"/>
      <c r="AC35" s="120"/>
      <c r="AD35" s="121"/>
      <c r="AE35" s="122"/>
      <c r="AF35" s="121"/>
      <c r="AG35" s="123"/>
      <c r="AH35" s="124"/>
      <c r="AI35" s="117"/>
      <c r="AJ35" s="118"/>
      <c r="AK35" s="119"/>
      <c r="AL35" s="118"/>
      <c r="AM35" s="119"/>
      <c r="AN35" s="118"/>
      <c r="AO35" s="119"/>
      <c r="AP35" s="118"/>
      <c r="AQ35" s="119"/>
      <c r="AR35" s="118"/>
      <c r="AS35" s="119"/>
      <c r="AT35" s="118"/>
      <c r="AU35" s="119"/>
      <c r="AV35" s="118"/>
      <c r="AW35" s="119"/>
      <c r="AX35" s="118"/>
      <c r="AY35" s="119"/>
      <c r="AZ35" s="118"/>
      <c r="BA35" s="119"/>
      <c r="BB35" s="118"/>
      <c r="BC35" s="119"/>
      <c r="BD35" s="118"/>
      <c r="BE35" s="120"/>
      <c r="BF35" s="121"/>
      <c r="BG35" s="122"/>
      <c r="BH35" s="121"/>
      <c r="BI35" s="123"/>
      <c r="BJ35" s="124"/>
      <c r="BK35" s="125"/>
      <c r="BL35" s="126"/>
      <c r="BM35" s="127"/>
      <c r="BN35" s="126"/>
      <c r="BO35" s="127"/>
      <c r="BP35" s="126"/>
      <c r="BQ35" s="127"/>
      <c r="BR35" s="126"/>
      <c r="BS35" s="127"/>
      <c r="BT35" s="126"/>
      <c r="BU35" s="127"/>
      <c r="BV35" s="126"/>
      <c r="BW35" s="127"/>
      <c r="BX35" s="126"/>
      <c r="BY35" s="127"/>
      <c r="BZ35" s="126"/>
      <c r="CA35" s="128" t="str">
        <f t="shared" si="0"/>
        <v/>
      </c>
    </row>
    <row r="36" spans="1:79" ht="30" customHeight="1" x14ac:dyDescent="0.35">
      <c r="A36" s="90" t="str">
        <f>IF('Q4'!A42="","",'Q4'!A42)</f>
        <v/>
      </c>
      <c r="B36" s="90" t="str">
        <f>IF('Q1'!B42="","",'Q1'!B42)</f>
        <v/>
      </c>
      <c r="C36" s="90" t="str">
        <f>IF('Q1'!C42="","",'Q1'!C42)</f>
        <v/>
      </c>
      <c r="D36" s="90"/>
      <c r="E36" s="90" t="str">
        <f>IF('Q1'!E42="","",'Q1'!E42)</f>
        <v/>
      </c>
      <c r="F36" s="90" t="str">
        <f>IF('Q1'!F42="","",'Q1'!F42)</f>
        <v/>
      </c>
      <c r="G36" s="117"/>
      <c r="H36" s="118"/>
      <c r="I36" s="117"/>
      <c r="J36" s="118"/>
      <c r="K36" s="119"/>
      <c r="L36" s="118"/>
      <c r="M36" s="119"/>
      <c r="N36" s="118"/>
      <c r="O36" s="119"/>
      <c r="P36" s="118"/>
      <c r="Q36" s="119"/>
      <c r="R36" s="118"/>
      <c r="S36" s="119"/>
      <c r="T36" s="118"/>
      <c r="U36" s="119"/>
      <c r="V36" s="118"/>
      <c r="W36" s="119"/>
      <c r="X36" s="118"/>
      <c r="Y36" s="119"/>
      <c r="Z36" s="118"/>
      <c r="AA36" s="119"/>
      <c r="AB36" s="118"/>
      <c r="AC36" s="120"/>
      <c r="AD36" s="121"/>
      <c r="AE36" s="122"/>
      <c r="AF36" s="121"/>
      <c r="AG36" s="123"/>
      <c r="AH36" s="124"/>
      <c r="AI36" s="117"/>
      <c r="AJ36" s="118"/>
      <c r="AK36" s="119"/>
      <c r="AL36" s="118"/>
      <c r="AM36" s="119"/>
      <c r="AN36" s="118"/>
      <c r="AO36" s="119"/>
      <c r="AP36" s="118"/>
      <c r="AQ36" s="119"/>
      <c r="AR36" s="118"/>
      <c r="AS36" s="119"/>
      <c r="AT36" s="118"/>
      <c r="AU36" s="119"/>
      <c r="AV36" s="118"/>
      <c r="AW36" s="119"/>
      <c r="AX36" s="118"/>
      <c r="AY36" s="119"/>
      <c r="AZ36" s="118"/>
      <c r="BA36" s="119"/>
      <c r="BB36" s="118"/>
      <c r="BC36" s="119"/>
      <c r="BD36" s="118"/>
      <c r="BE36" s="120"/>
      <c r="BF36" s="121"/>
      <c r="BG36" s="122"/>
      <c r="BH36" s="121"/>
      <c r="BI36" s="123"/>
      <c r="BJ36" s="124"/>
      <c r="BK36" s="125"/>
      <c r="BL36" s="126"/>
      <c r="BM36" s="127"/>
      <c r="BN36" s="126"/>
      <c r="BO36" s="127"/>
      <c r="BP36" s="126"/>
      <c r="BQ36" s="127"/>
      <c r="BR36" s="126"/>
      <c r="BS36" s="127"/>
      <c r="BT36" s="126"/>
      <c r="BU36" s="127"/>
      <c r="BV36" s="126"/>
      <c r="BW36" s="127"/>
      <c r="BX36" s="126"/>
      <c r="BY36" s="127"/>
      <c r="BZ36" s="126"/>
      <c r="CA36" s="128" t="str">
        <f t="shared" si="0"/>
        <v/>
      </c>
    </row>
    <row r="37" spans="1:79" ht="30" customHeight="1" x14ac:dyDescent="0.35">
      <c r="A37" s="90" t="str">
        <f>IF('Q4'!A43="","",'Q4'!A43)</f>
        <v/>
      </c>
      <c r="B37" s="90" t="str">
        <f>IF('Q1'!B43="","",'Q1'!B43)</f>
        <v/>
      </c>
      <c r="C37" s="90" t="str">
        <f>IF('Q1'!C43="","",'Q1'!C43)</f>
        <v/>
      </c>
      <c r="D37" s="90"/>
      <c r="E37" s="90" t="str">
        <f>IF('Q1'!E43="","",'Q1'!E43)</f>
        <v/>
      </c>
      <c r="F37" s="90" t="str">
        <f>IF('Q1'!F43="","",'Q1'!F43)</f>
        <v/>
      </c>
      <c r="G37" s="117"/>
      <c r="H37" s="118"/>
      <c r="I37" s="117"/>
      <c r="J37" s="118"/>
      <c r="K37" s="119"/>
      <c r="L37" s="118"/>
      <c r="M37" s="119"/>
      <c r="N37" s="118"/>
      <c r="O37" s="119"/>
      <c r="P37" s="118"/>
      <c r="Q37" s="119"/>
      <c r="R37" s="118"/>
      <c r="S37" s="119"/>
      <c r="T37" s="118"/>
      <c r="U37" s="119"/>
      <c r="V37" s="118"/>
      <c r="W37" s="119"/>
      <c r="X37" s="118"/>
      <c r="Y37" s="119"/>
      <c r="Z37" s="118"/>
      <c r="AA37" s="119"/>
      <c r="AB37" s="118"/>
      <c r="AC37" s="120"/>
      <c r="AD37" s="121"/>
      <c r="AE37" s="122"/>
      <c r="AF37" s="121"/>
      <c r="AG37" s="123"/>
      <c r="AH37" s="124"/>
      <c r="AI37" s="117"/>
      <c r="AJ37" s="118"/>
      <c r="AK37" s="119"/>
      <c r="AL37" s="118"/>
      <c r="AM37" s="119"/>
      <c r="AN37" s="118"/>
      <c r="AO37" s="119"/>
      <c r="AP37" s="118"/>
      <c r="AQ37" s="119"/>
      <c r="AR37" s="118"/>
      <c r="AS37" s="119"/>
      <c r="AT37" s="118"/>
      <c r="AU37" s="119"/>
      <c r="AV37" s="118"/>
      <c r="AW37" s="119"/>
      <c r="AX37" s="118"/>
      <c r="AY37" s="119"/>
      <c r="AZ37" s="118"/>
      <c r="BA37" s="119"/>
      <c r="BB37" s="118"/>
      <c r="BC37" s="119"/>
      <c r="BD37" s="118"/>
      <c r="BE37" s="120"/>
      <c r="BF37" s="121"/>
      <c r="BG37" s="122"/>
      <c r="BH37" s="121"/>
      <c r="BI37" s="123"/>
      <c r="BJ37" s="124"/>
      <c r="BK37" s="125"/>
      <c r="BL37" s="126"/>
      <c r="BM37" s="127"/>
      <c r="BN37" s="126"/>
      <c r="BO37" s="127"/>
      <c r="BP37" s="126"/>
      <c r="BQ37" s="127"/>
      <c r="BR37" s="126"/>
      <c r="BS37" s="127"/>
      <c r="BT37" s="126"/>
      <c r="BU37" s="127"/>
      <c r="BV37" s="126"/>
      <c r="BW37" s="127"/>
      <c r="BX37" s="126"/>
      <c r="BY37" s="127"/>
      <c r="BZ37" s="126"/>
      <c r="CA37" s="128" t="str">
        <f t="shared" si="0"/>
        <v/>
      </c>
    </row>
    <row r="38" spans="1:79" ht="30" customHeight="1" x14ac:dyDescent="0.35">
      <c r="A38" s="90" t="str">
        <f>IF('Q4'!A44="","",'Q4'!A44)</f>
        <v/>
      </c>
      <c r="B38" s="90" t="str">
        <f>IF('Q1'!B44="","",'Q1'!B44)</f>
        <v/>
      </c>
      <c r="C38" s="90" t="str">
        <f>IF('Q1'!C44="","",'Q1'!C44)</f>
        <v/>
      </c>
      <c r="D38" s="90"/>
      <c r="E38" s="90" t="str">
        <f>IF('Q1'!E44="","",'Q1'!E44)</f>
        <v/>
      </c>
      <c r="F38" s="90" t="str">
        <f>IF('Q1'!F44="","",'Q1'!F44)</f>
        <v/>
      </c>
      <c r="G38" s="117"/>
      <c r="H38" s="118"/>
      <c r="I38" s="117"/>
      <c r="J38" s="118"/>
      <c r="K38" s="119"/>
      <c r="L38" s="118"/>
      <c r="M38" s="119"/>
      <c r="N38" s="118"/>
      <c r="O38" s="119"/>
      <c r="P38" s="118"/>
      <c r="Q38" s="119"/>
      <c r="R38" s="118"/>
      <c r="S38" s="119"/>
      <c r="T38" s="118"/>
      <c r="U38" s="119"/>
      <c r="V38" s="118"/>
      <c r="W38" s="119"/>
      <c r="X38" s="118"/>
      <c r="Y38" s="119"/>
      <c r="Z38" s="118"/>
      <c r="AA38" s="119"/>
      <c r="AB38" s="118"/>
      <c r="AC38" s="120"/>
      <c r="AD38" s="121"/>
      <c r="AE38" s="122"/>
      <c r="AF38" s="121"/>
      <c r="AG38" s="123"/>
      <c r="AH38" s="124"/>
      <c r="AI38" s="117"/>
      <c r="AJ38" s="118"/>
      <c r="AK38" s="119"/>
      <c r="AL38" s="118"/>
      <c r="AM38" s="119"/>
      <c r="AN38" s="118"/>
      <c r="AO38" s="119"/>
      <c r="AP38" s="118"/>
      <c r="AQ38" s="119"/>
      <c r="AR38" s="118"/>
      <c r="AS38" s="119"/>
      <c r="AT38" s="118"/>
      <c r="AU38" s="119"/>
      <c r="AV38" s="118"/>
      <c r="AW38" s="119"/>
      <c r="AX38" s="118"/>
      <c r="AY38" s="119"/>
      <c r="AZ38" s="118"/>
      <c r="BA38" s="119"/>
      <c r="BB38" s="118"/>
      <c r="BC38" s="119"/>
      <c r="BD38" s="118"/>
      <c r="BE38" s="120"/>
      <c r="BF38" s="121"/>
      <c r="BG38" s="122"/>
      <c r="BH38" s="121"/>
      <c r="BI38" s="123"/>
      <c r="BJ38" s="124"/>
      <c r="BK38" s="125"/>
      <c r="BL38" s="126"/>
      <c r="BM38" s="127"/>
      <c r="BN38" s="126"/>
      <c r="BO38" s="127"/>
      <c r="BP38" s="126"/>
      <c r="BQ38" s="127"/>
      <c r="BR38" s="126"/>
      <c r="BS38" s="127"/>
      <c r="BT38" s="126"/>
      <c r="BU38" s="127"/>
      <c r="BV38" s="126"/>
      <c r="BW38" s="127"/>
      <c r="BX38" s="126"/>
      <c r="BY38" s="127"/>
      <c r="BZ38" s="126"/>
      <c r="CA38" s="128" t="str">
        <f t="shared" si="0"/>
        <v/>
      </c>
    </row>
    <row r="39" spans="1:79" ht="30" customHeight="1" x14ac:dyDescent="0.35">
      <c r="A39" s="90" t="str">
        <f>IF('Q4'!A45="","",'Q4'!A45)</f>
        <v/>
      </c>
      <c r="B39" s="90" t="str">
        <f>IF('Q1'!B45="","",'Q1'!B45)</f>
        <v/>
      </c>
      <c r="C39" s="90" t="str">
        <f>IF('Q1'!C45="","",'Q1'!C45)</f>
        <v/>
      </c>
      <c r="D39" s="90"/>
      <c r="E39" s="90" t="str">
        <f>IF('Q1'!E45="","",'Q1'!E45)</f>
        <v/>
      </c>
      <c r="F39" s="90" t="str">
        <f>IF('Q1'!F45="","",'Q1'!F45)</f>
        <v/>
      </c>
      <c r="G39" s="117"/>
      <c r="H39" s="118"/>
      <c r="I39" s="117"/>
      <c r="J39" s="118"/>
      <c r="K39" s="119"/>
      <c r="L39" s="118"/>
      <c r="M39" s="119"/>
      <c r="N39" s="118"/>
      <c r="O39" s="119"/>
      <c r="P39" s="118"/>
      <c r="Q39" s="119"/>
      <c r="R39" s="118"/>
      <c r="S39" s="119"/>
      <c r="T39" s="118"/>
      <c r="U39" s="119"/>
      <c r="V39" s="118"/>
      <c r="W39" s="119"/>
      <c r="X39" s="118"/>
      <c r="Y39" s="119"/>
      <c r="Z39" s="118"/>
      <c r="AA39" s="119"/>
      <c r="AB39" s="118"/>
      <c r="AC39" s="120"/>
      <c r="AD39" s="121"/>
      <c r="AE39" s="122"/>
      <c r="AF39" s="121"/>
      <c r="AG39" s="123"/>
      <c r="AH39" s="124"/>
      <c r="AI39" s="117"/>
      <c r="AJ39" s="118"/>
      <c r="AK39" s="119"/>
      <c r="AL39" s="118"/>
      <c r="AM39" s="119"/>
      <c r="AN39" s="118"/>
      <c r="AO39" s="119"/>
      <c r="AP39" s="118"/>
      <c r="AQ39" s="119"/>
      <c r="AR39" s="118"/>
      <c r="AS39" s="119"/>
      <c r="AT39" s="118"/>
      <c r="AU39" s="119"/>
      <c r="AV39" s="118"/>
      <c r="AW39" s="119"/>
      <c r="AX39" s="118"/>
      <c r="AY39" s="119"/>
      <c r="AZ39" s="118"/>
      <c r="BA39" s="119"/>
      <c r="BB39" s="118"/>
      <c r="BC39" s="119"/>
      <c r="BD39" s="118"/>
      <c r="BE39" s="120"/>
      <c r="BF39" s="121"/>
      <c r="BG39" s="122"/>
      <c r="BH39" s="121"/>
      <c r="BI39" s="123"/>
      <c r="BJ39" s="124"/>
      <c r="BK39" s="125"/>
      <c r="BL39" s="126"/>
      <c r="BM39" s="127"/>
      <c r="BN39" s="126"/>
      <c r="BO39" s="127"/>
      <c r="BP39" s="126"/>
      <c r="BQ39" s="127"/>
      <c r="BR39" s="126"/>
      <c r="BS39" s="127"/>
      <c r="BT39" s="126"/>
      <c r="BU39" s="127"/>
      <c r="BV39" s="126"/>
      <c r="BW39" s="127"/>
      <c r="BX39" s="126"/>
      <c r="BY39" s="127"/>
      <c r="BZ39" s="126"/>
      <c r="CA39" s="128" t="str">
        <f t="shared" si="0"/>
        <v/>
      </c>
    </row>
    <row r="40" spans="1:79" ht="30" customHeight="1" x14ac:dyDescent="0.35">
      <c r="A40" s="90" t="str">
        <f>IF('Q4'!A46="","",'Q4'!A46)</f>
        <v/>
      </c>
      <c r="B40" s="90" t="str">
        <f>IF('Q1'!B46="","",'Q1'!B46)</f>
        <v/>
      </c>
      <c r="C40" s="90" t="str">
        <f>IF('Q1'!C46="","",'Q1'!C46)</f>
        <v/>
      </c>
      <c r="D40" s="90"/>
      <c r="E40" s="90" t="str">
        <f>IF('Q1'!E46="","",'Q1'!E46)</f>
        <v/>
      </c>
      <c r="F40" s="90" t="str">
        <f>IF('Q1'!F46="","",'Q1'!F46)</f>
        <v/>
      </c>
      <c r="G40" s="117"/>
      <c r="H40" s="118"/>
      <c r="I40" s="117"/>
      <c r="J40" s="118"/>
      <c r="K40" s="119"/>
      <c r="L40" s="118"/>
      <c r="M40" s="119"/>
      <c r="N40" s="118"/>
      <c r="O40" s="119"/>
      <c r="P40" s="118"/>
      <c r="Q40" s="119"/>
      <c r="R40" s="118"/>
      <c r="S40" s="119"/>
      <c r="T40" s="118"/>
      <c r="U40" s="119"/>
      <c r="V40" s="118"/>
      <c r="W40" s="119"/>
      <c r="X40" s="118"/>
      <c r="Y40" s="119"/>
      <c r="Z40" s="118"/>
      <c r="AA40" s="119"/>
      <c r="AB40" s="118"/>
      <c r="AC40" s="120"/>
      <c r="AD40" s="121"/>
      <c r="AE40" s="122"/>
      <c r="AF40" s="121"/>
      <c r="AG40" s="123"/>
      <c r="AH40" s="124"/>
      <c r="AI40" s="117"/>
      <c r="AJ40" s="118"/>
      <c r="AK40" s="119"/>
      <c r="AL40" s="118"/>
      <c r="AM40" s="119"/>
      <c r="AN40" s="118"/>
      <c r="AO40" s="119"/>
      <c r="AP40" s="118"/>
      <c r="AQ40" s="119"/>
      <c r="AR40" s="118"/>
      <c r="AS40" s="119"/>
      <c r="AT40" s="118"/>
      <c r="AU40" s="119"/>
      <c r="AV40" s="118"/>
      <c r="AW40" s="119"/>
      <c r="AX40" s="118"/>
      <c r="AY40" s="119"/>
      <c r="AZ40" s="118"/>
      <c r="BA40" s="119"/>
      <c r="BB40" s="118"/>
      <c r="BC40" s="119"/>
      <c r="BD40" s="118"/>
      <c r="BE40" s="120"/>
      <c r="BF40" s="121"/>
      <c r="BG40" s="122"/>
      <c r="BH40" s="121"/>
      <c r="BI40" s="123"/>
      <c r="BJ40" s="124"/>
      <c r="BK40" s="125"/>
      <c r="BL40" s="126"/>
      <c r="BM40" s="127"/>
      <c r="BN40" s="126"/>
      <c r="BO40" s="127"/>
      <c r="BP40" s="126"/>
      <c r="BQ40" s="127"/>
      <c r="BR40" s="126"/>
      <c r="BS40" s="127"/>
      <c r="BT40" s="126"/>
      <c r="BU40" s="127"/>
      <c r="BV40" s="126"/>
      <c r="BW40" s="127"/>
      <c r="BX40" s="126"/>
      <c r="BY40" s="127"/>
      <c r="BZ40" s="126"/>
      <c r="CA40" s="128" t="str">
        <f t="shared" si="0"/>
        <v/>
      </c>
    </row>
    <row r="41" spans="1:79" ht="30" customHeight="1" x14ac:dyDescent="0.35">
      <c r="A41" s="90" t="str">
        <f>IF('Q4'!A47="","",'Q4'!A47)</f>
        <v/>
      </c>
      <c r="B41" s="90" t="str">
        <f>IF('Q1'!B47="","",'Q1'!B47)</f>
        <v/>
      </c>
      <c r="C41" s="90" t="str">
        <f>IF('Q1'!C47="","",'Q1'!C47)</f>
        <v/>
      </c>
      <c r="D41" s="90"/>
      <c r="E41" s="90" t="str">
        <f>IF('Q1'!E47="","",'Q1'!E47)</f>
        <v/>
      </c>
      <c r="F41" s="90" t="str">
        <f>IF('Q1'!F47="","",'Q1'!F47)</f>
        <v/>
      </c>
      <c r="G41" s="117"/>
      <c r="H41" s="118"/>
      <c r="I41" s="117"/>
      <c r="J41" s="118"/>
      <c r="K41" s="119"/>
      <c r="L41" s="118"/>
      <c r="M41" s="119"/>
      <c r="N41" s="118"/>
      <c r="O41" s="119"/>
      <c r="P41" s="118"/>
      <c r="Q41" s="119"/>
      <c r="R41" s="118"/>
      <c r="S41" s="119"/>
      <c r="T41" s="118"/>
      <c r="U41" s="119"/>
      <c r="V41" s="118"/>
      <c r="W41" s="119"/>
      <c r="X41" s="118"/>
      <c r="Y41" s="119"/>
      <c r="Z41" s="118"/>
      <c r="AA41" s="119"/>
      <c r="AB41" s="118"/>
      <c r="AC41" s="120"/>
      <c r="AD41" s="121"/>
      <c r="AE41" s="122"/>
      <c r="AF41" s="121"/>
      <c r="AG41" s="123"/>
      <c r="AH41" s="124"/>
      <c r="AI41" s="117"/>
      <c r="AJ41" s="118"/>
      <c r="AK41" s="119"/>
      <c r="AL41" s="118"/>
      <c r="AM41" s="119"/>
      <c r="AN41" s="118"/>
      <c r="AO41" s="119"/>
      <c r="AP41" s="118"/>
      <c r="AQ41" s="119"/>
      <c r="AR41" s="118"/>
      <c r="AS41" s="119"/>
      <c r="AT41" s="118"/>
      <c r="AU41" s="119"/>
      <c r="AV41" s="118"/>
      <c r="AW41" s="119"/>
      <c r="AX41" s="118"/>
      <c r="AY41" s="119"/>
      <c r="AZ41" s="118"/>
      <c r="BA41" s="119"/>
      <c r="BB41" s="118"/>
      <c r="BC41" s="119"/>
      <c r="BD41" s="118"/>
      <c r="BE41" s="120"/>
      <c r="BF41" s="121"/>
      <c r="BG41" s="122"/>
      <c r="BH41" s="121"/>
      <c r="BI41" s="123"/>
      <c r="BJ41" s="124"/>
      <c r="BK41" s="125"/>
      <c r="BL41" s="126"/>
      <c r="BM41" s="127"/>
      <c r="BN41" s="126"/>
      <c r="BO41" s="127"/>
      <c r="BP41" s="126"/>
      <c r="BQ41" s="127"/>
      <c r="BR41" s="126"/>
      <c r="BS41" s="127"/>
      <c r="BT41" s="126"/>
      <c r="BU41" s="127"/>
      <c r="BV41" s="126"/>
      <c r="BW41" s="127"/>
      <c r="BX41" s="126"/>
      <c r="BY41" s="127"/>
      <c r="BZ41" s="126"/>
      <c r="CA41" s="128" t="str">
        <f t="shared" si="0"/>
        <v/>
      </c>
    </row>
    <row r="42" spans="1:79" ht="30" customHeight="1" x14ac:dyDescent="0.35">
      <c r="A42" s="90" t="str">
        <f>IF('Q4'!A48="","",'Q4'!A48)</f>
        <v/>
      </c>
      <c r="B42" s="90" t="str">
        <f>IF('Q1'!B48="","",'Q1'!B48)</f>
        <v/>
      </c>
      <c r="C42" s="90" t="str">
        <f>IF('Q1'!C48="","",'Q1'!C48)</f>
        <v/>
      </c>
      <c r="D42" s="90"/>
      <c r="E42" s="90" t="str">
        <f>IF('Q1'!E48="","",'Q1'!E48)</f>
        <v/>
      </c>
      <c r="F42" s="90" t="str">
        <f>IF('Q1'!F48="","",'Q1'!F48)</f>
        <v/>
      </c>
      <c r="G42" s="117"/>
      <c r="H42" s="118"/>
      <c r="I42" s="117"/>
      <c r="J42" s="118"/>
      <c r="K42" s="119"/>
      <c r="L42" s="118"/>
      <c r="M42" s="119"/>
      <c r="N42" s="118"/>
      <c r="O42" s="119"/>
      <c r="P42" s="118"/>
      <c r="Q42" s="119"/>
      <c r="R42" s="118"/>
      <c r="S42" s="119"/>
      <c r="T42" s="118"/>
      <c r="U42" s="119"/>
      <c r="V42" s="118"/>
      <c r="W42" s="119"/>
      <c r="X42" s="118"/>
      <c r="Y42" s="119"/>
      <c r="Z42" s="118"/>
      <c r="AA42" s="119"/>
      <c r="AB42" s="118"/>
      <c r="AC42" s="120"/>
      <c r="AD42" s="121"/>
      <c r="AE42" s="122"/>
      <c r="AF42" s="121"/>
      <c r="AG42" s="123"/>
      <c r="AH42" s="124"/>
      <c r="AI42" s="117"/>
      <c r="AJ42" s="118"/>
      <c r="AK42" s="119"/>
      <c r="AL42" s="118"/>
      <c r="AM42" s="119"/>
      <c r="AN42" s="118"/>
      <c r="AO42" s="119"/>
      <c r="AP42" s="118"/>
      <c r="AQ42" s="119"/>
      <c r="AR42" s="118"/>
      <c r="AS42" s="119"/>
      <c r="AT42" s="118"/>
      <c r="AU42" s="119"/>
      <c r="AV42" s="118"/>
      <c r="AW42" s="119"/>
      <c r="AX42" s="118"/>
      <c r="AY42" s="119"/>
      <c r="AZ42" s="118"/>
      <c r="BA42" s="119"/>
      <c r="BB42" s="118"/>
      <c r="BC42" s="119"/>
      <c r="BD42" s="118"/>
      <c r="BE42" s="120"/>
      <c r="BF42" s="121"/>
      <c r="BG42" s="122"/>
      <c r="BH42" s="121"/>
      <c r="BI42" s="123"/>
      <c r="BJ42" s="124"/>
      <c r="BK42" s="125"/>
      <c r="BL42" s="126"/>
      <c r="BM42" s="127"/>
      <c r="BN42" s="126"/>
      <c r="BO42" s="127"/>
      <c r="BP42" s="126"/>
      <c r="BQ42" s="127"/>
      <c r="BR42" s="126"/>
      <c r="BS42" s="127"/>
      <c r="BT42" s="126"/>
      <c r="BU42" s="127"/>
      <c r="BV42" s="126"/>
      <c r="BW42" s="127"/>
      <c r="BX42" s="126"/>
      <c r="BY42" s="127"/>
      <c r="BZ42" s="126"/>
      <c r="CA42" s="128" t="str">
        <f t="shared" si="0"/>
        <v/>
      </c>
    </row>
    <row r="43" spans="1:79" ht="30" customHeight="1" x14ac:dyDescent="0.35">
      <c r="A43" s="90" t="str">
        <f>IF('Q4'!A49="","",'Q4'!A49)</f>
        <v/>
      </c>
      <c r="B43" s="90" t="str">
        <f>IF('Q1'!B49="","",'Q1'!B49)</f>
        <v/>
      </c>
      <c r="C43" s="90" t="str">
        <f>IF('Q1'!C49="","",'Q1'!C49)</f>
        <v/>
      </c>
      <c r="D43" s="90"/>
      <c r="E43" s="90" t="str">
        <f>IF('Q1'!E49="","",'Q1'!E49)</f>
        <v/>
      </c>
      <c r="F43" s="90" t="str">
        <f>IF('Q1'!F49="","",'Q1'!F49)</f>
        <v/>
      </c>
      <c r="G43" s="117"/>
      <c r="H43" s="118"/>
      <c r="I43" s="117"/>
      <c r="J43" s="118"/>
      <c r="K43" s="119"/>
      <c r="L43" s="118"/>
      <c r="M43" s="119"/>
      <c r="N43" s="118"/>
      <c r="O43" s="119"/>
      <c r="P43" s="118"/>
      <c r="Q43" s="119"/>
      <c r="R43" s="118"/>
      <c r="S43" s="119"/>
      <c r="T43" s="118"/>
      <c r="U43" s="119"/>
      <c r="V43" s="118"/>
      <c r="W43" s="119"/>
      <c r="X43" s="118"/>
      <c r="Y43" s="119"/>
      <c r="Z43" s="118"/>
      <c r="AA43" s="119"/>
      <c r="AB43" s="118"/>
      <c r="AC43" s="120"/>
      <c r="AD43" s="121"/>
      <c r="AE43" s="122"/>
      <c r="AF43" s="121"/>
      <c r="AG43" s="123"/>
      <c r="AH43" s="124"/>
      <c r="AI43" s="117"/>
      <c r="AJ43" s="118"/>
      <c r="AK43" s="119"/>
      <c r="AL43" s="118"/>
      <c r="AM43" s="119"/>
      <c r="AN43" s="118"/>
      <c r="AO43" s="119"/>
      <c r="AP43" s="118"/>
      <c r="AQ43" s="119"/>
      <c r="AR43" s="118"/>
      <c r="AS43" s="119"/>
      <c r="AT43" s="118"/>
      <c r="AU43" s="119"/>
      <c r="AV43" s="118"/>
      <c r="AW43" s="119"/>
      <c r="AX43" s="118"/>
      <c r="AY43" s="119"/>
      <c r="AZ43" s="118"/>
      <c r="BA43" s="119"/>
      <c r="BB43" s="118"/>
      <c r="BC43" s="119"/>
      <c r="BD43" s="118"/>
      <c r="BE43" s="120"/>
      <c r="BF43" s="121"/>
      <c r="BG43" s="122"/>
      <c r="BH43" s="121"/>
      <c r="BI43" s="123"/>
      <c r="BJ43" s="124"/>
      <c r="BK43" s="125"/>
      <c r="BL43" s="126"/>
      <c r="BM43" s="127"/>
      <c r="BN43" s="126"/>
      <c r="BO43" s="127"/>
      <c r="BP43" s="126"/>
      <c r="BQ43" s="127"/>
      <c r="BR43" s="126"/>
      <c r="BS43" s="127"/>
      <c r="BT43" s="126"/>
      <c r="BU43" s="127"/>
      <c r="BV43" s="126"/>
      <c r="BW43" s="127"/>
      <c r="BX43" s="126"/>
      <c r="BY43" s="127"/>
      <c r="BZ43" s="126"/>
      <c r="CA43" s="128" t="str">
        <f t="shared" si="0"/>
        <v/>
      </c>
    </row>
    <row r="44" spans="1:79" ht="30" customHeight="1" x14ac:dyDescent="0.35">
      <c r="A44" s="90" t="str">
        <f>IF('Q4'!A50="","",'Q4'!A50)</f>
        <v/>
      </c>
      <c r="B44" s="90" t="str">
        <f>IF('Q1'!B50="","",'Q1'!B50)</f>
        <v/>
      </c>
      <c r="C44" s="90" t="str">
        <f>IF('Q1'!C50="","",'Q1'!C50)</f>
        <v/>
      </c>
      <c r="D44" s="90"/>
      <c r="E44" s="90" t="str">
        <f>IF('Q1'!E50="","",'Q1'!E50)</f>
        <v/>
      </c>
      <c r="F44" s="90" t="str">
        <f>IF('Q1'!F50="","",'Q1'!F50)</f>
        <v/>
      </c>
      <c r="G44" s="117"/>
      <c r="H44" s="118"/>
      <c r="I44" s="117"/>
      <c r="J44" s="118"/>
      <c r="K44" s="119"/>
      <c r="L44" s="118"/>
      <c r="M44" s="119"/>
      <c r="N44" s="118"/>
      <c r="O44" s="119"/>
      <c r="P44" s="118"/>
      <c r="Q44" s="119"/>
      <c r="R44" s="118"/>
      <c r="S44" s="119"/>
      <c r="T44" s="118"/>
      <c r="U44" s="119"/>
      <c r="V44" s="118"/>
      <c r="W44" s="119"/>
      <c r="X44" s="118"/>
      <c r="Y44" s="119"/>
      <c r="Z44" s="118"/>
      <c r="AA44" s="119"/>
      <c r="AB44" s="118"/>
      <c r="AC44" s="120"/>
      <c r="AD44" s="121"/>
      <c r="AE44" s="122"/>
      <c r="AF44" s="121"/>
      <c r="AG44" s="123"/>
      <c r="AH44" s="124"/>
      <c r="AI44" s="117"/>
      <c r="AJ44" s="118"/>
      <c r="AK44" s="119"/>
      <c r="AL44" s="118"/>
      <c r="AM44" s="119"/>
      <c r="AN44" s="118"/>
      <c r="AO44" s="119"/>
      <c r="AP44" s="118"/>
      <c r="AQ44" s="119"/>
      <c r="AR44" s="118"/>
      <c r="AS44" s="119"/>
      <c r="AT44" s="118"/>
      <c r="AU44" s="119"/>
      <c r="AV44" s="118"/>
      <c r="AW44" s="119"/>
      <c r="AX44" s="118"/>
      <c r="AY44" s="119"/>
      <c r="AZ44" s="118"/>
      <c r="BA44" s="119"/>
      <c r="BB44" s="118"/>
      <c r="BC44" s="119"/>
      <c r="BD44" s="118"/>
      <c r="BE44" s="120"/>
      <c r="BF44" s="121"/>
      <c r="BG44" s="122"/>
      <c r="BH44" s="121"/>
      <c r="BI44" s="123"/>
      <c r="BJ44" s="124"/>
      <c r="BK44" s="125"/>
      <c r="BL44" s="126"/>
      <c r="BM44" s="127"/>
      <c r="BN44" s="126"/>
      <c r="BO44" s="127"/>
      <c r="BP44" s="126"/>
      <c r="BQ44" s="127"/>
      <c r="BR44" s="126"/>
      <c r="BS44" s="127"/>
      <c r="BT44" s="126"/>
      <c r="BU44" s="127"/>
      <c r="BV44" s="126"/>
      <c r="BW44" s="127"/>
      <c r="BX44" s="126"/>
      <c r="BY44" s="127"/>
      <c r="BZ44" s="126"/>
      <c r="CA44" s="128" t="str">
        <f t="shared" si="0"/>
        <v/>
      </c>
    </row>
    <row r="45" spans="1:79" ht="30" customHeight="1" x14ac:dyDescent="0.35">
      <c r="A45" s="90" t="str">
        <f>IF('Q4'!A51="","",'Q4'!A51)</f>
        <v/>
      </c>
      <c r="B45" s="90" t="str">
        <f>IF('Q1'!B51="","",'Q1'!B51)</f>
        <v/>
      </c>
      <c r="C45" s="90" t="str">
        <f>IF('Q1'!C51="","",'Q1'!C51)</f>
        <v/>
      </c>
      <c r="D45" s="90"/>
      <c r="E45" s="90" t="str">
        <f>IF('Q1'!E51="","",'Q1'!E51)</f>
        <v/>
      </c>
      <c r="F45" s="90" t="str">
        <f>IF('Q1'!F51="","",'Q1'!F51)</f>
        <v/>
      </c>
      <c r="G45" s="117"/>
      <c r="H45" s="118"/>
      <c r="I45" s="117"/>
      <c r="J45" s="118"/>
      <c r="K45" s="119"/>
      <c r="L45" s="118"/>
      <c r="M45" s="119"/>
      <c r="N45" s="118"/>
      <c r="O45" s="119"/>
      <c r="P45" s="118"/>
      <c r="Q45" s="119"/>
      <c r="R45" s="118"/>
      <c r="S45" s="119"/>
      <c r="T45" s="118"/>
      <c r="U45" s="119"/>
      <c r="V45" s="118"/>
      <c r="W45" s="119"/>
      <c r="X45" s="118"/>
      <c r="Y45" s="119"/>
      <c r="Z45" s="118"/>
      <c r="AA45" s="119"/>
      <c r="AB45" s="118"/>
      <c r="AC45" s="120"/>
      <c r="AD45" s="121"/>
      <c r="AE45" s="122"/>
      <c r="AF45" s="121"/>
      <c r="AG45" s="123"/>
      <c r="AH45" s="124"/>
      <c r="AI45" s="117"/>
      <c r="AJ45" s="118"/>
      <c r="AK45" s="119"/>
      <c r="AL45" s="118"/>
      <c r="AM45" s="119"/>
      <c r="AN45" s="118"/>
      <c r="AO45" s="119"/>
      <c r="AP45" s="118"/>
      <c r="AQ45" s="119"/>
      <c r="AR45" s="118"/>
      <c r="AS45" s="119"/>
      <c r="AT45" s="118"/>
      <c r="AU45" s="119"/>
      <c r="AV45" s="118"/>
      <c r="AW45" s="119"/>
      <c r="AX45" s="118"/>
      <c r="AY45" s="119"/>
      <c r="AZ45" s="118"/>
      <c r="BA45" s="119"/>
      <c r="BB45" s="118"/>
      <c r="BC45" s="119"/>
      <c r="BD45" s="118"/>
      <c r="BE45" s="120"/>
      <c r="BF45" s="121"/>
      <c r="BG45" s="122"/>
      <c r="BH45" s="121"/>
      <c r="BI45" s="123"/>
      <c r="BJ45" s="124"/>
      <c r="BK45" s="125"/>
      <c r="BL45" s="126"/>
      <c r="BM45" s="127"/>
      <c r="BN45" s="126"/>
      <c r="BO45" s="127"/>
      <c r="BP45" s="126"/>
      <c r="BQ45" s="127"/>
      <c r="BR45" s="126"/>
      <c r="BS45" s="127"/>
      <c r="BT45" s="126"/>
      <c r="BU45" s="127"/>
      <c r="BV45" s="126"/>
      <c r="BW45" s="127"/>
      <c r="BX45" s="126"/>
      <c r="BY45" s="127"/>
      <c r="BZ45" s="126"/>
      <c r="CA45" s="128" t="str">
        <f t="shared" si="0"/>
        <v/>
      </c>
    </row>
    <row r="46" spans="1:79" ht="30" customHeight="1" x14ac:dyDescent="0.35">
      <c r="A46" s="90" t="str">
        <f>IF('Q4'!A52="","",'Q4'!A52)</f>
        <v/>
      </c>
      <c r="B46" s="90" t="str">
        <f>IF('Q1'!B52="","",'Q1'!B52)</f>
        <v/>
      </c>
      <c r="C46" s="90" t="str">
        <f>IF('Q1'!C52="","",'Q1'!C52)</f>
        <v/>
      </c>
      <c r="D46" s="90"/>
      <c r="E46" s="90" t="str">
        <f>IF('Q1'!E52="","",'Q1'!E52)</f>
        <v/>
      </c>
      <c r="F46" s="90" t="str">
        <f>IF('Q1'!F52="","",'Q1'!F52)</f>
        <v/>
      </c>
      <c r="G46" s="117"/>
      <c r="H46" s="118"/>
      <c r="I46" s="117"/>
      <c r="J46" s="118"/>
      <c r="K46" s="119"/>
      <c r="L46" s="118"/>
      <c r="M46" s="119"/>
      <c r="N46" s="118"/>
      <c r="O46" s="119"/>
      <c r="P46" s="118"/>
      <c r="Q46" s="119"/>
      <c r="R46" s="118"/>
      <c r="S46" s="119"/>
      <c r="T46" s="118"/>
      <c r="U46" s="119"/>
      <c r="V46" s="118"/>
      <c r="W46" s="119"/>
      <c r="X46" s="118"/>
      <c r="Y46" s="119"/>
      <c r="Z46" s="118"/>
      <c r="AA46" s="119"/>
      <c r="AB46" s="118"/>
      <c r="AC46" s="120"/>
      <c r="AD46" s="121"/>
      <c r="AE46" s="122"/>
      <c r="AF46" s="121"/>
      <c r="AG46" s="123"/>
      <c r="AH46" s="124"/>
      <c r="AI46" s="117"/>
      <c r="AJ46" s="118"/>
      <c r="AK46" s="119"/>
      <c r="AL46" s="118"/>
      <c r="AM46" s="119"/>
      <c r="AN46" s="118"/>
      <c r="AO46" s="119"/>
      <c r="AP46" s="118"/>
      <c r="AQ46" s="119"/>
      <c r="AR46" s="118"/>
      <c r="AS46" s="119"/>
      <c r="AT46" s="118"/>
      <c r="AU46" s="119"/>
      <c r="AV46" s="118"/>
      <c r="AW46" s="119"/>
      <c r="AX46" s="118"/>
      <c r="AY46" s="119"/>
      <c r="AZ46" s="118"/>
      <c r="BA46" s="119"/>
      <c r="BB46" s="118"/>
      <c r="BC46" s="119"/>
      <c r="BD46" s="118"/>
      <c r="BE46" s="120"/>
      <c r="BF46" s="121"/>
      <c r="BG46" s="122"/>
      <c r="BH46" s="121"/>
      <c r="BI46" s="123"/>
      <c r="BJ46" s="124"/>
      <c r="BK46" s="125"/>
      <c r="BL46" s="126"/>
      <c r="BM46" s="127"/>
      <c r="BN46" s="126"/>
      <c r="BO46" s="127"/>
      <c r="BP46" s="126"/>
      <c r="BQ46" s="127"/>
      <c r="BR46" s="126"/>
      <c r="BS46" s="127"/>
      <c r="BT46" s="126"/>
      <c r="BU46" s="127"/>
      <c r="BV46" s="126"/>
      <c r="BW46" s="127"/>
      <c r="BX46" s="126"/>
      <c r="BY46" s="127"/>
      <c r="BZ46" s="126"/>
      <c r="CA46" s="128" t="str">
        <f t="shared" si="0"/>
        <v/>
      </c>
    </row>
    <row r="47" spans="1:79" ht="30" customHeight="1" x14ac:dyDescent="0.35">
      <c r="A47" s="90" t="str">
        <f>IF('Q4'!A53="","",'Q4'!A53)</f>
        <v/>
      </c>
      <c r="B47" s="90" t="str">
        <f>IF('Q1'!B53="","",'Q1'!B53)</f>
        <v/>
      </c>
      <c r="C47" s="90" t="str">
        <f>IF('Q1'!C53="","",'Q1'!C53)</f>
        <v/>
      </c>
      <c r="D47" s="90"/>
      <c r="E47" s="90" t="str">
        <f>IF('Q1'!E53="","",'Q1'!E53)</f>
        <v/>
      </c>
      <c r="F47" s="90" t="str">
        <f>IF('Q1'!F53="","",'Q1'!F53)</f>
        <v/>
      </c>
      <c r="G47" s="117"/>
      <c r="H47" s="118"/>
      <c r="I47" s="117"/>
      <c r="J47" s="118"/>
      <c r="K47" s="119"/>
      <c r="L47" s="118"/>
      <c r="M47" s="119"/>
      <c r="N47" s="118"/>
      <c r="O47" s="119"/>
      <c r="P47" s="118"/>
      <c r="Q47" s="119"/>
      <c r="R47" s="118"/>
      <c r="S47" s="119"/>
      <c r="T47" s="118"/>
      <c r="U47" s="119"/>
      <c r="V47" s="118"/>
      <c r="W47" s="119"/>
      <c r="X47" s="118"/>
      <c r="Y47" s="119"/>
      <c r="Z47" s="118"/>
      <c r="AA47" s="119"/>
      <c r="AB47" s="118"/>
      <c r="AC47" s="120"/>
      <c r="AD47" s="121"/>
      <c r="AE47" s="122"/>
      <c r="AF47" s="121"/>
      <c r="AG47" s="123"/>
      <c r="AH47" s="124"/>
      <c r="AI47" s="117"/>
      <c r="AJ47" s="118"/>
      <c r="AK47" s="119"/>
      <c r="AL47" s="118"/>
      <c r="AM47" s="119"/>
      <c r="AN47" s="118"/>
      <c r="AO47" s="119"/>
      <c r="AP47" s="118"/>
      <c r="AQ47" s="119"/>
      <c r="AR47" s="118"/>
      <c r="AS47" s="119"/>
      <c r="AT47" s="118"/>
      <c r="AU47" s="119"/>
      <c r="AV47" s="118"/>
      <c r="AW47" s="119"/>
      <c r="AX47" s="118"/>
      <c r="AY47" s="119"/>
      <c r="AZ47" s="118"/>
      <c r="BA47" s="119"/>
      <c r="BB47" s="118"/>
      <c r="BC47" s="119"/>
      <c r="BD47" s="118"/>
      <c r="BE47" s="120"/>
      <c r="BF47" s="121"/>
      <c r="BG47" s="122"/>
      <c r="BH47" s="121"/>
      <c r="BI47" s="123"/>
      <c r="BJ47" s="124"/>
      <c r="BK47" s="125"/>
      <c r="BL47" s="126"/>
      <c r="BM47" s="127"/>
      <c r="BN47" s="126"/>
      <c r="BO47" s="127"/>
      <c r="BP47" s="126"/>
      <c r="BQ47" s="127"/>
      <c r="BR47" s="126"/>
      <c r="BS47" s="127"/>
      <c r="BT47" s="126"/>
      <c r="BU47" s="127"/>
      <c r="BV47" s="126"/>
      <c r="BW47" s="127"/>
      <c r="BX47" s="126"/>
      <c r="BY47" s="127"/>
      <c r="BZ47" s="126"/>
      <c r="CA47" s="128" t="str">
        <f t="shared" si="0"/>
        <v/>
      </c>
    </row>
    <row r="48" spans="1:79" ht="30" customHeight="1" x14ac:dyDescent="0.35">
      <c r="A48" s="90" t="str">
        <f>IF('Q4'!A54="","",'Q4'!A54)</f>
        <v/>
      </c>
      <c r="B48" s="90" t="str">
        <f>IF('Q1'!B54="","",'Q1'!B54)</f>
        <v/>
      </c>
      <c r="C48" s="90" t="str">
        <f>IF('Q1'!C54="","",'Q1'!C54)</f>
        <v/>
      </c>
      <c r="D48" s="90"/>
      <c r="E48" s="90" t="str">
        <f>IF('Q1'!E54="","",'Q1'!E54)</f>
        <v/>
      </c>
      <c r="F48" s="90" t="str">
        <f>IF('Q1'!F54="","",'Q1'!F54)</f>
        <v/>
      </c>
      <c r="G48" s="117"/>
      <c r="H48" s="118"/>
      <c r="I48" s="117"/>
      <c r="J48" s="118"/>
      <c r="K48" s="119"/>
      <c r="L48" s="118"/>
      <c r="M48" s="119"/>
      <c r="N48" s="118"/>
      <c r="O48" s="119"/>
      <c r="P48" s="118"/>
      <c r="Q48" s="119"/>
      <c r="R48" s="118"/>
      <c r="S48" s="119"/>
      <c r="T48" s="118"/>
      <c r="U48" s="119"/>
      <c r="V48" s="118"/>
      <c r="W48" s="119"/>
      <c r="X48" s="118"/>
      <c r="Y48" s="119"/>
      <c r="Z48" s="118"/>
      <c r="AA48" s="119"/>
      <c r="AB48" s="118"/>
      <c r="AC48" s="120"/>
      <c r="AD48" s="121"/>
      <c r="AE48" s="122"/>
      <c r="AF48" s="121"/>
      <c r="AG48" s="123"/>
      <c r="AH48" s="124"/>
      <c r="AI48" s="117"/>
      <c r="AJ48" s="118"/>
      <c r="AK48" s="119"/>
      <c r="AL48" s="118"/>
      <c r="AM48" s="119"/>
      <c r="AN48" s="118"/>
      <c r="AO48" s="119"/>
      <c r="AP48" s="118"/>
      <c r="AQ48" s="119"/>
      <c r="AR48" s="118"/>
      <c r="AS48" s="119"/>
      <c r="AT48" s="118"/>
      <c r="AU48" s="119"/>
      <c r="AV48" s="118"/>
      <c r="AW48" s="119"/>
      <c r="AX48" s="118"/>
      <c r="AY48" s="119"/>
      <c r="AZ48" s="118"/>
      <c r="BA48" s="119"/>
      <c r="BB48" s="118"/>
      <c r="BC48" s="119"/>
      <c r="BD48" s="118"/>
      <c r="BE48" s="120"/>
      <c r="BF48" s="121"/>
      <c r="BG48" s="122"/>
      <c r="BH48" s="121"/>
      <c r="BI48" s="123"/>
      <c r="BJ48" s="124"/>
      <c r="BK48" s="125"/>
      <c r="BL48" s="126"/>
      <c r="BM48" s="127"/>
      <c r="BN48" s="126"/>
      <c r="BO48" s="127"/>
      <c r="BP48" s="126"/>
      <c r="BQ48" s="127"/>
      <c r="BR48" s="126"/>
      <c r="BS48" s="127"/>
      <c r="BT48" s="126"/>
      <c r="BU48" s="127"/>
      <c r="BV48" s="126"/>
      <c r="BW48" s="127"/>
      <c r="BX48" s="126"/>
      <c r="BY48" s="127"/>
      <c r="BZ48" s="126"/>
      <c r="CA48" s="128" t="str">
        <f t="shared" si="0"/>
        <v/>
      </c>
    </row>
    <row r="49" spans="1:79" ht="30" customHeight="1" x14ac:dyDescent="0.35">
      <c r="A49" s="90" t="str">
        <f>IF('Q4'!A55="","",'Q4'!A55)</f>
        <v/>
      </c>
      <c r="B49" s="90" t="str">
        <f>IF('Q1'!B55="","",'Q1'!B55)</f>
        <v/>
      </c>
      <c r="C49" s="90" t="str">
        <f>IF('Q1'!C55="","",'Q1'!C55)</f>
        <v/>
      </c>
      <c r="D49" s="90"/>
      <c r="E49" s="90" t="str">
        <f>IF('Q1'!E55="","",'Q1'!E55)</f>
        <v/>
      </c>
      <c r="F49" s="90" t="str">
        <f>IF('Q1'!F55="","",'Q1'!F55)</f>
        <v/>
      </c>
      <c r="G49" s="117"/>
      <c r="H49" s="118"/>
      <c r="I49" s="117"/>
      <c r="J49" s="118"/>
      <c r="K49" s="119"/>
      <c r="L49" s="118"/>
      <c r="M49" s="119"/>
      <c r="N49" s="118"/>
      <c r="O49" s="119"/>
      <c r="P49" s="118"/>
      <c r="Q49" s="119"/>
      <c r="R49" s="118"/>
      <c r="S49" s="119"/>
      <c r="T49" s="118"/>
      <c r="U49" s="119"/>
      <c r="V49" s="118"/>
      <c r="W49" s="119"/>
      <c r="X49" s="118"/>
      <c r="Y49" s="119"/>
      <c r="Z49" s="118"/>
      <c r="AA49" s="119"/>
      <c r="AB49" s="118"/>
      <c r="AC49" s="120"/>
      <c r="AD49" s="121"/>
      <c r="AE49" s="122"/>
      <c r="AF49" s="121"/>
      <c r="AG49" s="123"/>
      <c r="AH49" s="124"/>
      <c r="AI49" s="117"/>
      <c r="AJ49" s="118"/>
      <c r="AK49" s="119"/>
      <c r="AL49" s="118"/>
      <c r="AM49" s="119"/>
      <c r="AN49" s="118"/>
      <c r="AO49" s="119"/>
      <c r="AP49" s="118"/>
      <c r="AQ49" s="119"/>
      <c r="AR49" s="118"/>
      <c r="AS49" s="119"/>
      <c r="AT49" s="118"/>
      <c r="AU49" s="119"/>
      <c r="AV49" s="118"/>
      <c r="AW49" s="119"/>
      <c r="AX49" s="118"/>
      <c r="AY49" s="119"/>
      <c r="AZ49" s="118"/>
      <c r="BA49" s="119"/>
      <c r="BB49" s="118"/>
      <c r="BC49" s="119"/>
      <c r="BD49" s="118"/>
      <c r="BE49" s="120"/>
      <c r="BF49" s="121"/>
      <c r="BG49" s="122"/>
      <c r="BH49" s="121"/>
      <c r="BI49" s="123"/>
      <c r="BJ49" s="124"/>
      <c r="BK49" s="125"/>
      <c r="BL49" s="126"/>
      <c r="BM49" s="127"/>
      <c r="BN49" s="126"/>
      <c r="BO49" s="127"/>
      <c r="BP49" s="126"/>
      <c r="BQ49" s="127"/>
      <c r="BR49" s="126"/>
      <c r="BS49" s="127"/>
      <c r="BT49" s="126"/>
      <c r="BU49" s="127"/>
      <c r="BV49" s="126"/>
      <c r="BW49" s="127"/>
      <c r="BX49" s="126"/>
      <c r="BY49" s="127"/>
      <c r="BZ49" s="126"/>
      <c r="CA49" s="128" t="str">
        <f t="shared" si="0"/>
        <v/>
      </c>
    </row>
    <row r="50" spans="1:79" ht="30" customHeight="1" x14ac:dyDescent="0.35">
      <c r="A50" s="90" t="str">
        <f>IF('Q4'!A56="","",'Q4'!A56)</f>
        <v/>
      </c>
      <c r="B50" s="90" t="str">
        <f>IF('Q1'!B56="","",'Q1'!B56)</f>
        <v/>
      </c>
      <c r="C50" s="90" t="str">
        <f>IF('Q1'!C56="","",'Q1'!C56)</f>
        <v/>
      </c>
      <c r="D50" s="90"/>
      <c r="E50" s="90" t="str">
        <f>IF('Q1'!E56="","",'Q1'!E56)</f>
        <v/>
      </c>
      <c r="F50" s="90" t="str">
        <f>IF('Q1'!F56="","",'Q1'!F56)</f>
        <v/>
      </c>
      <c r="G50" s="117"/>
      <c r="H50" s="118"/>
      <c r="I50" s="117"/>
      <c r="J50" s="118"/>
      <c r="K50" s="119"/>
      <c r="L50" s="118"/>
      <c r="M50" s="119"/>
      <c r="N50" s="118"/>
      <c r="O50" s="119"/>
      <c r="P50" s="118"/>
      <c r="Q50" s="119"/>
      <c r="R50" s="118"/>
      <c r="S50" s="119"/>
      <c r="T50" s="118"/>
      <c r="U50" s="119"/>
      <c r="V50" s="118"/>
      <c r="W50" s="119"/>
      <c r="X50" s="118"/>
      <c r="Y50" s="119"/>
      <c r="Z50" s="118"/>
      <c r="AA50" s="119"/>
      <c r="AB50" s="118"/>
      <c r="AC50" s="120"/>
      <c r="AD50" s="121"/>
      <c r="AE50" s="122"/>
      <c r="AF50" s="121"/>
      <c r="AG50" s="123"/>
      <c r="AH50" s="124"/>
      <c r="AI50" s="117"/>
      <c r="AJ50" s="118"/>
      <c r="AK50" s="119"/>
      <c r="AL50" s="118"/>
      <c r="AM50" s="119"/>
      <c r="AN50" s="118"/>
      <c r="AO50" s="119"/>
      <c r="AP50" s="118"/>
      <c r="AQ50" s="119"/>
      <c r="AR50" s="118"/>
      <c r="AS50" s="119"/>
      <c r="AT50" s="118"/>
      <c r="AU50" s="119"/>
      <c r="AV50" s="118"/>
      <c r="AW50" s="119"/>
      <c r="AX50" s="118"/>
      <c r="AY50" s="119"/>
      <c r="AZ50" s="118"/>
      <c r="BA50" s="119"/>
      <c r="BB50" s="118"/>
      <c r="BC50" s="119"/>
      <c r="BD50" s="118"/>
      <c r="BE50" s="120"/>
      <c r="BF50" s="121"/>
      <c r="BG50" s="122"/>
      <c r="BH50" s="121"/>
      <c r="BI50" s="123"/>
      <c r="BJ50" s="124"/>
      <c r="BK50" s="125"/>
      <c r="BL50" s="126"/>
      <c r="BM50" s="127"/>
      <c r="BN50" s="126"/>
      <c r="BO50" s="127"/>
      <c r="BP50" s="126"/>
      <c r="BQ50" s="127"/>
      <c r="BR50" s="126"/>
      <c r="BS50" s="127"/>
      <c r="BT50" s="126"/>
      <c r="BU50" s="127"/>
      <c r="BV50" s="126"/>
      <c r="BW50" s="127"/>
      <c r="BX50" s="126"/>
      <c r="BY50" s="127"/>
      <c r="BZ50" s="126"/>
      <c r="CA50" s="128" t="str">
        <f t="shared" si="0"/>
        <v/>
      </c>
    </row>
    <row r="51" spans="1:79" ht="30" customHeight="1" x14ac:dyDescent="0.35">
      <c r="A51" s="90" t="str">
        <f>IF('Q4'!A57="","",'Q4'!A57)</f>
        <v/>
      </c>
      <c r="B51" s="90" t="str">
        <f>IF('Q1'!B57="","",'Q1'!B57)</f>
        <v/>
      </c>
      <c r="C51" s="90" t="str">
        <f>IF('Q1'!C57="","",'Q1'!C57)</f>
        <v/>
      </c>
      <c r="D51" s="90"/>
      <c r="E51" s="90" t="str">
        <f>IF('Q1'!E57="","",'Q1'!E57)</f>
        <v/>
      </c>
      <c r="F51" s="90" t="str">
        <f>IF('Q1'!F57="","",'Q1'!F57)</f>
        <v/>
      </c>
      <c r="G51" s="117"/>
      <c r="H51" s="118"/>
      <c r="I51" s="117"/>
      <c r="J51" s="118"/>
      <c r="K51" s="119"/>
      <c r="L51" s="118"/>
      <c r="M51" s="119"/>
      <c r="N51" s="118"/>
      <c r="O51" s="119"/>
      <c r="P51" s="118"/>
      <c r="Q51" s="119"/>
      <c r="R51" s="118"/>
      <c r="S51" s="119"/>
      <c r="T51" s="118"/>
      <c r="U51" s="119"/>
      <c r="V51" s="118"/>
      <c r="W51" s="119"/>
      <c r="X51" s="118"/>
      <c r="Y51" s="119"/>
      <c r="Z51" s="118"/>
      <c r="AA51" s="119"/>
      <c r="AB51" s="118"/>
      <c r="AC51" s="120"/>
      <c r="AD51" s="121"/>
      <c r="AE51" s="122"/>
      <c r="AF51" s="121"/>
      <c r="AG51" s="123"/>
      <c r="AH51" s="124"/>
      <c r="AI51" s="117"/>
      <c r="AJ51" s="118"/>
      <c r="AK51" s="119"/>
      <c r="AL51" s="118"/>
      <c r="AM51" s="119"/>
      <c r="AN51" s="118"/>
      <c r="AO51" s="119"/>
      <c r="AP51" s="118"/>
      <c r="AQ51" s="119"/>
      <c r="AR51" s="118"/>
      <c r="AS51" s="119"/>
      <c r="AT51" s="118"/>
      <c r="AU51" s="119"/>
      <c r="AV51" s="118"/>
      <c r="AW51" s="119"/>
      <c r="AX51" s="118"/>
      <c r="AY51" s="119"/>
      <c r="AZ51" s="118"/>
      <c r="BA51" s="119"/>
      <c r="BB51" s="118"/>
      <c r="BC51" s="119"/>
      <c r="BD51" s="118"/>
      <c r="BE51" s="120"/>
      <c r="BF51" s="121"/>
      <c r="BG51" s="122"/>
      <c r="BH51" s="121"/>
      <c r="BI51" s="123"/>
      <c r="BJ51" s="124"/>
      <c r="BK51" s="125"/>
      <c r="BL51" s="126"/>
      <c r="BM51" s="127"/>
      <c r="BN51" s="126"/>
      <c r="BO51" s="127"/>
      <c r="BP51" s="126"/>
      <c r="BQ51" s="127"/>
      <c r="BR51" s="126"/>
      <c r="BS51" s="127"/>
      <c r="BT51" s="126"/>
      <c r="BU51" s="127"/>
      <c r="BV51" s="126"/>
      <c r="BW51" s="127"/>
      <c r="BX51" s="126"/>
      <c r="BY51" s="127"/>
      <c r="BZ51" s="126"/>
      <c r="CA51" s="128" t="str">
        <f t="shared" si="0"/>
        <v/>
      </c>
    </row>
    <row r="52" spans="1:79" ht="30" customHeight="1" x14ac:dyDescent="0.35">
      <c r="A52" s="90" t="str">
        <f>IF('Q4'!A58="","",'Q4'!A58)</f>
        <v/>
      </c>
      <c r="B52" s="90" t="str">
        <f>IF('Q1'!B58="","",'Q1'!B58)</f>
        <v/>
      </c>
      <c r="C52" s="90" t="str">
        <f>IF('Q1'!C58="","",'Q1'!C58)</f>
        <v/>
      </c>
      <c r="D52" s="90"/>
      <c r="E52" s="90" t="str">
        <f>IF('Q1'!E58="","",'Q1'!E58)</f>
        <v/>
      </c>
      <c r="F52" s="90" t="str">
        <f>IF('Q1'!F58="","",'Q1'!F58)</f>
        <v/>
      </c>
      <c r="G52" s="117"/>
      <c r="H52" s="118"/>
      <c r="I52" s="117"/>
      <c r="J52" s="118"/>
      <c r="K52" s="119"/>
      <c r="L52" s="118"/>
      <c r="M52" s="119"/>
      <c r="N52" s="118"/>
      <c r="O52" s="119"/>
      <c r="P52" s="118"/>
      <c r="Q52" s="119"/>
      <c r="R52" s="118"/>
      <c r="S52" s="119"/>
      <c r="T52" s="118"/>
      <c r="U52" s="119"/>
      <c r="V52" s="118"/>
      <c r="W52" s="119"/>
      <c r="X52" s="118"/>
      <c r="Y52" s="119"/>
      <c r="Z52" s="118"/>
      <c r="AA52" s="119"/>
      <c r="AB52" s="118"/>
      <c r="AC52" s="120"/>
      <c r="AD52" s="121"/>
      <c r="AE52" s="122"/>
      <c r="AF52" s="121"/>
      <c r="AG52" s="123"/>
      <c r="AH52" s="124"/>
      <c r="AI52" s="117"/>
      <c r="AJ52" s="118"/>
      <c r="AK52" s="119"/>
      <c r="AL52" s="118"/>
      <c r="AM52" s="119"/>
      <c r="AN52" s="118"/>
      <c r="AO52" s="119"/>
      <c r="AP52" s="118"/>
      <c r="AQ52" s="119"/>
      <c r="AR52" s="118"/>
      <c r="AS52" s="119"/>
      <c r="AT52" s="118"/>
      <c r="AU52" s="119"/>
      <c r="AV52" s="118"/>
      <c r="AW52" s="119"/>
      <c r="AX52" s="118"/>
      <c r="AY52" s="119"/>
      <c r="AZ52" s="118"/>
      <c r="BA52" s="119"/>
      <c r="BB52" s="118"/>
      <c r="BC52" s="119"/>
      <c r="BD52" s="118"/>
      <c r="BE52" s="120"/>
      <c r="BF52" s="121"/>
      <c r="BG52" s="122"/>
      <c r="BH52" s="121"/>
      <c r="BI52" s="123"/>
      <c r="BJ52" s="124"/>
      <c r="BK52" s="125"/>
      <c r="BL52" s="126"/>
      <c r="BM52" s="127"/>
      <c r="BN52" s="126"/>
      <c r="BO52" s="127"/>
      <c r="BP52" s="126"/>
      <c r="BQ52" s="127"/>
      <c r="BR52" s="126"/>
      <c r="BS52" s="127"/>
      <c r="BT52" s="126"/>
      <c r="BU52" s="127"/>
      <c r="BV52" s="126"/>
      <c r="BW52" s="127"/>
      <c r="BX52" s="126"/>
      <c r="BY52" s="127"/>
      <c r="BZ52" s="126"/>
      <c r="CA52" s="128" t="str">
        <f t="shared" si="0"/>
        <v/>
      </c>
    </row>
    <row r="53" spans="1:79" ht="30" customHeight="1" x14ac:dyDescent="0.35">
      <c r="A53" s="90" t="str">
        <f>IF('Q4'!A59="","",'Q4'!A59)</f>
        <v/>
      </c>
      <c r="B53" s="90" t="str">
        <f>IF('Q1'!B59="","",'Q1'!B59)</f>
        <v/>
      </c>
      <c r="C53" s="90" t="str">
        <f>IF('Q1'!C59="","",'Q1'!C59)</f>
        <v/>
      </c>
      <c r="D53" s="90"/>
      <c r="E53" s="90" t="str">
        <f>IF('Q1'!E59="","",'Q1'!E59)</f>
        <v/>
      </c>
      <c r="F53" s="90" t="str">
        <f>IF('Q1'!F59="","",'Q1'!F59)</f>
        <v/>
      </c>
      <c r="G53" s="117"/>
      <c r="H53" s="118"/>
      <c r="I53" s="117"/>
      <c r="J53" s="118"/>
      <c r="K53" s="119"/>
      <c r="L53" s="118"/>
      <c r="M53" s="119"/>
      <c r="N53" s="118"/>
      <c r="O53" s="119"/>
      <c r="P53" s="118"/>
      <c r="Q53" s="119"/>
      <c r="R53" s="118"/>
      <c r="S53" s="119"/>
      <c r="T53" s="118"/>
      <c r="U53" s="119"/>
      <c r="V53" s="118"/>
      <c r="W53" s="119"/>
      <c r="X53" s="118"/>
      <c r="Y53" s="119"/>
      <c r="Z53" s="118"/>
      <c r="AA53" s="119"/>
      <c r="AB53" s="118"/>
      <c r="AC53" s="120"/>
      <c r="AD53" s="121"/>
      <c r="AE53" s="122"/>
      <c r="AF53" s="121"/>
      <c r="AG53" s="123"/>
      <c r="AH53" s="124"/>
      <c r="AI53" s="117"/>
      <c r="AJ53" s="118"/>
      <c r="AK53" s="119"/>
      <c r="AL53" s="118"/>
      <c r="AM53" s="119"/>
      <c r="AN53" s="118"/>
      <c r="AO53" s="119"/>
      <c r="AP53" s="118"/>
      <c r="AQ53" s="119"/>
      <c r="AR53" s="118"/>
      <c r="AS53" s="119"/>
      <c r="AT53" s="118"/>
      <c r="AU53" s="119"/>
      <c r="AV53" s="118"/>
      <c r="AW53" s="119"/>
      <c r="AX53" s="118"/>
      <c r="AY53" s="119"/>
      <c r="AZ53" s="118"/>
      <c r="BA53" s="119"/>
      <c r="BB53" s="118"/>
      <c r="BC53" s="119"/>
      <c r="BD53" s="118"/>
      <c r="BE53" s="120"/>
      <c r="BF53" s="121"/>
      <c r="BG53" s="122"/>
      <c r="BH53" s="121"/>
      <c r="BI53" s="123"/>
      <c r="BJ53" s="124"/>
      <c r="BK53" s="125"/>
      <c r="BL53" s="126"/>
      <c r="BM53" s="127"/>
      <c r="BN53" s="126"/>
      <c r="BO53" s="127"/>
      <c r="BP53" s="126"/>
      <c r="BQ53" s="127"/>
      <c r="BR53" s="126"/>
      <c r="BS53" s="127"/>
      <c r="BT53" s="126"/>
      <c r="BU53" s="127"/>
      <c r="BV53" s="126"/>
      <c r="BW53" s="127"/>
      <c r="BX53" s="126"/>
      <c r="BY53" s="127"/>
      <c r="BZ53" s="126"/>
      <c r="CA53" s="128" t="str">
        <f t="shared" si="0"/>
        <v/>
      </c>
    </row>
    <row r="54" spans="1:79" ht="24.5" x14ac:dyDescent="0.35">
      <c r="A54" s="90" t="str">
        <f>IF('Q4'!A60="","",'Q4'!A60)</f>
        <v/>
      </c>
      <c r="B54" s="90" t="str">
        <f>IF('Q4'!B60="","",'Q4'!B60)</f>
        <v/>
      </c>
      <c r="C54" s="107" t="str">
        <f>IF('Q4'!C60="","",'Q4'!C60)</f>
        <v/>
      </c>
      <c r="D54" s="90"/>
      <c r="E54" s="90" t="str">
        <f>IF('Q4'!E60="","",'Q4'!E60)</f>
        <v/>
      </c>
      <c r="F54" s="90" t="str">
        <f>IF('Q4'!F60="","",'Q4'!F60)</f>
        <v/>
      </c>
      <c r="G54" s="91" t="str">
        <f>IF($B54="","",IF(FinalSem1!#REF!="","",FinalSem1!#REF!*0.1))</f>
        <v/>
      </c>
      <c r="H54" s="92" t="str">
        <f t="shared" ref="H54:H67" si="1">IF(G54="","",RANK(G54:G98,$G$9:$G$53))</f>
        <v/>
      </c>
      <c r="I54" s="91" t="str">
        <f>IF($B54="","",IF(FinalSem1!#REF!="","",FinalSem1!#REF!*0.1))</f>
        <v/>
      </c>
      <c r="J54" s="92" t="str">
        <f t="shared" ref="J54:J67" si="2">IF(I54="","",RANK(I54:I98,$I$9:$I$53))</f>
        <v/>
      </c>
      <c r="K54" s="93" t="str">
        <f>IF($B54="","",IF(FinalSem1!#REF!="","",FinalSem1!#REF!*0.1))</f>
        <v/>
      </c>
      <c r="L54" s="92" t="str">
        <f t="shared" ref="L54:L67" si="3">IF(K54="","",RANK(K54:K98,$K$9:$K$53))</f>
        <v/>
      </c>
      <c r="M54" s="93" t="str">
        <f>IF($B54="","",IF(FinalSem1!#REF!="","",FinalSem1!#REF!*0.1))</f>
        <v/>
      </c>
      <c r="N54" s="92" t="str">
        <f t="shared" ref="N54:N67" si="4">IF(M54="","",RANK(M54:M98,$M$9:$M$53))</f>
        <v/>
      </c>
      <c r="O54" s="93" t="str">
        <f>IF($B54="","",IF(FinalSem1!#REF!="","",FinalSem1!#REF!*0.1))</f>
        <v/>
      </c>
      <c r="P54" s="92" t="str">
        <f t="shared" ref="P54:P67" si="5">IF(O54="","",RANK(O54:O98,$O$9:$O$53))</f>
        <v/>
      </c>
      <c r="Q54" s="93" t="str">
        <f>IF($B54="","",IF(FinalSem1!#REF!="","",FinalSem1!#REF!*0.1))</f>
        <v/>
      </c>
      <c r="R54" s="92" t="str">
        <f t="shared" ref="R54:R67" si="6">IF(Q54="","",RANK(Q54:Q98,$Q$9:$Q$53))</f>
        <v/>
      </c>
      <c r="S54" s="93" t="str">
        <f>IF($B54="","",IF(FinalSem1!#REF!="","",FinalSem1!#REF!*0.1))</f>
        <v/>
      </c>
      <c r="T54" s="92" t="str">
        <f t="shared" ref="T54:T67" si="7">IF(S54="","",RANK(S54:S98,$S$9:$S$53))</f>
        <v/>
      </c>
      <c r="U54" s="93" t="str">
        <f>IF($B54="","",IF(FinalSem1!#REF!="","",FinalSem1!#REF!*0.1))</f>
        <v/>
      </c>
      <c r="V54" s="92" t="str">
        <f t="shared" ref="V54:V67" si="8">IF(U54="","",RANK(U54:U98,$U$9:$U$53))</f>
        <v/>
      </c>
      <c r="W54" s="93" t="str">
        <f>IF($B54="","",IF(FinalSem1!#REF!="","",FinalSem1!#REF!*0.1))</f>
        <v/>
      </c>
      <c r="X54" s="92" t="str">
        <f t="shared" ref="X54:X67" si="9">IF(W54="","",RANK(W54:W98,$W$9:$W$53))</f>
        <v/>
      </c>
      <c r="Y54" s="93" t="str">
        <f>IF($B54="","",IF(FinalSem1!#REF!="","",FinalSem1!#REF!*0.1))</f>
        <v/>
      </c>
      <c r="Z54" s="92" t="str">
        <f t="shared" ref="Z54:Z67" si="10">IF(Y54="","",RANK(Y54:Y98,$Y$9:$Y$53))</f>
        <v/>
      </c>
      <c r="AA54" s="93" t="str">
        <f>IF(ISERR(IF(B54="","",IF(F54="III",AVERAGE('[1]FINAL SEM1'!Y55:AA55)*0.1,IF(OR(F54="I",F54="II",F54="M",F54="A"),AVERAGE('[1]FINAL SEM1'!Y55:AA55)*0.1)))),"",IF(B54="","",IF(F54="III",AVERAGE('[1]FINAL SEM1'!Y55:AA55)*0.1,IF(OR(F54="I",F54="II",F54="M",F54="A"),AVERAGE('[1]FINAL SEM1'!Y55:AA55)*0.1))))</f>
        <v/>
      </c>
      <c r="AB54" s="92" t="str">
        <f t="shared" ref="AB54:AB67" si="11">IF(AA54="","",RANK(AA54:AA112,$AA$13:$AA$72))</f>
        <v/>
      </c>
      <c r="AC54" s="94" t="str">
        <f t="shared" ref="AC54:AC67" si="12">IF(SUM(I54,K54,M54,O54,Q54,S54,U54,W54,Y54,AA54,)=0,"",SUM(G54,I54,K54,M54,O54,Q54,S54,U54,W54,Y54,AA54,))</f>
        <v/>
      </c>
      <c r="AD54" s="95" t="str">
        <f t="shared" ref="AD54:AD67" si="13">IF(ISERR(IF(B54="","",AVERAGE(G54,I54,K54,M54,O54,Q54,S54,U54,W54,Y54,AA54,))),"",IF(B54="","",AVERAGE(G54,I54,K54,M54,O54,Q54,S54,U54,W54,Y54,AA54,)))</f>
        <v/>
      </c>
      <c r="AE54" s="96" t="str">
        <f t="shared" ref="AE54:AE67" si="14">IF(AD54="","",RANK(AD54:AD98,$AD$9:$AD$53))</f>
        <v/>
      </c>
      <c r="AF54" s="95" t="str">
        <f>IF(ISERR(IF(B54="","",AVERAGE('Q1'!#REF!,'Q2'!CX44)*0.1)),"",IF(B54="","",AVERAGE('Q1'!#REF!,'Q2'!CX44)*0.1))</f>
        <v/>
      </c>
      <c r="AG54" s="102" t="str">
        <f t="shared" ref="AG54:AG67" si="15">IF(OR(AD54="",AF54=""),"",AVERAGE(AD54,AF54))</f>
        <v/>
      </c>
      <c r="AH54" s="97" t="str">
        <f t="shared" ref="AH54:AH67" si="16">IF(AG54="","",RANK(AG54:AG98,$AG$9:$AG$53))</f>
        <v/>
      </c>
      <c r="AI54" s="91" t="str">
        <f>IF(ISERR(IF('[1]FINAL SEM2'!N55="","",'[1]FINAL SEM2'!N55*0.1)),"",IF($B54="","",IF('[1]FINAL SEM2'!N55="","",'[1]FINAL SEM2'!N55*0.1)))</f>
        <v/>
      </c>
      <c r="AJ54" s="92" t="str">
        <f t="shared" ref="AJ54:AJ67" si="17">IF(AI54="","",RANK(AI54:AI112,$AI$13:$AI$72))</f>
        <v/>
      </c>
      <c r="AK54" s="93" t="str">
        <f>IF($B54="","",IF(FinalSem2!#REF!="","",FinalSem2!#REF!*0.1))</f>
        <v/>
      </c>
      <c r="AL54" s="92" t="str">
        <f t="shared" ref="AL54:AL67" si="18">IF(AK54="","",RANK(AK54:AK98,$AK$9:$AK$53))</f>
        <v/>
      </c>
      <c r="AM54" s="93" t="str">
        <f>IF($B54="","",IF(FinalSem2!#REF!="","",FinalSem2!#REF!*0.1))</f>
        <v/>
      </c>
      <c r="AN54" s="92" t="str">
        <f t="shared" ref="AN54:AN67" si="19">IF(AM54="","",RANK(AM54:AM98,$AM$9:$AM$53))</f>
        <v/>
      </c>
      <c r="AO54" s="93" t="str">
        <f>IF($B54="","",IF(FinalSem2!#REF!="","",FinalSem2!#REF!*0.1))</f>
        <v/>
      </c>
      <c r="AP54" s="92" t="str">
        <f t="shared" ref="AP54:AP67" si="20">IF(AO54="","",RANK(AO54:AO98,$AO$9:$AO$53))</f>
        <v/>
      </c>
      <c r="AQ54" s="93" t="str">
        <f>IF($B54="","",IF(FinalSem2!#REF!="","",FinalSem2!#REF!*0.1))</f>
        <v/>
      </c>
      <c r="AR54" s="92" t="str">
        <f t="shared" ref="AR54:AR67" si="21">IF(AQ54="","",RANK(AQ54:AQ98,$AQ$9:$AQ$53))</f>
        <v/>
      </c>
      <c r="AS54" s="93" t="str">
        <f>IF($B54="","",IF(FinalSem2!#REF!="","",FinalSem2!#REF!*0.1))</f>
        <v/>
      </c>
      <c r="AT54" s="92" t="str">
        <f t="shared" ref="AT54:AT67" si="22">IF(AS54="","",RANK(AS54:AS698,$AS$9:$AS$53))</f>
        <v/>
      </c>
      <c r="AU54" s="93" t="str">
        <f>IF($B54="","",IF(FinalSem2!#REF!="","",FinalSem2!#REF!*0.1))</f>
        <v/>
      </c>
      <c r="AV54" s="92" t="str">
        <f t="shared" ref="AV54:AV67" si="23">IF(AU54="","",RANK(AU54:AU98,$AU$9:$AU$53))</f>
        <v/>
      </c>
      <c r="AW54" s="93" t="str">
        <f>IF($B54="","",IF(FinalSem2!#REF!="","",FinalSem2!#REF!*0.1))</f>
        <v/>
      </c>
      <c r="AX54" s="92" t="str">
        <f t="shared" ref="AX54:AX67" si="24">IF(AW54="","",RANK(AW54:AW98,$AW$9:$AW$53))</f>
        <v/>
      </c>
      <c r="AY54" s="93" t="str">
        <f>IF($B54="","",IF(FinalSem2!#REF!="","",FinalSem2!#REF!*0.1))</f>
        <v/>
      </c>
      <c r="AZ54" s="92" t="str">
        <f t="shared" ref="AZ54:AZ67" si="25">IF(AY54="","",RANK(AY54:AY98,$AY$9:$AY$53))</f>
        <v/>
      </c>
      <c r="BA54" s="93" t="str">
        <f>IF($B54="","",IF(FinalSem2!#REF!="","",FinalSem2!#REF!*0.1))</f>
        <v/>
      </c>
      <c r="BB54" s="92" t="str">
        <f t="shared" ref="BB54:BB67" si="26">IF(BA54="","",RANK(BA54:BA98,$BA$9:$BA$53))</f>
        <v/>
      </c>
      <c r="BC54" s="93" t="str">
        <f>IF($B54="","",IF(FinalSem2!#REF!="","",FinalSem2!#REF!*0.1))</f>
        <v/>
      </c>
      <c r="BD54" s="92" t="str">
        <f t="shared" ref="BD54:BD67" si="27">IF(BC54="","",RANK(BC54:BC98,$BC$9:$BC$53))</f>
        <v/>
      </c>
      <c r="BE54" s="94" t="str">
        <f t="shared" ref="BE54:BE67" si="28">IF(SUM(AI54,AK54,AM54,AO54,AQ54,AS54,AU54,AW54,AY54,BA54,BC54,)=0,"",SUM(AI54,AK54,AM54,AO54,AQ54,AS54,AU54,AW54,AY54,BA54,BC54,))</f>
        <v/>
      </c>
      <c r="BF54" s="95" t="str">
        <f t="shared" ref="BF54:BF67" si="29">IF(ISERR(IF(B54="","",AVERAGE(AK54,AM54,AO54,AQ54,AS54,AU54,AW54,AY54,BA54,BC54,))),"",IF(B54="","",AVERAGE(AI54,AK54,AM54,AO54,AQ54,AS54,AU54,AW54,AY54,BA54,BC54,)))</f>
        <v/>
      </c>
      <c r="BG54" s="96" t="str">
        <f t="shared" ref="BG54:BG67" si="30">IF(BF54="","",RANK(BF54:BF98,$BF$9:$BF$53))</f>
        <v/>
      </c>
      <c r="BH54" s="95" t="str">
        <f>IF(ISERR(IF(B54="","",AVERAGE('Q3'!CX60,'Q4'!CX60)*0.1)),"",IF(B54="","",AVERAGE('Q3'!CX60,'Q4'!CX60)*0.1))</f>
        <v/>
      </c>
      <c r="BI54" s="102" t="str">
        <f t="shared" ref="BI54:BI67" si="31">IF(OR(BF54="",BH54=""),"",AVERAGE(BF54,BH54))</f>
        <v/>
      </c>
      <c r="BJ54" s="97" t="str">
        <f t="shared" ref="BJ54:BJ67" si="32">IF(BI54="","",RANK(BI54:BI698,$BI$9:$BI$53))</f>
        <v/>
      </c>
      <c r="BK54" s="98" t="str">
        <f t="shared" ref="BK54:BK67" si="33">IF(OR(G54="",AI54=""),"",AVERAGE(G54,AI54))</f>
        <v/>
      </c>
      <c r="BL54" s="99" t="str">
        <f t="shared" ref="BL54:BL67" si="34">IF(BK54="","",IF(BK54="","",RANK(BK54:BK113,$BK$13:$BK$72)))</f>
        <v/>
      </c>
      <c r="BM54" s="100" t="str">
        <f t="shared" ref="BM54:BM67" si="35">IF(OR(I54="",AK54=""),"",AVERAGE(I54,AK54))</f>
        <v/>
      </c>
      <c r="BN54" s="99" t="str">
        <f t="shared" ref="BN54:BN67" si="36">IF(BM54="","",RANK(BM54:BM98,$BM$9:$BM$53))</f>
        <v/>
      </c>
      <c r="BO54" s="100" t="str">
        <f t="shared" ref="BO54:BO67" si="37">IF(OR(K54="",AM54=""),"",AVERAGE(K54,AM54))</f>
        <v/>
      </c>
      <c r="BP54" s="99" t="str">
        <f t="shared" ref="BP54:BP67" si="38">IF(BO54="","",RANK(BO54:BO98,$BO$9:$BO$53))</f>
        <v/>
      </c>
      <c r="BQ54" s="100" t="str">
        <f t="shared" ref="BQ54:BQ67" si="39">IF(OR(M54="",AO54=""),"",AVERAGE(M54,AO54))</f>
        <v/>
      </c>
      <c r="BR54" s="99" t="str">
        <f t="shared" ref="BR54:BR67" si="40">IF(BQ54="","",RANK(BQ54:BQ98,$BQ$9:$BQ$53))</f>
        <v/>
      </c>
      <c r="BS54" s="100" t="str">
        <f t="shared" ref="BS54:BS67" si="41">IF(OR(O54="",AQ54=""),"",AVERAGE(O54,AQ54))</f>
        <v/>
      </c>
      <c r="BT54" s="99" t="str">
        <f t="shared" ref="BT54:BT67" si="42">IF(BS54="","",RANK(BS54:BS98,$BS$9:$BS$53))</f>
        <v/>
      </c>
      <c r="BU54" s="100" t="str">
        <f t="shared" ref="BU54:BU67" si="43">IF(OR(Q54="",AS54=""),"",AVERAGE(Q54,AS54))</f>
        <v/>
      </c>
      <c r="BV54" s="99" t="str">
        <f t="shared" ref="BV54:BV67" si="44">IF(BU54="","",RANK(BU54:BU98,$BU$9:$BU$53))</f>
        <v/>
      </c>
      <c r="BW54" s="100" t="str">
        <f t="shared" ref="BW54:BW67" si="45">IF(OR(S54="",AU54=""),"",AVERAGE(S54,AU54))</f>
        <v/>
      </c>
      <c r="BX54" s="99" t="str">
        <f t="shared" ref="BX54:BX67" si="46">IF(BW54="","",RANK(BW54:BW98,$BW$9:$BW$53))</f>
        <v/>
      </c>
      <c r="BY54" s="100" t="str">
        <f t="shared" ref="BY54:BY67" si="47">IF(OR(U54="",AW54=""),"",AVERAGE(U54,AW54))</f>
        <v/>
      </c>
      <c r="BZ54" s="99" t="str">
        <f t="shared" ref="BZ54:BZ67" si="48">IF(BY54="","",RANK(BY54:BY98,$BY$9:$BY$53))</f>
        <v/>
      </c>
      <c r="CA54" s="128" t="str">
        <f t="shared" si="0"/>
        <v/>
      </c>
    </row>
    <row r="55" spans="1:79" ht="24.5" x14ac:dyDescent="0.35">
      <c r="A55" s="90" t="str">
        <f>IF('Q4'!A61="","",'Q4'!A61)</f>
        <v/>
      </c>
      <c r="B55" s="90" t="str">
        <f>IF('Q4'!B61="","",'Q4'!B61)</f>
        <v/>
      </c>
      <c r="C55" s="107" t="str">
        <f>IF('Q4'!C61="","",'Q4'!C61)</f>
        <v/>
      </c>
      <c r="D55" s="90"/>
      <c r="E55" s="90" t="str">
        <f>IF('Q4'!E61="","",'Q4'!E61)</f>
        <v/>
      </c>
      <c r="F55" s="90" t="str">
        <f>IF('Q4'!F61="","",'Q4'!F61)</f>
        <v/>
      </c>
      <c r="G55" s="91" t="str">
        <f>IF($B55="","",IF(FinalSem1!#REF!="","",FinalSem1!#REF!*0.1))</f>
        <v/>
      </c>
      <c r="H55" s="92" t="str">
        <f t="shared" si="1"/>
        <v/>
      </c>
      <c r="I55" s="91" t="str">
        <f>IF($B55="","",IF(FinalSem1!#REF!="","",FinalSem1!#REF!*0.1))</f>
        <v/>
      </c>
      <c r="J55" s="92" t="str">
        <f t="shared" si="2"/>
        <v/>
      </c>
      <c r="K55" s="93" t="str">
        <f>IF($B55="","",IF(FinalSem1!#REF!="","",FinalSem1!#REF!*0.1))</f>
        <v/>
      </c>
      <c r="L55" s="92" t="str">
        <f t="shared" si="3"/>
        <v/>
      </c>
      <c r="M55" s="93" t="str">
        <f>IF($B55="","",IF(FinalSem1!#REF!="","",FinalSem1!#REF!*0.1))</f>
        <v/>
      </c>
      <c r="N55" s="92" t="str">
        <f t="shared" si="4"/>
        <v/>
      </c>
      <c r="O55" s="93" t="str">
        <f>IF($B55="","",IF(FinalSem1!#REF!="","",FinalSem1!#REF!*0.1))</f>
        <v/>
      </c>
      <c r="P55" s="92" t="str">
        <f t="shared" si="5"/>
        <v/>
      </c>
      <c r="Q55" s="93" t="str">
        <f>IF($B55="","",IF(FinalSem1!#REF!="","",FinalSem1!#REF!*0.1))</f>
        <v/>
      </c>
      <c r="R55" s="92" t="str">
        <f t="shared" si="6"/>
        <v/>
      </c>
      <c r="S55" s="93" t="str">
        <f>IF($B55="","",IF(FinalSem1!#REF!="","",FinalSem1!#REF!*0.1))</f>
        <v/>
      </c>
      <c r="T55" s="92" t="str">
        <f t="shared" si="7"/>
        <v/>
      </c>
      <c r="U55" s="93" t="str">
        <f>IF($B55="","",IF(FinalSem1!#REF!="","",FinalSem1!#REF!*0.1))</f>
        <v/>
      </c>
      <c r="V55" s="92" t="str">
        <f t="shared" si="8"/>
        <v/>
      </c>
      <c r="W55" s="93" t="str">
        <f>IF($B55="","",IF(FinalSem1!#REF!="","",FinalSem1!#REF!*0.1))</f>
        <v/>
      </c>
      <c r="X55" s="92" t="str">
        <f t="shared" si="9"/>
        <v/>
      </c>
      <c r="Y55" s="93" t="str">
        <f>IF($B55="","",IF(FinalSem1!#REF!="","",FinalSem1!#REF!*0.1))</f>
        <v/>
      </c>
      <c r="Z55" s="92" t="str">
        <f t="shared" si="10"/>
        <v/>
      </c>
      <c r="AA55" s="93" t="str">
        <f>IF(ISERR(IF(B55="","",IF(F55="III",AVERAGE('[1]FINAL SEM1'!Y56:AA56)*0.1,IF(OR(F55="I",F55="II",F55="M",F55="A"),AVERAGE('[1]FINAL SEM1'!Y56:AA56)*0.1)))),"",IF(B55="","",IF(F55="III",AVERAGE('[1]FINAL SEM1'!Y56:AA56)*0.1,IF(OR(F55="I",F55="II",F55="M",F55="A"),AVERAGE('[1]FINAL SEM1'!Y56:AA56)*0.1))))</f>
        <v/>
      </c>
      <c r="AB55" s="92" t="str">
        <f t="shared" si="11"/>
        <v/>
      </c>
      <c r="AC55" s="94" t="str">
        <f t="shared" si="12"/>
        <v/>
      </c>
      <c r="AD55" s="95" t="str">
        <f t="shared" si="13"/>
        <v/>
      </c>
      <c r="AE55" s="96" t="str">
        <f t="shared" si="14"/>
        <v/>
      </c>
      <c r="AF55" s="95" t="str">
        <f>IF(ISERR(IF(B55="","",AVERAGE('Q1'!#REF!,'Q2'!CX45)*0.1)),"",IF(B55="","",AVERAGE('Q1'!#REF!,'Q2'!CX45)*0.1))</f>
        <v/>
      </c>
      <c r="AG55" s="102" t="str">
        <f t="shared" si="15"/>
        <v/>
      </c>
      <c r="AH55" s="97" t="str">
        <f t="shared" si="16"/>
        <v/>
      </c>
      <c r="AI55" s="91" t="str">
        <f>IF(ISERR(IF('[1]FINAL SEM2'!N56="","",'[1]FINAL SEM2'!N56*0.1)),"",IF($B55="","",IF('[1]FINAL SEM2'!N56="","",'[1]FINAL SEM2'!N56*0.1)))</f>
        <v/>
      </c>
      <c r="AJ55" s="92" t="str">
        <f t="shared" si="17"/>
        <v/>
      </c>
      <c r="AK55" s="93" t="str">
        <f>IF($B55="","",IF(FinalSem2!#REF!="","",FinalSem2!#REF!*0.1))</f>
        <v/>
      </c>
      <c r="AL55" s="92" t="str">
        <f t="shared" si="18"/>
        <v/>
      </c>
      <c r="AM55" s="93" t="str">
        <f>IF($B55="","",IF(FinalSem2!#REF!="","",FinalSem2!#REF!*0.1))</f>
        <v/>
      </c>
      <c r="AN55" s="92" t="str">
        <f t="shared" si="19"/>
        <v/>
      </c>
      <c r="AO55" s="93" t="str">
        <f>IF($B55="","",IF(FinalSem2!#REF!="","",FinalSem2!#REF!*0.1))</f>
        <v/>
      </c>
      <c r="AP55" s="92" t="str">
        <f t="shared" si="20"/>
        <v/>
      </c>
      <c r="AQ55" s="93" t="str">
        <f>IF($B55="","",IF(FinalSem2!#REF!="","",FinalSem2!#REF!*0.1))</f>
        <v/>
      </c>
      <c r="AR55" s="92" t="str">
        <f t="shared" si="21"/>
        <v/>
      </c>
      <c r="AS55" s="93" t="str">
        <f>IF($B55="","",IF(FinalSem2!#REF!="","",FinalSem2!#REF!*0.1))</f>
        <v/>
      </c>
      <c r="AT55" s="92" t="str">
        <f t="shared" si="22"/>
        <v/>
      </c>
      <c r="AU55" s="93" t="str">
        <f>IF($B55="","",IF(FinalSem2!#REF!="","",FinalSem2!#REF!*0.1))</f>
        <v/>
      </c>
      <c r="AV55" s="92" t="str">
        <f t="shared" si="23"/>
        <v/>
      </c>
      <c r="AW55" s="93" t="str">
        <f>IF($B55="","",IF(FinalSem2!#REF!="","",FinalSem2!#REF!*0.1))</f>
        <v/>
      </c>
      <c r="AX55" s="92" t="str">
        <f t="shared" si="24"/>
        <v/>
      </c>
      <c r="AY55" s="93" t="str">
        <f>IF($B55="","",IF(FinalSem2!#REF!="","",FinalSem2!#REF!*0.1))</f>
        <v/>
      </c>
      <c r="AZ55" s="92" t="str">
        <f t="shared" si="25"/>
        <v/>
      </c>
      <c r="BA55" s="93" t="str">
        <f>IF($B55="","",IF(FinalSem2!#REF!="","",FinalSem2!#REF!*0.1))</f>
        <v/>
      </c>
      <c r="BB55" s="92" t="str">
        <f t="shared" si="26"/>
        <v/>
      </c>
      <c r="BC55" s="93" t="str">
        <f>IF($B55="","",IF(FinalSem2!#REF!="","",FinalSem2!#REF!*0.1))</f>
        <v/>
      </c>
      <c r="BD55" s="92" t="str">
        <f t="shared" si="27"/>
        <v/>
      </c>
      <c r="BE55" s="94" t="str">
        <f t="shared" si="28"/>
        <v/>
      </c>
      <c r="BF55" s="95" t="str">
        <f t="shared" si="29"/>
        <v/>
      </c>
      <c r="BG55" s="96" t="str">
        <f t="shared" si="30"/>
        <v/>
      </c>
      <c r="BH55" s="95" t="str">
        <f>IF(ISERR(IF(B55="","",AVERAGE('Q3'!CX61,'Q4'!CX61)*0.1)),"",IF(B55="","",AVERAGE('Q3'!CX61,'Q4'!CX61)*0.1))</f>
        <v/>
      </c>
      <c r="BI55" s="102" t="str">
        <f t="shared" si="31"/>
        <v/>
      </c>
      <c r="BJ55" s="97" t="str">
        <f t="shared" si="32"/>
        <v/>
      </c>
      <c r="BK55" s="98" t="str">
        <f t="shared" si="33"/>
        <v/>
      </c>
      <c r="BL55" s="99" t="str">
        <f t="shared" si="34"/>
        <v/>
      </c>
      <c r="BM55" s="100" t="str">
        <f t="shared" si="35"/>
        <v/>
      </c>
      <c r="BN55" s="99" t="str">
        <f t="shared" si="36"/>
        <v/>
      </c>
      <c r="BO55" s="100" t="str">
        <f t="shared" si="37"/>
        <v/>
      </c>
      <c r="BP55" s="99" t="str">
        <f t="shared" si="38"/>
        <v/>
      </c>
      <c r="BQ55" s="100" t="str">
        <f t="shared" si="39"/>
        <v/>
      </c>
      <c r="BR55" s="99" t="str">
        <f t="shared" si="40"/>
        <v/>
      </c>
      <c r="BS55" s="100" t="str">
        <f t="shared" si="41"/>
        <v/>
      </c>
      <c r="BT55" s="99" t="str">
        <f t="shared" si="42"/>
        <v/>
      </c>
      <c r="BU55" s="100" t="str">
        <f t="shared" si="43"/>
        <v/>
      </c>
      <c r="BV55" s="99" t="str">
        <f t="shared" si="44"/>
        <v/>
      </c>
      <c r="BW55" s="100" t="str">
        <f t="shared" si="45"/>
        <v/>
      </c>
      <c r="BX55" s="99" t="str">
        <f t="shared" si="46"/>
        <v/>
      </c>
      <c r="BY55" s="100" t="str">
        <f t="shared" si="47"/>
        <v/>
      </c>
      <c r="BZ55" s="99" t="str">
        <f t="shared" si="48"/>
        <v/>
      </c>
      <c r="CA55" s="128" t="str">
        <f t="shared" si="0"/>
        <v/>
      </c>
    </row>
    <row r="56" spans="1:79" ht="24.5" x14ac:dyDescent="0.35">
      <c r="A56" s="90" t="str">
        <f>IF('Q4'!A62="","",'Q4'!A62)</f>
        <v/>
      </c>
      <c r="B56" s="90" t="str">
        <f>IF('Q4'!B62="","",'Q4'!B62)</f>
        <v/>
      </c>
      <c r="C56" s="107" t="str">
        <f>IF('Q4'!C62="","",'Q4'!C62)</f>
        <v/>
      </c>
      <c r="D56" s="90"/>
      <c r="E56" s="90" t="str">
        <f>IF('Q4'!E62="","",'Q4'!E62)</f>
        <v/>
      </c>
      <c r="F56" s="90" t="str">
        <f>IF('Q4'!F62="","",'Q4'!F62)</f>
        <v/>
      </c>
      <c r="G56" s="91" t="str">
        <f>IF($B56="","",IF(FinalSem1!#REF!="","",FinalSem1!#REF!*0.1))</f>
        <v/>
      </c>
      <c r="H56" s="92" t="str">
        <f t="shared" si="1"/>
        <v/>
      </c>
      <c r="I56" s="91" t="str">
        <f>IF($B56="","",IF(FinalSem1!#REF!="","",FinalSem1!#REF!*0.1))</f>
        <v/>
      </c>
      <c r="J56" s="92" t="str">
        <f t="shared" si="2"/>
        <v/>
      </c>
      <c r="K56" s="93" t="str">
        <f>IF($B56="","",IF(FinalSem1!#REF!="","",FinalSem1!#REF!*0.1))</f>
        <v/>
      </c>
      <c r="L56" s="92" t="str">
        <f t="shared" si="3"/>
        <v/>
      </c>
      <c r="M56" s="93" t="str">
        <f>IF($B56="","",IF(FinalSem1!#REF!="","",FinalSem1!#REF!*0.1))</f>
        <v/>
      </c>
      <c r="N56" s="92" t="str">
        <f t="shared" si="4"/>
        <v/>
      </c>
      <c r="O56" s="93" t="str">
        <f>IF($B56="","",IF(FinalSem1!#REF!="","",FinalSem1!#REF!*0.1))</f>
        <v/>
      </c>
      <c r="P56" s="92" t="str">
        <f t="shared" si="5"/>
        <v/>
      </c>
      <c r="Q56" s="93" t="str">
        <f>IF($B56="","",IF(FinalSem1!#REF!="","",FinalSem1!#REF!*0.1))</f>
        <v/>
      </c>
      <c r="R56" s="92" t="str">
        <f t="shared" si="6"/>
        <v/>
      </c>
      <c r="S56" s="93" t="str">
        <f>IF($B56="","",IF(FinalSem1!#REF!="","",FinalSem1!#REF!*0.1))</f>
        <v/>
      </c>
      <c r="T56" s="92" t="str">
        <f t="shared" si="7"/>
        <v/>
      </c>
      <c r="U56" s="93" t="str">
        <f>IF($B56="","",IF(FinalSem1!#REF!="","",FinalSem1!#REF!*0.1))</f>
        <v/>
      </c>
      <c r="V56" s="92" t="str">
        <f t="shared" si="8"/>
        <v/>
      </c>
      <c r="W56" s="93" t="str">
        <f>IF($B56="","",IF(FinalSem1!#REF!="","",FinalSem1!#REF!*0.1))</f>
        <v/>
      </c>
      <c r="X56" s="92" t="str">
        <f t="shared" si="9"/>
        <v/>
      </c>
      <c r="Y56" s="93" t="str">
        <f>IF($B56="","",IF(FinalSem1!#REF!="","",FinalSem1!#REF!*0.1))</f>
        <v/>
      </c>
      <c r="Z56" s="92" t="str">
        <f t="shared" si="10"/>
        <v/>
      </c>
      <c r="AA56" s="93" t="str">
        <f>IF(ISERR(IF(B56="","",IF(F56="III",AVERAGE('[1]FINAL SEM1'!Y57:AA57)*0.1,IF(OR(F56="I",F56="II",F56="M",F56="A"),AVERAGE('[1]FINAL SEM1'!Y57:AA57)*0.1)))),"",IF(B56="","",IF(F56="III",AVERAGE('[1]FINAL SEM1'!Y57:AA57)*0.1,IF(OR(F56="I",F56="II",F56="M",F56="A"),AVERAGE('[1]FINAL SEM1'!Y57:AA57)*0.1))))</f>
        <v/>
      </c>
      <c r="AB56" s="92" t="str">
        <f t="shared" si="11"/>
        <v/>
      </c>
      <c r="AC56" s="94" t="str">
        <f t="shared" si="12"/>
        <v/>
      </c>
      <c r="AD56" s="95" t="str">
        <f t="shared" si="13"/>
        <v/>
      </c>
      <c r="AE56" s="96" t="str">
        <f t="shared" si="14"/>
        <v/>
      </c>
      <c r="AF56" s="95" t="str">
        <f>IF(ISERR(IF(B56="","",AVERAGE('Q1'!#REF!,'Q2'!CX46)*0.1)),"",IF(B56="","",AVERAGE('Q1'!#REF!,'Q2'!CX46)*0.1))</f>
        <v/>
      </c>
      <c r="AG56" s="102" t="str">
        <f t="shared" si="15"/>
        <v/>
      </c>
      <c r="AH56" s="97" t="str">
        <f t="shared" si="16"/>
        <v/>
      </c>
      <c r="AI56" s="91" t="str">
        <f>IF(ISERR(IF('[1]FINAL SEM2'!N57="","",'[1]FINAL SEM2'!N57*0.1)),"",IF($B56="","",IF('[1]FINAL SEM2'!N57="","",'[1]FINAL SEM2'!N57*0.1)))</f>
        <v/>
      </c>
      <c r="AJ56" s="92" t="str">
        <f t="shared" si="17"/>
        <v/>
      </c>
      <c r="AK56" s="93" t="str">
        <f>IF($B56="","",IF(FinalSem2!#REF!="","",FinalSem2!#REF!*0.1))</f>
        <v/>
      </c>
      <c r="AL56" s="92" t="str">
        <f t="shared" si="18"/>
        <v/>
      </c>
      <c r="AM56" s="93" t="str">
        <f>IF($B56="","",IF(FinalSem2!#REF!="","",FinalSem2!#REF!*0.1))</f>
        <v/>
      </c>
      <c r="AN56" s="92" t="str">
        <f t="shared" si="19"/>
        <v/>
      </c>
      <c r="AO56" s="93" t="str">
        <f>IF($B56="","",IF(FinalSem2!#REF!="","",FinalSem2!#REF!*0.1))</f>
        <v/>
      </c>
      <c r="AP56" s="92" t="str">
        <f t="shared" si="20"/>
        <v/>
      </c>
      <c r="AQ56" s="93" t="str">
        <f>IF($B56="","",IF(FinalSem2!#REF!="","",FinalSem2!#REF!*0.1))</f>
        <v/>
      </c>
      <c r="AR56" s="92" t="str">
        <f t="shared" si="21"/>
        <v/>
      </c>
      <c r="AS56" s="93" t="str">
        <f>IF($B56="","",IF(FinalSem2!#REF!="","",FinalSem2!#REF!*0.1))</f>
        <v/>
      </c>
      <c r="AT56" s="92" t="str">
        <f t="shared" si="22"/>
        <v/>
      </c>
      <c r="AU56" s="93" t="str">
        <f>IF($B56="","",IF(FinalSem2!#REF!="","",FinalSem2!#REF!*0.1))</f>
        <v/>
      </c>
      <c r="AV56" s="92" t="str">
        <f t="shared" si="23"/>
        <v/>
      </c>
      <c r="AW56" s="93" t="str">
        <f>IF($B56="","",IF(FinalSem2!#REF!="","",FinalSem2!#REF!*0.1))</f>
        <v/>
      </c>
      <c r="AX56" s="92" t="str">
        <f t="shared" si="24"/>
        <v/>
      </c>
      <c r="AY56" s="93" t="str">
        <f>IF($B56="","",IF(FinalSem2!#REF!="","",FinalSem2!#REF!*0.1))</f>
        <v/>
      </c>
      <c r="AZ56" s="92" t="str">
        <f t="shared" si="25"/>
        <v/>
      </c>
      <c r="BA56" s="93" t="str">
        <f>IF($B56="","",IF(FinalSem2!#REF!="","",FinalSem2!#REF!*0.1))</f>
        <v/>
      </c>
      <c r="BB56" s="92" t="str">
        <f t="shared" si="26"/>
        <v/>
      </c>
      <c r="BC56" s="93" t="str">
        <f>IF($B56="","",IF(FinalSem2!#REF!="","",FinalSem2!#REF!*0.1))</f>
        <v/>
      </c>
      <c r="BD56" s="92" t="str">
        <f t="shared" si="27"/>
        <v/>
      </c>
      <c r="BE56" s="94" t="str">
        <f t="shared" si="28"/>
        <v/>
      </c>
      <c r="BF56" s="95" t="str">
        <f t="shared" si="29"/>
        <v/>
      </c>
      <c r="BG56" s="96" t="str">
        <f t="shared" si="30"/>
        <v/>
      </c>
      <c r="BH56" s="95" t="str">
        <f>IF(ISERR(IF(B56="","",AVERAGE('Q3'!CX62,'Q4'!CX62)*0.1)),"",IF(B56="","",AVERAGE('Q3'!CX62,'Q4'!CX62)*0.1))</f>
        <v/>
      </c>
      <c r="BI56" s="102" t="str">
        <f t="shared" si="31"/>
        <v/>
      </c>
      <c r="BJ56" s="97" t="str">
        <f t="shared" si="32"/>
        <v/>
      </c>
      <c r="BK56" s="98" t="str">
        <f t="shared" si="33"/>
        <v/>
      </c>
      <c r="BL56" s="99" t="str">
        <f t="shared" si="34"/>
        <v/>
      </c>
      <c r="BM56" s="100" t="str">
        <f t="shared" si="35"/>
        <v/>
      </c>
      <c r="BN56" s="99" t="str">
        <f t="shared" si="36"/>
        <v/>
      </c>
      <c r="BO56" s="100" t="str">
        <f t="shared" si="37"/>
        <v/>
      </c>
      <c r="BP56" s="99" t="str">
        <f t="shared" si="38"/>
        <v/>
      </c>
      <c r="BQ56" s="100" t="str">
        <f t="shared" si="39"/>
        <v/>
      </c>
      <c r="BR56" s="99" t="str">
        <f t="shared" si="40"/>
        <v/>
      </c>
      <c r="BS56" s="100" t="str">
        <f t="shared" si="41"/>
        <v/>
      </c>
      <c r="BT56" s="99" t="str">
        <f t="shared" si="42"/>
        <v/>
      </c>
      <c r="BU56" s="100" t="str">
        <f t="shared" si="43"/>
        <v/>
      </c>
      <c r="BV56" s="99" t="str">
        <f t="shared" si="44"/>
        <v/>
      </c>
      <c r="BW56" s="100" t="str">
        <f t="shared" si="45"/>
        <v/>
      </c>
      <c r="BX56" s="99" t="str">
        <f t="shared" si="46"/>
        <v/>
      </c>
      <c r="BY56" s="100" t="str">
        <f t="shared" si="47"/>
        <v/>
      </c>
      <c r="BZ56" s="99" t="str">
        <f t="shared" si="48"/>
        <v/>
      </c>
      <c r="CA56" s="128" t="str">
        <f t="shared" si="0"/>
        <v/>
      </c>
    </row>
    <row r="57" spans="1:79" ht="24.5" x14ac:dyDescent="0.35">
      <c r="A57" s="90" t="str">
        <f>IF('Q4'!A63="","",'Q4'!A63)</f>
        <v/>
      </c>
      <c r="B57" s="90" t="str">
        <f>IF('Q4'!B63="","",'Q4'!B63)</f>
        <v/>
      </c>
      <c r="C57" s="107" t="str">
        <f>IF('Q4'!C63="","",'Q4'!C63)</f>
        <v/>
      </c>
      <c r="D57" s="90"/>
      <c r="E57" s="90" t="str">
        <f>IF('Q4'!E63="","",'Q4'!E63)</f>
        <v/>
      </c>
      <c r="F57" s="90" t="str">
        <f>IF('Q4'!F63="","",'Q4'!F63)</f>
        <v/>
      </c>
      <c r="G57" s="91" t="str">
        <f>IF($B57="","",IF(FinalSem1!#REF!="","",FinalSem1!#REF!*0.1))</f>
        <v/>
      </c>
      <c r="H57" s="92" t="str">
        <f t="shared" si="1"/>
        <v/>
      </c>
      <c r="I57" s="91" t="str">
        <f>IF($B57="","",IF(FinalSem1!#REF!="","",FinalSem1!#REF!*0.1))</f>
        <v/>
      </c>
      <c r="J57" s="92" t="str">
        <f t="shared" si="2"/>
        <v/>
      </c>
      <c r="K57" s="93" t="str">
        <f>IF($B57="","",IF(FinalSem1!#REF!="","",FinalSem1!#REF!*0.1))</f>
        <v/>
      </c>
      <c r="L57" s="92" t="str">
        <f t="shared" si="3"/>
        <v/>
      </c>
      <c r="M57" s="93" t="str">
        <f>IF($B57="","",IF(FinalSem1!#REF!="","",FinalSem1!#REF!*0.1))</f>
        <v/>
      </c>
      <c r="N57" s="92" t="str">
        <f t="shared" si="4"/>
        <v/>
      </c>
      <c r="O57" s="93" t="str">
        <f>IF($B57="","",IF(FinalSem1!#REF!="","",FinalSem1!#REF!*0.1))</f>
        <v/>
      </c>
      <c r="P57" s="92" t="str">
        <f t="shared" si="5"/>
        <v/>
      </c>
      <c r="Q57" s="93" t="str">
        <f>IF($B57="","",IF(FinalSem1!#REF!="","",FinalSem1!#REF!*0.1))</f>
        <v/>
      </c>
      <c r="R57" s="92" t="str">
        <f t="shared" si="6"/>
        <v/>
      </c>
      <c r="S57" s="93" t="str">
        <f>IF($B57="","",IF(FinalSem1!#REF!="","",FinalSem1!#REF!*0.1))</f>
        <v/>
      </c>
      <c r="T57" s="92" t="str">
        <f t="shared" si="7"/>
        <v/>
      </c>
      <c r="U57" s="93" t="str">
        <f>IF($B57="","",IF(FinalSem1!#REF!="","",FinalSem1!#REF!*0.1))</f>
        <v/>
      </c>
      <c r="V57" s="92" t="str">
        <f t="shared" si="8"/>
        <v/>
      </c>
      <c r="W57" s="93" t="str">
        <f>IF($B57="","",IF(FinalSem1!#REF!="","",FinalSem1!#REF!*0.1))</f>
        <v/>
      </c>
      <c r="X57" s="92" t="str">
        <f t="shared" si="9"/>
        <v/>
      </c>
      <c r="Y57" s="93" t="str">
        <f>IF($B57="","",IF(FinalSem1!#REF!="","",FinalSem1!#REF!*0.1))</f>
        <v/>
      </c>
      <c r="Z57" s="92" t="str">
        <f t="shared" si="10"/>
        <v/>
      </c>
      <c r="AA57" s="93" t="str">
        <f>IF(ISERR(IF(B57="","",IF(F57="III",AVERAGE('[1]FINAL SEM1'!Y58:AA58)*0.1,IF(OR(F57="I",F57="II",F57="M",F57="A"),AVERAGE('[1]FINAL SEM1'!Y58:AA58)*0.1)))),"",IF(B57="","",IF(F57="III",AVERAGE('[1]FINAL SEM1'!Y58:AA58)*0.1,IF(OR(F57="I",F57="II",F57="M",F57="A"),AVERAGE('[1]FINAL SEM1'!Y58:AA58)*0.1))))</f>
        <v/>
      </c>
      <c r="AB57" s="92" t="str">
        <f t="shared" si="11"/>
        <v/>
      </c>
      <c r="AC57" s="94" t="str">
        <f t="shared" si="12"/>
        <v/>
      </c>
      <c r="AD57" s="95" t="str">
        <f t="shared" si="13"/>
        <v/>
      </c>
      <c r="AE57" s="96" t="str">
        <f t="shared" si="14"/>
        <v/>
      </c>
      <c r="AF57" s="95" t="str">
        <f>IF(ISERR(IF(B57="","",AVERAGE('Q1'!#REF!,'Q2'!CX47)*0.1)),"",IF(B57="","",AVERAGE('Q1'!#REF!,'Q2'!CX47)*0.1))</f>
        <v/>
      </c>
      <c r="AG57" s="102" t="str">
        <f t="shared" si="15"/>
        <v/>
      </c>
      <c r="AH57" s="97" t="str">
        <f t="shared" si="16"/>
        <v/>
      </c>
      <c r="AI57" s="91" t="str">
        <f>IF(ISERR(IF('[1]FINAL SEM2'!N58="","",'[1]FINAL SEM2'!N58*0.1)),"",IF($B57="","",IF('[1]FINAL SEM2'!N58="","",'[1]FINAL SEM2'!N58*0.1)))</f>
        <v/>
      </c>
      <c r="AJ57" s="92" t="str">
        <f t="shared" si="17"/>
        <v/>
      </c>
      <c r="AK57" s="93" t="str">
        <f>IF($B57="","",IF(FinalSem2!#REF!="","",FinalSem2!#REF!*0.1))</f>
        <v/>
      </c>
      <c r="AL57" s="92" t="str">
        <f t="shared" si="18"/>
        <v/>
      </c>
      <c r="AM57" s="93" t="str">
        <f>IF($B57="","",IF(FinalSem2!#REF!="","",FinalSem2!#REF!*0.1))</f>
        <v/>
      </c>
      <c r="AN57" s="92" t="str">
        <f t="shared" si="19"/>
        <v/>
      </c>
      <c r="AO57" s="93" t="str">
        <f>IF($B57="","",IF(FinalSem2!#REF!="","",FinalSem2!#REF!*0.1))</f>
        <v/>
      </c>
      <c r="AP57" s="92" t="str">
        <f t="shared" si="20"/>
        <v/>
      </c>
      <c r="AQ57" s="93" t="str">
        <f>IF($B57="","",IF(FinalSem2!#REF!="","",FinalSem2!#REF!*0.1))</f>
        <v/>
      </c>
      <c r="AR57" s="92" t="str">
        <f t="shared" si="21"/>
        <v/>
      </c>
      <c r="AS57" s="93" t="str">
        <f>IF($B57="","",IF(FinalSem2!#REF!="","",FinalSem2!#REF!*0.1))</f>
        <v/>
      </c>
      <c r="AT57" s="92" t="str">
        <f t="shared" si="22"/>
        <v/>
      </c>
      <c r="AU57" s="93" t="str">
        <f>IF($B57="","",IF(FinalSem2!#REF!="","",FinalSem2!#REF!*0.1))</f>
        <v/>
      </c>
      <c r="AV57" s="92" t="str">
        <f t="shared" si="23"/>
        <v/>
      </c>
      <c r="AW57" s="93" t="str">
        <f>IF($B57="","",IF(FinalSem2!#REF!="","",FinalSem2!#REF!*0.1))</f>
        <v/>
      </c>
      <c r="AX57" s="92" t="str">
        <f t="shared" si="24"/>
        <v/>
      </c>
      <c r="AY57" s="93" t="str">
        <f>IF($B57="","",IF(FinalSem2!#REF!="","",FinalSem2!#REF!*0.1))</f>
        <v/>
      </c>
      <c r="AZ57" s="92" t="str">
        <f t="shared" si="25"/>
        <v/>
      </c>
      <c r="BA57" s="93" t="str">
        <f>IF($B57="","",IF(FinalSem2!#REF!="","",FinalSem2!#REF!*0.1))</f>
        <v/>
      </c>
      <c r="BB57" s="92" t="str">
        <f t="shared" si="26"/>
        <v/>
      </c>
      <c r="BC57" s="93" t="str">
        <f>IF($B57="","",IF(FinalSem2!#REF!="","",FinalSem2!#REF!*0.1))</f>
        <v/>
      </c>
      <c r="BD57" s="92" t="str">
        <f t="shared" si="27"/>
        <v/>
      </c>
      <c r="BE57" s="94" t="str">
        <f t="shared" si="28"/>
        <v/>
      </c>
      <c r="BF57" s="95" t="str">
        <f t="shared" si="29"/>
        <v/>
      </c>
      <c r="BG57" s="96" t="str">
        <f t="shared" si="30"/>
        <v/>
      </c>
      <c r="BH57" s="95" t="str">
        <f>IF(ISERR(IF(B57="","",AVERAGE('Q3'!CX63,'Q4'!CX63)*0.1)),"",IF(B57="","",AVERAGE('Q3'!CX63,'Q4'!CX63)*0.1))</f>
        <v/>
      </c>
      <c r="BI57" s="102" t="str">
        <f t="shared" si="31"/>
        <v/>
      </c>
      <c r="BJ57" s="97" t="str">
        <f t="shared" si="32"/>
        <v/>
      </c>
      <c r="BK57" s="98" t="str">
        <f t="shared" si="33"/>
        <v/>
      </c>
      <c r="BL57" s="99" t="str">
        <f t="shared" si="34"/>
        <v/>
      </c>
      <c r="BM57" s="100" t="str">
        <f t="shared" si="35"/>
        <v/>
      </c>
      <c r="BN57" s="99" t="str">
        <f t="shared" si="36"/>
        <v/>
      </c>
      <c r="BO57" s="100" t="str">
        <f t="shared" si="37"/>
        <v/>
      </c>
      <c r="BP57" s="99" t="str">
        <f t="shared" si="38"/>
        <v/>
      </c>
      <c r="BQ57" s="100" t="str">
        <f t="shared" si="39"/>
        <v/>
      </c>
      <c r="BR57" s="99" t="str">
        <f t="shared" si="40"/>
        <v/>
      </c>
      <c r="BS57" s="100" t="str">
        <f t="shared" si="41"/>
        <v/>
      </c>
      <c r="BT57" s="99" t="str">
        <f t="shared" si="42"/>
        <v/>
      </c>
      <c r="BU57" s="100" t="str">
        <f t="shared" si="43"/>
        <v/>
      </c>
      <c r="BV57" s="99" t="str">
        <f t="shared" si="44"/>
        <v/>
      </c>
      <c r="BW57" s="100" t="str">
        <f t="shared" si="45"/>
        <v/>
      </c>
      <c r="BX57" s="99" t="str">
        <f t="shared" si="46"/>
        <v/>
      </c>
      <c r="BY57" s="100" t="str">
        <f t="shared" si="47"/>
        <v/>
      </c>
      <c r="BZ57" s="99" t="str">
        <f t="shared" si="48"/>
        <v/>
      </c>
      <c r="CA57" s="128" t="str">
        <f t="shared" si="0"/>
        <v/>
      </c>
    </row>
    <row r="58" spans="1:79" ht="24.5" x14ac:dyDescent="0.35">
      <c r="A58" s="90" t="str">
        <f>IF('Q4'!A64="","",'Q4'!A64)</f>
        <v/>
      </c>
      <c r="B58" s="90" t="str">
        <f>IF('Q4'!B64="","",'Q4'!B64)</f>
        <v/>
      </c>
      <c r="C58" s="107" t="str">
        <f>IF('Q4'!C64="","",'Q4'!C64)</f>
        <v/>
      </c>
      <c r="D58" s="90"/>
      <c r="E58" s="90" t="str">
        <f>IF('Q4'!E64="","",'Q4'!E64)</f>
        <v/>
      </c>
      <c r="F58" s="90" t="str">
        <f>IF('Q4'!F64="","",'Q4'!F64)</f>
        <v/>
      </c>
      <c r="G58" s="91" t="str">
        <f>IF($B58="","",IF(FinalSem1!#REF!="","",FinalSem1!#REF!*0.1))</f>
        <v/>
      </c>
      <c r="H58" s="92" t="str">
        <f t="shared" si="1"/>
        <v/>
      </c>
      <c r="I58" s="91" t="str">
        <f>IF($B58="","",IF(FinalSem1!#REF!="","",FinalSem1!#REF!*0.1))</f>
        <v/>
      </c>
      <c r="J58" s="92" t="str">
        <f t="shared" si="2"/>
        <v/>
      </c>
      <c r="K58" s="93" t="str">
        <f>IF($B58="","",IF(FinalSem1!#REF!="","",FinalSem1!#REF!*0.1))</f>
        <v/>
      </c>
      <c r="L58" s="92" t="str">
        <f t="shared" si="3"/>
        <v/>
      </c>
      <c r="M58" s="93" t="str">
        <f>IF($B58="","",IF(FinalSem1!#REF!="","",FinalSem1!#REF!*0.1))</f>
        <v/>
      </c>
      <c r="N58" s="92" t="str">
        <f t="shared" si="4"/>
        <v/>
      </c>
      <c r="O58" s="93" t="str">
        <f>IF($B58="","",IF(FinalSem1!#REF!="","",FinalSem1!#REF!*0.1))</f>
        <v/>
      </c>
      <c r="P58" s="92" t="str">
        <f t="shared" si="5"/>
        <v/>
      </c>
      <c r="Q58" s="93" t="str">
        <f>IF($B58="","",IF(FinalSem1!#REF!="","",FinalSem1!#REF!*0.1))</f>
        <v/>
      </c>
      <c r="R58" s="92" t="str">
        <f t="shared" si="6"/>
        <v/>
      </c>
      <c r="S58" s="93" t="str">
        <f>IF($B58="","",IF(FinalSem1!#REF!="","",FinalSem1!#REF!*0.1))</f>
        <v/>
      </c>
      <c r="T58" s="92" t="str">
        <f t="shared" si="7"/>
        <v/>
      </c>
      <c r="U58" s="93" t="str">
        <f>IF($B58="","",IF(FinalSem1!#REF!="","",FinalSem1!#REF!*0.1))</f>
        <v/>
      </c>
      <c r="V58" s="92" t="str">
        <f t="shared" si="8"/>
        <v/>
      </c>
      <c r="W58" s="93" t="str">
        <f>IF($B58="","",IF(FinalSem1!#REF!="","",FinalSem1!#REF!*0.1))</f>
        <v/>
      </c>
      <c r="X58" s="92" t="str">
        <f t="shared" si="9"/>
        <v/>
      </c>
      <c r="Y58" s="93" t="str">
        <f>IF($B58="","",IF(FinalSem1!#REF!="","",FinalSem1!#REF!*0.1))</f>
        <v/>
      </c>
      <c r="Z58" s="92" t="str">
        <f t="shared" si="10"/>
        <v/>
      </c>
      <c r="AA58" s="93" t="str">
        <f>IF(ISERR(IF(B58="","",IF(F58="III",AVERAGE('[1]FINAL SEM1'!Y59:AA59)*0.1,IF(OR(F58="I",F58="II",F58="M",F58="A"),AVERAGE('[1]FINAL SEM1'!Y59:AA59)*0.1)))),"",IF(B58="","",IF(F58="III",AVERAGE('[1]FINAL SEM1'!Y59:AA59)*0.1,IF(OR(F58="I",F58="II",F58="M",F58="A"),AVERAGE('[1]FINAL SEM1'!Y59:AA59)*0.1))))</f>
        <v/>
      </c>
      <c r="AB58" s="92" t="str">
        <f t="shared" si="11"/>
        <v/>
      </c>
      <c r="AC58" s="94" t="str">
        <f t="shared" si="12"/>
        <v/>
      </c>
      <c r="AD58" s="95" t="str">
        <f t="shared" si="13"/>
        <v/>
      </c>
      <c r="AE58" s="96" t="str">
        <f t="shared" si="14"/>
        <v/>
      </c>
      <c r="AF58" s="95" t="str">
        <f>IF(ISERR(IF(B58="","",AVERAGE('Q1'!#REF!,'Q2'!CX48)*0.1)),"",IF(B58="","",AVERAGE('Q1'!#REF!,'Q2'!CX48)*0.1))</f>
        <v/>
      </c>
      <c r="AG58" s="102" t="str">
        <f t="shared" si="15"/>
        <v/>
      </c>
      <c r="AH58" s="97" t="str">
        <f t="shared" si="16"/>
        <v/>
      </c>
      <c r="AI58" s="91" t="str">
        <f>IF(ISERR(IF('[1]FINAL SEM2'!N59="","",'[1]FINAL SEM2'!N59*0.1)),"",IF($B58="","",IF('[1]FINAL SEM2'!N59="","",'[1]FINAL SEM2'!N59*0.1)))</f>
        <v/>
      </c>
      <c r="AJ58" s="92" t="str">
        <f t="shared" si="17"/>
        <v/>
      </c>
      <c r="AK58" s="93" t="str">
        <f>IF($B58="","",IF(FinalSem2!#REF!="","",FinalSem2!#REF!*0.1))</f>
        <v/>
      </c>
      <c r="AL58" s="92" t="str">
        <f t="shared" si="18"/>
        <v/>
      </c>
      <c r="AM58" s="93" t="str">
        <f>IF($B58="","",IF(FinalSem2!#REF!="","",FinalSem2!#REF!*0.1))</f>
        <v/>
      </c>
      <c r="AN58" s="92" t="str">
        <f t="shared" si="19"/>
        <v/>
      </c>
      <c r="AO58" s="93" t="str">
        <f>IF($B58="","",IF(FinalSem2!#REF!="","",FinalSem2!#REF!*0.1))</f>
        <v/>
      </c>
      <c r="AP58" s="92" t="str">
        <f t="shared" si="20"/>
        <v/>
      </c>
      <c r="AQ58" s="93" t="str">
        <f>IF($B58="","",IF(FinalSem2!#REF!="","",FinalSem2!#REF!*0.1))</f>
        <v/>
      </c>
      <c r="AR58" s="92" t="str">
        <f t="shared" si="21"/>
        <v/>
      </c>
      <c r="AS58" s="93" t="str">
        <f>IF($B58="","",IF(FinalSem2!#REF!="","",FinalSem2!#REF!*0.1))</f>
        <v/>
      </c>
      <c r="AT58" s="92" t="str">
        <f t="shared" si="22"/>
        <v/>
      </c>
      <c r="AU58" s="93" t="str">
        <f>IF($B58="","",IF(FinalSem2!#REF!="","",FinalSem2!#REF!*0.1))</f>
        <v/>
      </c>
      <c r="AV58" s="92" t="str">
        <f t="shared" si="23"/>
        <v/>
      </c>
      <c r="AW58" s="93" t="str">
        <f>IF($B58="","",IF(FinalSem2!#REF!="","",FinalSem2!#REF!*0.1))</f>
        <v/>
      </c>
      <c r="AX58" s="92" t="str">
        <f t="shared" si="24"/>
        <v/>
      </c>
      <c r="AY58" s="93" t="str">
        <f>IF($B58="","",IF(FinalSem2!#REF!="","",FinalSem2!#REF!*0.1))</f>
        <v/>
      </c>
      <c r="AZ58" s="92" t="str">
        <f t="shared" si="25"/>
        <v/>
      </c>
      <c r="BA58" s="93" t="str">
        <f>IF($B58="","",IF(FinalSem2!#REF!="","",FinalSem2!#REF!*0.1))</f>
        <v/>
      </c>
      <c r="BB58" s="92" t="str">
        <f t="shared" si="26"/>
        <v/>
      </c>
      <c r="BC58" s="93" t="str">
        <f>IF($B58="","",IF(FinalSem2!#REF!="","",FinalSem2!#REF!*0.1))</f>
        <v/>
      </c>
      <c r="BD58" s="92" t="str">
        <f t="shared" si="27"/>
        <v/>
      </c>
      <c r="BE58" s="94" t="str">
        <f t="shared" si="28"/>
        <v/>
      </c>
      <c r="BF58" s="95" t="str">
        <f t="shared" si="29"/>
        <v/>
      </c>
      <c r="BG58" s="96" t="str">
        <f t="shared" si="30"/>
        <v/>
      </c>
      <c r="BH58" s="95" t="str">
        <f>IF(ISERR(IF(B58="","",AVERAGE('Q3'!CX64,'Q4'!CX64)*0.1)),"",IF(B58="","",AVERAGE('Q3'!CX64,'Q4'!CX64)*0.1))</f>
        <v/>
      </c>
      <c r="BI58" s="102" t="str">
        <f t="shared" si="31"/>
        <v/>
      </c>
      <c r="BJ58" s="97" t="str">
        <f t="shared" si="32"/>
        <v/>
      </c>
      <c r="BK58" s="98" t="str">
        <f t="shared" si="33"/>
        <v/>
      </c>
      <c r="BL58" s="99" t="str">
        <f t="shared" si="34"/>
        <v/>
      </c>
      <c r="BM58" s="100" t="str">
        <f t="shared" si="35"/>
        <v/>
      </c>
      <c r="BN58" s="99" t="str">
        <f t="shared" si="36"/>
        <v/>
      </c>
      <c r="BO58" s="100" t="str">
        <f t="shared" si="37"/>
        <v/>
      </c>
      <c r="BP58" s="99" t="str">
        <f t="shared" si="38"/>
        <v/>
      </c>
      <c r="BQ58" s="100" t="str">
        <f t="shared" si="39"/>
        <v/>
      </c>
      <c r="BR58" s="99" t="str">
        <f t="shared" si="40"/>
        <v/>
      </c>
      <c r="BS58" s="100" t="str">
        <f t="shared" si="41"/>
        <v/>
      </c>
      <c r="BT58" s="99" t="str">
        <f t="shared" si="42"/>
        <v/>
      </c>
      <c r="BU58" s="100" t="str">
        <f t="shared" si="43"/>
        <v/>
      </c>
      <c r="BV58" s="99" t="str">
        <f t="shared" si="44"/>
        <v/>
      </c>
      <c r="BW58" s="100" t="str">
        <f t="shared" si="45"/>
        <v/>
      </c>
      <c r="BX58" s="99" t="str">
        <f t="shared" si="46"/>
        <v/>
      </c>
      <c r="BY58" s="100" t="str">
        <f t="shared" si="47"/>
        <v/>
      </c>
      <c r="BZ58" s="99" t="str">
        <f t="shared" si="48"/>
        <v/>
      </c>
      <c r="CA58" s="128" t="str">
        <f t="shared" si="0"/>
        <v/>
      </c>
    </row>
    <row r="59" spans="1:79" ht="24.5" x14ac:dyDescent="0.35">
      <c r="A59" s="90" t="str">
        <f>IF('Q4'!A65="","",'Q4'!A65)</f>
        <v/>
      </c>
      <c r="B59" s="90" t="str">
        <f>IF('Q4'!B65="","",'Q4'!B65)</f>
        <v/>
      </c>
      <c r="C59" s="107" t="str">
        <f>IF('Q4'!C65="","",'Q4'!C65)</f>
        <v/>
      </c>
      <c r="D59" s="90"/>
      <c r="E59" s="90" t="str">
        <f>IF('Q4'!E65="","",'Q4'!E65)</f>
        <v/>
      </c>
      <c r="F59" s="90" t="str">
        <f>IF('Q4'!F65="","",'Q4'!F65)</f>
        <v/>
      </c>
      <c r="G59" s="91" t="str">
        <f>IF($B59="","",IF(FinalSem1!#REF!="","",FinalSem1!#REF!*0.1))</f>
        <v/>
      </c>
      <c r="H59" s="92" t="str">
        <f t="shared" si="1"/>
        <v/>
      </c>
      <c r="I59" s="91" t="str">
        <f>IF($B59="","",IF(FinalSem1!#REF!="","",FinalSem1!#REF!*0.1))</f>
        <v/>
      </c>
      <c r="J59" s="92" t="str">
        <f t="shared" si="2"/>
        <v/>
      </c>
      <c r="K59" s="93" t="str">
        <f>IF($B59="","",IF(FinalSem1!#REF!="","",FinalSem1!#REF!*0.1))</f>
        <v/>
      </c>
      <c r="L59" s="92" t="str">
        <f t="shared" si="3"/>
        <v/>
      </c>
      <c r="M59" s="93" t="str">
        <f>IF($B59="","",IF(FinalSem1!#REF!="","",FinalSem1!#REF!*0.1))</f>
        <v/>
      </c>
      <c r="N59" s="92" t="str">
        <f t="shared" si="4"/>
        <v/>
      </c>
      <c r="O59" s="93" t="str">
        <f>IF($B59="","",IF(FinalSem1!#REF!="","",FinalSem1!#REF!*0.1))</f>
        <v/>
      </c>
      <c r="P59" s="92" t="str">
        <f t="shared" si="5"/>
        <v/>
      </c>
      <c r="Q59" s="93" t="str">
        <f>IF($B59="","",IF(FinalSem1!#REF!="","",FinalSem1!#REF!*0.1))</f>
        <v/>
      </c>
      <c r="R59" s="92" t="str">
        <f t="shared" si="6"/>
        <v/>
      </c>
      <c r="S59" s="93" t="str">
        <f>IF($B59="","",IF(FinalSem1!#REF!="","",FinalSem1!#REF!*0.1))</f>
        <v/>
      </c>
      <c r="T59" s="92" t="str">
        <f t="shared" si="7"/>
        <v/>
      </c>
      <c r="U59" s="93" t="str">
        <f>IF($B59="","",IF(FinalSem1!#REF!="","",FinalSem1!#REF!*0.1))</f>
        <v/>
      </c>
      <c r="V59" s="92" t="str">
        <f t="shared" si="8"/>
        <v/>
      </c>
      <c r="W59" s="93" t="str">
        <f>IF($B59="","",IF(FinalSem1!#REF!="","",FinalSem1!#REF!*0.1))</f>
        <v/>
      </c>
      <c r="X59" s="92" t="str">
        <f t="shared" si="9"/>
        <v/>
      </c>
      <c r="Y59" s="93" t="str">
        <f>IF($B59="","",IF(FinalSem1!#REF!="","",FinalSem1!#REF!*0.1))</f>
        <v/>
      </c>
      <c r="Z59" s="92" t="str">
        <f t="shared" si="10"/>
        <v/>
      </c>
      <c r="AA59" s="93" t="str">
        <f>IF(ISERR(IF(B59="","",IF(F59="III",AVERAGE('[1]FINAL SEM1'!Y60:AA60)*0.1,IF(OR(F59="I",F59="II",F59="M",F59="A"),AVERAGE('[1]FINAL SEM1'!Y60:AA60)*0.1)))),"",IF(B59="","",IF(F59="III",AVERAGE('[1]FINAL SEM1'!Y60:AA60)*0.1,IF(OR(F59="I",F59="II",F59="M",F59="A"),AVERAGE('[1]FINAL SEM1'!Y60:AA60)*0.1))))</f>
        <v/>
      </c>
      <c r="AB59" s="92" t="str">
        <f t="shared" si="11"/>
        <v/>
      </c>
      <c r="AC59" s="94" t="str">
        <f t="shared" si="12"/>
        <v/>
      </c>
      <c r="AD59" s="95" t="str">
        <f t="shared" si="13"/>
        <v/>
      </c>
      <c r="AE59" s="96" t="str">
        <f t="shared" si="14"/>
        <v/>
      </c>
      <c r="AF59" s="95" t="str">
        <f>IF(ISERR(IF(B59="","",AVERAGE('Q1'!#REF!,'Q2'!CX49)*0.1)),"",IF(B59="","",AVERAGE('Q1'!#REF!,'Q2'!CX49)*0.1))</f>
        <v/>
      </c>
      <c r="AG59" s="102" t="str">
        <f t="shared" si="15"/>
        <v/>
      </c>
      <c r="AH59" s="97" t="str">
        <f t="shared" si="16"/>
        <v/>
      </c>
      <c r="AI59" s="91" t="str">
        <f>IF(ISERR(IF('[1]FINAL SEM2'!N60="","",'[1]FINAL SEM2'!N60*0.1)),"",IF($B59="","",IF('[1]FINAL SEM2'!N60="","",'[1]FINAL SEM2'!N60*0.1)))</f>
        <v/>
      </c>
      <c r="AJ59" s="92" t="str">
        <f t="shared" si="17"/>
        <v/>
      </c>
      <c r="AK59" s="93" t="str">
        <f>IF($B59="","",IF(FinalSem2!#REF!="","",FinalSem2!#REF!*0.1))</f>
        <v/>
      </c>
      <c r="AL59" s="92" t="str">
        <f t="shared" si="18"/>
        <v/>
      </c>
      <c r="AM59" s="93" t="str">
        <f>IF($B59="","",IF(FinalSem2!#REF!="","",FinalSem2!#REF!*0.1))</f>
        <v/>
      </c>
      <c r="AN59" s="92" t="str">
        <f t="shared" si="19"/>
        <v/>
      </c>
      <c r="AO59" s="93" t="str">
        <f>IF($B59="","",IF(FinalSem2!#REF!="","",FinalSem2!#REF!*0.1))</f>
        <v/>
      </c>
      <c r="AP59" s="92" t="str">
        <f t="shared" si="20"/>
        <v/>
      </c>
      <c r="AQ59" s="93" t="str">
        <f>IF($B59="","",IF(FinalSem2!#REF!="","",FinalSem2!#REF!*0.1))</f>
        <v/>
      </c>
      <c r="AR59" s="92" t="str">
        <f t="shared" si="21"/>
        <v/>
      </c>
      <c r="AS59" s="93" t="str">
        <f>IF($B59="","",IF(FinalSem2!#REF!="","",FinalSem2!#REF!*0.1))</f>
        <v/>
      </c>
      <c r="AT59" s="92" t="str">
        <f t="shared" si="22"/>
        <v/>
      </c>
      <c r="AU59" s="93" t="str">
        <f>IF($B59="","",IF(FinalSem2!#REF!="","",FinalSem2!#REF!*0.1))</f>
        <v/>
      </c>
      <c r="AV59" s="92" t="str">
        <f t="shared" si="23"/>
        <v/>
      </c>
      <c r="AW59" s="93" t="str">
        <f>IF($B59="","",IF(FinalSem2!#REF!="","",FinalSem2!#REF!*0.1))</f>
        <v/>
      </c>
      <c r="AX59" s="92" t="str">
        <f t="shared" si="24"/>
        <v/>
      </c>
      <c r="AY59" s="93" t="str">
        <f>IF($B59="","",IF(FinalSem2!#REF!="","",FinalSem2!#REF!*0.1))</f>
        <v/>
      </c>
      <c r="AZ59" s="92" t="str">
        <f t="shared" si="25"/>
        <v/>
      </c>
      <c r="BA59" s="93" t="str">
        <f>IF($B59="","",IF(FinalSem2!#REF!="","",FinalSem2!#REF!*0.1))</f>
        <v/>
      </c>
      <c r="BB59" s="92" t="str">
        <f t="shared" si="26"/>
        <v/>
      </c>
      <c r="BC59" s="93" t="str">
        <f>IF($B59="","",IF(FinalSem2!#REF!="","",FinalSem2!#REF!*0.1))</f>
        <v/>
      </c>
      <c r="BD59" s="92" t="str">
        <f t="shared" si="27"/>
        <v/>
      </c>
      <c r="BE59" s="94" t="str">
        <f t="shared" si="28"/>
        <v/>
      </c>
      <c r="BF59" s="95" t="str">
        <f t="shared" si="29"/>
        <v/>
      </c>
      <c r="BG59" s="96" t="str">
        <f t="shared" si="30"/>
        <v/>
      </c>
      <c r="BH59" s="95" t="str">
        <f>IF(ISERR(IF(B59="","",AVERAGE('Q3'!CX65,'Q4'!CX65)*0.1)),"",IF(B59="","",AVERAGE('Q3'!CX65,'Q4'!CX65)*0.1))</f>
        <v/>
      </c>
      <c r="BI59" s="102" t="str">
        <f t="shared" si="31"/>
        <v/>
      </c>
      <c r="BJ59" s="97" t="str">
        <f t="shared" si="32"/>
        <v/>
      </c>
      <c r="BK59" s="98" t="str">
        <f t="shared" si="33"/>
        <v/>
      </c>
      <c r="BL59" s="99" t="str">
        <f t="shared" si="34"/>
        <v/>
      </c>
      <c r="BM59" s="100" t="str">
        <f t="shared" si="35"/>
        <v/>
      </c>
      <c r="BN59" s="99" t="str">
        <f t="shared" si="36"/>
        <v/>
      </c>
      <c r="BO59" s="100" t="str">
        <f t="shared" si="37"/>
        <v/>
      </c>
      <c r="BP59" s="99" t="str">
        <f t="shared" si="38"/>
        <v/>
      </c>
      <c r="BQ59" s="100" t="str">
        <f t="shared" si="39"/>
        <v/>
      </c>
      <c r="BR59" s="99" t="str">
        <f t="shared" si="40"/>
        <v/>
      </c>
      <c r="BS59" s="100" t="str">
        <f t="shared" si="41"/>
        <v/>
      </c>
      <c r="BT59" s="99" t="str">
        <f t="shared" si="42"/>
        <v/>
      </c>
      <c r="BU59" s="100" t="str">
        <f t="shared" si="43"/>
        <v/>
      </c>
      <c r="BV59" s="99" t="str">
        <f t="shared" si="44"/>
        <v/>
      </c>
      <c r="BW59" s="100" t="str">
        <f t="shared" si="45"/>
        <v/>
      </c>
      <c r="BX59" s="99" t="str">
        <f t="shared" si="46"/>
        <v/>
      </c>
      <c r="BY59" s="100" t="str">
        <f t="shared" si="47"/>
        <v/>
      </c>
      <c r="BZ59" s="99" t="str">
        <f t="shared" si="48"/>
        <v/>
      </c>
      <c r="CA59" s="128" t="str">
        <f t="shared" si="0"/>
        <v/>
      </c>
    </row>
    <row r="60" spans="1:79" ht="24.5" x14ac:dyDescent="0.35">
      <c r="A60" s="90" t="str">
        <f>IF('Q4'!A66="","",'Q4'!A66)</f>
        <v/>
      </c>
      <c r="B60" s="90" t="str">
        <f>IF('Q4'!B66="","",'Q4'!B66)</f>
        <v/>
      </c>
      <c r="C60" s="107" t="str">
        <f>IF('Q4'!C66="","",'Q4'!C66)</f>
        <v/>
      </c>
      <c r="D60" s="90"/>
      <c r="E60" s="90" t="str">
        <f>IF('Q4'!E66="","",'Q4'!E66)</f>
        <v/>
      </c>
      <c r="F60" s="90" t="str">
        <f>IF('Q4'!F66="","",'Q4'!F66)</f>
        <v/>
      </c>
      <c r="G60" s="91" t="str">
        <f>IF($B60="","",IF(FinalSem1!#REF!="","",FinalSem1!#REF!*0.1))</f>
        <v/>
      </c>
      <c r="H60" s="92" t="str">
        <f t="shared" si="1"/>
        <v/>
      </c>
      <c r="I60" s="91" t="str">
        <f>IF($B60="","",IF(FinalSem1!#REF!="","",FinalSem1!#REF!*0.1))</f>
        <v/>
      </c>
      <c r="J60" s="92" t="str">
        <f t="shared" si="2"/>
        <v/>
      </c>
      <c r="K60" s="93" t="str">
        <f>IF($B60="","",IF(FinalSem1!#REF!="","",FinalSem1!#REF!*0.1))</f>
        <v/>
      </c>
      <c r="L60" s="92" t="str">
        <f t="shared" si="3"/>
        <v/>
      </c>
      <c r="M60" s="93" t="str">
        <f>IF($B60="","",IF(FinalSem1!#REF!="","",FinalSem1!#REF!*0.1))</f>
        <v/>
      </c>
      <c r="N60" s="92" t="str">
        <f t="shared" si="4"/>
        <v/>
      </c>
      <c r="O60" s="93" t="str">
        <f>IF($B60="","",IF(FinalSem1!#REF!="","",FinalSem1!#REF!*0.1))</f>
        <v/>
      </c>
      <c r="P60" s="92" t="str">
        <f t="shared" si="5"/>
        <v/>
      </c>
      <c r="Q60" s="93" t="str">
        <f>IF($B60="","",IF(FinalSem1!#REF!="","",FinalSem1!#REF!*0.1))</f>
        <v/>
      </c>
      <c r="R60" s="92" t="str">
        <f t="shared" si="6"/>
        <v/>
      </c>
      <c r="S60" s="93" t="str">
        <f>IF($B60="","",IF(FinalSem1!#REF!="","",FinalSem1!#REF!*0.1))</f>
        <v/>
      </c>
      <c r="T60" s="92" t="str">
        <f t="shared" si="7"/>
        <v/>
      </c>
      <c r="U60" s="93" t="str">
        <f>IF($B60="","",IF(FinalSem1!#REF!="","",FinalSem1!#REF!*0.1))</f>
        <v/>
      </c>
      <c r="V60" s="92" t="str">
        <f t="shared" si="8"/>
        <v/>
      </c>
      <c r="W60" s="93" t="str">
        <f>IF($B60="","",IF(FinalSem1!#REF!="","",FinalSem1!#REF!*0.1))</f>
        <v/>
      </c>
      <c r="X60" s="92" t="str">
        <f t="shared" si="9"/>
        <v/>
      </c>
      <c r="Y60" s="93" t="str">
        <f>IF($B60="","",IF(FinalSem1!#REF!="","",FinalSem1!#REF!*0.1))</f>
        <v/>
      </c>
      <c r="Z60" s="92" t="str">
        <f t="shared" si="10"/>
        <v/>
      </c>
      <c r="AA60" s="93" t="str">
        <f>IF(ISERR(IF(B60="","",IF(F60="III",AVERAGE('[1]FINAL SEM1'!Y61:AA61)*0.1,IF(OR(F60="I",F60="II",F60="M",F60="A"),AVERAGE('[1]FINAL SEM1'!Y61:AA61)*0.1)))),"",IF(B60="","",IF(F60="III",AVERAGE('[1]FINAL SEM1'!Y61:AA61)*0.1,IF(OR(F60="I",F60="II",F60="M",F60="A"),AVERAGE('[1]FINAL SEM1'!Y61:AA61)*0.1))))</f>
        <v/>
      </c>
      <c r="AB60" s="92" t="str">
        <f t="shared" si="11"/>
        <v/>
      </c>
      <c r="AC60" s="94" t="str">
        <f t="shared" si="12"/>
        <v/>
      </c>
      <c r="AD60" s="95" t="str">
        <f t="shared" si="13"/>
        <v/>
      </c>
      <c r="AE60" s="96" t="str">
        <f t="shared" si="14"/>
        <v/>
      </c>
      <c r="AF60" s="95" t="str">
        <f>IF(ISERR(IF(B60="","",AVERAGE('Q1'!#REF!,'Q2'!CX50)*0.1)),"",IF(B60="","",AVERAGE('Q1'!#REF!,'Q2'!CX50)*0.1))</f>
        <v/>
      </c>
      <c r="AG60" s="102" t="str">
        <f t="shared" si="15"/>
        <v/>
      </c>
      <c r="AH60" s="97" t="str">
        <f t="shared" si="16"/>
        <v/>
      </c>
      <c r="AI60" s="91" t="str">
        <f>IF(ISERR(IF('[1]FINAL SEM2'!N61="","",'[1]FINAL SEM2'!N61*0.1)),"",IF($B60="","",IF('[1]FINAL SEM2'!N61="","",'[1]FINAL SEM2'!N61*0.1)))</f>
        <v/>
      </c>
      <c r="AJ60" s="92" t="str">
        <f t="shared" si="17"/>
        <v/>
      </c>
      <c r="AK60" s="93" t="str">
        <f>IF($B60="","",IF(FinalSem2!#REF!="","",FinalSem2!#REF!*0.1))</f>
        <v/>
      </c>
      <c r="AL60" s="92" t="str">
        <f t="shared" si="18"/>
        <v/>
      </c>
      <c r="AM60" s="93" t="str">
        <f>IF($B60="","",IF(FinalSem2!#REF!="","",FinalSem2!#REF!*0.1))</f>
        <v/>
      </c>
      <c r="AN60" s="92" t="str">
        <f t="shared" si="19"/>
        <v/>
      </c>
      <c r="AO60" s="93" t="str">
        <f>IF($B60="","",IF(FinalSem2!#REF!="","",FinalSem2!#REF!*0.1))</f>
        <v/>
      </c>
      <c r="AP60" s="92" t="str">
        <f t="shared" si="20"/>
        <v/>
      </c>
      <c r="AQ60" s="93" t="str">
        <f>IF($B60="","",IF(FinalSem2!#REF!="","",FinalSem2!#REF!*0.1))</f>
        <v/>
      </c>
      <c r="AR60" s="92" t="str">
        <f t="shared" si="21"/>
        <v/>
      </c>
      <c r="AS60" s="93" t="str">
        <f>IF($B60="","",IF(FinalSem2!#REF!="","",FinalSem2!#REF!*0.1))</f>
        <v/>
      </c>
      <c r="AT60" s="92" t="str">
        <f t="shared" si="22"/>
        <v/>
      </c>
      <c r="AU60" s="93" t="str">
        <f>IF($B60="","",IF(FinalSem2!#REF!="","",FinalSem2!#REF!*0.1))</f>
        <v/>
      </c>
      <c r="AV60" s="92" t="str">
        <f t="shared" si="23"/>
        <v/>
      </c>
      <c r="AW60" s="93" t="str">
        <f>IF($B60="","",IF(FinalSem2!#REF!="","",FinalSem2!#REF!*0.1))</f>
        <v/>
      </c>
      <c r="AX60" s="92" t="str">
        <f t="shared" si="24"/>
        <v/>
      </c>
      <c r="AY60" s="93" t="str">
        <f>IF($B60="","",IF(FinalSem2!#REF!="","",FinalSem2!#REF!*0.1))</f>
        <v/>
      </c>
      <c r="AZ60" s="92" t="str">
        <f t="shared" si="25"/>
        <v/>
      </c>
      <c r="BA60" s="93" t="str">
        <f>IF($B60="","",IF(FinalSem2!#REF!="","",FinalSem2!#REF!*0.1))</f>
        <v/>
      </c>
      <c r="BB60" s="92" t="str">
        <f t="shared" si="26"/>
        <v/>
      </c>
      <c r="BC60" s="93" t="str">
        <f>IF($B60="","",IF(FinalSem2!#REF!="","",FinalSem2!#REF!*0.1))</f>
        <v/>
      </c>
      <c r="BD60" s="92" t="str">
        <f t="shared" si="27"/>
        <v/>
      </c>
      <c r="BE60" s="94" t="str">
        <f t="shared" si="28"/>
        <v/>
      </c>
      <c r="BF60" s="95" t="str">
        <f t="shared" si="29"/>
        <v/>
      </c>
      <c r="BG60" s="96" t="str">
        <f t="shared" si="30"/>
        <v/>
      </c>
      <c r="BH60" s="95" t="str">
        <f>IF(ISERR(IF(B60="","",AVERAGE('Q3'!CX66,'Q4'!CX66)*0.1)),"",IF(B60="","",AVERAGE('Q3'!CX66,'Q4'!CX66)*0.1))</f>
        <v/>
      </c>
      <c r="BI60" s="102" t="str">
        <f t="shared" si="31"/>
        <v/>
      </c>
      <c r="BJ60" s="97" t="str">
        <f t="shared" si="32"/>
        <v/>
      </c>
      <c r="BK60" s="98" t="str">
        <f t="shared" si="33"/>
        <v/>
      </c>
      <c r="BL60" s="99" t="str">
        <f t="shared" si="34"/>
        <v/>
      </c>
      <c r="BM60" s="100" t="str">
        <f t="shared" si="35"/>
        <v/>
      </c>
      <c r="BN60" s="99" t="str">
        <f t="shared" si="36"/>
        <v/>
      </c>
      <c r="BO60" s="100" t="str">
        <f t="shared" si="37"/>
        <v/>
      </c>
      <c r="BP60" s="99" t="str">
        <f t="shared" si="38"/>
        <v/>
      </c>
      <c r="BQ60" s="100" t="str">
        <f t="shared" si="39"/>
        <v/>
      </c>
      <c r="BR60" s="99" t="str">
        <f t="shared" si="40"/>
        <v/>
      </c>
      <c r="BS60" s="100" t="str">
        <f t="shared" si="41"/>
        <v/>
      </c>
      <c r="BT60" s="99" t="str">
        <f t="shared" si="42"/>
        <v/>
      </c>
      <c r="BU60" s="100" t="str">
        <f t="shared" si="43"/>
        <v/>
      </c>
      <c r="BV60" s="99" t="str">
        <f t="shared" si="44"/>
        <v/>
      </c>
      <c r="BW60" s="100" t="str">
        <f t="shared" si="45"/>
        <v/>
      </c>
      <c r="BX60" s="99" t="str">
        <f t="shared" si="46"/>
        <v/>
      </c>
      <c r="BY60" s="100" t="str">
        <f t="shared" si="47"/>
        <v/>
      </c>
      <c r="BZ60" s="99" t="str">
        <f t="shared" si="48"/>
        <v/>
      </c>
      <c r="CA60" s="128" t="str">
        <f t="shared" si="0"/>
        <v/>
      </c>
    </row>
    <row r="61" spans="1:79" ht="24.5" x14ac:dyDescent="0.35">
      <c r="A61" s="90" t="str">
        <f>IF('Q4'!A67="","",'Q4'!A67)</f>
        <v/>
      </c>
      <c r="B61" s="90" t="str">
        <f>IF('Q4'!B67="","",'Q4'!B67)</f>
        <v/>
      </c>
      <c r="C61" s="107" t="str">
        <f>IF('Q4'!C67="","",'Q4'!C67)</f>
        <v/>
      </c>
      <c r="D61" s="90"/>
      <c r="E61" s="90" t="str">
        <f>IF('Q4'!E67="","",'Q4'!E67)</f>
        <v/>
      </c>
      <c r="F61" s="90" t="str">
        <f>IF('Q4'!F67="","",'Q4'!F67)</f>
        <v/>
      </c>
      <c r="G61" s="91" t="str">
        <f>IF($B61="","",IF(FinalSem1!#REF!="","",FinalSem1!#REF!*0.1))</f>
        <v/>
      </c>
      <c r="H61" s="92" t="str">
        <f t="shared" si="1"/>
        <v/>
      </c>
      <c r="I61" s="91" t="str">
        <f>IF($B61="","",IF(FinalSem1!#REF!="","",FinalSem1!#REF!*0.1))</f>
        <v/>
      </c>
      <c r="J61" s="92" t="str">
        <f t="shared" si="2"/>
        <v/>
      </c>
      <c r="K61" s="93" t="str">
        <f>IF($B61="","",IF(FinalSem1!#REF!="","",FinalSem1!#REF!*0.1))</f>
        <v/>
      </c>
      <c r="L61" s="92" t="str">
        <f t="shared" si="3"/>
        <v/>
      </c>
      <c r="M61" s="93" t="str">
        <f>IF($B61="","",IF(FinalSem1!#REF!="","",FinalSem1!#REF!*0.1))</f>
        <v/>
      </c>
      <c r="N61" s="92" t="str">
        <f t="shared" si="4"/>
        <v/>
      </c>
      <c r="O61" s="93" t="str">
        <f>IF($B61="","",IF(FinalSem1!#REF!="","",FinalSem1!#REF!*0.1))</f>
        <v/>
      </c>
      <c r="P61" s="92" t="str">
        <f t="shared" si="5"/>
        <v/>
      </c>
      <c r="Q61" s="93" t="str">
        <f>IF($B61="","",IF(FinalSem1!#REF!="","",FinalSem1!#REF!*0.1))</f>
        <v/>
      </c>
      <c r="R61" s="92" t="str">
        <f t="shared" si="6"/>
        <v/>
      </c>
      <c r="S61" s="93" t="str">
        <f>IF($B61="","",IF(FinalSem1!#REF!="","",FinalSem1!#REF!*0.1))</f>
        <v/>
      </c>
      <c r="T61" s="92" t="str">
        <f t="shared" si="7"/>
        <v/>
      </c>
      <c r="U61" s="93" t="str">
        <f>IF($B61="","",IF(FinalSem1!#REF!="","",FinalSem1!#REF!*0.1))</f>
        <v/>
      </c>
      <c r="V61" s="92" t="str">
        <f t="shared" si="8"/>
        <v/>
      </c>
      <c r="W61" s="93" t="str">
        <f>IF($B61="","",IF(FinalSem1!#REF!="","",FinalSem1!#REF!*0.1))</f>
        <v/>
      </c>
      <c r="X61" s="92" t="str">
        <f t="shared" si="9"/>
        <v/>
      </c>
      <c r="Y61" s="93" t="str">
        <f>IF($B61="","",IF(FinalSem1!#REF!="","",FinalSem1!#REF!*0.1))</f>
        <v/>
      </c>
      <c r="Z61" s="92" t="str">
        <f t="shared" si="10"/>
        <v/>
      </c>
      <c r="AA61" s="93" t="str">
        <f>IF(ISERR(IF(B61="","",IF(F61="III",AVERAGE('[1]FINAL SEM1'!Y62:AA62)*0.1,IF(OR(F61="I",F61="II",F61="M",F61="A"),AVERAGE('[1]FINAL SEM1'!Y62:AA62)*0.1)))),"",IF(B61="","",IF(F61="III",AVERAGE('[1]FINAL SEM1'!Y62:AA62)*0.1,IF(OR(F61="I",F61="II",F61="M",F61="A"),AVERAGE('[1]FINAL SEM1'!Y62:AA62)*0.1))))</f>
        <v/>
      </c>
      <c r="AB61" s="92" t="str">
        <f t="shared" si="11"/>
        <v/>
      </c>
      <c r="AC61" s="94" t="str">
        <f t="shared" si="12"/>
        <v/>
      </c>
      <c r="AD61" s="95" t="str">
        <f t="shared" si="13"/>
        <v/>
      </c>
      <c r="AE61" s="96" t="str">
        <f t="shared" si="14"/>
        <v/>
      </c>
      <c r="AF61" s="95" t="str">
        <f>IF(ISERR(IF(B61="","",AVERAGE('Q1'!#REF!,'Q2'!CX51)*0.1)),"",IF(B61="","",AVERAGE('Q1'!#REF!,'Q2'!CX51)*0.1))</f>
        <v/>
      </c>
      <c r="AG61" s="102" t="str">
        <f t="shared" si="15"/>
        <v/>
      </c>
      <c r="AH61" s="97" t="str">
        <f t="shared" si="16"/>
        <v/>
      </c>
      <c r="AI61" s="91" t="str">
        <f>IF(ISERR(IF('[1]FINAL SEM2'!N62="","",'[1]FINAL SEM2'!N62*0.1)),"",IF($B61="","",IF('[1]FINAL SEM2'!N62="","",'[1]FINAL SEM2'!N62*0.1)))</f>
        <v/>
      </c>
      <c r="AJ61" s="92" t="str">
        <f t="shared" si="17"/>
        <v/>
      </c>
      <c r="AK61" s="93" t="str">
        <f>IF($B61="","",IF(FinalSem2!#REF!="","",FinalSem2!#REF!*0.1))</f>
        <v/>
      </c>
      <c r="AL61" s="92" t="str">
        <f t="shared" si="18"/>
        <v/>
      </c>
      <c r="AM61" s="93" t="str">
        <f>IF($B61="","",IF(FinalSem2!#REF!="","",FinalSem2!#REF!*0.1))</f>
        <v/>
      </c>
      <c r="AN61" s="92" t="str">
        <f t="shared" si="19"/>
        <v/>
      </c>
      <c r="AO61" s="93" t="str">
        <f>IF($B61="","",IF(FinalSem2!#REF!="","",FinalSem2!#REF!*0.1))</f>
        <v/>
      </c>
      <c r="AP61" s="92" t="str">
        <f t="shared" si="20"/>
        <v/>
      </c>
      <c r="AQ61" s="93" t="str">
        <f>IF($B61="","",IF(FinalSem2!#REF!="","",FinalSem2!#REF!*0.1))</f>
        <v/>
      </c>
      <c r="AR61" s="92" t="str">
        <f t="shared" si="21"/>
        <v/>
      </c>
      <c r="AS61" s="93" t="str">
        <f>IF($B61="","",IF(FinalSem2!#REF!="","",FinalSem2!#REF!*0.1))</f>
        <v/>
      </c>
      <c r="AT61" s="92" t="str">
        <f t="shared" si="22"/>
        <v/>
      </c>
      <c r="AU61" s="93" t="str">
        <f>IF($B61="","",IF(FinalSem2!#REF!="","",FinalSem2!#REF!*0.1))</f>
        <v/>
      </c>
      <c r="AV61" s="92" t="str">
        <f t="shared" si="23"/>
        <v/>
      </c>
      <c r="AW61" s="93" t="str">
        <f>IF($B61="","",IF(FinalSem2!#REF!="","",FinalSem2!#REF!*0.1))</f>
        <v/>
      </c>
      <c r="AX61" s="92" t="str">
        <f t="shared" si="24"/>
        <v/>
      </c>
      <c r="AY61" s="93" t="str">
        <f>IF($B61="","",IF(FinalSem2!#REF!="","",FinalSem2!#REF!*0.1))</f>
        <v/>
      </c>
      <c r="AZ61" s="92" t="str">
        <f t="shared" si="25"/>
        <v/>
      </c>
      <c r="BA61" s="93" t="str">
        <f>IF($B61="","",IF(FinalSem2!#REF!="","",FinalSem2!#REF!*0.1))</f>
        <v/>
      </c>
      <c r="BB61" s="92" t="str">
        <f t="shared" si="26"/>
        <v/>
      </c>
      <c r="BC61" s="93" t="str">
        <f>IF($B61="","",IF(FinalSem2!#REF!="","",FinalSem2!#REF!*0.1))</f>
        <v/>
      </c>
      <c r="BD61" s="92" t="str">
        <f t="shared" si="27"/>
        <v/>
      </c>
      <c r="BE61" s="94" t="str">
        <f t="shared" si="28"/>
        <v/>
      </c>
      <c r="BF61" s="95" t="str">
        <f t="shared" si="29"/>
        <v/>
      </c>
      <c r="BG61" s="96" t="str">
        <f t="shared" si="30"/>
        <v/>
      </c>
      <c r="BH61" s="95" t="str">
        <f>IF(ISERR(IF(B61="","",AVERAGE('Q3'!CX67,'Q4'!CX67)*0.1)),"",IF(B61="","",AVERAGE('Q3'!CX67,'Q4'!CX67)*0.1))</f>
        <v/>
      </c>
      <c r="BI61" s="102" t="str">
        <f t="shared" si="31"/>
        <v/>
      </c>
      <c r="BJ61" s="97" t="str">
        <f t="shared" si="32"/>
        <v/>
      </c>
      <c r="BK61" s="98" t="str">
        <f t="shared" si="33"/>
        <v/>
      </c>
      <c r="BL61" s="99" t="str">
        <f t="shared" si="34"/>
        <v/>
      </c>
      <c r="BM61" s="100" t="str">
        <f t="shared" si="35"/>
        <v/>
      </c>
      <c r="BN61" s="99" t="str">
        <f t="shared" si="36"/>
        <v/>
      </c>
      <c r="BO61" s="100" t="str">
        <f t="shared" si="37"/>
        <v/>
      </c>
      <c r="BP61" s="99" t="str">
        <f t="shared" si="38"/>
        <v/>
      </c>
      <c r="BQ61" s="100" t="str">
        <f t="shared" si="39"/>
        <v/>
      </c>
      <c r="BR61" s="99" t="str">
        <f t="shared" si="40"/>
        <v/>
      </c>
      <c r="BS61" s="100" t="str">
        <f t="shared" si="41"/>
        <v/>
      </c>
      <c r="BT61" s="99" t="str">
        <f t="shared" si="42"/>
        <v/>
      </c>
      <c r="BU61" s="100" t="str">
        <f t="shared" si="43"/>
        <v/>
      </c>
      <c r="BV61" s="99" t="str">
        <f t="shared" si="44"/>
        <v/>
      </c>
      <c r="BW61" s="100" t="str">
        <f t="shared" si="45"/>
        <v/>
      </c>
      <c r="BX61" s="99" t="str">
        <f t="shared" si="46"/>
        <v/>
      </c>
      <c r="BY61" s="100" t="str">
        <f t="shared" si="47"/>
        <v/>
      </c>
      <c r="BZ61" s="99" t="str">
        <f t="shared" si="48"/>
        <v/>
      </c>
      <c r="CA61" s="101" t="str">
        <f>IF(B61="","",SUM(#REF!))</f>
        <v/>
      </c>
    </row>
    <row r="62" spans="1:79" ht="24.5" x14ac:dyDescent="0.35">
      <c r="A62" s="90" t="str">
        <f>IF('Q4'!A68="","",'Q4'!A68)</f>
        <v/>
      </c>
      <c r="B62" s="90" t="str">
        <f>IF('Q4'!B68="","",'Q4'!B68)</f>
        <v/>
      </c>
      <c r="C62" s="107" t="str">
        <f>IF('Q4'!C68="","",'Q4'!C68)</f>
        <v/>
      </c>
      <c r="D62" s="90"/>
      <c r="E62" s="90" t="str">
        <f>IF('Q4'!E68="","",'Q4'!E68)</f>
        <v/>
      </c>
      <c r="F62" s="90" t="str">
        <f>IF('Q4'!F68="","",'Q4'!F68)</f>
        <v/>
      </c>
      <c r="G62" s="91" t="str">
        <f>IF($B62="","",IF(FinalSem1!#REF!="","",FinalSem1!#REF!*0.1))</f>
        <v/>
      </c>
      <c r="H62" s="92" t="str">
        <f t="shared" si="1"/>
        <v/>
      </c>
      <c r="I62" s="91" t="str">
        <f>IF($B62="","",IF(FinalSem1!#REF!="","",FinalSem1!#REF!*0.1))</f>
        <v/>
      </c>
      <c r="J62" s="92" t="str">
        <f t="shared" si="2"/>
        <v/>
      </c>
      <c r="K62" s="93" t="str">
        <f>IF($B62="","",IF(FinalSem1!#REF!="","",FinalSem1!#REF!*0.1))</f>
        <v/>
      </c>
      <c r="L62" s="92" t="str">
        <f t="shared" si="3"/>
        <v/>
      </c>
      <c r="M62" s="93" t="str">
        <f>IF($B62="","",IF(FinalSem1!#REF!="","",FinalSem1!#REF!*0.1))</f>
        <v/>
      </c>
      <c r="N62" s="92" t="str">
        <f t="shared" si="4"/>
        <v/>
      </c>
      <c r="O62" s="93" t="str">
        <f>IF($B62="","",IF(FinalSem1!#REF!="","",FinalSem1!#REF!*0.1))</f>
        <v/>
      </c>
      <c r="P62" s="92" t="str">
        <f t="shared" si="5"/>
        <v/>
      </c>
      <c r="Q62" s="93" t="str">
        <f>IF($B62="","",IF(FinalSem1!#REF!="","",FinalSem1!#REF!*0.1))</f>
        <v/>
      </c>
      <c r="R62" s="92" t="str">
        <f t="shared" si="6"/>
        <v/>
      </c>
      <c r="S62" s="93" t="str">
        <f>IF($B62="","",IF(FinalSem1!#REF!="","",FinalSem1!#REF!*0.1))</f>
        <v/>
      </c>
      <c r="T62" s="92" t="str">
        <f t="shared" si="7"/>
        <v/>
      </c>
      <c r="U62" s="93" t="str">
        <f>IF($B62="","",IF(FinalSem1!#REF!="","",FinalSem1!#REF!*0.1))</f>
        <v/>
      </c>
      <c r="V62" s="92" t="str">
        <f t="shared" si="8"/>
        <v/>
      </c>
      <c r="W62" s="93" t="str">
        <f>IF($B62="","",IF(FinalSem1!#REF!="","",FinalSem1!#REF!*0.1))</f>
        <v/>
      </c>
      <c r="X62" s="92" t="str">
        <f t="shared" si="9"/>
        <v/>
      </c>
      <c r="Y62" s="93" t="str">
        <f>IF($B62="","",IF(FinalSem1!#REF!="","",FinalSem1!#REF!*0.1))</f>
        <v/>
      </c>
      <c r="Z62" s="92" t="str">
        <f t="shared" si="10"/>
        <v/>
      </c>
      <c r="AA62" s="93" t="str">
        <f>IF(ISERR(IF(B62="","",IF(F62="III",AVERAGE('[1]FINAL SEM1'!Y63:AA63)*0.1,IF(OR(F62="I",F62="II",F62="M",F62="A"),AVERAGE('[1]FINAL SEM1'!Y63:AA63)*0.1)))),"",IF(B62="","",IF(F62="III",AVERAGE('[1]FINAL SEM1'!Y63:AA63)*0.1,IF(OR(F62="I",F62="II",F62="M",F62="A"),AVERAGE('[1]FINAL SEM1'!Y63:AA63)*0.1))))</f>
        <v/>
      </c>
      <c r="AB62" s="92" t="str">
        <f t="shared" si="11"/>
        <v/>
      </c>
      <c r="AC62" s="94" t="str">
        <f t="shared" si="12"/>
        <v/>
      </c>
      <c r="AD62" s="95" t="str">
        <f t="shared" si="13"/>
        <v/>
      </c>
      <c r="AE62" s="96" t="str">
        <f t="shared" si="14"/>
        <v/>
      </c>
      <c r="AF62" s="95" t="str">
        <f>IF(ISERR(IF(B62="","",AVERAGE('Q1'!#REF!,'Q2'!CX52)*0.1)),"",IF(B62="","",AVERAGE('Q1'!#REF!,'Q2'!CX52)*0.1))</f>
        <v/>
      </c>
      <c r="AG62" s="102" t="str">
        <f t="shared" si="15"/>
        <v/>
      </c>
      <c r="AH62" s="97" t="str">
        <f t="shared" si="16"/>
        <v/>
      </c>
      <c r="AI62" s="91" t="str">
        <f>IF(ISERR(IF('[1]FINAL SEM2'!N63="","",'[1]FINAL SEM2'!N63*0.1)),"",IF($B62="","",IF('[1]FINAL SEM2'!N63="","",'[1]FINAL SEM2'!N63*0.1)))</f>
        <v/>
      </c>
      <c r="AJ62" s="92" t="str">
        <f t="shared" si="17"/>
        <v/>
      </c>
      <c r="AK62" s="93" t="str">
        <f>IF($B62="","",IF(FinalSem2!#REF!="","",FinalSem2!#REF!*0.1))</f>
        <v/>
      </c>
      <c r="AL62" s="92" t="str">
        <f t="shared" si="18"/>
        <v/>
      </c>
      <c r="AM62" s="93" t="str">
        <f>IF($B62="","",IF(FinalSem2!#REF!="","",FinalSem2!#REF!*0.1))</f>
        <v/>
      </c>
      <c r="AN62" s="92" t="str">
        <f t="shared" si="19"/>
        <v/>
      </c>
      <c r="AO62" s="93" t="str">
        <f>IF($B62="","",IF(FinalSem2!#REF!="","",FinalSem2!#REF!*0.1))</f>
        <v/>
      </c>
      <c r="AP62" s="92" t="str">
        <f t="shared" si="20"/>
        <v/>
      </c>
      <c r="AQ62" s="93" t="str">
        <f>IF($B62="","",IF(FinalSem2!#REF!="","",FinalSem2!#REF!*0.1))</f>
        <v/>
      </c>
      <c r="AR62" s="92" t="str">
        <f t="shared" si="21"/>
        <v/>
      </c>
      <c r="AS62" s="93" t="str">
        <f>IF($B62="","",IF(FinalSem2!#REF!="","",FinalSem2!#REF!*0.1))</f>
        <v/>
      </c>
      <c r="AT62" s="92" t="str">
        <f t="shared" si="22"/>
        <v/>
      </c>
      <c r="AU62" s="93" t="str">
        <f>IF($B62="","",IF(FinalSem2!#REF!="","",FinalSem2!#REF!*0.1))</f>
        <v/>
      </c>
      <c r="AV62" s="92" t="str">
        <f t="shared" si="23"/>
        <v/>
      </c>
      <c r="AW62" s="93" t="str">
        <f>IF($B62="","",IF(FinalSem2!#REF!="","",FinalSem2!#REF!*0.1))</f>
        <v/>
      </c>
      <c r="AX62" s="92" t="str">
        <f t="shared" si="24"/>
        <v/>
      </c>
      <c r="AY62" s="93" t="str">
        <f>IF($B62="","",IF(FinalSem2!#REF!="","",FinalSem2!#REF!*0.1))</f>
        <v/>
      </c>
      <c r="AZ62" s="92" t="str">
        <f t="shared" si="25"/>
        <v/>
      </c>
      <c r="BA62" s="93" t="str">
        <f>IF($B62="","",IF(FinalSem2!#REF!="","",FinalSem2!#REF!*0.1))</f>
        <v/>
      </c>
      <c r="BB62" s="92" t="str">
        <f t="shared" si="26"/>
        <v/>
      </c>
      <c r="BC62" s="93" t="str">
        <f>IF($B62="","",IF(FinalSem2!#REF!="","",FinalSem2!#REF!*0.1))</f>
        <v/>
      </c>
      <c r="BD62" s="92" t="str">
        <f t="shared" si="27"/>
        <v/>
      </c>
      <c r="BE62" s="94" t="str">
        <f t="shared" si="28"/>
        <v/>
      </c>
      <c r="BF62" s="95" t="str">
        <f t="shared" si="29"/>
        <v/>
      </c>
      <c r="BG62" s="96" t="str">
        <f t="shared" si="30"/>
        <v/>
      </c>
      <c r="BH62" s="95" t="str">
        <f>IF(ISERR(IF(B62="","",AVERAGE('Q3'!CX68,'Q4'!CX68)*0.1)),"",IF(B62="","",AVERAGE('Q3'!CX68,'Q4'!CX68)*0.1))</f>
        <v/>
      </c>
      <c r="BI62" s="102" t="str">
        <f t="shared" si="31"/>
        <v/>
      </c>
      <c r="BJ62" s="97" t="str">
        <f t="shared" si="32"/>
        <v/>
      </c>
      <c r="BK62" s="98" t="str">
        <f t="shared" si="33"/>
        <v/>
      </c>
      <c r="BL62" s="99" t="str">
        <f t="shared" si="34"/>
        <v/>
      </c>
      <c r="BM62" s="100" t="str">
        <f t="shared" si="35"/>
        <v/>
      </c>
      <c r="BN62" s="99" t="str">
        <f t="shared" si="36"/>
        <v/>
      </c>
      <c r="BO62" s="100" t="str">
        <f t="shared" si="37"/>
        <v/>
      </c>
      <c r="BP62" s="99" t="str">
        <f t="shared" si="38"/>
        <v/>
      </c>
      <c r="BQ62" s="100" t="str">
        <f t="shared" si="39"/>
        <v/>
      </c>
      <c r="BR62" s="99" t="str">
        <f t="shared" si="40"/>
        <v/>
      </c>
      <c r="BS62" s="100" t="str">
        <f t="shared" si="41"/>
        <v/>
      </c>
      <c r="BT62" s="99" t="str">
        <f t="shared" si="42"/>
        <v/>
      </c>
      <c r="BU62" s="100" t="str">
        <f t="shared" si="43"/>
        <v/>
      </c>
      <c r="BV62" s="99" t="str">
        <f t="shared" si="44"/>
        <v/>
      </c>
      <c r="BW62" s="100" t="str">
        <f t="shared" si="45"/>
        <v/>
      </c>
      <c r="BX62" s="99" t="str">
        <f t="shared" si="46"/>
        <v/>
      </c>
      <c r="BY62" s="100" t="str">
        <f t="shared" si="47"/>
        <v/>
      </c>
      <c r="BZ62" s="99" t="str">
        <f t="shared" si="48"/>
        <v/>
      </c>
      <c r="CA62" s="101" t="str">
        <f>IF(B62="","",SUM(#REF!))</f>
        <v/>
      </c>
    </row>
    <row r="63" spans="1:79" ht="24.5" x14ac:dyDescent="0.35">
      <c r="A63" s="90" t="str">
        <f>IF('Q4'!A69="","",'Q4'!A69)</f>
        <v/>
      </c>
      <c r="B63" s="90" t="str">
        <f>IF('Q4'!B69="","",'Q4'!B69)</f>
        <v/>
      </c>
      <c r="C63" s="107" t="str">
        <f>IF('Q4'!C69="","",'Q4'!C69)</f>
        <v/>
      </c>
      <c r="D63" s="90"/>
      <c r="E63" s="90" t="str">
        <f>IF('Q4'!E69="","",'Q4'!E69)</f>
        <v/>
      </c>
      <c r="F63" s="90" t="str">
        <f>IF('Q4'!F69="","",'Q4'!F69)</f>
        <v/>
      </c>
      <c r="G63" s="91" t="str">
        <f>IF($B63="","",IF(FinalSem1!#REF!="","",FinalSem1!#REF!*0.1))</f>
        <v/>
      </c>
      <c r="H63" s="92" t="str">
        <f t="shared" si="1"/>
        <v/>
      </c>
      <c r="I63" s="91" t="str">
        <f>IF($B63="","",IF(FinalSem1!#REF!="","",FinalSem1!#REF!*0.1))</f>
        <v/>
      </c>
      <c r="J63" s="92" t="str">
        <f t="shared" si="2"/>
        <v/>
      </c>
      <c r="K63" s="93" t="str">
        <f>IF($B63="","",IF(FinalSem1!#REF!="","",FinalSem1!#REF!*0.1))</f>
        <v/>
      </c>
      <c r="L63" s="92" t="str">
        <f t="shared" si="3"/>
        <v/>
      </c>
      <c r="M63" s="93" t="str">
        <f>IF($B63="","",IF(FinalSem1!#REF!="","",FinalSem1!#REF!*0.1))</f>
        <v/>
      </c>
      <c r="N63" s="92" t="str">
        <f t="shared" si="4"/>
        <v/>
      </c>
      <c r="O63" s="93" t="str">
        <f>IF($B63="","",IF(FinalSem1!#REF!="","",FinalSem1!#REF!*0.1))</f>
        <v/>
      </c>
      <c r="P63" s="92" t="str">
        <f t="shared" si="5"/>
        <v/>
      </c>
      <c r="Q63" s="93" t="str">
        <f>IF($B63="","",IF(FinalSem1!#REF!="","",FinalSem1!#REF!*0.1))</f>
        <v/>
      </c>
      <c r="R63" s="92" t="str">
        <f t="shared" si="6"/>
        <v/>
      </c>
      <c r="S63" s="93" t="str">
        <f>IF($B63="","",IF(FinalSem1!#REF!="","",FinalSem1!#REF!*0.1))</f>
        <v/>
      </c>
      <c r="T63" s="92" t="str">
        <f t="shared" si="7"/>
        <v/>
      </c>
      <c r="U63" s="93" t="str">
        <f>IF($B63="","",IF(FinalSem1!#REF!="","",FinalSem1!#REF!*0.1))</f>
        <v/>
      </c>
      <c r="V63" s="92" t="str">
        <f t="shared" si="8"/>
        <v/>
      </c>
      <c r="W63" s="93" t="str">
        <f>IF($B63="","",IF(FinalSem1!#REF!="","",FinalSem1!#REF!*0.1))</f>
        <v/>
      </c>
      <c r="X63" s="92" t="str">
        <f t="shared" si="9"/>
        <v/>
      </c>
      <c r="Y63" s="93" t="str">
        <f>IF($B63="","",IF(FinalSem1!#REF!="","",FinalSem1!#REF!*0.1))</f>
        <v/>
      </c>
      <c r="Z63" s="92" t="str">
        <f t="shared" si="10"/>
        <v/>
      </c>
      <c r="AA63" s="93" t="str">
        <f>IF(ISERR(IF(B63="","",IF(F63="III",AVERAGE('[1]FINAL SEM1'!Y64:AA64)*0.1,IF(OR(F63="I",F63="II",F63="M",F63="A"),AVERAGE('[1]FINAL SEM1'!Y64:AA64)*0.1)))),"",IF(B63="","",IF(F63="III",AVERAGE('[1]FINAL SEM1'!Y64:AA64)*0.1,IF(OR(F63="I",F63="II",F63="M",F63="A"),AVERAGE('[1]FINAL SEM1'!Y64:AA64)*0.1))))</f>
        <v/>
      </c>
      <c r="AB63" s="92" t="str">
        <f t="shared" si="11"/>
        <v/>
      </c>
      <c r="AC63" s="94" t="str">
        <f t="shared" si="12"/>
        <v/>
      </c>
      <c r="AD63" s="95" t="str">
        <f t="shared" si="13"/>
        <v/>
      </c>
      <c r="AE63" s="96" t="str">
        <f t="shared" si="14"/>
        <v/>
      </c>
      <c r="AF63" s="95" t="str">
        <f>IF(ISERR(IF(B63="","",AVERAGE('Q1'!#REF!,'Q2'!CX53)*0.1)),"",IF(B63="","",AVERAGE('Q1'!#REF!,'Q2'!CX53)*0.1))</f>
        <v/>
      </c>
      <c r="AG63" s="102" t="str">
        <f t="shared" si="15"/>
        <v/>
      </c>
      <c r="AH63" s="97" t="str">
        <f t="shared" si="16"/>
        <v/>
      </c>
      <c r="AI63" s="91" t="str">
        <f>IF(ISERR(IF('[1]FINAL SEM2'!N64="","",'[1]FINAL SEM2'!N64*0.1)),"",IF($B63="","",IF('[1]FINAL SEM2'!N64="","",'[1]FINAL SEM2'!N64*0.1)))</f>
        <v/>
      </c>
      <c r="AJ63" s="92" t="str">
        <f t="shared" si="17"/>
        <v/>
      </c>
      <c r="AK63" s="93" t="str">
        <f>IF($B63="","",IF(FinalSem2!#REF!="","",FinalSem2!#REF!*0.1))</f>
        <v/>
      </c>
      <c r="AL63" s="92" t="str">
        <f t="shared" si="18"/>
        <v/>
      </c>
      <c r="AM63" s="93" t="str">
        <f>IF($B63="","",IF(FinalSem2!#REF!="","",FinalSem2!#REF!*0.1))</f>
        <v/>
      </c>
      <c r="AN63" s="92" t="str">
        <f t="shared" si="19"/>
        <v/>
      </c>
      <c r="AO63" s="93" t="str">
        <f>IF($B63="","",IF(FinalSem2!#REF!="","",FinalSem2!#REF!*0.1))</f>
        <v/>
      </c>
      <c r="AP63" s="92" t="str">
        <f t="shared" si="20"/>
        <v/>
      </c>
      <c r="AQ63" s="93" t="str">
        <f>IF($B63="","",IF(FinalSem2!#REF!="","",FinalSem2!#REF!*0.1))</f>
        <v/>
      </c>
      <c r="AR63" s="92" t="str">
        <f t="shared" si="21"/>
        <v/>
      </c>
      <c r="AS63" s="93" t="str">
        <f>IF($B63="","",IF(FinalSem2!#REF!="","",FinalSem2!#REF!*0.1))</f>
        <v/>
      </c>
      <c r="AT63" s="92" t="str">
        <f t="shared" si="22"/>
        <v/>
      </c>
      <c r="AU63" s="93" t="str">
        <f>IF($B63="","",IF(FinalSem2!#REF!="","",FinalSem2!#REF!*0.1))</f>
        <v/>
      </c>
      <c r="AV63" s="92" t="str">
        <f t="shared" si="23"/>
        <v/>
      </c>
      <c r="AW63" s="93" t="str">
        <f>IF($B63="","",IF(FinalSem2!#REF!="","",FinalSem2!#REF!*0.1))</f>
        <v/>
      </c>
      <c r="AX63" s="92" t="str">
        <f t="shared" si="24"/>
        <v/>
      </c>
      <c r="AY63" s="93" t="str">
        <f>IF($B63="","",IF(FinalSem2!#REF!="","",FinalSem2!#REF!*0.1))</f>
        <v/>
      </c>
      <c r="AZ63" s="92" t="str">
        <f t="shared" si="25"/>
        <v/>
      </c>
      <c r="BA63" s="93" t="str">
        <f>IF($B63="","",IF(FinalSem2!#REF!="","",FinalSem2!#REF!*0.1))</f>
        <v/>
      </c>
      <c r="BB63" s="92" t="str">
        <f t="shared" si="26"/>
        <v/>
      </c>
      <c r="BC63" s="93" t="str">
        <f>IF($B63="","",IF(FinalSem2!#REF!="","",FinalSem2!#REF!*0.1))</f>
        <v/>
      </c>
      <c r="BD63" s="92" t="str">
        <f t="shared" si="27"/>
        <v/>
      </c>
      <c r="BE63" s="94" t="str">
        <f t="shared" si="28"/>
        <v/>
      </c>
      <c r="BF63" s="95" t="str">
        <f t="shared" si="29"/>
        <v/>
      </c>
      <c r="BG63" s="96" t="str">
        <f t="shared" si="30"/>
        <v/>
      </c>
      <c r="BH63" s="95" t="str">
        <f>IF(ISERR(IF(B63="","",AVERAGE('Q3'!CX69,'Q4'!CX69)*0.1)),"",IF(B63="","",AVERAGE('Q3'!CX69,'Q4'!CX69)*0.1))</f>
        <v/>
      </c>
      <c r="BI63" s="102" t="str">
        <f t="shared" si="31"/>
        <v/>
      </c>
      <c r="BJ63" s="97" t="str">
        <f t="shared" si="32"/>
        <v/>
      </c>
      <c r="BK63" s="98" t="str">
        <f t="shared" si="33"/>
        <v/>
      </c>
      <c r="BL63" s="99" t="str">
        <f t="shared" si="34"/>
        <v/>
      </c>
      <c r="BM63" s="100" t="str">
        <f t="shared" si="35"/>
        <v/>
      </c>
      <c r="BN63" s="99" t="str">
        <f t="shared" si="36"/>
        <v/>
      </c>
      <c r="BO63" s="100" t="str">
        <f t="shared" si="37"/>
        <v/>
      </c>
      <c r="BP63" s="99" t="str">
        <f t="shared" si="38"/>
        <v/>
      </c>
      <c r="BQ63" s="100" t="str">
        <f t="shared" si="39"/>
        <v/>
      </c>
      <c r="BR63" s="99" t="str">
        <f t="shared" si="40"/>
        <v/>
      </c>
      <c r="BS63" s="100" t="str">
        <f t="shared" si="41"/>
        <v/>
      </c>
      <c r="BT63" s="99" t="str">
        <f t="shared" si="42"/>
        <v/>
      </c>
      <c r="BU63" s="100" t="str">
        <f t="shared" si="43"/>
        <v/>
      </c>
      <c r="BV63" s="99" t="str">
        <f t="shared" si="44"/>
        <v/>
      </c>
      <c r="BW63" s="100" t="str">
        <f t="shared" si="45"/>
        <v/>
      </c>
      <c r="BX63" s="99" t="str">
        <f t="shared" si="46"/>
        <v/>
      </c>
      <c r="BY63" s="100" t="str">
        <f t="shared" si="47"/>
        <v/>
      </c>
      <c r="BZ63" s="99" t="str">
        <f t="shared" si="48"/>
        <v/>
      </c>
      <c r="CA63" s="101" t="str">
        <f>IF(B63="","",SUM(#REF!))</f>
        <v/>
      </c>
    </row>
    <row r="64" spans="1:79" ht="24.5" x14ac:dyDescent="0.35">
      <c r="A64" s="90" t="str">
        <f>IF('Q4'!A70="","",'Q4'!A70)</f>
        <v/>
      </c>
      <c r="B64" s="90" t="str">
        <f>IF('Q4'!B70="","",'Q4'!B70)</f>
        <v/>
      </c>
      <c r="C64" s="107" t="str">
        <f>IF('Q4'!C70="","",'Q4'!C70)</f>
        <v/>
      </c>
      <c r="D64" s="90"/>
      <c r="E64" s="90" t="str">
        <f>IF('Q4'!E70="","",'Q4'!E70)</f>
        <v/>
      </c>
      <c r="F64" s="90" t="str">
        <f>IF('Q4'!F70="","",'Q4'!F70)</f>
        <v/>
      </c>
      <c r="G64" s="91" t="str">
        <f>IF($B64="","",IF(FinalSem1!#REF!="","",FinalSem1!#REF!*0.1))</f>
        <v/>
      </c>
      <c r="H64" s="92" t="str">
        <f t="shared" si="1"/>
        <v/>
      </c>
      <c r="I64" s="91" t="str">
        <f>IF($B64="","",IF(FinalSem1!#REF!="","",FinalSem1!#REF!*0.1))</f>
        <v/>
      </c>
      <c r="J64" s="92" t="str">
        <f t="shared" si="2"/>
        <v/>
      </c>
      <c r="K64" s="93" t="str">
        <f>IF($B64="","",IF(FinalSem1!#REF!="","",FinalSem1!#REF!*0.1))</f>
        <v/>
      </c>
      <c r="L64" s="92" t="str">
        <f t="shared" si="3"/>
        <v/>
      </c>
      <c r="M64" s="93" t="str">
        <f>IF($B64="","",IF(FinalSem1!#REF!="","",FinalSem1!#REF!*0.1))</f>
        <v/>
      </c>
      <c r="N64" s="92" t="str">
        <f t="shared" si="4"/>
        <v/>
      </c>
      <c r="O64" s="93" t="str">
        <f>IF($B64="","",IF(FinalSem1!#REF!="","",FinalSem1!#REF!*0.1))</f>
        <v/>
      </c>
      <c r="P64" s="92" t="str">
        <f t="shared" si="5"/>
        <v/>
      </c>
      <c r="Q64" s="93" t="str">
        <f>IF($B64="","",IF(FinalSem1!#REF!="","",FinalSem1!#REF!*0.1))</f>
        <v/>
      </c>
      <c r="R64" s="92" t="str">
        <f t="shared" si="6"/>
        <v/>
      </c>
      <c r="S64" s="93" t="str">
        <f>IF($B64="","",IF(FinalSem1!#REF!="","",FinalSem1!#REF!*0.1))</f>
        <v/>
      </c>
      <c r="T64" s="92" t="str">
        <f t="shared" si="7"/>
        <v/>
      </c>
      <c r="U64" s="93" t="str">
        <f>IF($B64="","",IF(FinalSem1!#REF!="","",FinalSem1!#REF!*0.1))</f>
        <v/>
      </c>
      <c r="V64" s="92" t="str">
        <f t="shared" si="8"/>
        <v/>
      </c>
      <c r="W64" s="93" t="str">
        <f>IF($B64="","",IF(FinalSem1!#REF!="","",FinalSem1!#REF!*0.1))</f>
        <v/>
      </c>
      <c r="X64" s="92" t="str">
        <f t="shared" si="9"/>
        <v/>
      </c>
      <c r="Y64" s="93" t="str">
        <f>IF($B64="","",IF(FinalSem1!#REF!="","",FinalSem1!#REF!*0.1))</f>
        <v/>
      </c>
      <c r="Z64" s="92" t="str">
        <f t="shared" si="10"/>
        <v/>
      </c>
      <c r="AA64" s="93" t="str">
        <f>IF(ISERR(IF(B64="","",IF(F64="III",AVERAGE('[1]FINAL SEM1'!Y65:AA65)*0.1,IF(OR(F64="I",F64="II",F64="M",F64="A"),AVERAGE('[1]FINAL SEM1'!Y65:AA65)*0.1)))),"",IF(B64="","",IF(F64="III",AVERAGE('[1]FINAL SEM1'!Y65:AA65)*0.1,IF(OR(F64="I",F64="II",F64="M",F64="A"),AVERAGE('[1]FINAL SEM1'!Y65:AA65)*0.1))))</f>
        <v/>
      </c>
      <c r="AB64" s="92" t="str">
        <f t="shared" si="11"/>
        <v/>
      </c>
      <c r="AC64" s="94" t="str">
        <f t="shared" si="12"/>
        <v/>
      </c>
      <c r="AD64" s="95" t="str">
        <f t="shared" si="13"/>
        <v/>
      </c>
      <c r="AE64" s="96" t="str">
        <f t="shared" si="14"/>
        <v/>
      </c>
      <c r="AF64" s="95" t="str">
        <f>IF(ISERR(IF(B64="","",AVERAGE('Q1'!#REF!,'Q2'!CX54)*0.1)),"",IF(B64="","",AVERAGE('Q1'!#REF!,'Q2'!CX54)*0.1))</f>
        <v/>
      </c>
      <c r="AG64" s="102" t="str">
        <f t="shared" si="15"/>
        <v/>
      </c>
      <c r="AH64" s="97" t="str">
        <f t="shared" si="16"/>
        <v/>
      </c>
      <c r="AI64" s="91" t="str">
        <f>IF(ISERR(IF('[1]FINAL SEM2'!N65="","",'[1]FINAL SEM2'!N65*0.1)),"",IF($B64="","",IF('[1]FINAL SEM2'!N65="","",'[1]FINAL SEM2'!N65*0.1)))</f>
        <v/>
      </c>
      <c r="AJ64" s="92" t="str">
        <f t="shared" si="17"/>
        <v/>
      </c>
      <c r="AK64" s="93" t="str">
        <f>IF($B64="","",IF(FinalSem2!#REF!="","",FinalSem2!#REF!*0.1))</f>
        <v/>
      </c>
      <c r="AL64" s="92" t="str">
        <f t="shared" si="18"/>
        <v/>
      </c>
      <c r="AM64" s="93" t="str">
        <f>IF($B64="","",IF(FinalSem2!#REF!="","",FinalSem2!#REF!*0.1))</f>
        <v/>
      </c>
      <c r="AN64" s="92" t="str">
        <f t="shared" si="19"/>
        <v/>
      </c>
      <c r="AO64" s="93" t="str">
        <f>IF($B64="","",IF(FinalSem2!#REF!="","",FinalSem2!#REF!*0.1))</f>
        <v/>
      </c>
      <c r="AP64" s="92" t="str">
        <f t="shared" si="20"/>
        <v/>
      </c>
      <c r="AQ64" s="93" t="str">
        <f>IF($B64="","",IF(FinalSem2!#REF!="","",FinalSem2!#REF!*0.1))</f>
        <v/>
      </c>
      <c r="AR64" s="92" t="str">
        <f t="shared" si="21"/>
        <v/>
      </c>
      <c r="AS64" s="93" t="str">
        <f>IF($B64="","",IF(FinalSem2!#REF!="","",FinalSem2!#REF!*0.1))</f>
        <v/>
      </c>
      <c r="AT64" s="92" t="str">
        <f t="shared" si="22"/>
        <v/>
      </c>
      <c r="AU64" s="93" t="str">
        <f>IF($B64="","",IF(FinalSem2!#REF!="","",FinalSem2!#REF!*0.1))</f>
        <v/>
      </c>
      <c r="AV64" s="92" t="str">
        <f t="shared" si="23"/>
        <v/>
      </c>
      <c r="AW64" s="93" t="str">
        <f>IF($B64="","",IF(FinalSem2!#REF!="","",FinalSem2!#REF!*0.1))</f>
        <v/>
      </c>
      <c r="AX64" s="92" t="str">
        <f t="shared" si="24"/>
        <v/>
      </c>
      <c r="AY64" s="93" t="str">
        <f>IF($B64="","",IF(FinalSem2!#REF!="","",FinalSem2!#REF!*0.1))</f>
        <v/>
      </c>
      <c r="AZ64" s="92" t="str">
        <f t="shared" si="25"/>
        <v/>
      </c>
      <c r="BA64" s="93" t="str">
        <f>IF($B64="","",IF(FinalSem2!#REF!="","",FinalSem2!#REF!*0.1))</f>
        <v/>
      </c>
      <c r="BB64" s="92" t="str">
        <f t="shared" si="26"/>
        <v/>
      </c>
      <c r="BC64" s="93" t="str">
        <f>IF($B64="","",IF(FinalSem2!#REF!="","",FinalSem2!#REF!*0.1))</f>
        <v/>
      </c>
      <c r="BD64" s="92" t="str">
        <f t="shared" si="27"/>
        <v/>
      </c>
      <c r="BE64" s="94" t="str">
        <f t="shared" si="28"/>
        <v/>
      </c>
      <c r="BF64" s="95" t="str">
        <f t="shared" si="29"/>
        <v/>
      </c>
      <c r="BG64" s="96" t="str">
        <f t="shared" si="30"/>
        <v/>
      </c>
      <c r="BH64" s="95" t="str">
        <f>IF(ISERR(IF(B64="","",AVERAGE('Q3'!CX70,'Q4'!CX70)*0.1)),"",IF(B64="","",AVERAGE('Q3'!CX70,'Q4'!CX70)*0.1))</f>
        <v/>
      </c>
      <c r="BI64" s="102" t="str">
        <f t="shared" si="31"/>
        <v/>
      </c>
      <c r="BJ64" s="97" t="str">
        <f t="shared" si="32"/>
        <v/>
      </c>
      <c r="BK64" s="98" t="str">
        <f t="shared" si="33"/>
        <v/>
      </c>
      <c r="BL64" s="99" t="str">
        <f t="shared" si="34"/>
        <v/>
      </c>
      <c r="BM64" s="100" t="str">
        <f t="shared" si="35"/>
        <v/>
      </c>
      <c r="BN64" s="99" t="str">
        <f t="shared" si="36"/>
        <v/>
      </c>
      <c r="BO64" s="100" t="str">
        <f t="shared" si="37"/>
        <v/>
      </c>
      <c r="BP64" s="99" t="str">
        <f t="shared" si="38"/>
        <v/>
      </c>
      <c r="BQ64" s="100" t="str">
        <f t="shared" si="39"/>
        <v/>
      </c>
      <c r="BR64" s="99" t="str">
        <f t="shared" si="40"/>
        <v/>
      </c>
      <c r="BS64" s="100" t="str">
        <f t="shared" si="41"/>
        <v/>
      </c>
      <c r="BT64" s="99" t="str">
        <f t="shared" si="42"/>
        <v/>
      </c>
      <c r="BU64" s="100" t="str">
        <f t="shared" si="43"/>
        <v/>
      </c>
      <c r="BV64" s="99" t="str">
        <f t="shared" si="44"/>
        <v/>
      </c>
      <c r="BW64" s="100" t="str">
        <f t="shared" si="45"/>
        <v/>
      </c>
      <c r="BX64" s="99" t="str">
        <f t="shared" si="46"/>
        <v/>
      </c>
      <c r="BY64" s="100" t="str">
        <f t="shared" si="47"/>
        <v/>
      </c>
      <c r="BZ64" s="99" t="str">
        <f t="shared" si="48"/>
        <v/>
      </c>
      <c r="CA64" s="101" t="str">
        <f>IF(B64="","",SUM(#REF!))</f>
        <v/>
      </c>
    </row>
    <row r="65" spans="1:79" ht="24.5" x14ac:dyDescent="0.35">
      <c r="A65" s="90" t="str">
        <f>IF('Q4'!A71="","",'Q4'!A71)</f>
        <v/>
      </c>
      <c r="B65" s="90" t="str">
        <f>IF('Q4'!B71="","",'Q4'!B71)</f>
        <v/>
      </c>
      <c r="C65" s="107" t="str">
        <f>IF('Q4'!C71="","",'Q4'!C71)</f>
        <v/>
      </c>
      <c r="D65" s="90"/>
      <c r="E65" s="90" t="str">
        <f>IF('Q4'!E71="","",'Q4'!E71)</f>
        <v/>
      </c>
      <c r="F65" s="90" t="str">
        <f>IF('Q4'!F71="","",'Q4'!F71)</f>
        <v/>
      </c>
      <c r="G65" s="91" t="str">
        <f>IF($B65="","",IF(FinalSem1!#REF!="","",FinalSem1!#REF!*0.1))</f>
        <v/>
      </c>
      <c r="H65" s="92" t="str">
        <f t="shared" si="1"/>
        <v/>
      </c>
      <c r="I65" s="91" t="str">
        <f>IF($B65="","",IF(FinalSem1!#REF!="","",FinalSem1!#REF!*0.1))</f>
        <v/>
      </c>
      <c r="J65" s="92" t="str">
        <f t="shared" si="2"/>
        <v/>
      </c>
      <c r="K65" s="93" t="str">
        <f>IF($B65="","",IF(FinalSem1!#REF!="","",FinalSem1!#REF!*0.1))</f>
        <v/>
      </c>
      <c r="L65" s="92" t="str">
        <f t="shared" si="3"/>
        <v/>
      </c>
      <c r="M65" s="93" t="str">
        <f>IF($B65="","",IF(FinalSem1!#REF!="","",FinalSem1!#REF!*0.1))</f>
        <v/>
      </c>
      <c r="N65" s="92" t="str">
        <f t="shared" si="4"/>
        <v/>
      </c>
      <c r="O65" s="93" t="str">
        <f>IF($B65="","",IF(FinalSem1!#REF!="","",FinalSem1!#REF!*0.1))</f>
        <v/>
      </c>
      <c r="P65" s="92" t="str">
        <f t="shared" si="5"/>
        <v/>
      </c>
      <c r="Q65" s="93" t="str">
        <f>IF($B65="","",IF(FinalSem1!#REF!="","",FinalSem1!#REF!*0.1))</f>
        <v/>
      </c>
      <c r="R65" s="92" t="str">
        <f t="shared" si="6"/>
        <v/>
      </c>
      <c r="S65" s="93" t="str">
        <f>IF($B65="","",IF(FinalSem1!#REF!="","",FinalSem1!#REF!*0.1))</f>
        <v/>
      </c>
      <c r="T65" s="92" t="str">
        <f t="shared" si="7"/>
        <v/>
      </c>
      <c r="U65" s="93" t="str">
        <f>IF($B65="","",IF(FinalSem1!#REF!="","",FinalSem1!#REF!*0.1))</f>
        <v/>
      </c>
      <c r="V65" s="92" t="str">
        <f t="shared" si="8"/>
        <v/>
      </c>
      <c r="W65" s="93" t="str">
        <f>IF($B65="","",IF(FinalSem1!#REF!="","",FinalSem1!#REF!*0.1))</f>
        <v/>
      </c>
      <c r="X65" s="92" t="str">
        <f t="shared" si="9"/>
        <v/>
      </c>
      <c r="Y65" s="93" t="str">
        <f>IF($B65="","",IF(FinalSem1!#REF!="","",FinalSem1!#REF!*0.1))</f>
        <v/>
      </c>
      <c r="Z65" s="92" t="str">
        <f t="shared" si="10"/>
        <v/>
      </c>
      <c r="AA65" s="93" t="str">
        <f>IF(ISERR(IF(B65="","",IF(F65="III",AVERAGE('[1]FINAL SEM1'!Y66:AA66)*0.1,IF(OR(F65="I",F65="II",F65="M",F65="A"),AVERAGE('[1]FINAL SEM1'!Y66:AA66)*0.1)))),"",IF(B65="","",IF(F65="III",AVERAGE('[1]FINAL SEM1'!Y66:AA66)*0.1,IF(OR(F65="I",F65="II",F65="M",F65="A"),AVERAGE('[1]FINAL SEM1'!Y66:AA66)*0.1))))</f>
        <v/>
      </c>
      <c r="AB65" s="92" t="str">
        <f t="shared" si="11"/>
        <v/>
      </c>
      <c r="AC65" s="94" t="str">
        <f t="shared" si="12"/>
        <v/>
      </c>
      <c r="AD65" s="95" t="str">
        <f t="shared" si="13"/>
        <v/>
      </c>
      <c r="AE65" s="96" t="str">
        <f t="shared" si="14"/>
        <v/>
      </c>
      <c r="AF65" s="95" t="str">
        <f>IF(ISERR(IF(B65="","",AVERAGE('Q1'!#REF!,'Q2'!CX55)*0.1)),"",IF(B65="","",AVERAGE('Q1'!#REF!,'Q2'!CX55)*0.1))</f>
        <v/>
      </c>
      <c r="AG65" s="102" t="str">
        <f t="shared" si="15"/>
        <v/>
      </c>
      <c r="AH65" s="97" t="str">
        <f t="shared" si="16"/>
        <v/>
      </c>
      <c r="AI65" s="91" t="str">
        <f>IF(ISERR(IF('[1]FINAL SEM2'!N66="","",'[1]FINAL SEM2'!N66*0.1)),"",IF($B65="","",IF('[1]FINAL SEM2'!N66="","",'[1]FINAL SEM2'!N66*0.1)))</f>
        <v/>
      </c>
      <c r="AJ65" s="92" t="str">
        <f t="shared" si="17"/>
        <v/>
      </c>
      <c r="AK65" s="93" t="str">
        <f>IF($B65="","",IF(FinalSem2!#REF!="","",FinalSem2!#REF!*0.1))</f>
        <v/>
      </c>
      <c r="AL65" s="92" t="str">
        <f t="shared" si="18"/>
        <v/>
      </c>
      <c r="AM65" s="93" t="str">
        <f>IF($B65="","",IF(FinalSem2!#REF!="","",FinalSem2!#REF!*0.1))</f>
        <v/>
      </c>
      <c r="AN65" s="92" t="str">
        <f t="shared" si="19"/>
        <v/>
      </c>
      <c r="AO65" s="93" t="str">
        <f>IF($B65="","",IF(FinalSem2!#REF!="","",FinalSem2!#REF!*0.1))</f>
        <v/>
      </c>
      <c r="AP65" s="92" t="str">
        <f t="shared" si="20"/>
        <v/>
      </c>
      <c r="AQ65" s="93" t="str">
        <f>IF($B65="","",IF(FinalSem2!#REF!="","",FinalSem2!#REF!*0.1))</f>
        <v/>
      </c>
      <c r="AR65" s="92" t="str">
        <f t="shared" si="21"/>
        <v/>
      </c>
      <c r="AS65" s="93" t="str">
        <f>IF($B65="","",IF(FinalSem2!#REF!="","",FinalSem2!#REF!*0.1))</f>
        <v/>
      </c>
      <c r="AT65" s="92" t="str">
        <f t="shared" si="22"/>
        <v/>
      </c>
      <c r="AU65" s="93" t="str">
        <f>IF($B65="","",IF(FinalSem2!#REF!="","",FinalSem2!#REF!*0.1))</f>
        <v/>
      </c>
      <c r="AV65" s="92" t="str">
        <f t="shared" si="23"/>
        <v/>
      </c>
      <c r="AW65" s="93" t="str">
        <f>IF($B65="","",IF(FinalSem2!#REF!="","",FinalSem2!#REF!*0.1))</f>
        <v/>
      </c>
      <c r="AX65" s="92" t="str">
        <f t="shared" si="24"/>
        <v/>
      </c>
      <c r="AY65" s="93" t="str">
        <f>IF($B65="","",IF(FinalSem2!#REF!="","",FinalSem2!#REF!*0.1))</f>
        <v/>
      </c>
      <c r="AZ65" s="92" t="str">
        <f t="shared" si="25"/>
        <v/>
      </c>
      <c r="BA65" s="93" t="str">
        <f>IF($B65="","",IF(FinalSem2!#REF!="","",FinalSem2!#REF!*0.1))</f>
        <v/>
      </c>
      <c r="BB65" s="92" t="str">
        <f t="shared" si="26"/>
        <v/>
      </c>
      <c r="BC65" s="93" t="str">
        <f>IF($B65="","",IF(FinalSem2!#REF!="","",FinalSem2!#REF!*0.1))</f>
        <v/>
      </c>
      <c r="BD65" s="92" t="str">
        <f t="shared" si="27"/>
        <v/>
      </c>
      <c r="BE65" s="94" t="str">
        <f t="shared" si="28"/>
        <v/>
      </c>
      <c r="BF65" s="95" t="str">
        <f t="shared" si="29"/>
        <v/>
      </c>
      <c r="BG65" s="96" t="str">
        <f t="shared" si="30"/>
        <v/>
      </c>
      <c r="BH65" s="95" t="str">
        <f>IF(ISERR(IF(B65="","",AVERAGE('Q3'!CX71,'Q4'!CX71)*0.1)),"",IF(B65="","",AVERAGE('Q3'!CX71,'Q4'!CX71)*0.1))</f>
        <v/>
      </c>
      <c r="BI65" s="102" t="str">
        <f t="shared" si="31"/>
        <v/>
      </c>
      <c r="BJ65" s="97" t="str">
        <f t="shared" si="32"/>
        <v/>
      </c>
      <c r="BK65" s="98" t="str">
        <f t="shared" si="33"/>
        <v/>
      </c>
      <c r="BL65" s="99" t="str">
        <f t="shared" si="34"/>
        <v/>
      </c>
      <c r="BM65" s="100" t="str">
        <f t="shared" si="35"/>
        <v/>
      </c>
      <c r="BN65" s="99" t="str">
        <f t="shared" si="36"/>
        <v/>
      </c>
      <c r="BO65" s="100" t="str">
        <f t="shared" si="37"/>
        <v/>
      </c>
      <c r="BP65" s="99" t="str">
        <f t="shared" si="38"/>
        <v/>
      </c>
      <c r="BQ65" s="100" t="str">
        <f t="shared" si="39"/>
        <v/>
      </c>
      <c r="BR65" s="99" t="str">
        <f t="shared" si="40"/>
        <v/>
      </c>
      <c r="BS65" s="100" t="str">
        <f t="shared" si="41"/>
        <v/>
      </c>
      <c r="BT65" s="99" t="str">
        <f t="shared" si="42"/>
        <v/>
      </c>
      <c r="BU65" s="100" t="str">
        <f t="shared" si="43"/>
        <v/>
      </c>
      <c r="BV65" s="99" t="str">
        <f t="shared" si="44"/>
        <v/>
      </c>
      <c r="BW65" s="100" t="str">
        <f t="shared" si="45"/>
        <v/>
      </c>
      <c r="BX65" s="99" t="str">
        <f t="shared" si="46"/>
        <v/>
      </c>
      <c r="BY65" s="100" t="str">
        <f t="shared" si="47"/>
        <v/>
      </c>
      <c r="BZ65" s="99" t="str">
        <f t="shared" si="48"/>
        <v/>
      </c>
      <c r="CA65" s="101" t="str">
        <f>IF(B65="","",SUM(#REF!))</f>
        <v/>
      </c>
    </row>
    <row r="66" spans="1:79" ht="24.5" x14ac:dyDescent="0.35">
      <c r="A66" s="90" t="str">
        <f>IF('Q4'!A72="","",'Q4'!A72)</f>
        <v/>
      </c>
      <c r="B66" s="90" t="str">
        <f>IF('Q4'!B72="","",'Q4'!B72)</f>
        <v/>
      </c>
      <c r="C66" s="107" t="str">
        <f>IF('Q4'!C72="","",'Q4'!C72)</f>
        <v/>
      </c>
      <c r="D66" s="90"/>
      <c r="E66" s="90" t="str">
        <f>IF('Q4'!E72="","",'Q4'!E72)</f>
        <v/>
      </c>
      <c r="F66" s="90" t="str">
        <f>IF('Q4'!F72="","",'Q4'!F72)</f>
        <v/>
      </c>
      <c r="G66" s="91" t="str">
        <f>IF($B66="","",IF(FinalSem1!#REF!="","",FinalSem1!#REF!*0.1))</f>
        <v/>
      </c>
      <c r="H66" s="92" t="str">
        <f t="shared" si="1"/>
        <v/>
      </c>
      <c r="I66" s="91" t="str">
        <f>IF($B66="","",IF(FinalSem1!#REF!="","",FinalSem1!#REF!*0.1))</f>
        <v/>
      </c>
      <c r="J66" s="92" t="str">
        <f t="shared" si="2"/>
        <v/>
      </c>
      <c r="K66" s="93" t="str">
        <f>IF($B66="","",IF(FinalSem1!#REF!="","",FinalSem1!#REF!*0.1))</f>
        <v/>
      </c>
      <c r="L66" s="92" t="str">
        <f t="shared" si="3"/>
        <v/>
      </c>
      <c r="M66" s="93" t="str">
        <f>IF($B66="","",IF(FinalSem1!#REF!="","",FinalSem1!#REF!*0.1))</f>
        <v/>
      </c>
      <c r="N66" s="92" t="str">
        <f t="shared" si="4"/>
        <v/>
      </c>
      <c r="O66" s="93" t="str">
        <f>IF($B66="","",IF(FinalSem1!#REF!="","",FinalSem1!#REF!*0.1))</f>
        <v/>
      </c>
      <c r="P66" s="92" t="str">
        <f t="shared" si="5"/>
        <v/>
      </c>
      <c r="Q66" s="93" t="str">
        <f>IF($B66="","",IF(FinalSem1!#REF!="","",FinalSem1!#REF!*0.1))</f>
        <v/>
      </c>
      <c r="R66" s="92" t="str">
        <f t="shared" si="6"/>
        <v/>
      </c>
      <c r="S66" s="93" t="str">
        <f>IF($B66="","",IF(FinalSem1!#REF!="","",FinalSem1!#REF!*0.1))</f>
        <v/>
      </c>
      <c r="T66" s="92" t="str">
        <f t="shared" si="7"/>
        <v/>
      </c>
      <c r="U66" s="93" t="str">
        <f>IF($B66="","",IF(FinalSem1!#REF!="","",FinalSem1!#REF!*0.1))</f>
        <v/>
      </c>
      <c r="V66" s="92" t="str">
        <f t="shared" si="8"/>
        <v/>
      </c>
      <c r="W66" s="93" t="str">
        <f>IF($B66="","",IF(FinalSem1!#REF!="","",FinalSem1!#REF!*0.1))</f>
        <v/>
      </c>
      <c r="X66" s="92" t="str">
        <f t="shared" si="9"/>
        <v/>
      </c>
      <c r="Y66" s="93" t="str">
        <f>IF($B66="","",IF(FinalSem1!#REF!="","",FinalSem1!#REF!*0.1))</f>
        <v/>
      </c>
      <c r="Z66" s="92" t="str">
        <f t="shared" si="10"/>
        <v/>
      </c>
      <c r="AA66" s="93" t="str">
        <f>IF(ISERR(IF(B66="","",IF(F66="III",AVERAGE('[1]FINAL SEM1'!Y67:AA67)*0.1,IF(OR(F66="I",F66="II",F66="M",F66="A"),AVERAGE('[1]FINAL SEM1'!Y67:AA67)*0.1)))),"",IF(B66="","",IF(F66="III",AVERAGE('[1]FINAL SEM1'!Y67:AA67)*0.1,IF(OR(F66="I",F66="II",F66="M",F66="A"),AVERAGE('[1]FINAL SEM1'!Y67:AA67)*0.1))))</f>
        <v/>
      </c>
      <c r="AB66" s="92" t="str">
        <f t="shared" si="11"/>
        <v/>
      </c>
      <c r="AC66" s="94" t="str">
        <f t="shared" si="12"/>
        <v/>
      </c>
      <c r="AD66" s="95" t="str">
        <f t="shared" si="13"/>
        <v/>
      </c>
      <c r="AE66" s="96" t="str">
        <f t="shared" si="14"/>
        <v/>
      </c>
      <c r="AF66" s="95" t="str">
        <f>IF(ISERR(IF(B66="","",AVERAGE('Q1'!#REF!,'Q2'!CX56)*0.1)),"",IF(B66="","",AVERAGE('Q1'!#REF!,'Q2'!CX56)*0.1))</f>
        <v/>
      </c>
      <c r="AG66" s="102" t="str">
        <f t="shared" si="15"/>
        <v/>
      </c>
      <c r="AH66" s="97" t="str">
        <f t="shared" si="16"/>
        <v/>
      </c>
      <c r="AI66" s="91" t="str">
        <f>IF(ISERR(IF('[1]FINAL SEM2'!N67="","",'[1]FINAL SEM2'!N67*0.1)),"",IF($B66="","",IF('[1]FINAL SEM2'!N67="","",'[1]FINAL SEM2'!N67*0.1)))</f>
        <v/>
      </c>
      <c r="AJ66" s="92" t="str">
        <f t="shared" si="17"/>
        <v/>
      </c>
      <c r="AK66" s="93" t="str">
        <f>IF($B66="","",IF(FinalSem2!#REF!="","",FinalSem2!#REF!*0.1))</f>
        <v/>
      </c>
      <c r="AL66" s="92" t="str">
        <f t="shared" si="18"/>
        <v/>
      </c>
      <c r="AM66" s="93" t="str">
        <f>IF($B66="","",IF(FinalSem2!#REF!="","",FinalSem2!#REF!*0.1))</f>
        <v/>
      </c>
      <c r="AN66" s="92" t="str">
        <f t="shared" si="19"/>
        <v/>
      </c>
      <c r="AO66" s="93" t="str">
        <f>IF($B66="","",IF(FinalSem2!#REF!="","",FinalSem2!#REF!*0.1))</f>
        <v/>
      </c>
      <c r="AP66" s="92" t="str">
        <f t="shared" si="20"/>
        <v/>
      </c>
      <c r="AQ66" s="93" t="str">
        <f>IF($B66="","",IF(FinalSem2!#REF!="","",FinalSem2!#REF!*0.1))</f>
        <v/>
      </c>
      <c r="AR66" s="92" t="str">
        <f t="shared" si="21"/>
        <v/>
      </c>
      <c r="AS66" s="93" t="str">
        <f>IF($B66="","",IF(FinalSem2!#REF!="","",FinalSem2!#REF!*0.1))</f>
        <v/>
      </c>
      <c r="AT66" s="92" t="str">
        <f t="shared" si="22"/>
        <v/>
      </c>
      <c r="AU66" s="93" t="str">
        <f>IF($B66="","",IF(FinalSem2!#REF!="","",FinalSem2!#REF!*0.1))</f>
        <v/>
      </c>
      <c r="AV66" s="92" t="str">
        <f t="shared" si="23"/>
        <v/>
      </c>
      <c r="AW66" s="93" t="str">
        <f>IF($B66="","",IF(FinalSem2!#REF!="","",FinalSem2!#REF!*0.1))</f>
        <v/>
      </c>
      <c r="AX66" s="92" t="str">
        <f t="shared" si="24"/>
        <v/>
      </c>
      <c r="AY66" s="93" t="str">
        <f>IF($B66="","",IF(FinalSem2!#REF!="","",FinalSem2!#REF!*0.1))</f>
        <v/>
      </c>
      <c r="AZ66" s="92" t="str">
        <f t="shared" si="25"/>
        <v/>
      </c>
      <c r="BA66" s="93" t="str">
        <f>IF($B66="","",IF(FinalSem2!#REF!="","",FinalSem2!#REF!*0.1))</f>
        <v/>
      </c>
      <c r="BB66" s="92" t="str">
        <f t="shared" si="26"/>
        <v/>
      </c>
      <c r="BC66" s="93" t="str">
        <f>IF($B66="","",IF(FinalSem2!#REF!="","",FinalSem2!#REF!*0.1))</f>
        <v/>
      </c>
      <c r="BD66" s="92" t="str">
        <f t="shared" si="27"/>
        <v/>
      </c>
      <c r="BE66" s="94" t="str">
        <f t="shared" si="28"/>
        <v/>
      </c>
      <c r="BF66" s="95" t="str">
        <f t="shared" si="29"/>
        <v/>
      </c>
      <c r="BG66" s="96" t="str">
        <f t="shared" si="30"/>
        <v/>
      </c>
      <c r="BH66" s="95" t="str">
        <f>IF(ISERR(IF(B66="","",AVERAGE('Q3'!CX72,'Q4'!CX72)*0.1)),"",IF(B66="","",AVERAGE('Q3'!CX72,'Q4'!CX72)*0.1))</f>
        <v/>
      </c>
      <c r="BI66" s="102" t="str">
        <f t="shared" si="31"/>
        <v/>
      </c>
      <c r="BJ66" s="97" t="str">
        <f t="shared" si="32"/>
        <v/>
      </c>
      <c r="BK66" s="98" t="str">
        <f t="shared" si="33"/>
        <v/>
      </c>
      <c r="BL66" s="99" t="str">
        <f t="shared" si="34"/>
        <v/>
      </c>
      <c r="BM66" s="100" t="str">
        <f t="shared" si="35"/>
        <v/>
      </c>
      <c r="BN66" s="99" t="str">
        <f t="shared" si="36"/>
        <v/>
      </c>
      <c r="BO66" s="100" t="str">
        <f t="shared" si="37"/>
        <v/>
      </c>
      <c r="BP66" s="99" t="str">
        <f t="shared" si="38"/>
        <v/>
      </c>
      <c r="BQ66" s="100" t="str">
        <f t="shared" si="39"/>
        <v/>
      </c>
      <c r="BR66" s="99" t="str">
        <f t="shared" si="40"/>
        <v/>
      </c>
      <c r="BS66" s="100" t="str">
        <f t="shared" si="41"/>
        <v/>
      </c>
      <c r="BT66" s="99" t="str">
        <f t="shared" si="42"/>
        <v/>
      </c>
      <c r="BU66" s="100" t="str">
        <f t="shared" si="43"/>
        <v/>
      </c>
      <c r="BV66" s="99" t="str">
        <f t="shared" si="44"/>
        <v/>
      </c>
      <c r="BW66" s="100" t="str">
        <f t="shared" si="45"/>
        <v/>
      </c>
      <c r="BX66" s="99" t="str">
        <f t="shared" si="46"/>
        <v/>
      </c>
      <c r="BY66" s="100" t="str">
        <f t="shared" si="47"/>
        <v/>
      </c>
      <c r="BZ66" s="99" t="str">
        <f t="shared" si="48"/>
        <v/>
      </c>
      <c r="CA66" s="101" t="str">
        <f>IF(B66="","",SUM(#REF!))</f>
        <v/>
      </c>
    </row>
    <row r="67" spans="1:79" ht="24.5" x14ac:dyDescent="0.35">
      <c r="A67" s="90" t="str">
        <f>IF('Q4'!A73="","",'Q4'!A73)</f>
        <v/>
      </c>
      <c r="B67" s="90" t="str">
        <f>IF('Q4'!B73="","",'Q4'!B73)</f>
        <v/>
      </c>
      <c r="C67" s="107" t="str">
        <f>IF('Q4'!C73="","",'Q4'!C73)</f>
        <v/>
      </c>
      <c r="D67" s="90"/>
      <c r="E67" s="90" t="str">
        <f>IF('Q4'!E73="","",'Q4'!E73)</f>
        <v/>
      </c>
      <c r="F67" s="90" t="str">
        <f>IF('Q4'!F73="","",'Q4'!F73)</f>
        <v/>
      </c>
      <c r="G67" s="91" t="str">
        <f>IF($B67="","",IF(FinalSem1!#REF!="","",FinalSem1!#REF!*0.1))</f>
        <v/>
      </c>
      <c r="H67" s="92" t="str">
        <f t="shared" si="1"/>
        <v/>
      </c>
      <c r="I67" s="91" t="str">
        <f>IF($B67="","",IF(FinalSem1!#REF!="","",FinalSem1!#REF!*0.1))</f>
        <v/>
      </c>
      <c r="J67" s="92" t="str">
        <f t="shared" si="2"/>
        <v/>
      </c>
      <c r="K67" s="93" t="str">
        <f>IF($B67="","",IF(FinalSem1!#REF!="","",FinalSem1!#REF!*0.1))</f>
        <v/>
      </c>
      <c r="L67" s="92" t="str">
        <f t="shared" si="3"/>
        <v/>
      </c>
      <c r="M67" s="93" t="str">
        <f>IF($B67="","",IF(FinalSem1!#REF!="","",FinalSem1!#REF!*0.1))</f>
        <v/>
      </c>
      <c r="N67" s="92" t="str">
        <f t="shared" si="4"/>
        <v/>
      </c>
      <c r="O67" s="93" t="str">
        <f>IF($B67="","",IF(FinalSem1!#REF!="","",FinalSem1!#REF!*0.1))</f>
        <v/>
      </c>
      <c r="P67" s="92" t="str">
        <f t="shared" si="5"/>
        <v/>
      </c>
      <c r="Q67" s="93" t="str">
        <f>IF($B67="","",IF(FinalSem1!#REF!="","",FinalSem1!#REF!*0.1))</f>
        <v/>
      </c>
      <c r="R67" s="92" t="str">
        <f t="shared" si="6"/>
        <v/>
      </c>
      <c r="S67" s="93" t="str">
        <f>IF($B67="","",IF(FinalSem1!#REF!="","",FinalSem1!#REF!*0.1))</f>
        <v/>
      </c>
      <c r="T67" s="92" t="str">
        <f t="shared" si="7"/>
        <v/>
      </c>
      <c r="U67" s="93" t="str">
        <f>IF($B67="","",IF(FinalSem1!#REF!="","",FinalSem1!#REF!*0.1))</f>
        <v/>
      </c>
      <c r="V67" s="92" t="str">
        <f t="shared" si="8"/>
        <v/>
      </c>
      <c r="W67" s="93" t="str">
        <f>IF($B67="","",IF(FinalSem1!#REF!="","",FinalSem1!#REF!*0.1))</f>
        <v/>
      </c>
      <c r="X67" s="92" t="str">
        <f t="shared" si="9"/>
        <v/>
      </c>
      <c r="Y67" s="93" t="str">
        <f>IF($B67="","",IF(FinalSem1!#REF!="","",FinalSem1!#REF!*0.1))</f>
        <v/>
      </c>
      <c r="Z67" s="92" t="str">
        <f t="shared" si="10"/>
        <v/>
      </c>
      <c r="AA67" s="93" t="str">
        <f>IF(ISERR(IF(B67="","",IF(F67="III",AVERAGE('[1]FINAL SEM1'!Y68:AA68)*0.1,IF(OR(F67="I",F67="II",F67="M",F67="A"),AVERAGE('[1]FINAL SEM1'!Y68:AA68)*0.1)))),"",IF(B67="","",IF(F67="III",AVERAGE('[1]FINAL SEM1'!Y68:AA68)*0.1,IF(OR(F67="I",F67="II",F67="M",F67="A"),AVERAGE('[1]FINAL SEM1'!Y68:AA68)*0.1))))</f>
        <v/>
      </c>
      <c r="AB67" s="92" t="str">
        <f t="shared" si="11"/>
        <v/>
      </c>
      <c r="AC67" s="94" t="str">
        <f t="shared" si="12"/>
        <v/>
      </c>
      <c r="AD67" s="95" t="str">
        <f t="shared" si="13"/>
        <v/>
      </c>
      <c r="AE67" s="96" t="str">
        <f t="shared" si="14"/>
        <v/>
      </c>
      <c r="AF67" s="95" t="str">
        <f>IF(ISERR(IF(B67="","",AVERAGE('Q1'!#REF!,'Q2'!CX57)*0.1)),"",IF(B67="","",AVERAGE('Q1'!#REF!,'Q2'!CX57)*0.1))</f>
        <v/>
      </c>
      <c r="AG67" s="102" t="str">
        <f t="shared" si="15"/>
        <v/>
      </c>
      <c r="AH67" s="97" t="str">
        <f t="shared" si="16"/>
        <v/>
      </c>
      <c r="AI67" s="91" t="str">
        <f>IF(ISERR(IF('[1]FINAL SEM2'!N68="","",'[1]FINAL SEM2'!N68*0.1)),"",IF($B67="","",IF('[1]FINAL SEM2'!N68="","",'[1]FINAL SEM2'!N68*0.1)))</f>
        <v/>
      </c>
      <c r="AJ67" s="92" t="str">
        <f t="shared" si="17"/>
        <v/>
      </c>
      <c r="AK67" s="93" t="str">
        <f>IF($B67="","",IF(FinalSem2!#REF!="","",FinalSem2!#REF!*0.1))</f>
        <v/>
      </c>
      <c r="AL67" s="92" t="str">
        <f t="shared" si="18"/>
        <v/>
      </c>
      <c r="AM67" s="93" t="str">
        <f>IF($B67="","",IF(FinalSem2!#REF!="","",FinalSem2!#REF!*0.1))</f>
        <v/>
      </c>
      <c r="AN67" s="92" t="str">
        <f t="shared" si="19"/>
        <v/>
      </c>
      <c r="AO67" s="93" t="str">
        <f>IF($B67="","",IF(FinalSem2!#REF!="","",FinalSem2!#REF!*0.1))</f>
        <v/>
      </c>
      <c r="AP67" s="92" t="str">
        <f t="shared" si="20"/>
        <v/>
      </c>
      <c r="AQ67" s="93" t="str">
        <f>IF($B67="","",IF(FinalSem2!#REF!="","",FinalSem2!#REF!*0.1))</f>
        <v/>
      </c>
      <c r="AR67" s="92" t="str">
        <f t="shared" si="21"/>
        <v/>
      </c>
      <c r="AS67" s="93" t="str">
        <f>IF($B67="","",IF(FinalSem2!#REF!="","",FinalSem2!#REF!*0.1))</f>
        <v/>
      </c>
      <c r="AT67" s="92" t="str">
        <f t="shared" si="22"/>
        <v/>
      </c>
      <c r="AU67" s="93" t="str">
        <f>IF($B67="","",IF(FinalSem2!#REF!="","",FinalSem2!#REF!*0.1))</f>
        <v/>
      </c>
      <c r="AV67" s="92" t="str">
        <f t="shared" si="23"/>
        <v/>
      </c>
      <c r="AW67" s="93" t="str">
        <f>IF($B67="","",IF(FinalSem2!#REF!="","",FinalSem2!#REF!*0.1))</f>
        <v/>
      </c>
      <c r="AX67" s="92" t="str">
        <f t="shared" si="24"/>
        <v/>
      </c>
      <c r="AY67" s="93" t="str">
        <f>IF($B67="","",IF(FinalSem2!#REF!="","",FinalSem2!#REF!*0.1))</f>
        <v/>
      </c>
      <c r="AZ67" s="92" t="str">
        <f t="shared" si="25"/>
        <v/>
      </c>
      <c r="BA67" s="93" t="str">
        <f>IF($B67="","",IF(FinalSem2!#REF!="","",FinalSem2!#REF!*0.1))</f>
        <v/>
      </c>
      <c r="BB67" s="92" t="str">
        <f t="shared" si="26"/>
        <v/>
      </c>
      <c r="BC67" s="93" t="str">
        <f>IF($B67="","",IF(FinalSem2!#REF!="","",FinalSem2!#REF!*0.1))</f>
        <v/>
      </c>
      <c r="BD67" s="92" t="str">
        <f t="shared" si="27"/>
        <v/>
      </c>
      <c r="BE67" s="94" t="str">
        <f t="shared" si="28"/>
        <v/>
      </c>
      <c r="BF67" s="95" t="str">
        <f t="shared" si="29"/>
        <v/>
      </c>
      <c r="BG67" s="96" t="str">
        <f t="shared" si="30"/>
        <v/>
      </c>
      <c r="BH67" s="95" t="str">
        <f>IF(ISERR(IF(B67="","",AVERAGE('Q3'!CX73,'Q4'!CX73)*0.1)),"",IF(B67="","",AVERAGE('Q3'!CX73,'Q4'!CX73)*0.1))</f>
        <v/>
      </c>
      <c r="BI67" s="102" t="str">
        <f t="shared" si="31"/>
        <v/>
      </c>
      <c r="BJ67" s="97" t="str">
        <f t="shared" si="32"/>
        <v/>
      </c>
      <c r="BK67" s="98" t="str">
        <f t="shared" si="33"/>
        <v/>
      </c>
      <c r="BL67" s="99" t="str">
        <f t="shared" si="34"/>
        <v/>
      </c>
      <c r="BM67" s="100" t="str">
        <f t="shared" si="35"/>
        <v/>
      </c>
      <c r="BN67" s="99" t="str">
        <f t="shared" si="36"/>
        <v/>
      </c>
      <c r="BO67" s="100" t="str">
        <f t="shared" si="37"/>
        <v/>
      </c>
      <c r="BP67" s="99" t="str">
        <f t="shared" si="38"/>
        <v/>
      </c>
      <c r="BQ67" s="100" t="str">
        <f t="shared" si="39"/>
        <v/>
      </c>
      <c r="BR67" s="99" t="str">
        <f t="shared" si="40"/>
        <v/>
      </c>
      <c r="BS67" s="100" t="str">
        <f t="shared" si="41"/>
        <v/>
      </c>
      <c r="BT67" s="99" t="str">
        <f t="shared" si="42"/>
        <v/>
      </c>
      <c r="BU67" s="100" t="str">
        <f t="shared" si="43"/>
        <v/>
      </c>
      <c r="BV67" s="99" t="str">
        <f t="shared" si="44"/>
        <v/>
      </c>
      <c r="BW67" s="100" t="str">
        <f t="shared" si="45"/>
        <v/>
      </c>
      <c r="BX67" s="99" t="str">
        <f t="shared" si="46"/>
        <v/>
      </c>
      <c r="BY67" s="100" t="str">
        <f t="shared" si="47"/>
        <v/>
      </c>
      <c r="BZ67" s="99" t="str">
        <f t="shared" si="48"/>
        <v/>
      </c>
      <c r="CA67" s="101" t="str">
        <f>IF(B67="","",SUM(#REF!))</f>
        <v/>
      </c>
    </row>
  </sheetData>
  <mergeCells count="33">
    <mergeCell ref="A2:B2"/>
    <mergeCell ref="C2:D2"/>
    <mergeCell ref="AI8:AL8"/>
    <mergeCell ref="AM8:AP8"/>
    <mergeCell ref="AE8:AH8"/>
    <mergeCell ref="AA8:AD8"/>
    <mergeCell ref="E6:E8"/>
    <mergeCell ref="F6:F8"/>
    <mergeCell ref="C4:D4"/>
    <mergeCell ref="A4:B4"/>
    <mergeCell ref="A3:B3"/>
    <mergeCell ref="C3:D3"/>
    <mergeCell ref="G6:AP6"/>
    <mergeCell ref="A6:A8"/>
    <mergeCell ref="AQ6:BZ6"/>
    <mergeCell ref="BK8:BM8"/>
    <mergeCell ref="C6:C8"/>
    <mergeCell ref="D6:D8"/>
    <mergeCell ref="B6:B8"/>
    <mergeCell ref="AY8:BB8"/>
    <mergeCell ref="AQ8:AT8"/>
    <mergeCell ref="CA7:CA8"/>
    <mergeCell ref="G8:J8"/>
    <mergeCell ref="K8:N8"/>
    <mergeCell ref="O8:R8"/>
    <mergeCell ref="S8:V8"/>
    <mergeCell ref="W8:Z8"/>
    <mergeCell ref="BS8:BV8"/>
    <mergeCell ref="BW8:BZ8"/>
    <mergeCell ref="BO8:BR8"/>
    <mergeCell ref="BG8:BJ8"/>
    <mergeCell ref="BC8:BF8"/>
    <mergeCell ref="AU8:AX8"/>
  </mergeCells>
  <conditionalFormatting sqref="BK9:BK67 BY9:BY67 G9:G67 BM9:BM67 BO9:BO67 BQ9:BQ67 BS9:BS67 BU9:BU67 BW9:BW67 AI9:AI67">
    <cfRule type="cellIs" dxfId="29" priority="3" stopIfTrue="1" operator="between">
      <formula>0.1</formula>
      <formula>4.99</formula>
    </cfRule>
  </conditionalFormatting>
  <conditionalFormatting sqref="AC9:AC67 BE9:BE67">
    <cfRule type="cellIs" dxfId="28" priority="4" stopIfTrue="1" operator="between">
      <formula>0.1</formula>
      <formula>49.99</formula>
    </cfRule>
  </conditionalFormatting>
  <conditionalFormatting sqref="I9:I67">
    <cfRule type="cellIs" dxfId="27" priority="2" stopIfTrue="1" operator="between">
      <formula>0.1</formula>
      <formula>4.99</formula>
    </cfRule>
  </conditionalFormatting>
  <conditionalFormatting sqref="AK9:AK18">
    <cfRule type="cellIs" dxfId="26" priority="1" stopIfTrue="1" operator="between">
      <formula>0.1</formula>
      <formula>4.99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F0"/>
  </sheetPr>
  <dimension ref="A1:DQ82"/>
  <sheetViews>
    <sheetView topLeftCell="A5" zoomScale="85" zoomScaleNormal="85" workbookViewId="0">
      <pane xSplit="3" ySplit="10" topLeftCell="D22" activePane="bottomRight" state="frozen"/>
      <selection activeCell="C11" sqref="C11"/>
      <selection pane="topRight" activeCell="C11" sqref="C11"/>
      <selection pane="bottomLeft" activeCell="C11" sqref="C11"/>
      <selection pane="bottomRight" activeCell="L31" sqref="L31"/>
    </sheetView>
  </sheetViews>
  <sheetFormatPr defaultRowHeight="14.5" x14ac:dyDescent="0.35"/>
  <cols>
    <col min="2" max="2" width="23.81640625" customWidth="1"/>
    <col min="3" max="3" width="28.453125" customWidth="1"/>
    <col min="4" max="4" width="12" customWidth="1"/>
    <col min="99" max="99" width="9.1796875" style="56"/>
    <col min="115" max="115" width="31.81640625" customWidth="1"/>
    <col min="122" max="122" width="8.81640625" customWidth="1"/>
  </cols>
  <sheetData>
    <row r="1" spans="1:121" s="4" customFormat="1" x14ac:dyDescent="0.35">
      <c r="CU1" s="53"/>
    </row>
    <row r="2" spans="1:121" s="4" customFormat="1" x14ac:dyDescent="0.35">
      <c r="CU2" s="53"/>
    </row>
    <row r="3" spans="1:121" s="4" customFormat="1" x14ac:dyDescent="0.35">
      <c r="CU3" s="53"/>
    </row>
    <row r="4" spans="1:121" s="4" customFormat="1" x14ac:dyDescent="0.35">
      <c r="CU4" s="53"/>
    </row>
    <row r="5" spans="1:121" s="4" customFormat="1" x14ac:dyDescent="0.35">
      <c r="CU5" s="53"/>
    </row>
    <row r="6" spans="1:121" s="4" customFormat="1" x14ac:dyDescent="0.35">
      <c r="CU6" s="53"/>
    </row>
    <row r="7" spans="1:121" s="4" customFormat="1" x14ac:dyDescent="0.35">
      <c r="CU7" s="53"/>
    </row>
    <row r="8" spans="1:121" s="4" customFormat="1" ht="20" x14ac:dyDescent="0.35">
      <c r="A8" s="281" t="s">
        <v>23</v>
      </c>
      <c r="B8" s="281"/>
      <c r="C8" s="15">
        <v>50</v>
      </c>
      <c r="CU8" s="53"/>
    </row>
    <row r="9" spans="1:121" s="4" customFormat="1" ht="20" x14ac:dyDescent="0.35">
      <c r="A9" s="281" t="s">
        <v>32</v>
      </c>
      <c r="B9" s="281"/>
      <c r="C9" s="15" t="s">
        <v>235</v>
      </c>
      <c r="D9" s="5"/>
      <c r="CU9" s="53"/>
    </row>
    <row r="10" spans="1:121" s="4" customFormat="1" ht="20" x14ac:dyDescent="0.35">
      <c r="A10" s="283" t="s">
        <v>47</v>
      </c>
      <c r="B10" s="284"/>
      <c r="C10" s="15" t="s">
        <v>236</v>
      </c>
      <c r="D10" s="5"/>
      <c r="CU10" s="53"/>
    </row>
    <row r="11" spans="1:121" s="4" customFormat="1" ht="20.25" customHeight="1" thickBot="1" x14ac:dyDescent="0.4">
      <c r="A11" s="241" t="s">
        <v>46</v>
      </c>
      <c r="B11" s="242"/>
      <c r="C11" s="16" t="s">
        <v>126</v>
      </c>
      <c r="D11" s="6"/>
      <c r="BL11" s="282"/>
      <c r="BM11" s="282"/>
      <c r="BN11" s="282"/>
      <c r="BO11" s="282"/>
      <c r="BP11" s="282"/>
      <c r="BQ11" s="282"/>
      <c r="BR11" s="282"/>
      <c r="BS11" s="31"/>
      <c r="BT11" s="31"/>
      <c r="BU11" s="31"/>
      <c r="BV11" s="31"/>
      <c r="BW11" s="31"/>
      <c r="BX11" s="31"/>
      <c r="BY11" s="31"/>
      <c r="BZ11" s="31"/>
      <c r="CA11" s="31"/>
      <c r="CU11" s="53"/>
    </row>
    <row r="12" spans="1:121" ht="18" customHeight="1" thickBot="1" x14ac:dyDescent="0.4">
      <c r="A12" s="237"/>
      <c r="B12" s="237"/>
      <c r="C12" s="237"/>
      <c r="D12" s="237"/>
      <c r="E12" s="237"/>
      <c r="F12" s="237"/>
      <c r="G12" s="245" t="s">
        <v>57</v>
      </c>
      <c r="H12" s="245"/>
      <c r="I12" s="245"/>
      <c r="J12" s="245"/>
      <c r="K12" s="245"/>
      <c r="L12" s="245"/>
      <c r="M12" s="245"/>
      <c r="N12" s="245"/>
      <c r="O12" s="246"/>
      <c r="P12" s="186" t="s">
        <v>116</v>
      </c>
      <c r="Q12" s="186"/>
      <c r="R12" s="186"/>
      <c r="S12" s="186"/>
      <c r="T12" s="186"/>
      <c r="U12" s="186"/>
      <c r="V12" s="186"/>
      <c r="W12" s="293" t="s">
        <v>67</v>
      </c>
      <c r="X12" s="293"/>
      <c r="Y12" s="293"/>
      <c r="Z12" s="293"/>
      <c r="AA12" s="293"/>
      <c r="AB12" s="293"/>
      <c r="AC12" s="293"/>
      <c r="AD12" s="293"/>
      <c r="AE12" s="294"/>
      <c r="AF12" s="211" t="s">
        <v>68</v>
      </c>
      <c r="AG12" s="211"/>
      <c r="AH12" s="211"/>
      <c r="AI12" s="211"/>
      <c r="AJ12" s="211"/>
      <c r="AK12" s="211"/>
      <c r="AL12" s="211"/>
      <c r="AM12" s="172" t="s">
        <v>69</v>
      </c>
      <c r="AN12" s="172"/>
      <c r="AO12" s="172"/>
      <c r="AP12" s="172"/>
      <c r="AQ12" s="172"/>
      <c r="AR12" s="172"/>
      <c r="AS12" s="172"/>
      <c r="AT12" s="172"/>
      <c r="AU12" s="173"/>
      <c r="AV12" s="186" t="s">
        <v>77</v>
      </c>
      <c r="AW12" s="186"/>
      <c r="AX12" s="186"/>
      <c r="AY12" s="186"/>
      <c r="AZ12" s="186"/>
      <c r="BA12" s="186"/>
      <c r="BB12" s="186"/>
      <c r="BC12" s="176" t="s">
        <v>71</v>
      </c>
      <c r="BD12" s="177"/>
      <c r="BE12" s="177"/>
      <c r="BF12" s="177"/>
      <c r="BG12" s="177"/>
      <c r="BH12" s="177"/>
      <c r="BI12" s="177"/>
      <c r="BJ12" s="177"/>
      <c r="BK12" s="178"/>
      <c r="BL12" s="186" t="s">
        <v>72</v>
      </c>
      <c r="BM12" s="186"/>
      <c r="BN12" s="186"/>
      <c r="BO12" s="186"/>
      <c r="BP12" s="186"/>
      <c r="BQ12" s="186"/>
      <c r="BR12" s="186"/>
      <c r="BS12" s="221" t="s">
        <v>73</v>
      </c>
      <c r="BT12" s="221"/>
      <c r="BU12" s="221"/>
      <c r="BV12" s="221"/>
      <c r="BW12" s="221"/>
      <c r="BX12" s="221"/>
      <c r="BY12" s="221"/>
      <c r="BZ12" s="221"/>
      <c r="CA12" s="221"/>
      <c r="CB12" s="204" t="s">
        <v>13</v>
      </c>
      <c r="CC12" s="204"/>
      <c r="CD12" s="204"/>
      <c r="CE12" s="204"/>
      <c r="CF12" s="204"/>
      <c r="CG12" s="204"/>
      <c r="CH12" s="204"/>
      <c r="CI12" s="200" t="s">
        <v>75</v>
      </c>
      <c r="CJ12" s="201"/>
      <c r="CK12" s="201"/>
      <c r="CL12" s="201"/>
      <c r="CM12" s="201"/>
      <c r="CN12" s="202"/>
      <c r="CO12" s="298" t="s">
        <v>76</v>
      </c>
      <c r="CP12" s="298"/>
      <c r="CQ12" s="298"/>
      <c r="CR12" s="298"/>
      <c r="CS12" s="298"/>
      <c r="CT12" s="298"/>
      <c r="CU12" s="187" t="s">
        <v>30</v>
      </c>
      <c r="CV12" s="188"/>
      <c r="CW12" s="188"/>
      <c r="CX12" s="188"/>
      <c r="CY12" s="188"/>
      <c r="CZ12" s="188"/>
      <c r="DA12" s="188"/>
      <c r="DB12" s="188"/>
      <c r="DC12" s="188"/>
      <c r="DD12" s="189"/>
      <c r="DE12" s="263" t="s">
        <v>24</v>
      </c>
      <c r="DF12" s="263"/>
      <c r="DG12" s="263"/>
      <c r="DH12" s="263"/>
      <c r="DI12" s="263"/>
      <c r="DK12" s="247" t="s">
        <v>111</v>
      </c>
      <c r="DL12" s="247"/>
      <c r="DM12" s="247"/>
      <c r="DN12" s="247"/>
      <c r="DO12" s="247"/>
      <c r="DP12" s="247"/>
      <c r="DQ12" s="260" t="s">
        <v>112</v>
      </c>
    </row>
    <row r="13" spans="1:121" ht="126.75" customHeight="1" thickBot="1" x14ac:dyDescent="0.4">
      <c r="A13" s="238" t="s">
        <v>0</v>
      </c>
      <c r="B13" s="238" t="s">
        <v>1</v>
      </c>
      <c r="C13" s="238" t="s">
        <v>2</v>
      </c>
      <c r="D13" s="238" t="s">
        <v>4</v>
      </c>
      <c r="E13" s="238" t="s">
        <v>3</v>
      </c>
      <c r="F13" s="238" t="s">
        <v>5</v>
      </c>
      <c r="G13" s="213" t="s">
        <v>59</v>
      </c>
      <c r="H13" s="213" t="s">
        <v>66</v>
      </c>
      <c r="I13" s="213" t="s">
        <v>60</v>
      </c>
      <c r="J13" s="213" t="s">
        <v>114</v>
      </c>
      <c r="K13" s="215" t="s">
        <v>61</v>
      </c>
      <c r="L13" s="205" t="s">
        <v>102</v>
      </c>
      <c r="M13" s="207" t="s">
        <v>62</v>
      </c>
      <c r="N13" s="209" t="s">
        <v>63</v>
      </c>
      <c r="O13" s="209" t="s">
        <v>64</v>
      </c>
      <c r="P13" s="240" t="s">
        <v>6</v>
      </c>
      <c r="Q13" s="231" t="s">
        <v>50</v>
      </c>
      <c r="R13" s="231" t="s">
        <v>52</v>
      </c>
      <c r="S13" s="231" t="s">
        <v>54</v>
      </c>
      <c r="T13" s="231" t="s">
        <v>31</v>
      </c>
      <c r="U13" s="231" t="s">
        <v>51</v>
      </c>
      <c r="V13" s="235" t="s">
        <v>7</v>
      </c>
      <c r="W13" s="295" t="s">
        <v>59</v>
      </c>
      <c r="X13" s="295" t="s">
        <v>66</v>
      </c>
      <c r="Y13" s="295" t="s">
        <v>60</v>
      </c>
      <c r="Z13" s="213" t="s">
        <v>114</v>
      </c>
      <c r="AA13" s="297" t="s">
        <v>61</v>
      </c>
      <c r="AB13" s="287" t="s">
        <v>102</v>
      </c>
      <c r="AC13" s="289" t="s">
        <v>62</v>
      </c>
      <c r="AD13" s="291" t="s">
        <v>63</v>
      </c>
      <c r="AE13" s="291" t="s">
        <v>64</v>
      </c>
      <c r="AF13" s="196" t="s">
        <v>6</v>
      </c>
      <c r="AG13" s="195" t="s">
        <v>50</v>
      </c>
      <c r="AH13" s="195" t="s">
        <v>52</v>
      </c>
      <c r="AI13" s="195" t="s">
        <v>54</v>
      </c>
      <c r="AJ13" s="195" t="s">
        <v>31</v>
      </c>
      <c r="AK13" s="195" t="s">
        <v>51</v>
      </c>
      <c r="AL13" s="195" t="s">
        <v>7</v>
      </c>
      <c r="AM13" s="46" t="s">
        <v>59</v>
      </c>
      <c r="AN13" s="46" t="s">
        <v>66</v>
      </c>
      <c r="AO13" s="46" t="s">
        <v>60</v>
      </c>
      <c r="AP13" s="144" t="s">
        <v>115</v>
      </c>
      <c r="AQ13" s="46" t="s">
        <v>61</v>
      </c>
      <c r="AR13" s="46" t="s">
        <v>102</v>
      </c>
      <c r="AS13" s="46" t="s">
        <v>62</v>
      </c>
      <c r="AT13" s="46" t="s">
        <v>63</v>
      </c>
      <c r="AU13" s="46" t="s">
        <v>64</v>
      </c>
      <c r="AV13" s="11" t="s">
        <v>6</v>
      </c>
      <c r="AW13" s="12" t="s">
        <v>50</v>
      </c>
      <c r="AX13" s="12" t="s">
        <v>52</v>
      </c>
      <c r="AY13" s="12" t="s">
        <v>54</v>
      </c>
      <c r="AZ13" s="12" t="s">
        <v>31</v>
      </c>
      <c r="BA13" s="12" t="s">
        <v>51</v>
      </c>
      <c r="BB13" s="12" t="s">
        <v>7</v>
      </c>
      <c r="BC13" s="174" t="s">
        <v>59</v>
      </c>
      <c r="BD13" s="174" t="s">
        <v>66</v>
      </c>
      <c r="BE13" s="174" t="s">
        <v>60</v>
      </c>
      <c r="BF13" s="174" t="s">
        <v>114</v>
      </c>
      <c r="BG13" s="179" t="s">
        <v>61</v>
      </c>
      <c r="BH13" s="180" t="s">
        <v>102</v>
      </c>
      <c r="BI13" s="182" t="s">
        <v>62</v>
      </c>
      <c r="BJ13" s="184" t="s">
        <v>63</v>
      </c>
      <c r="BK13" s="184" t="s">
        <v>64</v>
      </c>
      <c r="BL13" s="220" t="s">
        <v>6</v>
      </c>
      <c r="BM13" s="193" t="s">
        <v>50</v>
      </c>
      <c r="BN13" s="193" t="s">
        <v>52</v>
      </c>
      <c r="BO13" s="193" t="s">
        <v>54</v>
      </c>
      <c r="BP13" s="193" t="s">
        <v>31</v>
      </c>
      <c r="BQ13" s="285" t="s">
        <v>51</v>
      </c>
      <c r="BR13" s="285" t="s">
        <v>7</v>
      </c>
      <c r="BS13" s="222" t="s">
        <v>59</v>
      </c>
      <c r="BT13" s="222" t="s">
        <v>66</v>
      </c>
      <c r="BU13" s="222" t="s">
        <v>60</v>
      </c>
      <c r="BV13" s="222" t="s">
        <v>114</v>
      </c>
      <c r="BW13" s="224" t="s">
        <v>61</v>
      </c>
      <c r="BX13" s="225" t="s">
        <v>102</v>
      </c>
      <c r="BY13" s="227" t="s">
        <v>62</v>
      </c>
      <c r="BZ13" s="229" t="s">
        <v>63</v>
      </c>
      <c r="CA13" s="229" t="s">
        <v>64</v>
      </c>
      <c r="CB13" s="240" t="s">
        <v>6</v>
      </c>
      <c r="CC13" s="231" t="s">
        <v>50</v>
      </c>
      <c r="CD13" s="231" t="s">
        <v>52</v>
      </c>
      <c r="CE13" s="231" t="s">
        <v>54</v>
      </c>
      <c r="CF13" s="231" t="s">
        <v>31</v>
      </c>
      <c r="CG13" s="231" t="s">
        <v>51</v>
      </c>
      <c r="CH13" s="235" t="s">
        <v>7</v>
      </c>
      <c r="CI13" s="170" t="s">
        <v>14</v>
      </c>
      <c r="CJ13" s="171" t="s">
        <v>15</v>
      </c>
      <c r="CK13" s="170" t="s">
        <v>16</v>
      </c>
      <c r="CL13" s="170" t="s">
        <v>49</v>
      </c>
      <c r="CM13" s="170" t="s">
        <v>48</v>
      </c>
      <c r="CN13" s="170" t="s">
        <v>19</v>
      </c>
      <c r="CO13" s="232" t="s">
        <v>14</v>
      </c>
      <c r="CP13" s="233" t="s">
        <v>15</v>
      </c>
      <c r="CQ13" s="232" t="s">
        <v>16</v>
      </c>
      <c r="CR13" s="232" t="s">
        <v>17</v>
      </c>
      <c r="CS13" s="232" t="s">
        <v>18</v>
      </c>
      <c r="CT13" s="232" t="s">
        <v>19</v>
      </c>
      <c r="CU13" s="55" t="s">
        <v>14</v>
      </c>
      <c r="CV13" s="51" t="s">
        <v>15</v>
      </c>
      <c r="CW13" s="51" t="s">
        <v>16</v>
      </c>
      <c r="CX13" s="51" t="s">
        <v>49</v>
      </c>
      <c r="CY13" s="51" t="s">
        <v>48</v>
      </c>
      <c r="CZ13" s="51" t="s">
        <v>19</v>
      </c>
      <c r="DA13" s="190" t="s">
        <v>20</v>
      </c>
      <c r="DB13" s="190" t="s">
        <v>21</v>
      </c>
      <c r="DC13" s="262" t="s">
        <v>22</v>
      </c>
      <c r="DD13" s="262" t="s">
        <v>23</v>
      </c>
      <c r="DE13" s="264" t="s">
        <v>25</v>
      </c>
      <c r="DF13" s="264" t="s">
        <v>26</v>
      </c>
      <c r="DG13" s="264" t="s">
        <v>27</v>
      </c>
      <c r="DH13" s="265" t="s">
        <v>28</v>
      </c>
      <c r="DI13" s="264" t="s">
        <v>29</v>
      </c>
      <c r="DK13" s="248" t="s">
        <v>1</v>
      </c>
      <c r="DL13" s="250" t="s">
        <v>113</v>
      </c>
      <c r="DM13" s="252" t="s">
        <v>8</v>
      </c>
      <c r="DN13" s="254" t="s">
        <v>9</v>
      </c>
      <c r="DO13" s="256" t="s">
        <v>10</v>
      </c>
      <c r="DP13" s="258" t="s">
        <v>11</v>
      </c>
      <c r="DQ13" s="260"/>
    </row>
    <row r="14" spans="1:121" ht="39.75" customHeight="1" x14ac:dyDescent="0.35">
      <c r="A14" s="238"/>
      <c r="B14" s="238"/>
      <c r="C14" s="238"/>
      <c r="D14" s="238"/>
      <c r="E14" s="238"/>
      <c r="F14" s="238"/>
      <c r="G14" s="214"/>
      <c r="H14" s="214"/>
      <c r="I14" s="214"/>
      <c r="J14" s="214"/>
      <c r="K14" s="215"/>
      <c r="L14" s="206"/>
      <c r="M14" s="208"/>
      <c r="N14" s="210"/>
      <c r="O14" s="210"/>
      <c r="P14" s="240"/>
      <c r="Q14" s="231"/>
      <c r="R14" s="231"/>
      <c r="S14" s="231"/>
      <c r="T14" s="231"/>
      <c r="U14" s="231"/>
      <c r="V14" s="286"/>
      <c r="W14" s="296"/>
      <c r="X14" s="296"/>
      <c r="Y14" s="296"/>
      <c r="Z14" s="214"/>
      <c r="AA14" s="297"/>
      <c r="AB14" s="288"/>
      <c r="AC14" s="290"/>
      <c r="AD14" s="292"/>
      <c r="AE14" s="292"/>
      <c r="AF14" s="196"/>
      <c r="AG14" s="195"/>
      <c r="AH14" s="195"/>
      <c r="AI14" s="195"/>
      <c r="AJ14" s="195"/>
      <c r="AK14" s="195"/>
      <c r="AL14" s="195"/>
      <c r="AM14" s="47">
        <v>2</v>
      </c>
      <c r="AN14" s="47">
        <v>2</v>
      </c>
      <c r="AO14" s="47">
        <v>3</v>
      </c>
      <c r="AP14" s="47">
        <v>1</v>
      </c>
      <c r="AQ14" s="47">
        <v>5</v>
      </c>
      <c r="AR14" s="47">
        <v>3</v>
      </c>
      <c r="AS14" s="47">
        <v>2</v>
      </c>
      <c r="AT14" s="47">
        <v>1</v>
      </c>
      <c r="AU14" s="47">
        <v>1</v>
      </c>
      <c r="AV14" s="2">
        <v>5</v>
      </c>
      <c r="AW14" s="2">
        <v>1</v>
      </c>
      <c r="AX14" s="2">
        <v>5</v>
      </c>
      <c r="AY14" s="2">
        <v>3</v>
      </c>
      <c r="AZ14" s="2">
        <v>2</v>
      </c>
      <c r="BA14" s="2">
        <v>2</v>
      </c>
      <c r="BB14" s="2">
        <v>2</v>
      </c>
      <c r="BC14" s="175"/>
      <c r="BD14" s="175"/>
      <c r="BE14" s="175"/>
      <c r="BF14" s="175"/>
      <c r="BG14" s="179"/>
      <c r="BH14" s="181"/>
      <c r="BI14" s="183"/>
      <c r="BJ14" s="185"/>
      <c r="BK14" s="185"/>
      <c r="BL14" s="220"/>
      <c r="BM14" s="193"/>
      <c r="BN14" s="193"/>
      <c r="BO14" s="193"/>
      <c r="BP14" s="193"/>
      <c r="BQ14" s="192"/>
      <c r="BR14" s="192"/>
      <c r="BS14" s="223"/>
      <c r="BT14" s="223"/>
      <c r="BU14" s="223"/>
      <c r="BV14" s="223"/>
      <c r="BW14" s="224"/>
      <c r="BX14" s="226"/>
      <c r="BY14" s="228"/>
      <c r="BZ14" s="230"/>
      <c r="CA14" s="230"/>
      <c r="CB14" s="240"/>
      <c r="CC14" s="231"/>
      <c r="CD14" s="231"/>
      <c r="CE14" s="231"/>
      <c r="CF14" s="231"/>
      <c r="CG14" s="231"/>
      <c r="CH14" s="286"/>
      <c r="CI14" s="170"/>
      <c r="CJ14" s="171"/>
      <c r="CK14" s="170"/>
      <c r="CL14" s="170"/>
      <c r="CM14" s="170"/>
      <c r="CN14" s="170"/>
      <c r="CO14" s="232"/>
      <c r="CP14" s="233"/>
      <c r="CQ14" s="232"/>
      <c r="CR14" s="232"/>
      <c r="CS14" s="232"/>
      <c r="CT14" s="232"/>
      <c r="CU14" s="169" t="s">
        <v>30</v>
      </c>
      <c r="CV14" s="169"/>
      <c r="CW14" s="169"/>
      <c r="CX14" s="169"/>
      <c r="CY14" s="169"/>
      <c r="CZ14" s="169"/>
      <c r="DA14" s="191"/>
      <c r="DB14" s="191"/>
      <c r="DC14" s="262"/>
      <c r="DD14" s="262"/>
      <c r="DE14" s="264"/>
      <c r="DF14" s="264"/>
      <c r="DG14" s="264"/>
      <c r="DH14" s="265"/>
      <c r="DI14" s="264"/>
      <c r="DK14" s="249"/>
      <c r="DL14" s="251"/>
      <c r="DM14" s="253"/>
      <c r="DN14" s="255"/>
      <c r="DO14" s="257"/>
      <c r="DP14" s="259"/>
      <c r="DQ14" s="261"/>
    </row>
    <row r="15" spans="1:121" ht="27" customHeight="1" x14ac:dyDescent="1.1499999999999999">
      <c r="A15" s="24">
        <f>IF(B15="","",1)</f>
        <v>1</v>
      </c>
      <c r="B15" s="36" t="s">
        <v>212</v>
      </c>
      <c r="C15" s="20" t="s">
        <v>211</v>
      </c>
      <c r="D15" s="21" t="s">
        <v>125</v>
      </c>
      <c r="E15" s="156">
        <v>691</v>
      </c>
      <c r="F15" s="1" t="s">
        <v>237</v>
      </c>
      <c r="G15" s="7">
        <v>86</v>
      </c>
      <c r="H15" s="7">
        <v>89.2</v>
      </c>
      <c r="I15" s="7">
        <v>88.800000000000011</v>
      </c>
      <c r="J15" s="7">
        <v>86</v>
      </c>
      <c r="K15" s="7">
        <v>87.566666666666663</v>
      </c>
      <c r="L15" s="7">
        <v>87.76666666666668</v>
      </c>
      <c r="M15" s="7">
        <v>87.866666666666674</v>
      </c>
      <c r="N15" s="7">
        <v>100</v>
      </c>
      <c r="O15" s="7">
        <v>100</v>
      </c>
      <c r="P15" s="7">
        <v>90.4</v>
      </c>
      <c r="Q15" s="7">
        <v>90.4</v>
      </c>
      <c r="R15" s="7">
        <v>64.58</v>
      </c>
      <c r="S15" s="7">
        <v>54.666666666666664</v>
      </c>
      <c r="T15" s="7">
        <v>93.333333333333343</v>
      </c>
      <c r="U15" s="7">
        <v>94.166666666666671</v>
      </c>
      <c r="V15" s="7">
        <v>91</v>
      </c>
      <c r="W15" s="3" t="str">
        <f t="shared" ref="W15:W30" si="0">IF(G15="","",IF(G15&gt;=90,"A",IF(G15&gt;=80,"B",IF(G15&gt;=70,"C",IF(G15&gt;=60,"D",IF(G15&gt;=50,"E",IF(G15&gt;=0,"F","")))))))</f>
        <v>B</v>
      </c>
      <c r="X15" s="3" t="str">
        <f t="shared" ref="X15:X30" si="1">IF(H15="","",IF(H15&gt;=90,"A",IF(H15&gt;=80,"B",IF(H15&gt;=70,"C",IF(H15&gt;=60,"D",IF(H15&gt;=50,"E",IF(H15&gt;=0,"F","")))))))</f>
        <v>B</v>
      </c>
      <c r="Y15" s="3" t="str">
        <f t="shared" ref="Y15:Y30" si="2">IF(I15="","",IF(I15&gt;=90,"A",IF(I15&gt;=80,"B",IF(I15&gt;=70,"C",IF(I15&gt;=60,"D",IF(I15&gt;=50,"E",IF(I15&gt;=0,"F","")))))))</f>
        <v>B</v>
      </c>
      <c r="Z15" s="3" t="str">
        <f t="shared" ref="Z15:Z30" si="3">IF(J15="","",IF(J15&gt;=90,"A",IF(J15&gt;=80,"B",IF(J15&gt;=70,"C",IF(J15&gt;=60,"D",IF(J15&gt;=50,"E",IF(J15&gt;=0,"F","")))))))</f>
        <v>B</v>
      </c>
      <c r="AA15" s="3" t="str">
        <f t="shared" ref="AA15:AA30" si="4">IF(K15="","",IF(K15&gt;=90,"A",IF(K15&gt;=80,"B",IF(K15&gt;=70,"C",IF(K15&gt;=60,"D",IF(K15&gt;=50,"E",IF(K15&gt;=0,"F","")))))))</f>
        <v>B</v>
      </c>
      <c r="AB15" s="3" t="str">
        <f t="shared" ref="AB15:AB30" si="5">IF(L15="","",IF(L15&gt;=90,"A",IF(L15&gt;=80,"B",IF(L15&gt;=70,"C",IF(L15&gt;=60,"D",IF(L15&gt;=50,"E",IF(L15&gt;=0,"F","")))))))</f>
        <v>B</v>
      </c>
      <c r="AC15" s="3" t="str">
        <f t="shared" ref="AC15:AC30" si="6">IF(M15="","",IF(M15&gt;=90,"A",IF(M15&gt;=80,"B",IF(M15&gt;=70,"C",IF(M15&gt;=60,"D",IF(M15&gt;=50,"E",IF(M15&gt;=0,"F","")))))))</f>
        <v>B</v>
      </c>
      <c r="AD15" s="3" t="str">
        <f t="shared" ref="AD15:AD30" si="7">IF(N15="","",IF(N15&gt;=90,"A",IF(N15&gt;=80,"B",IF(N15&gt;=70,"C",IF(N15&gt;=60,"D",IF(N15&gt;=50,"E",IF(N15&gt;=0,"F","")))))))</f>
        <v>A</v>
      </c>
      <c r="AE15" s="3" t="str">
        <f t="shared" ref="AE15:AE30" si="8">IF(O15="","",IF(O15&gt;=90,"A",IF(O15&gt;=80,"B",IF(O15&gt;=70,"C",IF(O15&gt;=60,"D",IF(O15&gt;=50,"E",IF(O15&gt;=0,"F","")))))))</f>
        <v>A</v>
      </c>
      <c r="AF15" s="24" t="str">
        <f t="shared" ref="AF15:AF30" si="9">IF(P15="","",IF(P15&gt;=90,"A",IF(P15&gt;=80,"B",IF(P15&gt;=70,"C",IF(P15&gt;=60,"D",IF(P15&gt;=50,"E",IF(P15&gt;=0,"F","")))))))</f>
        <v>A</v>
      </c>
      <c r="AG15" s="24" t="str">
        <f t="shared" ref="AG15:AG30" si="10">IF(Q15="","",IF(Q15&gt;=90,"A",IF(Q15&gt;=80,"B",IF(Q15&gt;=70,"C",IF(Q15&gt;=60,"D",IF(Q15&gt;=50,"E",IF(Q15&gt;=0,"F","")))))))</f>
        <v>A</v>
      </c>
      <c r="AH15" s="24" t="str">
        <f t="shared" ref="AH15:AH30" si="11">IF(R15="","",IF(R15&gt;=90,"A",IF(R15&gt;=80,"B",IF(R15&gt;=70,"C",IF(R15&gt;=60,"D",IF(R15&gt;=50,"E",IF(R15&gt;=0,"F","")))))))</f>
        <v>D</v>
      </c>
      <c r="AI15" s="24" t="str">
        <f t="shared" ref="AI15:AI30" si="12">IF(S15="","",IF(S15&gt;=90,"A",IF(S15&gt;=80,"B",IF(S15&gt;=70,"C",IF(S15&gt;=60,"D",IF(S15&gt;=50,"E",IF(S15&gt;=0,"F","")))))))</f>
        <v>E</v>
      </c>
      <c r="AJ15" s="24" t="str">
        <f t="shared" ref="AJ15:AJ30" si="13">IF(T15="","",IF(T15&gt;=90,"A",IF(T15&gt;=80,"B",IF(T15&gt;=70,"C",IF(T15&gt;=60,"D",IF(T15&gt;=50,"E",IF(T15&gt;=0,"F","")))))))</f>
        <v>A</v>
      </c>
      <c r="AK15" s="24" t="str">
        <f t="shared" ref="AK15:AK30" si="14">IF(U15="","",IF(U15&gt;=90,"A",IF(U15&gt;=80,"B",IF(U15&gt;=70,"C",IF(U15&gt;=60,"D",IF(U15&gt;=50,"E",IF(U15&gt;=0,"F","")))))))</f>
        <v>A</v>
      </c>
      <c r="AL15" s="24" t="str">
        <f t="shared" ref="AL15:AL30" si="15">IF(V15="","",IF(V15&gt;=90,"A",IF(V15&gt;=80,"B",IF(V15&gt;=70,"C",IF(V15&gt;=60,"D",IF(V15&gt;=50,"E",IF(V15&gt;=0,"F","")))))))</f>
        <v>A</v>
      </c>
      <c r="AM15" s="24">
        <f t="shared" ref="AM15:AM30" si="16">IF(G15="","",$AM$14)</f>
        <v>2</v>
      </c>
      <c r="AN15" s="24">
        <f t="shared" ref="AN15:AN30" si="17">IF(H15="","",$AN$14)</f>
        <v>2</v>
      </c>
      <c r="AO15" s="24">
        <f t="shared" ref="AO15:AO30" si="18">IF(I15="","",$AO$14)</f>
        <v>3</v>
      </c>
      <c r="AP15" s="24">
        <f t="shared" ref="AP15:AP30" si="19">IF(J15="","",$AP$14)</f>
        <v>1</v>
      </c>
      <c r="AQ15" s="24">
        <f t="shared" ref="AQ15:AQ30" si="20">IF(K15="","",$AQ$14)</f>
        <v>5</v>
      </c>
      <c r="AR15" s="24">
        <f t="shared" ref="AR15:AR30" si="21">IF(L15="","",$AR$14)</f>
        <v>3</v>
      </c>
      <c r="AS15" s="24">
        <f t="shared" ref="AS15:AS30" si="22">IF(M15="","",$AS$14)</f>
        <v>2</v>
      </c>
      <c r="AT15" s="24">
        <f t="shared" ref="AT15:AT30" si="23">IF(N15="","",$AT$14)</f>
        <v>1</v>
      </c>
      <c r="AU15" s="24">
        <f t="shared" ref="AU15:AU30" si="24">IF(O15="","",$AU$14)</f>
        <v>1</v>
      </c>
      <c r="AV15" s="24">
        <f t="shared" ref="AV15:AV30" si="25">IF(P15="","",$AV$14)</f>
        <v>5</v>
      </c>
      <c r="AW15" s="24">
        <f t="shared" ref="AW15:AW30" si="26">IF(Q15="","",$AW$14)</f>
        <v>1</v>
      </c>
      <c r="AX15" s="24">
        <f t="shared" ref="AX15:AX30" si="27">IF(R15="","",$AX$14)</f>
        <v>5</v>
      </c>
      <c r="AY15" s="24">
        <f t="shared" ref="AY15:AY30" si="28">IF(S15="","",$AY$14)</f>
        <v>3</v>
      </c>
      <c r="AZ15" s="24">
        <f t="shared" ref="AZ15:AZ30" si="29">IF(T15="","",$AZ$14)</f>
        <v>2</v>
      </c>
      <c r="BA15" s="24">
        <f t="shared" ref="BA15:BA30" si="30">IF(U15="","",$BA$14)</f>
        <v>2</v>
      </c>
      <c r="BB15" s="24">
        <f t="shared" ref="BB15:BB30" si="31">IF(V15="","",$BB$14)</f>
        <v>2</v>
      </c>
      <c r="BC15" s="26">
        <f t="shared" ref="BC15:BC30" si="32">IF(OR(G15="",AM15=""),"",PRODUCT(G15,AM15))</f>
        <v>172</v>
      </c>
      <c r="BD15" s="26">
        <f t="shared" ref="BD15:BD30" si="33">IF(OR(H15="",AN15=""),"",PRODUCT(H15,AN15))</f>
        <v>178.4</v>
      </c>
      <c r="BE15" s="26">
        <f t="shared" ref="BE15:BE30" si="34">IF(OR(I15="",AO15=""),"",PRODUCT(I15,AO15))</f>
        <v>266.40000000000003</v>
      </c>
      <c r="BF15" s="26">
        <f t="shared" ref="BF15:BF30" si="35">IF(OR(J15="",AP15=""),"",PRODUCT(J15,AP15))</f>
        <v>86</v>
      </c>
      <c r="BG15" s="26">
        <f t="shared" ref="BG15:BG30" si="36">IF(OR(K15="",AQ15=""),"",PRODUCT(K15,AQ15))</f>
        <v>437.83333333333331</v>
      </c>
      <c r="BH15" s="26">
        <f t="shared" ref="BH15:BH30" si="37">IF(OR(L15="",AR15=""),"",PRODUCT(L15,AR15))</f>
        <v>263.30000000000007</v>
      </c>
      <c r="BI15" s="26">
        <f t="shared" ref="BI15:BI30" si="38">IF(OR(M15="",AS15=""),"",PRODUCT(M15,AS15))</f>
        <v>175.73333333333335</v>
      </c>
      <c r="BJ15" s="26">
        <f t="shared" ref="BJ15:BJ30" si="39">IF(OR(N15="",AT15=""),"",PRODUCT(N15,AT15))</f>
        <v>100</v>
      </c>
      <c r="BK15" s="26">
        <f t="shared" ref="BK15:BK30" si="40">IF(OR(O15="",AU15=""),"",PRODUCT(O15,AU15))</f>
        <v>100</v>
      </c>
      <c r="BL15" s="26">
        <f t="shared" ref="BL15:BL30" si="41">IF(OR(P15="",AV15=""),"",PRODUCT(P15,AV15))</f>
        <v>452</v>
      </c>
      <c r="BM15" s="26">
        <f t="shared" ref="BM15:BM30" si="42">IF(OR(Q15="",AW15=""),"",PRODUCT(Q15,AW15))</f>
        <v>90.4</v>
      </c>
      <c r="BN15" s="26">
        <f t="shared" ref="BN15:BN30" si="43">IF(OR(R15="",AX15=""),"",PRODUCT(R15,AX15))</f>
        <v>322.89999999999998</v>
      </c>
      <c r="BO15" s="26">
        <f t="shared" ref="BO15:BO30" si="44">IF(OR(S15="",AY15=""),"",PRODUCT(S15,AY15))</f>
        <v>164</v>
      </c>
      <c r="BP15" s="26">
        <f t="shared" ref="BP15:BP30" si="45">IF(OR(T15="",AZ15=""),"",PRODUCT(T15,AZ15))</f>
        <v>186.66666666666669</v>
      </c>
      <c r="BQ15" s="26">
        <f t="shared" ref="BQ15:BQ30" si="46">IF(OR(U15="",BA15=""),"",PRODUCT(U15,BA15))</f>
        <v>188.33333333333334</v>
      </c>
      <c r="BR15" s="26">
        <f t="shared" ref="BR15:BR30" si="47">IF(OR(V15="",BB15=""),"",PRODUCT(V15,BB15))</f>
        <v>182</v>
      </c>
      <c r="BS15" s="24">
        <f t="shared" ref="BS15:BS27" si="48">IF(OR(AM15="",W15=""),"",AM15*(IF(OR(W15="A",W15="a"),4,(IF(OR(W505="B",W15="b"),3,(IF(OR(W15="C",W15="c"),2,(IF(OR(W15="D",W15="d"),1.5,(IF(OR(W15="E",W15="e"),1,(IF(OR(W15="F",W15="f"),0)))))))))))))</f>
        <v>6</v>
      </c>
      <c r="BT15" s="24">
        <f t="shared" ref="BT15:BT27" si="49">IF(OR(AN15="",X15=""),"",AN15*(IF(OR(X15="A",X15="a"),4,(IF(OR(X505="B",X15="b"),3,(IF(OR(X15="C",X15="c"),2,(IF(OR(X15="D",X15="d"),1.5,(IF(OR(X15="E",X15="e"),1,(IF(OR(X15="F",X15="f"),0)))))))))))))</f>
        <v>6</v>
      </c>
      <c r="BU15" s="24">
        <f t="shared" ref="BU15:BU27" si="50">IF(OR(AO15="",Y15=""),"",AO15*(IF(OR(Y15="A",Y15="a"),4,(IF(OR(Y505="B",Y15="b"),3,(IF(OR(Y15="C",Y15="c"),2,(IF(OR(Y15="D",Y15="d"),1.5,(IF(OR(Y15="E",Y15="e"),1,(IF(OR(Y15="F",Y15="f"),0)))))))))))))</f>
        <v>9</v>
      </c>
      <c r="BV15" s="24">
        <f t="shared" ref="BV15:BV27" si="51">IF(OR(AP15="",Z15=""),"",AP15*(IF(OR(Z15="A",Z15="a"),4,(IF(OR(Z505="B",Z15="b"),3,(IF(OR(Z15="C",Z15="c"),2,(IF(OR(Z15="D",Z15="d"),1.5,(IF(OR(Z15="E",Z15="e"),1,(IF(OR(Z15="F",Z15="f"),0)))))))))))))</f>
        <v>3</v>
      </c>
      <c r="BW15" s="24">
        <f t="shared" ref="BW15:BW27" si="52">IF(OR(AQ15="",AA15=""),"",AQ15*(IF(OR(AA15="A",AA15="a"),4,(IF(OR(AA505="B",AA15="b"),3,(IF(OR(AA15="C",AA15="c"),2,(IF(OR(AA15="D",AA15="d"),1.5,(IF(OR(AA15="E",AA15="e"),1,(IF(OR(AA15="F",AA15="f"),0)))))))))))))</f>
        <v>15</v>
      </c>
      <c r="BX15" s="24">
        <f t="shared" ref="BX15:BX27" si="53">IF(OR(AR15="",AB15=""),"",AR15*(IF(OR(AB15="A",AB15="a"),4,(IF(OR(AE505="B",AB15="b"),3,(IF(OR(AB15="C",AB15="c"),2,(IF(OR(AB15="D",AB15="d"),1.5,(IF(OR(AB15="E",AB15="e"),1,(IF(OR(AB15="F",AB15="f"),0)))))))))))))</f>
        <v>9</v>
      </c>
      <c r="BY15" s="24">
        <f t="shared" ref="BY15:BY27" si="54">IF(OR(AS15="",AC15=""),"",AS15*(IF(OR(AC15="A",AC15="a"),4,(IF(OR(AM505="B",AC15="b"),3,(IF(OR(AC15="C",AC15="c"),2,(IF(OR(AC15="D",AC15="d"),1.5,(IF(OR(AC15="E",AC15="e"),1,(IF(OR(AC15="F",AC15="f"),0)))))))))))))</f>
        <v>6</v>
      </c>
      <c r="BZ15" s="24">
        <f t="shared" ref="BZ15:BZ27" si="55">IF(OR(AT15="",AD15=""),"",AT15*(IF(OR(AD15="A",AD15="a"),4,(IF(OR(AN505="B",AD15="b"),3,(IF(OR(AD15="C",AD15="c"),2,(IF(OR(AD15="D",AD15="d"),1.5,(IF(OR(AD15="E",AD15="e"),1,(IF(OR(AD15="F",AD15="f"),0)))))))))))))</f>
        <v>4</v>
      </c>
      <c r="CA15" s="24">
        <f t="shared" ref="CA15:CA27" si="56">IF(OR(AU15="",AE15=""),"",AU15*(IF(OR(AE15="A",AE15="a"),4,(IF(OR(AE505="B",AE15="b"),3,(IF(OR(AE15="C",AE15="c"),2,(IF(OR(AE15="D",AE15="d"),1.5,(IF(OR(AE15="E",AE15="e"),1,(IF(OR(AE15="F",AE15="f"),0)))))))))))))</f>
        <v>4</v>
      </c>
      <c r="CB15" s="24">
        <f t="shared" ref="CB15:CB27" si="57">IF(OR(AV15="",AF15=""),"",AV15*(IF(OR(AF15="A",AF15="a"),4,(IF(OR(AF506="B",AF15="b"),3,(IF(OR(AF15="C",AF15="c"),2,(IF(OR(AF15="D",AF15="d"),1.5,(IF(OR(AF15="E",AF15="e"),1,(IF(OR(AF15="F",AF15="f"),0)))))))))))))</f>
        <v>20</v>
      </c>
      <c r="CC15" s="24">
        <f t="shared" ref="CC15:CC27" si="58">IF(OR(AW15="",AG15=""),"",AW15*(IF(OR(AG15="A",AG15="a"),4,(IF(OR(AG506="B",AG15="b"),3,(IF(OR(AG15="C",AG15="c"),2,(IF(OR(AG15="D",AG15="d"),1.5,(IF(OR(AG15="E",AG15="e"),1,(IF(OR(AG15="F",AG15="f"),0)))))))))))))</f>
        <v>4</v>
      </c>
      <c r="CD15" s="24">
        <f t="shared" ref="CD15:CD27" si="59">IF(OR(AX15="",AH15=""),"",AX15*(IF(OR(AH15="A",AH15="a"),4,(IF(OR(AH506="B",AH15="b"),3,(IF(OR(AH15="C",AH15="c"),2,(IF(OR(AH15="D",AH15="d"),1.5,(IF(OR(AH15="E",AH15="e"),1,(IF(OR(AH15="F",AH15="f"),0)))))))))))))</f>
        <v>7.5</v>
      </c>
      <c r="CE15" s="24">
        <f t="shared" ref="CE15:CE27" si="60">IF(OR(AY15="",AI15=""),"",AY15*(IF(OR(AI15="A",AI15="a"),4,(IF(OR(AI506="B",AI15="b"),3,(IF(OR(AI15="C",AI15="c"),2,(IF(OR(AI15="D",AI15="d"),1.5,(IF(OR(AI15="E",AI15="e"),1,(IF(OR(AI15="F",AI15="f"),0)))))))))))))</f>
        <v>3</v>
      </c>
      <c r="CF15" s="24">
        <f t="shared" ref="CF15:CF27" si="61">IF(OR(AZ15="",AJ15=""),"",AZ15*(IF(OR(AJ15="A",AJ15="a"),4,(IF(OR(AJ506="B",AJ15="b"),3,(IF(OR(AJ15="C",AJ15="c"),2,(IF(OR(AJ15="D",AJ15="d"),1.5,(IF(OR(AJ15="E",AJ15="e"),1,(IF(OR(AJ15="F",AJ15="f"),0)))))))))))))</f>
        <v>8</v>
      </c>
      <c r="CG15" s="24">
        <f t="shared" ref="CG15:CG27" si="62">IF(OR(BA15="",AK15=""),"",BA15*(IF(OR(AK15="A",AK15="a"),4,(IF(OR(AK443="B",AK15="b"),3,(IF(OR(AK15="C",AK15="c"),2,(IF(OR(AK15="D",AK15="d"),1.5,(IF(OR(AK15="E",AK15="e"),1,(IF(OR(AK15="F",AK15="f"),0)))))))))))))</f>
        <v>8</v>
      </c>
      <c r="CH15" s="24">
        <f t="shared" ref="CH15:CH27" si="63">IF(OR(BB15="",AL15=""),"",BB15*(IF(OR(AL15="A",AL15="a"),4,(IF(OR(AV506="B",AL15="b"),3,(IF(OR(AL15="C",AL15="c"),2,(IF(OR(AL15="D",AL15="d"),1.5,(IF(OR(AL15="E",AL15="e"),1,(IF(OR(AL15="F",AL15="f"),0)))))))))))))</f>
        <v>8</v>
      </c>
      <c r="CI15" s="24">
        <f t="shared" ref="CI15:CI30" si="64">IF(B15="","",SUM(AM15:AU15))</f>
        <v>20</v>
      </c>
      <c r="CJ15" s="26">
        <f>IF(B15="","",SUM(BC15:BK15))</f>
        <v>1779.6666666666667</v>
      </c>
      <c r="CK15" s="26">
        <f t="shared" ref="CK15:CK30" si="65">IF(B15="","",SUM(BS15:CA15))</f>
        <v>62</v>
      </c>
      <c r="CL15" s="26">
        <f>IF(OR(CI15="",CJ15=""),"",CJ15/CI15)</f>
        <v>88.983333333333334</v>
      </c>
      <c r="CM15" s="24" t="str">
        <f>IF(CL15="","",IF(CL15&gt;=90,"A",IF(CL15&gt;=80,"B",IF(CL15&gt;=70,"C",IF(CL15&gt;=60,"D",IF(CL15&gt;=50,"E",IF(CL15&gt;=0,"F","")))))))</f>
        <v>B</v>
      </c>
      <c r="CN15" s="26">
        <f t="shared" ref="CN15:CN30" si="66">IF(B15="","",CK15/CI15)</f>
        <v>3.1</v>
      </c>
      <c r="CO15" s="24">
        <f t="shared" ref="CO15:CO30" si="67">IF(B15="","",SUM(AV15:BB15))</f>
        <v>20</v>
      </c>
      <c r="CP15" s="26">
        <f t="shared" ref="CP15:CP30" si="68">IF(B15="","",SUM(BL15:BR15))</f>
        <v>1586.3</v>
      </c>
      <c r="CQ15" s="26">
        <f t="shared" ref="CQ15:CQ30" si="69">IF(B15="","",SUM(CB15:CH15))</f>
        <v>58.5</v>
      </c>
      <c r="CR15" s="26">
        <f>IF(OR(CO15="",CP15=""),"",CP15/CO15)</f>
        <v>79.314999999999998</v>
      </c>
      <c r="CS15" s="24" t="str">
        <f>IF(CR15="","",IF(CR15&gt;=90,"A",IF(CR15&gt;=80,"B",IF(CR15&gt;=70,"C",IF(CR15&gt;=60,"D",IF(CR15&gt;=50,"E",IF(CR15&gt;=0,"F","")))))))</f>
        <v>C</v>
      </c>
      <c r="CT15" s="27">
        <f t="shared" ref="CT15:CT30" si="70">IF(B15="","",CQ15/CO15)</f>
        <v>2.9249999999999998</v>
      </c>
      <c r="CU15" s="24">
        <f t="shared" ref="CU15:CU30" si="71">IF(SUM(AM15:BB15)=0,"",IF(OR(B15="",F15="I",F15="II",F15="M",F15="A"),(SUM(AM15:BB15)),IF(OR(B15="",F15="III"),(SUM(CI15,CO15)))))</f>
        <v>40</v>
      </c>
      <c r="CV15" s="27">
        <f t="shared" ref="CV15:CV30" si="72">IF(SUM(AM15:BB15)=0,"",IF(OR(B15="",F15="I",F15="II",F15="M",F15="A"),(SUM(BC15:BR15)),IF(OR(B15="",F15="III"),(SUM(CJ15,CP15)))))</f>
        <v>3365.9666666666672</v>
      </c>
      <c r="CW15" s="26">
        <f t="shared" ref="CW15:CW30" si="73">IF(SUM(AM15:BB15)=0,"",IF(OR(B15="",F15="I",F15="II",F15="M",F15="A"),(SUM(BS15:CH15)),IF(OR(B15="",F15="III"),(SUM(CQ15,CK15)))))</f>
        <v>120.5</v>
      </c>
      <c r="CX15" s="26">
        <f>IF(OR(CU15=0,CV15=0),0,IF(OR(CU15="",CV15=""),"",CV15/CU15))</f>
        <v>84.149166666666673</v>
      </c>
      <c r="CY15" s="27" t="str">
        <f>IF(CX15="","",IF(CX15&gt;=90,"A",IF(CX15&gt;=80,"B",IF(CX15&gt;=70,"C",IF(CX15&gt;=60,"D",IF(CX15&gt;=50,"E",IF(CX15&gt;=0,"F","")))))))</f>
        <v>B</v>
      </c>
      <c r="CZ15" s="26">
        <f t="shared" ref="CZ15:CZ30" si="74">IF(B15="","",CW15/CU15)</f>
        <v>3.0125000000000002</v>
      </c>
      <c r="DA15" s="24">
        <f t="shared" ref="DA15:DA29" si="75">IF(OR(B15="",CX15=""),"",RANK(CX15,$CX$15:$CX$81))</f>
        <v>6</v>
      </c>
      <c r="DB15" s="24" t="str">
        <f t="shared" ref="DB15:DB30" si="76">IF(B15="","",$C$9)</f>
        <v>6A</v>
      </c>
      <c r="DC15" s="24">
        <f t="shared" ref="DC15:DC46" si="77">IF(B15="","",COUNTA($B$15:$B$82))</f>
        <v>13</v>
      </c>
      <c r="DD15" s="24">
        <f t="shared" ref="DD15:DD30" si="78">IF(B15="","",$C$8)</f>
        <v>50</v>
      </c>
      <c r="DE15" s="1">
        <v>0</v>
      </c>
      <c r="DF15" s="1">
        <v>0</v>
      </c>
      <c r="DG15" s="1">
        <v>0</v>
      </c>
      <c r="DH15" s="24">
        <f t="shared" ref="DH15:DH30" si="79">IF(B15="","",DF15+DG15)</f>
        <v>0</v>
      </c>
      <c r="DI15" s="25">
        <f t="shared" ref="DI15:DI30" si="80">IF(B15="","",(DD15-DH15)/DD15)</f>
        <v>1</v>
      </c>
      <c r="DJ15" t="str">
        <f t="shared" ref="DJ15:DJ30" si="81">IF(B15="","",$C$11)</f>
        <v>2025-2026</v>
      </c>
      <c r="DK15" s="135"/>
      <c r="DL15" s="9"/>
      <c r="DM15" s="9"/>
      <c r="DN15" s="9"/>
      <c r="DO15" s="9"/>
      <c r="DP15" s="9"/>
      <c r="DQ15" s="136" t="b">
        <f t="shared" ref="DQ15:DQ30" si="82">EXACT(B15,DK15)</f>
        <v>0</v>
      </c>
    </row>
    <row r="16" spans="1:121" ht="27" customHeight="1" x14ac:dyDescent="1.1499999999999999">
      <c r="A16" s="24">
        <f>IF(B16="","",A15+1)</f>
        <v>2</v>
      </c>
      <c r="B16" s="36" t="s">
        <v>127</v>
      </c>
      <c r="C16" s="20" t="s">
        <v>128</v>
      </c>
      <c r="D16" s="21" t="s">
        <v>124</v>
      </c>
      <c r="E16" s="156">
        <v>689</v>
      </c>
      <c r="F16" s="1" t="s">
        <v>237</v>
      </c>
      <c r="G16" s="7">
        <v>88.666666666666671</v>
      </c>
      <c r="H16" s="7">
        <v>91.933333333333337</v>
      </c>
      <c r="I16" s="7">
        <v>93.26666666666668</v>
      </c>
      <c r="J16" s="7">
        <v>91.333333333333343</v>
      </c>
      <c r="K16" s="7">
        <v>94.7</v>
      </c>
      <c r="L16" s="7">
        <v>87.600000000000009</v>
      </c>
      <c r="M16" s="7">
        <v>90.3</v>
      </c>
      <c r="N16" s="7">
        <v>100</v>
      </c>
      <c r="O16" s="7">
        <v>100</v>
      </c>
      <c r="P16" s="7">
        <v>87.45</v>
      </c>
      <c r="Q16" s="7">
        <v>87.45</v>
      </c>
      <c r="R16" s="7">
        <v>63.5</v>
      </c>
      <c r="S16" s="7">
        <v>60</v>
      </c>
      <c r="T16" s="7">
        <v>100</v>
      </c>
      <c r="U16" s="7">
        <v>93.666666666666671</v>
      </c>
      <c r="V16" s="7">
        <v>89.466666666666669</v>
      </c>
      <c r="W16" s="3" t="str">
        <f t="shared" si="0"/>
        <v>B</v>
      </c>
      <c r="X16" s="3" t="str">
        <f t="shared" si="1"/>
        <v>A</v>
      </c>
      <c r="Y16" s="3" t="str">
        <f t="shared" si="2"/>
        <v>A</v>
      </c>
      <c r="Z16" s="3" t="str">
        <f t="shared" si="3"/>
        <v>A</v>
      </c>
      <c r="AA16" s="3" t="str">
        <f t="shared" si="4"/>
        <v>A</v>
      </c>
      <c r="AB16" s="3" t="str">
        <f t="shared" si="5"/>
        <v>B</v>
      </c>
      <c r="AC16" s="3" t="str">
        <f t="shared" si="6"/>
        <v>A</v>
      </c>
      <c r="AD16" s="3" t="str">
        <f t="shared" si="7"/>
        <v>A</v>
      </c>
      <c r="AE16" s="3" t="str">
        <f t="shared" si="8"/>
        <v>A</v>
      </c>
      <c r="AF16" s="24" t="str">
        <f t="shared" si="9"/>
        <v>B</v>
      </c>
      <c r="AG16" s="24" t="str">
        <f t="shared" si="10"/>
        <v>B</v>
      </c>
      <c r="AH16" s="24" t="str">
        <f t="shared" si="11"/>
        <v>D</v>
      </c>
      <c r="AI16" s="24" t="str">
        <f t="shared" si="12"/>
        <v>D</v>
      </c>
      <c r="AJ16" s="24" t="str">
        <f t="shared" si="13"/>
        <v>A</v>
      </c>
      <c r="AK16" s="24" t="str">
        <f t="shared" si="14"/>
        <v>A</v>
      </c>
      <c r="AL16" s="24" t="str">
        <f t="shared" si="15"/>
        <v>B</v>
      </c>
      <c r="AM16" s="24">
        <f t="shared" si="16"/>
        <v>2</v>
      </c>
      <c r="AN16" s="24">
        <f t="shared" si="17"/>
        <v>2</v>
      </c>
      <c r="AO16" s="24">
        <f t="shared" si="18"/>
        <v>3</v>
      </c>
      <c r="AP16" s="24">
        <f t="shared" si="19"/>
        <v>1</v>
      </c>
      <c r="AQ16" s="24">
        <f t="shared" si="20"/>
        <v>5</v>
      </c>
      <c r="AR16" s="24">
        <f t="shared" si="21"/>
        <v>3</v>
      </c>
      <c r="AS16" s="24">
        <f t="shared" si="22"/>
        <v>2</v>
      </c>
      <c r="AT16" s="24">
        <f t="shared" si="23"/>
        <v>1</v>
      </c>
      <c r="AU16" s="24">
        <f t="shared" si="24"/>
        <v>1</v>
      </c>
      <c r="AV16" s="24">
        <f t="shared" si="25"/>
        <v>5</v>
      </c>
      <c r="AW16" s="24">
        <f t="shared" si="26"/>
        <v>1</v>
      </c>
      <c r="AX16" s="24">
        <f t="shared" si="27"/>
        <v>5</v>
      </c>
      <c r="AY16" s="24">
        <f t="shared" si="28"/>
        <v>3</v>
      </c>
      <c r="AZ16" s="24">
        <f t="shared" si="29"/>
        <v>2</v>
      </c>
      <c r="BA16" s="24">
        <f t="shared" si="30"/>
        <v>2</v>
      </c>
      <c r="BB16" s="24">
        <f t="shared" si="31"/>
        <v>2</v>
      </c>
      <c r="BC16" s="26">
        <f t="shared" si="32"/>
        <v>177.33333333333334</v>
      </c>
      <c r="BD16" s="26">
        <f t="shared" si="33"/>
        <v>183.86666666666667</v>
      </c>
      <c r="BE16" s="26">
        <f t="shared" si="34"/>
        <v>279.80000000000007</v>
      </c>
      <c r="BF16" s="26">
        <f t="shared" si="35"/>
        <v>91.333333333333343</v>
      </c>
      <c r="BG16" s="26">
        <f t="shared" si="36"/>
        <v>473.5</v>
      </c>
      <c r="BH16" s="26">
        <f t="shared" si="37"/>
        <v>262.8</v>
      </c>
      <c r="BI16" s="26">
        <f t="shared" si="38"/>
        <v>180.6</v>
      </c>
      <c r="BJ16" s="26">
        <f t="shared" si="39"/>
        <v>100</v>
      </c>
      <c r="BK16" s="26">
        <f t="shared" si="40"/>
        <v>100</v>
      </c>
      <c r="BL16" s="26">
        <f t="shared" si="41"/>
        <v>437.25</v>
      </c>
      <c r="BM16" s="26">
        <f t="shared" si="42"/>
        <v>87.45</v>
      </c>
      <c r="BN16" s="26">
        <f t="shared" si="43"/>
        <v>317.5</v>
      </c>
      <c r="BO16" s="26">
        <f t="shared" si="44"/>
        <v>180</v>
      </c>
      <c r="BP16" s="26">
        <f t="shared" si="45"/>
        <v>200</v>
      </c>
      <c r="BQ16" s="26">
        <f t="shared" si="46"/>
        <v>187.33333333333334</v>
      </c>
      <c r="BR16" s="26">
        <f t="shared" si="47"/>
        <v>178.93333333333334</v>
      </c>
      <c r="BS16" s="24">
        <f t="shared" si="48"/>
        <v>6</v>
      </c>
      <c r="BT16" s="24">
        <f t="shared" si="49"/>
        <v>8</v>
      </c>
      <c r="BU16" s="24">
        <f t="shared" si="50"/>
        <v>12</v>
      </c>
      <c r="BV16" s="24">
        <f t="shared" si="51"/>
        <v>4</v>
      </c>
      <c r="BW16" s="24">
        <f t="shared" si="52"/>
        <v>20</v>
      </c>
      <c r="BX16" s="24">
        <f t="shared" si="53"/>
        <v>9</v>
      </c>
      <c r="BY16" s="24">
        <f t="shared" si="54"/>
        <v>8</v>
      </c>
      <c r="BZ16" s="24">
        <f t="shared" si="55"/>
        <v>4</v>
      </c>
      <c r="CA16" s="24">
        <f t="shared" si="56"/>
        <v>4</v>
      </c>
      <c r="CB16" s="24">
        <f t="shared" si="57"/>
        <v>15</v>
      </c>
      <c r="CC16" s="24">
        <f t="shared" si="58"/>
        <v>3</v>
      </c>
      <c r="CD16" s="24">
        <f t="shared" si="59"/>
        <v>7.5</v>
      </c>
      <c r="CE16" s="24">
        <f t="shared" si="60"/>
        <v>4.5</v>
      </c>
      <c r="CF16" s="24">
        <f t="shared" si="61"/>
        <v>8</v>
      </c>
      <c r="CG16" s="24">
        <f t="shared" si="62"/>
        <v>8</v>
      </c>
      <c r="CH16" s="24">
        <f t="shared" si="63"/>
        <v>6</v>
      </c>
      <c r="CI16" s="24">
        <f t="shared" si="64"/>
        <v>20</v>
      </c>
      <c r="CJ16" s="26">
        <f t="shared" ref="CJ16:CJ25" si="83">IF(B16="","",SUM(BC16:BK16))</f>
        <v>1849.2333333333333</v>
      </c>
      <c r="CK16" s="26">
        <f t="shared" si="65"/>
        <v>75</v>
      </c>
      <c r="CL16" s="26">
        <f t="shared" ref="CL16:CL63" si="84">IF(OR(CI16="",CJ16=""),"",CJ16/CI16)</f>
        <v>92.461666666666673</v>
      </c>
      <c r="CM16" s="24" t="str">
        <f t="shared" ref="CM16:CM63" si="85">IF(CL16="","",IF(CL16&gt;=90,"A",IF(CL16&gt;=80,"B",IF(CL16&gt;=70,"C",IF(CL16&gt;=60,"D",IF(CL16&gt;=50,"E",IF(CL16&gt;=0,"F","")))))))</f>
        <v>A</v>
      </c>
      <c r="CN16" s="26">
        <f t="shared" si="66"/>
        <v>3.75</v>
      </c>
      <c r="CO16" s="24">
        <f t="shared" si="67"/>
        <v>20</v>
      </c>
      <c r="CP16" s="26">
        <f t="shared" si="68"/>
        <v>1588.4666666666667</v>
      </c>
      <c r="CQ16" s="26">
        <f t="shared" si="69"/>
        <v>52</v>
      </c>
      <c r="CR16" s="26">
        <f t="shared" ref="CR16:CR61" si="86">IF(OR(CO16="",CP16=""),"",CP16/CO16)</f>
        <v>79.423333333333332</v>
      </c>
      <c r="CS16" s="24" t="str">
        <f t="shared" ref="CS16:CS61" si="87">IF(CR16="","",IF(CR16&gt;=90,"A",IF(CR16&gt;=80,"B",IF(CR16&gt;=70,"C",IF(CR16&gt;=60,"D",IF(CR16&gt;=50,"E",IF(CR16&gt;=0,"F","")))))))</f>
        <v>C</v>
      </c>
      <c r="CT16" s="27">
        <f t="shared" si="70"/>
        <v>2.6</v>
      </c>
      <c r="CU16" s="24">
        <f t="shared" si="71"/>
        <v>40</v>
      </c>
      <c r="CV16" s="27">
        <f t="shared" si="72"/>
        <v>3437.7000000000003</v>
      </c>
      <c r="CW16" s="26">
        <f t="shared" si="73"/>
        <v>127</v>
      </c>
      <c r="CX16" s="26">
        <f t="shared" ref="CX16:CX63" si="88">IF(OR(CU16=0,CV16=0),0,IF(OR(CU16="",CV16=""),"",CV16/CU16))</f>
        <v>85.94250000000001</v>
      </c>
      <c r="CY16" s="27" t="str">
        <f t="shared" ref="CY16:CY63" si="89">IF(CX16="","",IF(CX16&gt;=90,"A",IF(CX16&gt;=80,"B",IF(CX16&gt;=70,"C",IF(CX16&gt;=60,"D",IF(CX16&gt;=50,"E",IF(CX16&gt;=0,"F","")))))))</f>
        <v>B</v>
      </c>
      <c r="CZ16" s="26">
        <f t="shared" si="74"/>
        <v>3.1749999999999998</v>
      </c>
      <c r="DA16" s="24">
        <f t="shared" si="75"/>
        <v>4</v>
      </c>
      <c r="DB16" s="24" t="str">
        <f t="shared" si="76"/>
        <v>6A</v>
      </c>
      <c r="DC16" s="24">
        <f t="shared" si="77"/>
        <v>13</v>
      </c>
      <c r="DD16" s="24">
        <f t="shared" si="78"/>
        <v>50</v>
      </c>
      <c r="DE16" s="1">
        <v>0</v>
      </c>
      <c r="DF16" s="1">
        <v>0</v>
      </c>
      <c r="DG16" s="1">
        <v>0</v>
      </c>
      <c r="DH16" s="24">
        <f t="shared" si="79"/>
        <v>0</v>
      </c>
      <c r="DI16" s="25">
        <f t="shared" si="80"/>
        <v>1</v>
      </c>
      <c r="DJ16" t="str">
        <f t="shared" si="81"/>
        <v>2025-2026</v>
      </c>
      <c r="DK16" s="9"/>
      <c r="DL16" s="9"/>
      <c r="DM16" s="9"/>
      <c r="DN16" s="9"/>
      <c r="DO16" s="9"/>
      <c r="DP16" s="9"/>
      <c r="DQ16" s="136" t="b">
        <f t="shared" si="82"/>
        <v>0</v>
      </c>
    </row>
    <row r="17" spans="1:121" ht="27" customHeight="1" x14ac:dyDescent="1.1499999999999999">
      <c r="A17" s="24">
        <f t="shared" ref="A17:A62" si="90">IF(B17="","",A16+1)</f>
        <v>3</v>
      </c>
      <c r="B17" s="36" t="s">
        <v>129</v>
      </c>
      <c r="C17" s="20" t="s">
        <v>130</v>
      </c>
      <c r="D17" s="21" t="s">
        <v>124</v>
      </c>
      <c r="E17" s="156">
        <v>688</v>
      </c>
      <c r="F17" s="1" t="s">
        <v>237</v>
      </c>
      <c r="G17" s="7">
        <v>90.333333333333343</v>
      </c>
      <c r="H17" s="7">
        <v>92.300000000000011</v>
      </c>
      <c r="I17" s="7">
        <v>91.633333333333326</v>
      </c>
      <c r="J17" s="7">
        <v>90.333333333333343</v>
      </c>
      <c r="K17" s="7">
        <v>91.733333333333348</v>
      </c>
      <c r="L17" s="7">
        <v>92.4</v>
      </c>
      <c r="M17" s="7">
        <v>91.733333333333334</v>
      </c>
      <c r="N17" s="7">
        <v>100</v>
      </c>
      <c r="O17" s="7">
        <v>100</v>
      </c>
      <c r="P17" s="7">
        <v>81.34</v>
      </c>
      <c r="Q17" s="7">
        <v>81.34</v>
      </c>
      <c r="R17" s="7">
        <v>76.14</v>
      </c>
      <c r="S17" s="7">
        <v>45.5</v>
      </c>
      <c r="T17" s="7">
        <v>96</v>
      </c>
      <c r="U17" s="7">
        <v>85.5</v>
      </c>
      <c r="V17" s="7">
        <v>83.166666666666671</v>
      </c>
      <c r="W17" s="3" t="str">
        <f t="shared" si="0"/>
        <v>A</v>
      </c>
      <c r="X17" s="3" t="str">
        <f t="shared" si="1"/>
        <v>A</v>
      </c>
      <c r="Y17" s="3" t="str">
        <f t="shared" si="2"/>
        <v>A</v>
      </c>
      <c r="Z17" s="3" t="str">
        <f t="shared" si="3"/>
        <v>A</v>
      </c>
      <c r="AA17" s="3" t="str">
        <f t="shared" si="4"/>
        <v>A</v>
      </c>
      <c r="AB17" s="3" t="str">
        <f t="shared" si="5"/>
        <v>A</v>
      </c>
      <c r="AC17" s="3" t="str">
        <f t="shared" si="6"/>
        <v>A</v>
      </c>
      <c r="AD17" s="3" t="str">
        <f t="shared" si="7"/>
        <v>A</v>
      </c>
      <c r="AE17" s="3" t="str">
        <f t="shared" si="8"/>
        <v>A</v>
      </c>
      <c r="AF17" s="24" t="str">
        <f t="shared" si="9"/>
        <v>B</v>
      </c>
      <c r="AG17" s="24" t="str">
        <f t="shared" si="10"/>
        <v>B</v>
      </c>
      <c r="AH17" s="24" t="str">
        <f t="shared" si="11"/>
        <v>C</v>
      </c>
      <c r="AI17" s="24" t="str">
        <f t="shared" si="12"/>
        <v>F</v>
      </c>
      <c r="AJ17" s="24" t="str">
        <f t="shared" si="13"/>
        <v>A</v>
      </c>
      <c r="AK17" s="24" t="str">
        <f t="shared" si="14"/>
        <v>B</v>
      </c>
      <c r="AL17" s="24" t="str">
        <f t="shared" si="15"/>
        <v>B</v>
      </c>
      <c r="AM17" s="24">
        <f t="shared" si="16"/>
        <v>2</v>
      </c>
      <c r="AN17" s="24">
        <f t="shared" si="17"/>
        <v>2</v>
      </c>
      <c r="AO17" s="24">
        <f t="shared" si="18"/>
        <v>3</v>
      </c>
      <c r="AP17" s="24">
        <f t="shared" si="19"/>
        <v>1</v>
      </c>
      <c r="AQ17" s="24">
        <f t="shared" si="20"/>
        <v>5</v>
      </c>
      <c r="AR17" s="24">
        <f t="shared" si="21"/>
        <v>3</v>
      </c>
      <c r="AS17" s="24">
        <f t="shared" si="22"/>
        <v>2</v>
      </c>
      <c r="AT17" s="24">
        <f t="shared" si="23"/>
        <v>1</v>
      </c>
      <c r="AU17" s="24">
        <f t="shared" si="24"/>
        <v>1</v>
      </c>
      <c r="AV17" s="24">
        <f t="shared" si="25"/>
        <v>5</v>
      </c>
      <c r="AW17" s="24">
        <f t="shared" si="26"/>
        <v>1</v>
      </c>
      <c r="AX17" s="24">
        <f t="shared" si="27"/>
        <v>5</v>
      </c>
      <c r="AY17" s="24">
        <f t="shared" si="28"/>
        <v>3</v>
      </c>
      <c r="AZ17" s="24">
        <f t="shared" si="29"/>
        <v>2</v>
      </c>
      <c r="BA17" s="24">
        <f t="shared" si="30"/>
        <v>2</v>
      </c>
      <c r="BB17" s="24">
        <f t="shared" si="31"/>
        <v>2</v>
      </c>
      <c r="BC17" s="26">
        <f t="shared" si="32"/>
        <v>180.66666666666669</v>
      </c>
      <c r="BD17" s="26">
        <f t="shared" si="33"/>
        <v>184.60000000000002</v>
      </c>
      <c r="BE17" s="26">
        <f t="shared" si="34"/>
        <v>274.89999999999998</v>
      </c>
      <c r="BF17" s="26">
        <f t="shared" si="35"/>
        <v>90.333333333333343</v>
      </c>
      <c r="BG17" s="26">
        <f t="shared" si="36"/>
        <v>458.66666666666674</v>
      </c>
      <c r="BH17" s="26">
        <f t="shared" si="37"/>
        <v>277.20000000000005</v>
      </c>
      <c r="BI17" s="26">
        <f t="shared" si="38"/>
        <v>183.46666666666667</v>
      </c>
      <c r="BJ17" s="26">
        <f t="shared" si="39"/>
        <v>100</v>
      </c>
      <c r="BK17" s="26">
        <f t="shared" si="40"/>
        <v>100</v>
      </c>
      <c r="BL17" s="26">
        <f t="shared" si="41"/>
        <v>406.70000000000005</v>
      </c>
      <c r="BM17" s="26">
        <f t="shared" si="42"/>
        <v>81.34</v>
      </c>
      <c r="BN17" s="26">
        <f t="shared" si="43"/>
        <v>380.7</v>
      </c>
      <c r="BO17" s="26">
        <f t="shared" si="44"/>
        <v>136.5</v>
      </c>
      <c r="BP17" s="26">
        <f t="shared" si="45"/>
        <v>192</v>
      </c>
      <c r="BQ17" s="26">
        <f t="shared" si="46"/>
        <v>171</v>
      </c>
      <c r="BR17" s="26">
        <f t="shared" si="47"/>
        <v>166.33333333333334</v>
      </c>
      <c r="BS17" s="24">
        <f t="shared" si="48"/>
        <v>8</v>
      </c>
      <c r="BT17" s="24">
        <f t="shared" si="49"/>
        <v>8</v>
      </c>
      <c r="BU17" s="24">
        <f t="shared" si="50"/>
        <v>12</v>
      </c>
      <c r="BV17" s="24">
        <f t="shared" si="51"/>
        <v>4</v>
      </c>
      <c r="BW17" s="24">
        <f t="shared" si="52"/>
        <v>20</v>
      </c>
      <c r="BX17" s="24">
        <f t="shared" si="53"/>
        <v>12</v>
      </c>
      <c r="BY17" s="24">
        <f t="shared" si="54"/>
        <v>8</v>
      </c>
      <c r="BZ17" s="24">
        <f t="shared" si="55"/>
        <v>4</v>
      </c>
      <c r="CA17" s="24">
        <f t="shared" si="56"/>
        <v>4</v>
      </c>
      <c r="CB17" s="24">
        <f t="shared" si="57"/>
        <v>15</v>
      </c>
      <c r="CC17" s="24">
        <f t="shared" si="58"/>
        <v>3</v>
      </c>
      <c r="CD17" s="24">
        <f t="shared" si="59"/>
        <v>10</v>
      </c>
      <c r="CE17" s="24">
        <f t="shared" si="60"/>
        <v>0</v>
      </c>
      <c r="CF17" s="24">
        <f t="shared" si="61"/>
        <v>8</v>
      </c>
      <c r="CG17" s="24">
        <f t="shared" si="62"/>
        <v>6</v>
      </c>
      <c r="CH17" s="24">
        <f t="shared" si="63"/>
        <v>6</v>
      </c>
      <c r="CI17" s="24">
        <f t="shared" si="64"/>
        <v>20</v>
      </c>
      <c r="CJ17" s="26">
        <f t="shared" si="83"/>
        <v>1849.8333333333337</v>
      </c>
      <c r="CK17" s="26">
        <f t="shared" si="65"/>
        <v>80</v>
      </c>
      <c r="CL17" s="26">
        <f t="shared" si="84"/>
        <v>92.491666666666688</v>
      </c>
      <c r="CM17" s="24" t="str">
        <f t="shared" si="85"/>
        <v>A</v>
      </c>
      <c r="CN17" s="26">
        <f t="shared" si="66"/>
        <v>4</v>
      </c>
      <c r="CO17" s="24">
        <f t="shared" si="67"/>
        <v>20</v>
      </c>
      <c r="CP17" s="26">
        <f t="shared" si="68"/>
        <v>1534.5733333333333</v>
      </c>
      <c r="CQ17" s="26">
        <f t="shared" si="69"/>
        <v>48</v>
      </c>
      <c r="CR17" s="26">
        <f>IF(OR(CO17="",CP17=""),"",CP17/CO17)</f>
        <v>76.728666666666669</v>
      </c>
      <c r="CS17" s="24" t="str">
        <f t="shared" si="87"/>
        <v>C</v>
      </c>
      <c r="CT17" s="27">
        <f t="shared" si="70"/>
        <v>2.4</v>
      </c>
      <c r="CU17" s="24">
        <f t="shared" si="71"/>
        <v>40</v>
      </c>
      <c r="CV17" s="27">
        <f t="shared" si="72"/>
        <v>3384.4066666666672</v>
      </c>
      <c r="CW17" s="26">
        <f t="shared" si="73"/>
        <v>128</v>
      </c>
      <c r="CX17" s="26">
        <f t="shared" si="88"/>
        <v>84.610166666666686</v>
      </c>
      <c r="CY17" s="27" t="str">
        <f t="shared" si="89"/>
        <v>B</v>
      </c>
      <c r="CZ17" s="26">
        <f t="shared" si="74"/>
        <v>3.2</v>
      </c>
      <c r="DA17" s="24">
        <f t="shared" si="75"/>
        <v>5</v>
      </c>
      <c r="DB17" s="24" t="str">
        <f t="shared" si="76"/>
        <v>6A</v>
      </c>
      <c r="DC17" s="24">
        <f t="shared" si="77"/>
        <v>13</v>
      </c>
      <c r="DD17" s="24">
        <f t="shared" si="78"/>
        <v>50</v>
      </c>
      <c r="DE17" s="1">
        <v>0</v>
      </c>
      <c r="DF17" s="1">
        <v>0</v>
      </c>
      <c r="DG17" s="1">
        <v>0</v>
      </c>
      <c r="DH17" s="24">
        <f t="shared" si="79"/>
        <v>0</v>
      </c>
      <c r="DI17" s="25">
        <f t="shared" si="80"/>
        <v>1</v>
      </c>
      <c r="DJ17" t="str">
        <f t="shared" si="81"/>
        <v>2025-2026</v>
      </c>
      <c r="DK17" s="9"/>
      <c r="DL17" s="9"/>
      <c r="DM17" s="9"/>
      <c r="DN17" s="9"/>
      <c r="DO17" s="9"/>
      <c r="DP17" s="9"/>
      <c r="DQ17" s="136" t="b">
        <f t="shared" si="82"/>
        <v>0</v>
      </c>
    </row>
    <row r="18" spans="1:121" ht="27" customHeight="1" x14ac:dyDescent="1.1499999999999999">
      <c r="A18" s="24">
        <f t="shared" si="90"/>
        <v>4</v>
      </c>
      <c r="B18" s="36" t="s">
        <v>131</v>
      </c>
      <c r="C18" s="13" t="s">
        <v>132</v>
      </c>
      <c r="D18" s="17" t="s">
        <v>124</v>
      </c>
      <c r="E18" s="156">
        <v>693</v>
      </c>
      <c r="F18" s="1" t="s">
        <v>237</v>
      </c>
      <c r="G18" s="7">
        <v>92.666666666666671</v>
      </c>
      <c r="H18" s="7">
        <v>92.033333333333331</v>
      </c>
      <c r="I18" s="7">
        <v>91.466666666666669</v>
      </c>
      <c r="J18" s="7">
        <v>90</v>
      </c>
      <c r="K18" s="7">
        <v>91.666666666666671</v>
      </c>
      <c r="L18" s="7">
        <v>91.933333333333337</v>
      </c>
      <c r="M18" s="7">
        <v>92.133333333333326</v>
      </c>
      <c r="N18" s="7">
        <v>100</v>
      </c>
      <c r="O18" s="7">
        <v>100</v>
      </c>
      <c r="P18" s="7">
        <v>95.51</v>
      </c>
      <c r="Q18" s="7">
        <v>95.51</v>
      </c>
      <c r="R18" s="7">
        <v>79.400000000000006</v>
      </c>
      <c r="S18" s="7">
        <v>83.5</v>
      </c>
      <c r="T18" s="7">
        <v>98.666666666666671</v>
      </c>
      <c r="U18" s="7">
        <v>94.666666666666671</v>
      </c>
      <c r="V18" s="7">
        <v>92</v>
      </c>
      <c r="W18" s="3" t="str">
        <f t="shared" si="0"/>
        <v>A</v>
      </c>
      <c r="X18" s="3" t="str">
        <f t="shared" si="1"/>
        <v>A</v>
      </c>
      <c r="Y18" s="3" t="str">
        <f t="shared" si="2"/>
        <v>A</v>
      </c>
      <c r="Z18" s="3" t="str">
        <f t="shared" si="3"/>
        <v>A</v>
      </c>
      <c r="AA18" s="3" t="str">
        <f t="shared" si="4"/>
        <v>A</v>
      </c>
      <c r="AB18" s="3" t="str">
        <f t="shared" si="5"/>
        <v>A</v>
      </c>
      <c r="AC18" s="3" t="str">
        <f t="shared" si="6"/>
        <v>A</v>
      </c>
      <c r="AD18" s="3" t="str">
        <f t="shared" si="7"/>
        <v>A</v>
      </c>
      <c r="AE18" s="3" t="str">
        <f t="shared" si="8"/>
        <v>A</v>
      </c>
      <c r="AF18" s="24" t="str">
        <f t="shared" si="9"/>
        <v>A</v>
      </c>
      <c r="AG18" s="24" t="str">
        <f t="shared" si="10"/>
        <v>A</v>
      </c>
      <c r="AH18" s="24" t="str">
        <f t="shared" si="11"/>
        <v>C</v>
      </c>
      <c r="AI18" s="24" t="str">
        <f t="shared" si="12"/>
        <v>B</v>
      </c>
      <c r="AJ18" s="24" t="str">
        <f t="shared" si="13"/>
        <v>A</v>
      </c>
      <c r="AK18" s="24" t="str">
        <f t="shared" si="14"/>
        <v>A</v>
      </c>
      <c r="AL18" s="24" t="str">
        <f t="shared" si="15"/>
        <v>A</v>
      </c>
      <c r="AM18" s="24">
        <f t="shared" si="16"/>
        <v>2</v>
      </c>
      <c r="AN18" s="24">
        <f t="shared" si="17"/>
        <v>2</v>
      </c>
      <c r="AO18" s="24">
        <f t="shared" si="18"/>
        <v>3</v>
      </c>
      <c r="AP18" s="24">
        <f t="shared" si="19"/>
        <v>1</v>
      </c>
      <c r="AQ18" s="24">
        <f t="shared" si="20"/>
        <v>5</v>
      </c>
      <c r="AR18" s="24">
        <f t="shared" si="21"/>
        <v>3</v>
      </c>
      <c r="AS18" s="24">
        <f t="shared" si="22"/>
        <v>2</v>
      </c>
      <c r="AT18" s="24">
        <f t="shared" si="23"/>
        <v>1</v>
      </c>
      <c r="AU18" s="24">
        <f t="shared" si="24"/>
        <v>1</v>
      </c>
      <c r="AV18" s="24">
        <f t="shared" si="25"/>
        <v>5</v>
      </c>
      <c r="AW18" s="24">
        <f t="shared" si="26"/>
        <v>1</v>
      </c>
      <c r="AX18" s="24">
        <f t="shared" si="27"/>
        <v>5</v>
      </c>
      <c r="AY18" s="24">
        <f t="shared" si="28"/>
        <v>3</v>
      </c>
      <c r="AZ18" s="24">
        <f t="shared" si="29"/>
        <v>2</v>
      </c>
      <c r="BA18" s="24">
        <f t="shared" si="30"/>
        <v>2</v>
      </c>
      <c r="BB18" s="24">
        <f t="shared" si="31"/>
        <v>2</v>
      </c>
      <c r="BC18" s="26">
        <f t="shared" si="32"/>
        <v>185.33333333333334</v>
      </c>
      <c r="BD18" s="26">
        <f t="shared" si="33"/>
        <v>184.06666666666666</v>
      </c>
      <c r="BE18" s="26">
        <f t="shared" si="34"/>
        <v>274.39999999999998</v>
      </c>
      <c r="BF18" s="26">
        <f t="shared" si="35"/>
        <v>90</v>
      </c>
      <c r="BG18" s="26">
        <f t="shared" si="36"/>
        <v>458.33333333333337</v>
      </c>
      <c r="BH18" s="26">
        <f t="shared" si="37"/>
        <v>275.8</v>
      </c>
      <c r="BI18" s="26">
        <f t="shared" si="38"/>
        <v>184.26666666666665</v>
      </c>
      <c r="BJ18" s="26">
        <f t="shared" si="39"/>
        <v>100</v>
      </c>
      <c r="BK18" s="26">
        <f t="shared" si="40"/>
        <v>100</v>
      </c>
      <c r="BL18" s="26">
        <f t="shared" si="41"/>
        <v>477.55</v>
      </c>
      <c r="BM18" s="26">
        <f t="shared" si="42"/>
        <v>95.51</v>
      </c>
      <c r="BN18" s="26">
        <f t="shared" si="43"/>
        <v>397</v>
      </c>
      <c r="BO18" s="26">
        <f t="shared" si="44"/>
        <v>250.5</v>
      </c>
      <c r="BP18" s="26">
        <f t="shared" si="45"/>
        <v>197.33333333333334</v>
      </c>
      <c r="BQ18" s="26">
        <f t="shared" si="46"/>
        <v>189.33333333333334</v>
      </c>
      <c r="BR18" s="26">
        <f t="shared" si="47"/>
        <v>184</v>
      </c>
      <c r="BS18" s="24">
        <f t="shared" si="48"/>
        <v>8</v>
      </c>
      <c r="BT18" s="24">
        <f t="shared" si="49"/>
        <v>8</v>
      </c>
      <c r="BU18" s="24">
        <f t="shared" si="50"/>
        <v>12</v>
      </c>
      <c r="BV18" s="24">
        <f t="shared" si="51"/>
        <v>4</v>
      </c>
      <c r="BW18" s="24">
        <f t="shared" si="52"/>
        <v>20</v>
      </c>
      <c r="BX18" s="24">
        <f t="shared" si="53"/>
        <v>12</v>
      </c>
      <c r="BY18" s="24">
        <f t="shared" si="54"/>
        <v>8</v>
      </c>
      <c r="BZ18" s="24">
        <f t="shared" si="55"/>
        <v>4</v>
      </c>
      <c r="CA18" s="24">
        <f t="shared" si="56"/>
        <v>4</v>
      </c>
      <c r="CB18" s="24">
        <f t="shared" si="57"/>
        <v>20</v>
      </c>
      <c r="CC18" s="24">
        <f t="shared" si="58"/>
        <v>4</v>
      </c>
      <c r="CD18" s="24">
        <f t="shared" si="59"/>
        <v>10</v>
      </c>
      <c r="CE18" s="24">
        <f t="shared" si="60"/>
        <v>9</v>
      </c>
      <c r="CF18" s="24">
        <f t="shared" si="61"/>
        <v>8</v>
      </c>
      <c r="CG18" s="24">
        <f t="shared" si="62"/>
        <v>8</v>
      </c>
      <c r="CH18" s="24">
        <f t="shared" si="63"/>
        <v>8</v>
      </c>
      <c r="CI18" s="24">
        <f t="shared" si="64"/>
        <v>20</v>
      </c>
      <c r="CJ18" s="26">
        <f t="shared" si="83"/>
        <v>1852.1999999999998</v>
      </c>
      <c r="CK18" s="26">
        <f t="shared" si="65"/>
        <v>80</v>
      </c>
      <c r="CL18" s="26">
        <f t="shared" si="84"/>
        <v>92.609999999999985</v>
      </c>
      <c r="CM18" s="24" t="str">
        <f t="shared" si="85"/>
        <v>A</v>
      </c>
      <c r="CN18" s="26">
        <f t="shared" si="66"/>
        <v>4</v>
      </c>
      <c r="CO18" s="24">
        <f t="shared" si="67"/>
        <v>20</v>
      </c>
      <c r="CP18" s="26">
        <f t="shared" si="68"/>
        <v>1791.2266666666665</v>
      </c>
      <c r="CQ18" s="26">
        <f t="shared" si="69"/>
        <v>67</v>
      </c>
      <c r="CR18" s="26">
        <f t="shared" ref="CR18" si="91">IF(OR(CO18="",CP18=""),"",CP18/CO18)</f>
        <v>89.561333333333323</v>
      </c>
      <c r="CS18" s="24" t="str">
        <f t="shared" ref="CS18" si="92">IF(CR18="","",IF(CR18&gt;=90,"A",IF(CR18&gt;=80,"B",IF(CR18&gt;=70,"C",IF(CR18&gt;=60,"D",IF(CR18&gt;=50,"E",IF(CR18&gt;=0,"F","")))))))</f>
        <v>B</v>
      </c>
      <c r="CT18" s="27">
        <f t="shared" si="70"/>
        <v>3.35</v>
      </c>
      <c r="CU18" s="24">
        <f t="shared" si="71"/>
        <v>40</v>
      </c>
      <c r="CV18" s="27">
        <f t="shared" si="72"/>
        <v>3643.4266666666672</v>
      </c>
      <c r="CW18" s="26">
        <f t="shared" si="73"/>
        <v>147</v>
      </c>
      <c r="CX18" s="26">
        <f t="shared" si="88"/>
        <v>91.085666666666683</v>
      </c>
      <c r="CY18" s="27" t="str">
        <f t="shared" si="89"/>
        <v>A</v>
      </c>
      <c r="CZ18" s="26">
        <f t="shared" si="74"/>
        <v>3.6749999999999998</v>
      </c>
      <c r="DA18" s="24">
        <f t="shared" si="75"/>
        <v>1</v>
      </c>
      <c r="DB18" s="24" t="str">
        <f t="shared" si="76"/>
        <v>6A</v>
      </c>
      <c r="DC18" s="24">
        <f t="shared" si="77"/>
        <v>13</v>
      </c>
      <c r="DD18" s="24">
        <f t="shared" si="78"/>
        <v>50</v>
      </c>
      <c r="DE18" s="1">
        <v>0</v>
      </c>
      <c r="DF18" s="1">
        <v>0</v>
      </c>
      <c r="DG18" s="1">
        <v>0</v>
      </c>
      <c r="DH18" s="24">
        <f t="shared" si="79"/>
        <v>0</v>
      </c>
      <c r="DI18" s="25">
        <f t="shared" si="80"/>
        <v>1</v>
      </c>
      <c r="DJ18" t="str">
        <f t="shared" si="81"/>
        <v>2025-2026</v>
      </c>
      <c r="DK18" s="9"/>
      <c r="DL18" s="9"/>
      <c r="DM18" s="9"/>
      <c r="DN18" s="9"/>
      <c r="DO18" s="9"/>
      <c r="DP18" s="9"/>
      <c r="DQ18" s="136" t="b">
        <f t="shared" si="82"/>
        <v>0</v>
      </c>
    </row>
    <row r="19" spans="1:121" ht="27" customHeight="1" x14ac:dyDescent="1.1499999999999999">
      <c r="A19" s="24">
        <f t="shared" si="90"/>
        <v>5</v>
      </c>
      <c r="B19" s="36" t="s">
        <v>133</v>
      </c>
      <c r="C19" s="20" t="s">
        <v>134</v>
      </c>
      <c r="D19" s="21" t="s">
        <v>124</v>
      </c>
      <c r="E19" s="156">
        <v>694</v>
      </c>
      <c r="F19" s="1" t="s">
        <v>237</v>
      </c>
      <c r="G19" s="7">
        <v>76.333333333333343</v>
      </c>
      <c r="H19" s="7">
        <v>79.599999999999994</v>
      </c>
      <c r="I19" s="7">
        <v>82.166666666666671</v>
      </c>
      <c r="J19" s="7">
        <v>80.333333333333343</v>
      </c>
      <c r="K19" s="7">
        <v>82.866666666666674</v>
      </c>
      <c r="L19" s="7">
        <v>78.933333333333337</v>
      </c>
      <c r="M19" s="7">
        <v>81.599999999999994</v>
      </c>
      <c r="N19" s="7">
        <v>100</v>
      </c>
      <c r="O19" s="7">
        <v>100</v>
      </c>
      <c r="P19" s="7">
        <v>82.19</v>
      </c>
      <c r="Q19" s="7">
        <v>82.19</v>
      </c>
      <c r="R19" s="7">
        <v>58.58</v>
      </c>
      <c r="S19" s="7">
        <v>55.466666666666669</v>
      </c>
      <c r="T19" s="7">
        <v>79.333333333333343</v>
      </c>
      <c r="U19" s="7">
        <v>82.166666666666657</v>
      </c>
      <c r="V19" s="7">
        <v>88.833333333333343</v>
      </c>
      <c r="W19" s="3" t="str">
        <f t="shared" si="0"/>
        <v>C</v>
      </c>
      <c r="X19" s="3" t="str">
        <f t="shared" si="1"/>
        <v>C</v>
      </c>
      <c r="Y19" s="3" t="str">
        <f t="shared" si="2"/>
        <v>B</v>
      </c>
      <c r="Z19" s="3" t="str">
        <f t="shared" si="3"/>
        <v>B</v>
      </c>
      <c r="AA19" s="3" t="str">
        <f t="shared" si="4"/>
        <v>B</v>
      </c>
      <c r="AB19" s="3" t="str">
        <f t="shared" si="5"/>
        <v>C</v>
      </c>
      <c r="AC19" s="3" t="str">
        <f t="shared" si="6"/>
        <v>B</v>
      </c>
      <c r="AD19" s="3" t="str">
        <f t="shared" si="7"/>
        <v>A</v>
      </c>
      <c r="AE19" s="3" t="str">
        <f t="shared" si="8"/>
        <v>A</v>
      </c>
      <c r="AF19" s="24" t="str">
        <f t="shared" si="9"/>
        <v>B</v>
      </c>
      <c r="AG19" s="24" t="str">
        <f t="shared" si="10"/>
        <v>B</v>
      </c>
      <c r="AH19" s="24" t="str">
        <f t="shared" si="11"/>
        <v>E</v>
      </c>
      <c r="AI19" s="24" t="str">
        <f t="shared" si="12"/>
        <v>E</v>
      </c>
      <c r="AJ19" s="24" t="str">
        <f t="shared" si="13"/>
        <v>C</v>
      </c>
      <c r="AK19" s="24" t="str">
        <f t="shared" si="14"/>
        <v>B</v>
      </c>
      <c r="AL19" s="24" t="str">
        <f t="shared" si="15"/>
        <v>B</v>
      </c>
      <c r="AM19" s="24">
        <f t="shared" si="16"/>
        <v>2</v>
      </c>
      <c r="AN19" s="24">
        <f t="shared" si="17"/>
        <v>2</v>
      </c>
      <c r="AO19" s="24">
        <f t="shared" si="18"/>
        <v>3</v>
      </c>
      <c r="AP19" s="24">
        <f t="shared" si="19"/>
        <v>1</v>
      </c>
      <c r="AQ19" s="24">
        <f t="shared" si="20"/>
        <v>5</v>
      </c>
      <c r="AR19" s="24">
        <f t="shared" si="21"/>
        <v>3</v>
      </c>
      <c r="AS19" s="24">
        <f t="shared" si="22"/>
        <v>2</v>
      </c>
      <c r="AT19" s="24">
        <f t="shared" si="23"/>
        <v>1</v>
      </c>
      <c r="AU19" s="24">
        <f t="shared" si="24"/>
        <v>1</v>
      </c>
      <c r="AV19" s="24">
        <f t="shared" si="25"/>
        <v>5</v>
      </c>
      <c r="AW19" s="24">
        <f t="shared" si="26"/>
        <v>1</v>
      </c>
      <c r="AX19" s="24">
        <f t="shared" si="27"/>
        <v>5</v>
      </c>
      <c r="AY19" s="24">
        <f t="shared" si="28"/>
        <v>3</v>
      </c>
      <c r="AZ19" s="24">
        <f t="shared" si="29"/>
        <v>2</v>
      </c>
      <c r="BA19" s="24">
        <f t="shared" si="30"/>
        <v>2</v>
      </c>
      <c r="BB19" s="24">
        <f t="shared" si="31"/>
        <v>2</v>
      </c>
      <c r="BC19" s="26">
        <f t="shared" si="32"/>
        <v>152.66666666666669</v>
      </c>
      <c r="BD19" s="26">
        <f t="shared" si="33"/>
        <v>159.19999999999999</v>
      </c>
      <c r="BE19" s="26">
        <f t="shared" si="34"/>
        <v>246.5</v>
      </c>
      <c r="BF19" s="26">
        <f t="shared" si="35"/>
        <v>80.333333333333343</v>
      </c>
      <c r="BG19" s="26">
        <f t="shared" si="36"/>
        <v>414.33333333333337</v>
      </c>
      <c r="BH19" s="26">
        <f t="shared" si="37"/>
        <v>236.8</v>
      </c>
      <c r="BI19" s="26">
        <f t="shared" si="38"/>
        <v>163.19999999999999</v>
      </c>
      <c r="BJ19" s="26">
        <f t="shared" si="39"/>
        <v>100</v>
      </c>
      <c r="BK19" s="26">
        <f t="shared" si="40"/>
        <v>100</v>
      </c>
      <c r="BL19" s="26">
        <f t="shared" si="41"/>
        <v>410.95</v>
      </c>
      <c r="BM19" s="26">
        <f t="shared" si="42"/>
        <v>82.19</v>
      </c>
      <c r="BN19" s="26">
        <f t="shared" si="43"/>
        <v>292.89999999999998</v>
      </c>
      <c r="BO19" s="26">
        <f t="shared" si="44"/>
        <v>166.4</v>
      </c>
      <c r="BP19" s="26">
        <f t="shared" si="45"/>
        <v>158.66666666666669</v>
      </c>
      <c r="BQ19" s="26">
        <f t="shared" si="46"/>
        <v>164.33333333333331</v>
      </c>
      <c r="BR19" s="26">
        <f t="shared" si="47"/>
        <v>177.66666666666669</v>
      </c>
      <c r="BS19" s="24">
        <f t="shared" si="48"/>
        <v>4</v>
      </c>
      <c r="BT19" s="24">
        <f t="shared" si="49"/>
        <v>4</v>
      </c>
      <c r="BU19" s="24">
        <f t="shared" si="50"/>
        <v>9</v>
      </c>
      <c r="BV19" s="24">
        <f t="shared" si="51"/>
        <v>3</v>
      </c>
      <c r="BW19" s="24">
        <f t="shared" si="52"/>
        <v>15</v>
      </c>
      <c r="BX19" s="24">
        <f t="shared" si="53"/>
        <v>6</v>
      </c>
      <c r="BY19" s="24">
        <f t="shared" si="54"/>
        <v>6</v>
      </c>
      <c r="BZ19" s="24">
        <f t="shared" si="55"/>
        <v>4</v>
      </c>
      <c r="CA19" s="24">
        <f t="shared" si="56"/>
        <v>4</v>
      </c>
      <c r="CB19" s="24">
        <f t="shared" si="57"/>
        <v>15</v>
      </c>
      <c r="CC19" s="24">
        <f t="shared" si="58"/>
        <v>3</v>
      </c>
      <c r="CD19" s="24">
        <f t="shared" si="59"/>
        <v>5</v>
      </c>
      <c r="CE19" s="24">
        <f t="shared" si="60"/>
        <v>3</v>
      </c>
      <c r="CF19" s="24">
        <f t="shared" si="61"/>
        <v>4</v>
      </c>
      <c r="CG19" s="24">
        <f t="shared" si="62"/>
        <v>6</v>
      </c>
      <c r="CH19" s="24">
        <f t="shared" si="63"/>
        <v>6</v>
      </c>
      <c r="CI19" s="24">
        <f t="shared" si="64"/>
        <v>20</v>
      </c>
      <c r="CJ19" s="26">
        <f t="shared" si="83"/>
        <v>1653.0333333333333</v>
      </c>
      <c r="CK19" s="26">
        <f t="shared" si="65"/>
        <v>55</v>
      </c>
      <c r="CL19" s="26">
        <f t="shared" si="84"/>
        <v>82.651666666666671</v>
      </c>
      <c r="CM19" s="24" t="str">
        <f t="shared" si="85"/>
        <v>B</v>
      </c>
      <c r="CN19" s="26">
        <f t="shared" si="66"/>
        <v>2.75</v>
      </c>
      <c r="CO19" s="24">
        <f t="shared" si="67"/>
        <v>20</v>
      </c>
      <c r="CP19" s="26">
        <f t="shared" si="68"/>
        <v>1453.1066666666666</v>
      </c>
      <c r="CQ19" s="26">
        <f t="shared" si="69"/>
        <v>42</v>
      </c>
      <c r="CR19" s="26">
        <f t="shared" si="86"/>
        <v>72.655333333333331</v>
      </c>
      <c r="CS19" s="24" t="str">
        <f t="shared" si="87"/>
        <v>C</v>
      </c>
      <c r="CT19" s="27">
        <f t="shared" si="70"/>
        <v>2.1</v>
      </c>
      <c r="CU19" s="24">
        <f t="shared" si="71"/>
        <v>40</v>
      </c>
      <c r="CV19" s="27">
        <f t="shared" si="72"/>
        <v>3106.14</v>
      </c>
      <c r="CW19" s="26">
        <f t="shared" si="73"/>
        <v>97</v>
      </c>
      <c r="CX19" s="26">
        <f t="shared" si="88"/>
        <v>77.653499999999994</v>
      </c>
      <c r="CY19" s="27" t="str">
        <f t="shared" si="89"/>
        <v>C</v>
      </c>
      <c r="CZ19" s="26">
        <f t="shared" si="74"/>
        <v>2.4249999999999998</v>
      </c>
      <c r="DA19" s="24">
        <f t="shared" si="75"/>
        <v>8</v>
      </c>
      <c r="DB19" s="24" t="str">
        <f t="shared" si="76"/>
        <v>6A</v>
      </c>
      <c r="DC19" s="24">
        <f t="shared" si="77"/>
        <v>13</v>
      </c>
      <c r="DD19" s="24">
        <f t="shared" si="78"/>
        <v>50</v>
      </c>
      <c r="DE19" s="1">
        <v>0</v>
      </c>
      <c r="DF19" s="1">
        <v>0</v>
      </c>
      <c r="DG19" s="1">
        <v>0</v>
      </c>
      <c r="DH19" s="24">
        <f t="shared" si="79"/>
        <v>0</v>
      </c>
      <c r="DI19" s="25">
        <f t="shared" si="80"/>
        <v>1</v>
      </c>
      <c r="DJ19" t="str">
        <f t="shared" si="81"/>
        <v>2025-2026</v>
      </c>
      <c r="DK19" s="9"/>
      <c r="DL19" s="9"/>
      <c r="DM19" s="9"/>
      <c r="DN19" s="9"/>
      <c r="DO19" s="9"/>
      <c r="DP19" s="9"/>
      <c r="DQ19" s="136" t="b">
        <f t="shared" si="82"/>
        <v>0</v>
      </c>
    </row>
    <row r="20" spans="1:121" ht="27" customHeight="1" x14ac:dyDescent="1.1499999999999999">
      <c r="A20" s="24">
        <f t="shared" si="90"/>
        <v>6</v>
      </c>
      <c r="B20" s="36" t="s">
        <v>135</v>
      </c>
      <c r="C20" s="13" t="s">
        <v>136</v>
      </c>
      <c r="D20" s="1" t="s">
        <v>125</v>
      </c>
      <c r="E20" s="156">
        <v>720</v>
      </c>
      <c r="F20" s="1" t="s">
        <v>237</v>
      </c>
      <c r="G20" s="7">
        <v>90</v>
      </c>
      <c r="H20" s="7">
        <v>90.7</v>
      </c>
      <c r="I20" s="7">
        <v>90.7</v>
      </c>
      <c r="J20" s="7">
        <v>88.666666666666671</v>
      </c>
      <c r="K20" s="7">
        <v>91.466666666666669</v>
      </c>
      <c r="L20" s="7">
        <v>91.833333333333343</v>
      </c>
      <c r="M20" s="7">
        <v>91.366666666666674</v>
      </c>
      <c r="N20" s="7">
        <v>100</v>
      </c>
      <c r="O20" s="7">
        <v>100</v>
      </c>
      <c r="P20" s="7">
        <v>94.82</v>
      </c>
      <c r="Q20" s="7">
        <v>94.82</v>
      </c>
      <c r="R20" s="7">
        <v>60.28</v>
      </c>
      <c r="S20" s="7">
        <v>61.13333333333334</v>
      </c>
      <c r="T20" s="7">
        <v>93.333333333333343</v>
      </c>
      <c r="U20" s="7">
        <v>93.833333333333343</v>
      </c>
      <c r="V20" s="7">
        <v>95</v>
      </c>
      <c r="W20" s="3" t="str">
        <f t="shared" si="0"/>
        <v>A</v>
      </c>
      <c r="X20" s="3" t="str">
        <f t="shared" si="1"/>
        <v>A</v>
      </c>
      <c r="Y20" s="3" t="str">
        <f t="shared" si="2"/>
        <v>A</v>
      </c>
      <c r="Z20" s="3" t="str">
        <f t="shared" si="3"/>
        <v>B</v>
      </c>
      <c r="AA20" s="3" t="str">
        <f t="shared" si="4"/>
        <v>A</v>
      </c>
      <c r="AB20" s="3" t="str">
        <f t="shared" si="5"/>
        <v>A</v>
      </c>
      <c r="AC20" s="3" t="str">
        <f t="shared" si="6"/>
        <v>A</v>
      </c>
      <c r="AD20" s="3" t="str">
        <f t="shared" si="7"/>
        <v>A</v>
      </c>
      <c r="AE20" s="3" t="str">
        <f t="shared" si="8"/>
        <v>A</v>
      </c>
      <c r="AF20" s="24" t="str">
        <f t="shared" si="9"/>
        <v>A</v>
      </c>
      <c r="AG20" s="24" t="str">
        <f t="shared" si="10"/>
        <v>A</v>
      </c>
      <c r="AH20" s="24" t="str">
        <f t="shared" si="11"/>
        <v>D</v>
      </c>
      <c r="AI20" s="24" t="str">
        <f t="shared" si="12"/>
        <v>D</v>
      </c>
      <c r="AJ20" s="24" t="str">
        <f t="shared" si="13"/>
        <v>A</v>
      </c>
      <c r="AK20" s="24" t="str">
        <f t="shared" si="14"/>
        <v>A</v>
      </c>
      <c r="AL20" s="24" t="str">
        <f t="shared" si="15"/>
        <v>A</v>
      </c>
      <c r="AM20" s="24">
        <f t="shared" si="16"/>
        <v>2</v>
      </c>
      <c r="AN20" s="24">
        <f t="shared" si="17"/>
        <v>2</v>
      </c>
      <c r="AO20" s="24">
        <f t="shared" si="18"/>
        <v>3</v>
      </c>
      <c r="AP20" s="24">
        <f t="shared" si="19"/>
        <v>1</v>
      </c>
      <c r="AQ20" s="24">
        <f t="shared" si="20"/>
        <v>5</v>
      </c>
      <c r="AR20" s="24">
        <f t="shared" si="21"/>
        <v>3</v>
      </c>
      <c r="AS20" s="24">
        <f t="shared" si="22"/>
        <v>2</v>
      </c>
      <c r="AT20" s="24">
        <f t="shared" si="23"/>
        <v>1</v>
      </c>
      <c r="AU20" s="24">
        <f t="shared" si="24"/>
        <v>1</v>
      </c>
      <c r="AV20" s="24">
        <f t="shared" si="25"/>
        <v>5</v>
      </c>
      <c r="AW20" s="24">
        <f t="shared" si="26"/>
        <v>1</v>
      </c>
      <c r="AX20" s="24">
        <f t="shared" si="27"/>
        <v>5</v>
      </c>
      <c r="AY20" s="24">
        <f t="shared" si="28"/>
        <v>3</v>
      </c>
      <c r="AZ20" s="24">
        <f t="shared" si="29"/>
        <v>2</v>
      </c>
      <c r="BA20" s="24">
        <f t="shared" si="30"/>
        <v>2</v>
      </c>
      <c r="BB20" s="24">
        <f t="shared" si="31"/>
        <v>2</v>
      </c>
      <c r="BC20" s="26">
        <f t="shared" si="32"/>
        <v>180</v>
      </c>
      <c r="BD20" s="26">
        <f t="shared" si="33"/>
        <v>181.4</v>
      </c>
      <c r="BE20" s="26">
        <f t="shared" si="34"/>
        <v>272.10000000000002</v>
      </c>
      <c r="BF20" s="26">
        <f t="shared" si="35"/>
        <v>88.666666666666671</v>
      </c>
      <c r="BG20" s="26">
        <f t="shared" si="36"/>
        <v>457.33333333333337</v>
      </c>
      <c r="BH20" s="26">
        <f t="shared" si="37"/>
        <v>275.5</v>
      </c>
      <c r="BI20" s="26">
        <f t="shared" si="38"/>
        <v>182.73333333333335</v>
      </c>
      <c r="BJ20" s="26">
        <f t="shared" si="39"/>
        <v>100</v>
      </c>
      <c r="BK20" s="26">
        <f t="shared" si="40"/>
        <v>100</v>
      </c>
      <c r="BL20" s="26">
        <f t="shared" si="41"/>
        <v>474.09999999999997</v>
      </c>
      <c r="BM20" s="26">
        <f t="shared" si="42"/>
        <v>94.82</v>
      </c>
      <c r="BN20" s="26">
        <f t="shared" si="43"/>
        <v>301.39999999999998</v>
      </c>
      <c r="BO20" s="26">
        <f t="shared" si="44"/>
        <v>183.40000000000003</v>
      </c>
      <c r="BP20" s="26">
        <f t="shared" si="45"/>
        <v>186.66666666666669</v>
      </c>
      <c r="BQ20" s="26">
        <f t="shared" si="46"/>
        <v>187.66666666666669</v>
      </c>
      <c r="BR20" s="26">
        <f t="shared" si="47"/>
        <v>190</v>
      </c>
      <c r="BS20" s="24">
        <f t="shared" si="48"/>
        <v>8</v>
      </c>
      <c r="BT20" s="24">
        <f t="shared" si="49"/>
        <v>8</v>
      </c>
      <c r="BU20" s="24">
        <f t="shared" si="50"/>
        <v>12</v>
      </c>
      <c r="BV20" s="24">
        <f t="shared" si="51"/>
        <v>3</v>
      </c>
      <c r="BW20" s="24">
        <f t="shared" si="52"/>
        <v>20</v>
      </c>
      <c r="BX20" s="24">
        <f t="shared" si="53"/>
        <v>12</v>
      </c>
      <c r="BY20" s="24">
        <f t="shared" si="54"/>
        <v>8</v>
      </c>
      <c r="BZ20" s="24">
        <f t="shared" si="55"/>
        <v>4</v>
      </c>
      <c r="CA20" s="24">
        <f t="shared" si="56"/>
        <v>4</v>
      </c>
      <c r="CB20" s="24">
        <f t="shared" si="57"/>
        <v>20</v>
      </c>
      <c r="CC20" s="24">
        <f t="shared" si="58"/>
        <v>4</v>
      </c>
      <c r="CD20" s="24">
        <f t="shared" si="59"/>
        <v>7.5</v>
      </c>
      <c r="CE20" s="24">
        <f t="shared" si="60"/>
        <v>4.5</v>
      </c>
      <c r="CF20" s="24">
        <f t="shared" si="61"/>
        <v>8</v>
      </c>
      <c r="CG20" s="24">
        <f t="shared" si="62"/>
        <v>8</v>
      </c>
      <c r="CH20" s="24">
        <f t="shared" si="63"/>
        <v>8</v>
      </c>
      <c r="CI20" s="24">
        <f t="shared" si="64"/>
        <v>20</v>
      </c>
      <c r="CJ20" s="26">
        <f t="shared" si="83"/>
        <v>1837.7333333333333</v>
      </c>
      <c r="CK20" s="26">
        <f t="shared" si="65"/>
        <v>79</v>
      </c>
      <c r="CL20" s="26">
        <f t="shared" si="84"/>
        <v>91.88666666666667</v>
      </c>
      <c r="CM20" s="24" t="str">
        <f t="shared" si="85"/>
        <v>A</v>
      </c>
      <c r="CN20" s="26">
        <f t="shared" si="66"/>
        <v>3.95</v>
      </c>
      <c r="CO20" s="24">
        <f t="shared" si="67"/>
        <v>20</v>
      </c>
      <c r="CP20" s="26">
        <f t="shared" si="68"/>
        <v>1618.0533333333335</v>
      </c>
      <c r="CQ20" s="26">
        <f t="shared" si="69"/>
        <v>60</v>
      </c>
      <c r="CR20" s="26">
        <f t="shared" si="86"/>
        <v>80.902666666666676</v>
      </c>
      <c r="CS20" s="24" t="str">
        <f t="shared" si="87"/>
        <v>B</v>
      </c>
      <c r="CT20" s="27">
        <f t="shared" si="70"/>
        <v>3</v>
      </c>
      <c r="CU20" s="24">
        <f t="shared" si="71"/>
        <v>40</v>
      </c>
      <c r="CV20" s="27">
        <f t="shared" si="72"/>
        <v>3455.7866666666669</v>
      </c>
      <c r="CW20" s="26">
        <f t="shared" si="73"/>
        <v>139</v>
      </c>
      <c r="CX20" s="26">
        <f t="shared" si="88"/>
        <v>86.394666666666666</v>
      </c>
      <c r="CY20" s="27" t="str">
        <f t="shared" si="89"/>
        <v>B</v>
      </c>
      <c r="CZ20" s="26">
        <f t="shared" si="74"/>
        <v>3.4750000000000001</v>
      </c>
      <c r="DA20" s="24">
        <f t="shared" si="75"/>
        <v>3</v>
      </c>
      <c r="DB20" s="24" t="str">
        <f t="shared" si="76"/>
        <v>6A</v>
      </c>
      <c r="DC20" s="24">
        <f t="shared" si="77"/>
        <v>13</v>
      </c>
      <c r="DD20" s="24">
        <f t="shared" si="78"/>
        <v>50</v>
      </c>
      <c r="DE20" s="1">
        <v>0</v>
      </c>
      <c r="DF20" s="1">
        <v>0</v>
      </c>
      <c r="DG20" s="1">
        <v>0</v>
      </c>
      <c r="DH20" s="24">
        <f t="shared" si="79"/>
        <v>0</v>
      </c>
      <c r="DI20" s="25">
        <f t="shared" si="80"/>
        <v>1</v>
      </c>
      <c r="DJ20" t="str">
        <f t="shared" si="81"/>
        <v>2025-2026</v>
      </c>
      <c r="DK20" s="9"/>
      <c r="DL20" s="9"/>
      <c r="DM20" s="9"/>
      <c r="DN20" s="9"/>
      <c r="DO20" s="9"/>
      <c r="DP20" s="9"/>
      <c r="DQ20" s="136" t="b">
        <f t="shared" si="82"/>
        <v>0</v>
      </c>
    </row>
    <row r="21" spans="1:121" ht="27" customHeight="1" x14ac:dyDescent="1.1499999999999999">
      <c r="A21" s="24">
        <f t="shared" si="90"/>
        <v>7</v>
      </c>
      <c r="B21" s="36" t="s">
        <v>137</v>
      </c>
      <c r="C21" s="20" t="s">
        <v>138</v>
      </c>
      <c r="D21" s="21" t="s">
        <v>124</v>
      </c>
      <c r="E21" s="156">
        <v>690</v>
      </c>
      <c r="F21" s="1" t="s">
        <v>237</v>
      </c>
      <c r="G21" s="7">
        <v>76</v>
      </c>
      <c r="H21" s="7">
        <v>83.4</v>
      </c>
      <c r="I21" s="7">
        <v>84.733333333333348</v>
      </c>
      <c r="J21" s="7">
        <v>81.333333333333343</v>
      </c>
      <c r="K21" s="7">
        <v>84.366666666666674</v>
      </c>
      <c r="L21" s="7">
        <v>81.966666666666669</v>
      </c>
      <c r="M21" s="7">
        <v>84.366666666666674</v>
      </c>
      <c r="N21" s="7">
        <v>100</v>
      </c>
      <c r="O21" s="7">
        <v>100</v>
      </c>
      <c r="P21" s="7">
        <v>90.15</v>
      </c>
      <c r="Q21" s="7">
        <v>90.15</v>
      </c>
      <c r="R21" s="7">
        <v>59.58</v>
      </c>
      <c r="S21" s="7">
        <v>87.866666666666674</v>
      </c>
      <c r="T21" s="7">
        <v>92</v>
      </c>
      <c r="U21" s="7">
        <v>91.5</v>
      </c>
      <c r="V21" s="7">
        <v>90.800000000000011</v>
      </c>
      <c r="W21" s="3" t="str">
        <f t="shared" si="0"/>
        <v>C</v>
      </c>
      <c r="X21" s="3" t="str">
        <f t="shared" si="1"/>
        <v>B</v>
      </c>
      <c r="Y21" s="3" t="str">
        <f t="shared" si="2"/>
        <v>B</v>
      </c>
      <c r="Z21" s="3" t="str">
        <f t="shared" si="3"/>
        <v>B</v>
      </c>
      <c r="AA21" s="3" t="str">
        <f t="shared" si="4"/>
        <v>B</v>
      </c>
      <c r="AB21" s="3" t="str">
        <f t="shared" si="5"/>
        <v>B</v>
      </c>
      <c r="AC21" s="3" t="str">
        <f t="shared" si="6"/>
        <v>B</v>
      </c>
      <c r="AD21" s="3" t="str">
        <f t="shared" si="7"/>
        <v>A</v>
      </c>
      <c r="AE21" s="3" t="str">
        <f t="shared" si="8"/>
        <v>A</v>
      </c>
      <c r="AF21" s="24" t="str">
        <f t="shared" si="9"/>
        <v>A</v>
      </c>
      <c r="AG21" s="24" t="str">
        <f t="shared" si="10"/>
        <v>A</v>
      </c>
      <c r="AH21" s="24" t="str">
        <f t="shared" si="11"/>
        <v>E</v>
      </c>
      <c r="AI21" s="24" t="str">
        <f t="shared" si="12"/>
        <v>B</v>
      </c>
      <c r="AJ21" s="24" t="str">
        <f t="shared" si="13"/>
        <v>A</v>
      </c>
      <c r="AK21" s="24" t="str">
        <f t="shared" si="14"/>
        <v>A</v>
      </c>
      <c r="AL21" s="24" t="str">
        <f t="shared" si="15"/>
        <v>A</v>
      </c>
      <c r="AM21" s="24">
        <f t="shared" si="16"/>
        <v>2</v>
      </c>
      <c r="AN21" s="24">
        <f t="shared" si="17"/>
        <v>2</v>
      </c>
      <c r="AO21" s="24">
        <f t="shared" si="18"/>
        <v>3</v>
      </c>
      <c r="AP21" s="24">
        <f t="shared" si="19"/>
        <v>1</v>
      </c>
      <c r="AQ21" s="24">
        <f t="shared" si="20"/>
        <v>5</v>
      </c>
      <c r="AR21" s="24">
        <f t="shared" si="21"/>
        <v>3</v>
      </c>
      <c r="AS21" s="24">
        <f t="shared" si="22"/>
        <v>2</v>
      </c>
      <c r="AT21" s="24">
        <f t="shared" si="23"/>
        <v>1</v>
      </c>
      <c r="AU21" s="24">
        <f t="shared" si="24"/>
        <v>1</v>
      </c>
      <c r="AV21" s="24">
        <f t="shared" si="25"/>
        <v>5</v>
      </c>
      <c r="AW21" s="24">
        <f t="shared" si="26"/>
        <v>1</v>
      </c>
      <c r="AX21" s="24">
        <f t="shared" si="27"/>
        <v>5</v>
      </c>
      <c r="AY21" s="24">
        <f t="shared" si="28"/>
        <v>3</v>
      </c>
      <c r="AZ21" s="24">
        <f t="shared" si="29"/>
        <v>2</v>
      </c>
      <c r="BA21" s="24">
        <f t="shared" si="30"/>
        <v>2</v>
      </c>
      <c r="BB21" s="24">
        <f t="shared" si="31"/>
        <v>2</v>
      </c>
      <c r="BC21" s="26">
        <f t="shared" si="32"/>
        <v>152</v>
      </c>
      <c r="BD21" s="26">
        <f t="shared" si="33"/>
        <v>166.8</v>
      </c>
      <c r="BE21" s="26">
        <f t="shared" si="34"/>
        <v>254.20000000000005</v>
      </c>
      <c r="BF21" s="26">
        <f t="shared" si="35"/>
        <v>81.333333333333343</v>
      </c>
      <c r="BG21" s="26">
        <f t="shared" si="36"/>
        <v>421.83333333333337</v>
      </c>
      <c r="BH21" s="26">
        <f t="shared" si="37"/>
        <v>245.9</v>
      </c>
      <c r="BI21" s="26">
        <f t="shared" si="38"/>
        <v>168.73333333333335</v>
      </c>
      <c r="BJ21" s="26">
        <f t="shared" si="39"/>
        <v>100</v>
      </c>
      <c r="BK21" s="26">
        <f t="shared" si="40"/>
        <v>100</v>
      </c>
      <c r="BL21" s="26">
        <f t="shared" si="41"/>
        <v>450.75</v>
      </c>
      <c r="BM21" s="26">
        <f t="shared" si="42"/>
        <v>90.15</v>
      </c>
      <c r="BN21" s="26">
        <f t="shared" si="43"/>
        <v>297.89999999999998</v>
      </c>
      <c r="BO21" s="26">
        <f t="shared" si="44"/>
        <v>263.60000000000002</v>
      </c>
      <c r="BP21" s="26">
        <f t="shared" si="45"/>
        <v>184</v>
      </c>
      <c r="BQ21" s="26">
        <f t="shared" si="46"/>
        <v>183</v>
      </c>
      <c r="BR21" s="26">
        <f t="shared" si="47"/>
        <v>181.60000000000002</v>
      </c>
      <c r="BS21" s="24">
        <f t="shared" si="48"/>
        <v>4</v>
      </c>
      <c r="BT21" s="24">
        <f t="shared" si="49"/>
        <v>6</v>
      </c>
      <c r="BU21" s="24">
        <f t="shared" si="50"/>
        <v>9</v>
      </c>
      <c r="BV21" s="24">
        <f t="shared" si="51"/>
        <v>3</v>
      </c>
      <c r="BW21" s="24">
        <f t="shared" si="52"/>
        <v>15</v>
      </c>
      <c r="BX21" s="24">
        <f t="shared" si="53"/>
        <v>9</v>
      </c>
      <c r="BY21" s="24">
        <f t="shared" si="54"/>
        <v>6</v>
      </c>
      <c r="BZ21" s="24">
        <f t="shared" si="55"/>
        <v>4</v>
      </c>
      <c r="CA21" s="24">
        <f t="shared" si="56"/>
        <v>4</v>
      </c>
      <c r="CB21" s="24">
        <f t="shared" si="57"/>
        <v>20</v>
      </c>
      <c r="CC21" s="24">
        <f t="shared" si="58"/>
        <v>4</v>
      </c>
      <c r="CD21" s="24">
        <f t="shared" si="59"/>
        <v>5</v>
      </c>
      <c r="CE21" s="24">
        <f t="shared" si="60"/>
        <v>9</v>
      </c>
      <c r="CF21" s="24">
        <f t="shared" si="61"/>
        <v>8</v>
      </c>
      <c r="CG21" s="24">
        <f t="shared" si="62"/>
        <v>8</v>
      </c>
      <c r="CH21" s="24">
        <f t="shared" si="63"/>
        <v>8</v>
      </c>
      <c r="CI21" s="24">
        <f t="shared" si="64"/>
        <v>20</v>
      </c>
      <c r="CJ21" s="26">
        <f t="shared" si="83"/>
        <v>1690.8000000000002</v>
      </c>
      <c r="CK21" s="26">
        <f t="shared" si="65"/>
        <v>60</v>
      </c>
      <c r="CL21" s="26">
        <f t="shared" si="84"/>
        <v>84.54</v>
      </c>
      <c r="CM21" s="24" t="str">
        <f t="shared" si="85"/>
        <v>B</v>
      </c>
      <c r="CN21" s="26">
        <f t="shared" si="66"/>
        <v>3</v>
      </c>
      <c r="CO21" s="24">
        <f t="shared" si="67"/>
        <v>20</v>
      </c>
      <c r="CP21" s="26">
        <f t="shared" si="68"/>
        <v>1651</v>
      </c>
      <c r="CQ21" s="26">
        <f t="shared" si="69"/>
        <v>62</v>
      </c>
      <c r="CR21" s="26">
        <f t="shared" si="86"/>
        <v>82.55</v>
      </c>
      <c r="CS21" s="24" t="str">
        <f t="shared" si="87"/>
        <v>B</v>
      </c>
      <c r="CT21" s="27">
        <f t="shared" si="70"/>
        <v>3.1</v>
      </c>
      <c r="CU21" s="24">
        <f t="shared" si="71"/>
        <v>40</v>
      </c>
      <c r="CV21" s="27">
        <f t="shared" si="72"/>
        <v>3341.8</v>
      </c>
      <c r="CW21" s="26">
        <f t="shared" si="73"/>
        <v>122</v>
      </c>
      <c r="CX21" s="26">
        <f t="shared" si="88"/>
        <v>83.545000000000002</v>
      </c>
      <c r="CY21" s="27" t="str">
        <f t="shared" si="89"/>
        <v>B</v>
      </c>
      <c r="CZ21" s="26">
        <f t="shared" si="74"/>
        <v>3.05</v>
      </c>
      <c r="DA21" s="24">
        <f t="shared" si="75"/>
        <v>7</v>
      </c>
      <c r="DB21" s="24" t="str">
        <f t="shared" si="76"/>
        <v>6A</v>
      </c>
      <c r="DC21" s="24">
        <f t="shared" si="77"/>
        <v>13</v>
      </c>
      <c r="DD21" s="24">
        <f t="shared" si="78"/>
        <v>50</v>
      </c>
      <c r="DE21" s="1">
        <v>0</v>
      </c>
      <c r="DF21" s="1">
        <v>0</v>
      </c>
      <c r="DG21" s="1">
        <v>0</v>
      </c>
      <c r="DH21" s="24">
        <f t="shared" si="79"/>
        <v>0</v>
      </c>
      <c r="DI21" s="25">
        <f t="shared" si="80"/>
        <v>1</v>
      </c>
      <c r="DJ21" t="str">
        <f t="shared" si="81"/>
        <v>2025-2026</v>
      </c>
      <c r="DK21" s="9"/>
      <c r="DL21" s="9"/>
      <c r="DM21" s="9"/>
      <c r="DN21" s="9"/>
      <c r="DO21" s="9"/>
      <c r="DP21" s="9"/>
      <c r="DQ21" s="136" t="b">
        <f t="shared" si="82"/>
        <v>0</v>
      </c>
    </row>
    <row r="22" spans="1:121" ht="27" customHeight="1" x14ac:dyDescent="1.1499999999999999">
      <c r="A22" s="24">
        <f t="shared" si="90"/>
        <v>8</v>
      </c>
      <c r="B22" s="36" t="s">
        <v>139</v>
      </c>
      <c r="C22" s="13" t="s">
        <v>140</v>
      </c>
      <c r="D22" s="17" t="s">
        <v>125</v>
      </c>
      <c r="E22" s="156">
        <v>687</v>
      </c>
      <c r="F22" s="1" t="s">
        <v>237</v>
      </c>
      <c r="G22" s="7">
        <v>87.333333333333343</v>
      </c>
      <c r="H22" s="7">
        <v>90.066666666666677</v>
      </c>
      <c r="I22" s="7">
        <v>89</v>
      </c>
      <c r="J22" s="7">
        <v>87.333333333333343</v>
      </c>
      <c r="K22" s="7">
        <v>87.666666666666671</v>
      </c>
      <c r="L22" s="7">
        <v>87.966666666666669</v>
      </c>
      <c r="M22" s="7">
        <v>88.066666666666677</v>
      </c>
      <c r="N22" s="7">
        <v>100</v>
      </c>
      <c r="O22" s="7">
        <v>100</v>
      </c>
      <c r="P22" s="7">
        <v>92.21</v>
      </c>
      <c r="Q22" s="7">
        <v>92.21</v>
      </c>
      <c r="R22" s="7">
        <v>82.56</v>
      </c>
      <c r="S22" s="7">
        <v>72.466666666666669</v>
      </c>
      <c r="T22" s="7">
        <v>96</v>
      </c>
      <c r="U22" s="7">
        <v>94.5</v>
      </c>
      <c r="V22" s="7">
        <v>97</v>
      </c>
      <c r="W22" s="3" t="str">
        <f t="shared" si="0"/>
        <v>B</v>
      </c>
      <c r="X22" s="3" t="str">
        <f t="shared" si="1"/>
        <v>A</v>
      </c>
      <c r="Y22" s="3" t="str">
        <f t="shared" si="2"/>
        <v>B</v>
      </c>
      <c r="Z22" s="3" t="str">
        <f t="shared" si="3"/>
        <v>B</v>
      </c>
      <c r="AA22" s="3" t="str">
        <f t="shared" si="4"/>
        <v>B</v>
      </c>
      <c r="AB22" s="3" t="str">
        <f t="shared" si="5"/>
        <v>B</v>
      </c>
      <c r="AC22" s="3" t="str">
        <f t="shared" si="6"/>
        <v>B</v>
      </c>
      <c r="AD22" s="3" t="str">
        <f t="shared" si="7"/>
        <v>A</v>
      </c>
      <c r="AE22" s="3" t="str">
        <f t="shared" si="8"/>
        <v>A</v>
      </c>
      <c r="AF22" s="24" t="str">
        <f t="shared" si="9"/>
        <v>A</v>
      </c>
      <c r="AG22" s="24" t="str">
        <f t="shared" si="10"/>
        <v>A</v>
      </c>
      <c r="AH22" s="24" t="str">
        <f t="shared" si="11"/>
        <v>B</v>
      </c>
      <c r="AI22" s="24" t="str">
        <f t="shared" si="12"/>
        <v>C</v>
      </c>
      <c r="AJ22" s="24" t="str">
        <f t="shared" si="13"/>
        <v>A</v>
      </c>
      <c r="AK22" s="24" t="str">
        <f t="shared" si="14"/>
        <v>A</v>
      </c>
      <c r="AL22" s="24" t="str">
        <f t="shared" si="15"/>
        <v>A</v>
      </c>
      <c r="AM22" s="24">
        <f t="shared" si="16"/>
        <v>2</v>
      </c>
      <c r="AN22" s="24">
        <f t="shared" si="17"/>
        <v>2</v>
      </c>
      <c r="AO22" s="24">
        <f t="shared" si="18"/>
        <v>3</v>
      </c>
      <c r="AP22" s="24">
        <f t="shared" si="19"/>
        <v>1</v>
      </c>
      <c r="AQ22" s="24">
        <f t="shared" si="20"/>
        <v>5</v>
      </c>
      <c r="AR22" s="24">
        <f t="shared" si="21"/>
        <v>3</v>
      </c>
      <c r="AS22" s="24">
        <f t="shared" si="22"/>
        <v>2</v>
      </c>
      <c r="AT22" s="24">
        <f t="shared" si="23"/>
        <v>1</v>
      </c>
      <c r="AU22" s="24">
        <f t="shared" si="24"/>
        <v>1</v>
      </c>
      <c r="AV22" s="24">
        <f t="shared" si="25"/>
        <v>5</v>
      </c>
      <c r="AW22" s="24">
        <f t="shared" si="26"/>
        <v>1</v>
      </c>
      <c r="AX22" s="24">
        <f t="shared" si="27"/>
        <v>5</v>
      </c>
      <c r="AY22" s="24">
        <f t="shared" si="28"/>
        <v>3</v>
      </c>
      <c r="AZ22" s="24">
        <f t="shared" si="29"/>
        <v>2</v>
      </c>
      <c r="BA22" s="24">
        <f t="shared" si="30"/>
        <v>2</v>
      </c>
      <c r="BB22" s="24">
        <f t="shared" si="31"/>
        <v>2</v>
      </c>
      <c r="BC22" s="26">
        <f t="shared" si="32"/>
        <v>174.66666666666669</v>
      </c>
      <c r="BD22" s="26">
        <f t="shared" si="33"/>
        <v>180.13333333333335</v>
      </c>
      <c r="BE22" s="26">
        <f t="shared" si="34"/>
        <v>267</v>
      </c>
      <c r="BF22" s="26">
        <f t="shared" si="35"/>
        <v>87.333333333333343</v>
      </c>
      <c r="BG22" s="26">
        <f t="shared" si="36"/>
        <v>438.33333333333337</v>
      </c>
      <c r="BH22" s="26">
        <f t="shared" si="37"/>
        <v>263.89999999999998</v>
      </c>
      <c r="BI22" s="26">
        <f t="shared" si="38"/>
        <v>176.13333333333335</v>
      </c>
      <c r="BJ22" s="26">
        <f t="shared" si="39"/>
        <v>100</v>
      </c>
      <c r="BK22" s="26">
        <f t="shared" si="40"/>
        <v>100</v>
      </c>
      <c r="BL22" s="26">
        <f t="shared" si="41"/>
        <v>461.04999999999995</v>
      </c>
      <c r="BM22" s="26">
        <f t="shared" si="42"/>
        <v>92.21</v>
      </c>
      <c r="BN22" s="26">
        <f t="shared" si="43"/>
        <v>412.8</v>
      </c>
      <c r="BO22" s="26">
        <f t="shared" si="44"/>
        <v>217.4</v>
      </c>
      <c r="BP22" s="26">
        <f t="shared" si="45"/>
        <v>192</v>
      </c>
      <c r="BQ22" s="26">
        <f t="shared" si="46"/>
        <v>189</v>
      </c>
      <c r="BR22" s="26">
        <f t="shared" si="47"/>
        <v>194</v>
      </c>
      <c r="BS22" s="24">
        <f t="shared" si="48"/>
        <v>6</v>
      </c>
      <c r="BT22" s="24">
        <f t="shared" si="49"/>
        <v>8</v>
      </c>
      <c r="BU22" s="24">
        <f t="shared" si="50"/>
        <v>9</v>
      </c>
      <c r="BV22" s="24">
        <f t="shared" si="51"/>
        <v>3</v>
      </c>
      <c r="BW22" s="24">
        <f t="shared" si="52"/>
        <v>15</v>
      </c>
      <c r="BX22" s="24">
        <f t="shared" si="53"/>
        <v>9</v>
      </c>
      <c r="BY22" s="24">
        <f t="shared" si="54"/>
        <v>6</v>
      </c>
      <c r="BZ22" s="24">
        <f t="shared" si="55"/>
        <v>4</v>
      </c>
      <c r="CA22" s="24">
        <f t="shared" si="56"/>
        <v>4</v>
      </c>
      <c r="CB22" s="24">
        <f t="shared" si="57"/>
        <v>20</v>
      </c>
      <c r="CC22" s="24">
        <f t="shared" si="58"/>
        <v>4</v>
      </c>
      <c r="CD22" s="24">
        <f t="shared" si="59"/>
        <v>15</v>
      </c>
      <c r="CE22" s="24">
        <f t="shared" si="60"/>
        <v>6</v>
      </c>
      <c r="CF22" s="24">
        <f t="shared" si="61"/>
        <v>8</v>
      </c>
      <c r="CG22" s="24">
        <f t="shared" si="62"/>
        <v>8</v>
      </c>
      <c r="CH22" s="24">
        <f t="shared" si="63"/>
        <v>8</v>
      </c>
      <c r="CI22" s="24">
        <f t="shared" si="64"/>
        <v>20</v>
      </c>
      <c r="CJ22" s="26">
        <f t="shared" si="83"/>
        <v>1787.5000000000002</v>
      </c>
      <c r="CK22" s="26">
        <f t="shared" si="65"/>
        <v>64</v>
      </c>
      <c r="CL22" s="26">
        <f t="shared" si="84"/>
        <v>89.375000000000014</v>
      </c>
      <c r="CM22" s="24" t="str">
        <f t="shared" si="85"/>
        <v>B</v>
      </c>
      <c r="CN22" s="26">
        <f t="shared" si="66"/>
        <v>3.2</v>
      </c>
      <c r="CO22" s="24">
        <f t="shared" si="67"/>
        <v>20</v>
      </c>
      <c r="CP22" s="26">
        <f t="shared" si="68"/>
        <v>1758.46</v>
      </c>
      <c r="CQ22" s="26">
        <f t="shared" si="69"/>
        <v>69</v>
      </c>
      <c r="CR22" s="26">
        <f t="shared" si="86"/>
        <v>87.923000000000002</v>
      </c>
      <c r="CS22" s="24" t="str">
        <f t="shared" si="87"/>
        <v>B</v>
      </c>
      <c r="CT22" s="27">
        <f t="shared" si="70"/>
        <v>3.45</v>
      </c>
      <c r="CU22" s="24">
        <f t="shared" si="71"/>
        <v>40</v>
      </c>
      <c r="CV22" s="27">
        <f t="shared" si="72"/>
        <v>3545.9600000000005</v>
      </c>
      <c r="CW22" s="26">
        <f t="shared" si="73"/>
        <v>133</v>
      </c>
      <c r="CX22" s="26">
        <f t="shared" si="88"/>
        <v>88.649000000000015</v>
      </c>
      <c r="CY22" s="27" t="str">
        <f t="shared" si="89"/>
        <v>B</v>
      </c>
      <c r="CZ22" s="26">
        <f t="shared" si="74"/>
        <v>3.3250000000000002</v>
      </c>
      <c r="DA22" s="24">
        <f t="shared" si="75"/>
        <v>2</v>
      </c>
      <c r="DB22" s="24" t="str">
        <f t="shared" si="76"/>
        <v>6A</v>
      </c>
      <c r="DC22" s="24">
        <f t="shared" si="77"/>
        <v>13</v>
      </c>
      <c r="DD22" s="24">
        <f t="shared" si="78"/>
        <v>50</v>
      </c>
      <c r="DE22" s="1">
        <v>0</v>
      </c>
      <c r="DF22" s="1">
        <v>0</v>
      </c>
      <c r="DG22" s="1">
        <v>0</v>
      </c>
      <c r="DH22" s="24">
        <f t="shared" si="79"/>
        <v>0</v>
      </c>
      <c r="DI22" s="25">
        <f t="shared" si="80"/>
        <v>1</v>
      </c>
      <c r="DJ22" t="str">
        <f t="shared" si="81"/>
        <v>2025-2026</v>
      </c>
      <c r="DK22" s="9"/>
      <c r="DL22" s="9"/>
      <c r="DM22" s="9"/>
      <c r="DN22" s="9"/>
      <c r="DO22" s="9"/>
      <c r="DP22" s="9"/>
      <c r="DQ22" s="136" t="b">
        <f t="shared" si="82"/>
        <v>0</v>
      </c>
    </row>
    <row r="23" spans="1:121" ht="27" customHeight="1" x14ac:dyDescent="1.1499999999999999">
      <c r="A23" s="24">
        <f t="shared" si="90"/>
        <v>9</v>
      </c>
      <c r="B23" s="36" t="s">
        <v>141</v>
      </c>
      <c r="C23" s="20" t="s">
        <v>142</v>
      </c>
      <c r="D23" s="21" t="s">
        <v>124</v>
      </c>
      <c r="E23" s="156">
        <v>692</v>
      </c>
      <c r="F23" s="1" t="s">
        <v>237</v>
      </c>
      <c r="G23" s="7">
        <v>66.666666666666671</v>
      </c>
      <c r="H23" s="7">
        <v>82.533333333333331</v>
      </c>
      <c r="I23" s="7">
        <v>83.966666666666669</v>
      </c>
      <c r="J23" s="7">
        <v>80</v>
      </c>
      <c r="K23" s="7">
        <v>83.4</v>
      </c>
      <c r="L23" s="7">
        <v>81.866666666666674</v>
      </c>
      <c r="M23" s="7">
        <v>84.26666666666668</v>
      </c>
      <c r="N23" s="7">
        <v>100</v>
      </c>
      <c r="O23" s="7">
        <v>100</v>
      </c>
      <c r="P23" s="7">
        <v>60.97</v>
      </c>
      <c r="Q23" s="7">
        <v>60.97</v>
      </c>
      <c r="R23" s="7">
        <v>45.6</v>
      </c>
      <c r="S23" s="7">
        <v>47.766666666666666</v>
      </c>
      <c r="T23" s="7">
        <v>59.333333333333329</v>
      </c>
      <c r="U23" s="7">
        <v>85</v>
      </c>
      <c r="V23" s="7">
        <v>77.166666666666657</v>
      </c>
      <c r="W23" s="3" t="str">
        <f t="shared" si="0"/>
        <v>D</v>
      </c>
      <c r="X23" s="3" t="str">
        <f t="shared" si="1"/>
        <v>B</v>
      </c>
      <c r="Y23" s="3" t="str">
        <f t="shared" si="2"/>
        <v>B</v>
      </c>
      <c r="Z23" s="3" t="str">
        <f t="shared" si="3"/>
        <v>B</v>
      </c>
      <c r="AA23" s="3" t="str">
        <f t="shared" si="4"/>
        <v>B</v>
      </c>
      <c r="AB23" s="3" t="str">
        <f t="shared" si="5"/>
        <v>B</v>
      </c>
      <c r="AC23" s="3" t="str">
        <f t="shared" si="6"/>
        <v>B</v>
      </c>
      <c r="AD23" s="3" t="str">
        <f t="shared" si="7"/>
        <v>A</v>
      </c>
      <c r="AE23" s="3" t="str">
        <f t="shared" si="8"/>
        <v>A</v>
      </c>
      <c r="AF23" s="24" t="str">
        <f t="shared" si="9"/>
        <v>D</v>
      </c>
      <c r="AG23" s="24" t="str">
        <f t="shared" si="10"/>
        <v>D</v>
      </c>
      <c r="AH23" s="24" t="str">
        <f t="shared" si="11"/>
        <v>F</v>
      </c>
      <c r="AI23" s="24" t="str">
        <f t="shared" si="12"/>
        <v>F</v>
      </c>
      <c r="AJ23" s="24" t="str">
        <f t="shared" si="13"/>
        <v>E</v>
      </c>
      <c r="AK23" s="24" t="str">
        <f t="shared" si="14"/>
        <v>B</v>
      </c>
      <c r="AL23" s="24" t="str">
        <f t="shared" si="15"/>
        <v>C</v>
      </c>
      <c r="AM23" s="24">
        <f t="shared" si="16"/>
        <v>2</v>
      </c>
      <c r="AN23" s="24">
        <f t="shared" si="17"/>
        <v>2</v>
      </c>
      <c r="AO23" s="24">
        <f t="shared" si="18"/>
        <v>3</v>
      </c>
      <c r="AP23" s="24">
        <f t="shared" si="19"/>
        <v>1</v>
      </c>
      <c r="AQ23" s="24">
        <f t="shared" si="20"/>
        <v>5</v>
      </c>
      <c r="AR23" s="24">
        <f t="shared" si="21"/>
        <v>3</v>
      </c>
      <c r="AS23" s="24">
        <f t="shared" si="22"/>
        <v>2</v>
      </c>
      <c r="AT23" s="24">
        <f t="shared" si="23"/>
        <v>1</v>
      </c>
      <c r="AU23" s="24">
        <f t="shared" si="24"/>
        <v>1</v>
      </c>
      <c r="AV23" s="24">
        <f t="shared" si="25"/>
        <v>5</v>
      </c>
      <c r="AW23" s="24">
        <f t="shared" si="26"/>
        <v>1</v>
      </c>
      <c r="AX23" s="24">
        <f t="shared" si="27"/>
        <v>5</v>
      </c>
      <c r="AY23" s="24">
        <f t="shared" si="28"/>
        <v>3</v>
      </c>
      <c r="AZ23" s="24">
        <f t="shared" si="29"/>
        <v>2</v>
      </c>
      <c r="BA23" s="24">
        <f t="shared" si="30"/>
        <v>2</v>
      </c>
      <c r="BB23" s="24">
        <f t="shared" si="31"/>
        <v>2</v>
      </c>
      <c r="BC23" s="26">
        <f t="shared" si="32"/>
        <v>133.33333333333334</v>
      </c>
      <c r="BD23" s="26">
        <f t="shared" si="33"/>
        <v>165.06666666666666</v>
      </c>
      <c r="BE23" s="26">
        <f t="shared" si="34"/>
        <v>251.9</v>
      </c>
      <c r="BF23" s="26">
        <f t="shared" si="35"/>
        <v>80</v>
      </c>
      <c r="BG23" s="26">
        <f t="shared" si="36"/>
        <v>417</v>
      </c>
      <c r="BH23" s="26">
        <f t="shared" si="37"/>
        <v>245.60000000000002</v>
      </c>
      <c r="BI23" s="26">
        <f t="shared" si="38"/>
        <v>168.53333333333336</v>
      </c>
      <c r="BJ23" s="26">
        <f t="shared" si="39"/>
        <v>100</v>
      </c>
      <c r="BK23" s="26">
        <f t="shared" si="40"/>
        <v>100</v>
      </c>
      <c r="BL23" s="26">
        <f t="shared" si="41"/>
        <v>304.85000000000002</v>
      </c>
      <c r="BM23" s="26">
        <f t="shared" si="42"/>
        <v>60.97</v>
      </c>
      <c r="BN23" s="26">
        <f t="shared" si="43"/>
        <v>228</v>
      </c>
      <c r="BO23" s="26">
        <f t="shared" si="44"/>
        <v>143.30000000000001</v>
      </c>
      <c r="BP23" s="26">
        <f t="shared" si="45"/>
        <v>118.66666666666666</v>
      </c>
      <c r="BQ23" s="26">
        <f t="shared" si="46"/>
        <v>170</v>
      </c>
      <c r="BR23" s="26">
        <f t="shared" si="47"/>
        <v>154.33333333333331</v>
      </c>
      <c r="BS23" s="24">
        <f t="shared" si="48"/>
        <v>3</v>
      </c>
      <c r="BT23" s="24">
        <f t="shared" si="49"/>
        <v>6</v>
      </c>
      <c r="BU23" s="24">
        <f t="shared" si="50"/>
        <v>9</v>
      </c>
      <c r="BV23" s="24">
        <f t="shared" si="51"/>
        <v>3</v>
      </c>
      <c r="BW23" s="24">
        <f t="shared" si="52"/>
        <v>15</v>
      </c>
      <c r="BX23" s="24">
        <f t="shared" si="53"/>
        <v>9</v>
      </c>
      <c r="BY23" s="24">
        <f t="shared" si="54"/>
        <v>6</v>
      </c>
      <c r="BZ23" s="24">
        <f t="shared" si="55"/>
        <v>4</v>
      </c>
      <c r="CA23" s="24">
        <f t="shared" si="56"/>
        <v>4</v>
      </c>
      <c r="CB23" s="24">
        <f t="shared" si="57"/>
        <v>7.5</v>
      </c>
      <c r="CC23" s="24">
        <f t="shared" si="58"/>
        <v>1.5</v>
      </c>
      <c r="CD23" s="24">
        <f t="shared" si="59"/>
        <v>0</v>
      </c>
      <c r="CE23" s="24">
        <f t="shared" si="60"/>
        <v>0</v>
      </c>
      <c r="CF23" s="24">
        <f t="shared" si="61"/>
        <v>2</v>
      </c>
      <c r="CG23" s="24">
        <f t="shared" si="62"/>
        <v>6</v>
      </c>
      <c r="CH23" s="24">
        <f t="shared" si="63"/>
        <v>4</v>
      </c>
      <c r="CI23" s="24">
        <f t="shared" si="64"/>
        <v>20</v>
      </c>
      <c r="CJ23" s="26">
        <f t="shared" si="83"/>
        <v>1661.4333333333334</v>
      </c>
      <c r="CK23" s="26">
        <f t="shared" si="65"/>
        <v>59</v>
      </c>
      <c r="CL23" s="26">
        <f t="shared" si="84"/>
        <v>83.071666666666673</v>
      </c>
      <c r="CM23" s="24" t="str">
        <f t="shared" si="85"/>
        <v>B</v>
      </c>
      <c r="CN23" s="26">
        <f t="shared" si="66"/>
        <v>2.95</v>
      </c>
      <c r="CO23" s="24">
        <f t="shared" si="67"/>
        <v>20</v>
      </c>
      <c r="CP23" s="26">
        <f t="shared" si="68"/>
        <v>1180.1200000000001</v>
      </c>
      <c r="CQ23" s="26">
        <f t="shared" si="69"/>
        <v>21</v>
      </c>
      <c r="CR23" s="26">
        <f t="shared" si="86"/>
        <v>59.006000000000007</v>
      </c>
      <c r="CS23" s="24" t="str">
        <f t="shared" si="87"/>
        <v>E</v>
      </c>
      <c r="CT23" s="27">
        <f t="shared" si="70"/>
        <v>1.05</v>
      </c>
      <c r="CU23" s="24">
        <f t="shared" si="71"/>
        <v>40</v>
      </c>
      <c r="CV23" s="27">
        <f t="shared" si="72"/>
        <v>2841.5533333333333</v>
      </c>
      <c r="CW23" s="26">
        <f t="shared" si="73"/>
        <v>80</v>
      </c>
      <c r="CX23" s="26">
        <f t="shared" si="88"/>
        <v>71.038833333333329</v>
      </c>
      <c r="CY23" s="27" t="str">
        <f t="shared" si="89"/>
        <v>C</v>
      </c>
      <c r="CZ23" s="26">
        <f t="shared" si="74"/>
        <v>2</v>
      </c>
      <c r="DA23" s="24">
        <f t="shared" si="75"/>
        <v>13</v>
      </c>
      <c r="DB23" s="24" t="str">
        <f t="shared" si="76"/>
        <v>6A</v>
      </c>
      <c r="DC23" s="24">
        <f t="shared" si="77"/>
        <v>13</v>
      </c>
      <c r="DD23" s="24">
        <f t="shared" si="78"/>
        <v>50</v>
      </c>
      <c r="DE23" s="1">
        <v>0</v>
      </c>
      <c r="DF23" s="1">
        <v>0</v>
      </c>
      <c r="DG23" s="1">
        <v>1</v>
      </c>
      <c r="DH23" s="24">
        <f t="shared" si="79"/>
        <v>1</v>
      </c>
      <c r="DI23" s="25">
        <f t="shared" si="80"/>
        <v>0.98</v>
      </c>
      <c r="DJ23" t="str">
        <f t="shared" si="81"/>
        <v>2025-2026</v>
      </c>
      <c r="DK23" s="9"/>
      <c r="DL23" s="9"/>
      <c r="DM23" s="9"/>
      <c r="DN23" s="9"/>
      <c r="DO23" s="9"/>
      <c r="DP23" s="9"/>
      <c r="DQ23" s="136" t="b">
        <f t="shared" si="82"/>
        <v>0</v>
      </c>
    </row>
    <row r="24" spans="1:121" ht="27" customHeight="1" x14ac:dyDescent="1.1499999999999999">
      <c r="A24" s="24">
        <f t="shared" si="90"/>
        <v>10</v>
      </c>
      <c r="B24" s="36" t="s">
        <v>143</v>
      </c>
      <c r="C24" s="13" t="s">
        <v>144</v>
      </c>
      <c r="D24" s="17" t="s">
        <v>124</v>
      </c>
      <c r="E24" s="156">
        <v>686</v>
      </c>
      <c r="F24" s="1" t="s">
        <v>237</v>
      </c>
      <c r="G24" s="7">
        <v>72.333333333333343</v>
      </c>
      <c r="H24" s="7">
        <v>78.633333333333326</v>
      </c>
      <c r="I24" s="7">
        <v>81.400000000000006</v>
      </c>
      <c r="J24" s="7">
        <v>79</v>
      </c>
      <c r="K24" s="7">
        <v>81.800000000000011</v>
      </c>
      <c r="L24" s="7">
        <v>78.833333333333329</v>
      </c>
      <c r="M24" s="7">
        <v>81.5</v>
      </c>
      <c r="N24" s="7">
        <v>100</v>
      </c>
      <c r="O24" s="7">
        <v>100</v>
      </c>
      <c r="P24" s="7">
        <v>90.04</v>
      </c>
      <c r="Q24" s="7">
        <v>90.04</v>
      </c>
      <c r="R24" s="7">
        <v>51.62</v>
      </c>
      <c r="S24" s="7">
        <v>56.066666666666663</v>
      </c>
      <c r="T24" s="7">
        <v>79.599999999999994</v>
      </c>
      <c r="U24" s="7">
        <v>82</v>
      </c>
      <c r="V24" s="7">
        <v>80.833333333333343</v>
      </c>
      <c r="W24" s="3" t="str">
        <f t="shared" si="0"/>
        <v>C</v>
      </c>
      <c r="X24" s="3" t="str">
        <f t="shared" si="1"/>
        <v>C</v>
      </c>
      <c r="Y24" s="3" t="str">
        <f t="shared" si="2"/>
        <v>B</v>
      </c>
      <c r="Z24" s="3" t="str">
        <f t="shared" si="3"/>
        <v>C</v>
      </c>
      <c r="AA24" s="3" t="str">
        <f t="shared" si="4"/>
        <v>B</v>
      </c>
      <c r="AB24" s="3" t="str">
        <f t="shared" si="5"/>
        <v>C</v>
      </c>
      <c r="AC24" s="3" t="str">
        <f t="shared" si="6"/>
        <v>B</v>
      </c>
      <c r="AD24" s="3" t="str">
        <f t="shared" si="7"/>
        <v>A</v>
      </c>
      <c r="AE24" s="3" t="str">
        <f t="shared" si="8"/>
        <v>A</v>
      </c>
      <c r="AF24" s="24" t="str">
        <f t="shared" si="9"/>
        <v>A</v>
      </c>
      <c r="AG24" s="24" t="str">
        <f t="shared" si="10"/>
        <v>A</v>
      </c>
      <c r="AH24" s="24" t="str">
        <f t="shared" si="11"/>
        <v>E</v>
      </c>
      <c r="AI24" s="24" t="str">
        <f t="shared" si="12"/>
        <v>E</v>
      </c>
      <c r="AJ24" s="24" t="str">
        <f t="shared" si="13"/>
        <v>C</v>
      </c>
      <c r="AK24" s="24" t="str">
        <f t="shared" si="14"/>
        <v>B</v>
      </c>
      <c r="AL24" s="24" t="str">
        <f t="shared" si="15"/>
        <v>B</v>
      </c>
      <c r="AM24" s="24">
        <f t="shared" si="16"/>
        <v>2</v>
      </c>
      <c r="AN24" s="24">
        <f t="shared" si="17"/>
        <v>2</v>
      </c>
      <c r="AO24" s="24">
        <f t="shared" si="18"/>
        <v>3</v>
      </c>
      <c r="AP24" s="24">
        <f t="shared" si="19"/>
        <v>1</v>
      </c>
      <c r="AQ24" s="24">
        <f t="shared" si="20"/>
        <v>5</v>
      </c>
      <c r="AR24" s="24">
        <f t="shared" si="21"/>
        <v>3</v>
      </c>
      <c r="AS24" s="24">
        <f t="shared" si="22"/>
        <v>2</v>
      </c>
      <c r="AT24" s="24">
        <f t="shared" si="23"/>
        <v>1</v>
      </c>
      <c r="AU24" s="24">
        <f t="shared" si="24"/>
        <v>1</v>
      </c>
      <c r="AV24" s="24">
        <f t="shared" si="25"/>
        <v>5</v>
      </c>
      <c r="AW24" s="24">
        <f t="shared" si="26"/>
        <v>1</v>
      </c>
      <c r="AX24" s="24">
        <f t="shared" si="27"/>
        <v>5</v>
      </c>
      <c r="AY24" s="24">
        <f t="shared" si="28"/>
        <v>3</v>
      </c>
      <c r="AZ24" s="24">
        <f t="shared" si="29"/>
        <v>2</v>
      </c>
      <c r="BA24" s="24">
        <f t="shared" si="30"/>
        <v>2</v>
      </c>
      <c r="BB24" s="24">
        <f t="shared" si="31"/>
        <v>2</v>
      </c>
      <c r="BC24" s="26">
        <f t="shared" si="32"/>
        <v>144.66666666666669</v>
      </c>
      <c r="BD24" s="26">
        <f t="shared" si="33"/>
        <v>157.26666666666665</v>
      </c>
      <c r="BE24" s="26">
        <f t="shared" si="34"/>
        <v>244.20000000000002</v>
      </c>
      <c r="BF24" s="26">
        <f t="shared" si="35"/>
        <v>79</v>
      </c>
      <c r="BG24" s="26">
        <f t="shared" si="36"/>
        <v>409.00000000000006</v>
      </c>
      <c r="BH24" s="26">
        <f t="shared" si="37"/>
        <v>236.5</v>
      </c>
      <c r="BI24" s="26">
        <f t="shared" si="38"/>
        <v>163</v>
      </c>
      <c r="BJ24" s="26">
        <f t="shared" si="39"/>
        <v>100</v>
      </c>
      <c r="BK24" s="26">
        <f t="shared" si="40"/>
        <v>100</v>
      </c>
      <c r="BL24" s="26">
        <f t="shared" si="41"/>
        <v>450.20000000000005</v>
      </c>
      <c r="BM24" s="26">
        <f t="shared" si="42"/>
        <v>90.04</v>
      </c>
      <c r="BN24" s="26">
        <f t="shared" si="43"/>
        <v>258.09999999999997</v>
      </c>
      <c r="BO24" s="26">
        <f t="shared" si="44"/>
        <v>168.2</v>
      </c>
      <c r="BP24" s="26">
        <f t="shared" si="45"/>
        <v>159.19999999999999</v>
      </c>
      <c r="BQ24" s="26">
        <f t="shared" si="46"/>
        <v>164</v>
      </c>
      <c r="BR24" s="26">
        <f t="shared" si="47"/>
        <v>161.66666666666669</v>
      </c>
      <c r="BS24" s="24">
        <f t="shared" si="48"/>
        <v>4</v>
      </c>
      <c r="BT24" s="24">
        <f t="shared" si="49"/>
        <v>4</v>
      </c>
      <c r="BU24" s="24">
        <f t="shared" si="50"/>
        <v>9</v>
      </c>
      <c r="BV24" s="24">
        <f t="shared" si="51"/>
        <v>2</v>
      </c>
      <c r="BW24" s="24">
        <f t="shared" si="52"/>
        <v>15</v>
      </c>
      <c r="BX24" s="24">
        <f t="shared" si="53"/>
        <v>6</v>
      </c>
      <c r="BY24" s="24">
        <f t="shared" si="54"/>
        <v>6</v>
      </c>
      <c r="BZ24" s="24">
        <f t="shared" si="55"/>
        <v>4</v>
      </c>
      <c r="CA24" s="24">
        <f t="shared" si="56"/>
        <v>4</v>
      </c>
      <c r="CB24" s="24">
        <f t="shared" si="57"/>
        <v>20</v>
      </c>
      <c r="CC24" s="24">
        <f t="shared" si="58"/>
        <v>4</v>
      </c>
      <c r="CD24" s="24">
        <f t="shared" si="59"/>
        <v>5</v>
      </c>
      <c r="CE24" s="24">
        <f t="shared" si="60"/>
        <v>3</v>
      </c>
      <c r="CF24" s="24">
        <f t="shared" si="61"/>
        <v>4</v>
      </c>
      <c r="CG24" s="24">
        <f t="shared" si="62"/>
        <v>6</v>
      </c>
      <c r="CH24" s="24">
        <f t="shared" si="63"/>
        <v>6</v>
      </c>
      <c r="CI24" s="24">
        <f t="shared" si="64"/>
        <v>20</v>
      </c>
      <c r="CJ24" s="26">
        <f t="shared" si="83"/>
        <v>1633.6333333333334</v>
      </c>
      <c r="CK24" s="26">
        <f t="shared" si="65"/>
        <v>54</v>
      </c>
      <c r="CL24" s="26">
        <f t="shared" si="84"/>
        <v>81.681666666666672</v>
      </c>
      <c r="CM24" s="24" t="str">
        <f t="shared" si="85"/>
        <v>B</v>
      </c>
      <c r="CN24" s="26">
        <f t="shared" si="66"/>
        <v>2.7</v>
      </c>
      <c r="CO24" s="24">
        <f t="shared" si="67"/>
        <v>20</v>
      </c>
      <c r="CP24" s="26">
        <f t="shared" si="68"/>
        <v>1451.4066666666668</v>
      </c>
      <c r="CQ24" s="26">
        <f t="shared" si="69"/>
        <v>48</v>
      </c>
      <c r="CR24" s="26">
        <f t="shared" si="86"/>
        <v>72.570333333333338</v>
      </c>
      <c r="CS24" s="24" t="str">
        <f t="shared" si="87"/>
        <v>C</v>
      </c>
      <c r="CT24" s="27">
        <f t="shared" si="70"/>
        <v>2.4</v>
      </c>
      <c r="CU24" s="24">
        <f t="shared" si="71"/>
        <v>40</v>
      </c>
      <c r="CV24" s="27">
        <f t="shared" si="72"/>
        <v>3085.0399999999995</v>
      </c>
      <c r="CW24" s="26">
        <f t="shared" si="73"/>
        <v>102</v>
      </c>
      <c r="CX24" s="26">
        <f t="shared" si="88"/>
        <v>77.125999999999991</v>
      </c>
      <c r="CY24" s="27" t="str">
        <f t="shared" si="89"/>
        <v>C</v>
      </c>
      <c r="CZ24" s="26">
        <f t="shared" si="74"/>
        <v>2.5499999999999998</v>
      </c>
      <c r="DA24" s="24">
        <f t="shared" si="75"/>
        <v>9</v>
      </c>
      <c r="DB24" s="24" t="str">
        <f t="shared" si="76"/>
        <v>6A</v>
      </c>
      <c r="DC24" s="24">
        <f t="shared" si="77"/>
        <v>13</v>
      </c>
      <c r="DD24" s="24">
        <f t="shared" si="78"/>
        <v>50</v>
      </c>
      <c r="DE24" s="1">
        <v>0</v>
      </c>
      <c r="DF24" s="1">
        <v>0</v>
      </c>
      <c r="DG24" s="1">
        <v>0</v>
      </c>
      <c r="DH24" s="24">
        <f t="shared" si="79"/>
        <v>0</v>
      </c>
      <c r="DI24" s="25">
        <f t="shared" si="80"/>
        <v>1</v>
      </c>
      <c r="DJ24" t="str">
        <f t="shared" si="81"/>
        <v>2025-2026</v>
      </c>
      <c r="DK24" s="9"/>
      <c r="DL24" s="9"/>
      <c r="DM24" s="9"/>
      <c r="DN24" s="9"/>
      <c r="DO24" s="9"/>
      <c r="DP24" s="9"/>
      <c r="DQ24" s="136" t="b">
        <f t="shared" si="82"/>
        <v>0</v>
      </c>
    </row>
    <row r="25" spans="1:121" ht="27" customHeight="1" x14ac:dyDescent="1.1499999999999999">
      <c r="A25" s="24">
        <f t="shared" si="90"/>
        <v>11</v>
      </c>
      <c r="B25" s="36" t="s">
        <v>246</v>
      </c>
      <c r="C25" s="13" t="s">
        <v>247</v>
      </c>
      <c r="D25" s="1" t="s">
        <v>124</v>
      </c>
      <c r="E25" s="156">
        <v>789</v>
      </c>
      <c r="F25" s="1" t="s">
        <v>237</v>
      </c>
      <c r="G25" s="7">
        <v>77</v>
      </c>
      <c r="H25" s="7">
        <v>85.366666666666674</v>
      </c>
      <c r="I25" s="7">
        <v>85.933333333333337</v>
      </c>
      <c r="J25" s="7">
        <v>82.333333333333343</v>
      </c>
      <c r="K25" s="7">
        <v>85.466666666666683</v>
      </c>
      <c r="L25" s="7">
        <v>83.166666666666686</v>
      </c>
      <c r="M25" s="7">
        <v>85.566666666666677</v>
      </c>
      <c r="N25" s="7">
        <v>100</v>
      </c>
      <c r="O25" s="7">
        <v>100</v>
      </c>
      <c r="P25" s="7">
        <v>78.739999999999995</v>
      </c>
      <c r="Q25" s="7">
        <v>78.739999999999995</v>
      </c>
      <c r="R25" s="7">
        <v>51.62</v>
      </c>
      <c r="S25" s="7">
        <v>38.6</v>
      </c>
      <c r="T25" s="7">
        <v>50</v>
      </c>
      <c r="U25" s="7">
        <v>50</v>
      </c>
      <c r="V25" s="7">
        <v>50</v>
      </c>
      <c r="W25" s="3" t="str">
        <f t="shared" si="0"/>
        <v>C</v>
      </c>
      <c r="X25" s="3" t="str">
        <f t="shared" si="1"/>
        <v>B</v>
      </c>
      <c r="Y25" s="3" t="str">
        <f t="shared" si="2"/>
        <v>B</v>
      </c>
      <c r="Z25" s="3" t="str">
        <f t="shared" si="3"/>
        <v>B</v>
      </c>
      <c r="AA25" s="3" t="str">
        <f t="shared" si="4"/>
        <v>B</v>
      </c>
      <c r="AB25" s="3" t="str">
        <f t="shared" si="5"/>
        <v>B</v>
      </c>
      <c r="AC25" s="3" t="str">
        <f t="shared" si="6"/>
        <v>B</v>
      </c>
      <c r="AD25" s="3" t="str">
        <f t="shared" si="7"/>
        <v>A</v>
      </c>
      <c r="AE25" s="3" t="str">
        <f t="shared" si="8"/>
        <v>A</v>
      </c>
      <c r="AF25" s="24" t="str">
        <f t="shared" si="9"/>
        <v>C</v>
      </c>
      <c r="AG25" s="24" t="str">
        <f t="shared" si="10"/>
        <v>C</v>
      </c>
      <c r="AH25" s="24" t="str">
        <f t="shared" si="11"/>
        <v>E</v>
      </c>
      <c r="AI25" s="24" t="str">
        <f t="shared" si="12"/>
        <v>F</v>
      </c>
      <c r="AJ25" s="24" t="str">
        <f t="shared" si="13"/>
        <v>E</v>
      </c>
      <c r="AK25" s="24" t="str">
        <f t="shared" si="14"/>
        <v>E</v>
      </c>
      <c r="AL25" s="24" t="str">
        <f t="shared" si="15"/>
        <v>E</v>
      </c>
      <c r="AM25" s="24">
        <f t="shared" si="16"/>
        <v>2</v>
      </c>
      <c r="AN25" s="24">
        <f t="shared" si="17"/>
        <v>2</v>
      </c>
      <c r="AO25" s="24">
        <f t="shared" si="18"/>
        <v>3</v>
      </c>
      <c r="AP25" s="24">
        <f t="shared" si="19"/>
        <v>1</v>
      </c>
      <c r="AQ25" s="24">
        <f t="shared" si="20"/>
        <v>5</v>
      </c>
      <c r="AR25" s="24">
        <f t="shared" si="21"/>
        <v>3</v>
      </c>
      <c r="AS25" s="24">
        <f t="shared" si="22"/>
        <v>2</v>
      </c>
      <c r="AT25" s="24">
        <f t="shared" si="23"/>
        <v>1</v>
      </c>
      <c r="AU25" s="24">
        <f t="shared" si="24"/>
        <v>1</v>
      </c>
      <c r="AV25" s="24">
        <f t="shared" si="25"/>
        <v>5</v>
      </c>
      <c r="AW25" s="24">
        <f t="shared" si="26"/>
        <v>1</v>
      </c>
      <c r="AX25" s="24">
        <f t="shared" si="27"/>
        <v>5</v>
      </c>
      <c r="AY25" s="24">
        <f t="shared" si="28"/>
        <v>3</v>
      </c>
      <c r="AZ25" s="24">
        <f t="shared" si="29"/>
        <v>2</v>
      </c>
      <c r="BA25" s="24">
        <f t="shared" si="30"/>
        <v>2</v>
      </c>
      <c r="BB25" s="24">
        <f t="shared" si="31"/>
        <v>2</v>
      </c>
      <c r="BC25" s="26">
        <f t="shared" si="32"/>
        <v>154</v>
      </c>
      <c r="BD25" s="26">
        <f t="shared" si="33"/>
        <v>170.73333333333335</v>
      </c>
      <c r="BE25" s="26">
        <f t="shared" si="34"/>
        <v>257.8</v>
      </c>
      <c r="BF25" s="26">
        <f t="shared" si="35"/>
        <v>82.333333333333343</v>
      </c>
      <c r="BG25" s="26">
        <f t="shared" si="36"/>
        <v>427.33333333333343</v>
      </c>
      <c r="BH25" s="26">
        <f t="shared" si="37"/>
        <v>249.50000000000006</v>
      </c>
      <c r="BI25" s="26">
        <f t="shared" si="38"/>
        <v>171.13333333333335</v>
      </c>
      <c r="BJ25" s="26">
        <f t="shared" si="39"/>
        <v>100</v>
      </c>
      <c r="BK25" s="26">
        <f t="shared" si="40"/>
        <v>100</v>
      </c>
      <c r="BL25" s="26">
        <f t="shared" si="41"/>
        <v>393.7</v>
      </c>
      <c r="BM25" s="26">
        <f t="shared" si="42"/>
        <v>78.739999999999995</v>
      </c>
      <c r="BN25" s="26">
        <f t="shared" si="43"/>
        <v>258.09999999999997</v>
      </c>
      <c r="BO25" s="26">
        <f t="shared" si="44"/>
        <v>115.80000000000001</v>
      </c>
      <c r="BP25" s="26">
        <f t="shared" si="45"/>
        <v>100</v>
      </c>
      <c r="BQ25" s="26">
        <f t="shared" si="46"/>
        <v>100</v>
      </c>
      <c r="BR25" s="26">
        <f t="shared" si="47"/>
        <v>100</v>
      </c>
      <c r="BS25" s="24">
        <f t="shared" si="48"/>
        <v>4</v>
      </c>
      <c r="BT25" s="24">
        <f t="shared" si="49"/>
        <v>6</v>
      </c>
      <c r="BU25" s="24">
        <f t="shared" si="50"/>
        <v>9</v>
      </c>
      <c r="BV25" s="24">
        <f t="shared" si="51"/>
        <v>3</v>
      </c>
      <c r="BW25" s="24">
        <f t="shared" si="52"/>
        <v>15</v>
      </c>
      <c r="BX25" s="24">
        <f t="shared" si="53"/>
        <v>9</v>
      </c>
      <c r="BY25" s="24">
        <f t="shared" si="54"/>
        <v>6</v>
      </c>
      <c r="BZ25" s="24">
        <f t="shared" si="55"/>
        <v>4</v>
      </c>
      <c r="CA25" s="24">
        <f t="shared" si="56"/>
        <v>4</v>
      </c>
      <c r="CB25" s="24">
        <f t="shared" si="57"/>
        <v>10</v>
      </c>
      <c r="CC25" s="24">
        <f t="shared" si="58"/>
        <v>2</v>
      </c>
      <c r="CD25" s="24">
        <f t="shared" si="59"/>
        <v>5</v>
      </c>
      <c r="CE25" s="24">
        <f t="shared" si="60"/>
        <v>0</v>
      </c>
      <c r="CF25" s="24">
        <f t="shared" si="61"/>
        <v>2</v>
      </c>
      <c r="CG25" s="24">
        <f t="shared" si="62"/>
        <v>2</v>
      </c>
      <c r="CH25" s="24">
        <f t="shared" si="63"/>
        <v>2</v>
      </c>
      <c r="CI25" s="24">
        <f t="shared" si="64"/>
        <v>20</v>
      </c>
      <c r="CJ25" s="26">
        <f t="shared" si="83"/>
        <v>1712.8333333333335</v>
      </c>
      <c r="CK25" s="26">
        <f t="shared" si="65"/>
        <v>60</v>
      </c>
      <c r="CL25" s="26">
        <f t="shared" si="84"/>
        <v>85.64166666666668</v>
      </c>
      <c r="CM25" s="24" t="str">
        <f t="shared" si="85"/>
        <v>B</v>
      </c>
      <c r="CN25" s="26">
        <f t="shared" si="66"/>
        <v>3</v>
      </c>
      <c r="CO25" s="24">
        <f t="shared" si="67"/>
        <v>20</v>
      </c>
      <c r="CP25" s="26">
        <f t="shared" si="68"/>
        <v>1146.3399999999999</v>
      </c>
      <c r="CQ25" s="26">
        <f t="shared" si="69"/>
        <v>23</v>
      </c>
      <c r="CR25" s="26">
        <f t="shared" si="86"/>
        <v>57.316999999999993</v>
      </c>
      <c r="CS25" s="24" t="str">
        <f t="shared" si="87"/>
        <v>E</v>
      </c>
      <c r="CT25" s="27">
        <f t="shared" si="70"/>
        <v>1.1499999999999999</v>
      </c>
      <c r="CU25" s="24">
        <f t="shared" si="71"/>
        <v>40</v>
      </c>
      <c r="CV25" s="27">
        <f t="shared" si="72"/>
        <v>2859.1733333333332</v>
      </c>
      <c r="CW25" s="26">
        <f t="shared" si="73"/>
        <v>83</v>
      </c>
      <c r="CX25" s="26">
        <f t="shared" si="88"/>
        <v>71.479333333333329</v>
      </c>
      <c r="CY25" s="27" t="str">
        <f t="shared" si="89"/>
        <v>C</v>
      </c>
      <c r="CZ25" s="26">
        <f t="shared" si="74"/>
        <v>2.0750000000000002</v>
      </c>
      <c r="DA25" s="24">
        <f t="shared" si="75"/>
        <v>10</v>
      </c>
      <c r="DB25" s="24" t="str">
        <f t="shared" si="76"/>
        <v>6A</v>
      </c>
      <c r="DC25" s="24">
        <f t="shared" si="77"/>
        <v>13</v>
      </c>
      <c r="DD25" s="24">
        <f t="shared" si="78"/>
        <v>50</v>
      </c>
      <c r="DE25" s="1">
        <v>0</v>
      </c>
      <c r="DF25" s="1">
        <v>0</v>
      </c>
      <c r="DG25" s="1">
        <v>0</v>
      </c>
      <c r="DH25" s="24">
        <f t="shared" si="79"/>
        <v>0</v>
      </c>
      <c r="DI25" s="25">
        <f t="shared" si="80"/>
        <v>1</v>
      </c>
      <c r="DJ25" t="str">
        <f t="shared" si="81"/>
        <v>2025-2026</v>
      </c>
      <c r="DK25" s="9"/>
      <c r="DL25" s="9"/>
      <c r="DM25" s="9"/>
      <c r="DN25" s="9"/>
      <c r="DO25" s="9"/>
      <c r="DP25" s="9"/>
      <c r="DQ25" s="136" t="b">
        <f t="shared" si="82"/>
        <v>0</v>
      </c>
    </row>
    <row r="26" spans="1:121" ht="27" customHeight="1" x14ac:dyDescent="1.1499999999999999">
      <c r="A26" s="24">
        <f t="shared" si="90"/>
        <v>12</v>
      </c>
      <c r="B26" s="36" t="s">
        <v>248</v>
      </c>
      <c r="C26" s="20" t="s">
        <v>249</v>
      </c>
      <c r="D26" s="21" t="s">
        <v>124</v>
      </c>
      <c r="E26" s="156">
        <v>769</v>
      </c>
      <c r="F26" s="1" t="s">
        <v>237</v>
      </c>
      <c r="G26" s="7">
        <v>77</v>
      </c>
      <c r="H26" s="7">
        <v>85.366666666666674</v>
      </c>
      <c r="I26" s="7">
        <v>85.933333333333337</v>
      </c>
      <c r="J26" s="7">
        <v>82.333333333333343</v>
      </c>
      <c r="K26" s="7">
        <v>85.466666666666683</v>
      </c>
      <c r="L26" s="7">
        <v>83.166666666666686</v>
      </c>
      <c r="M26" s="7">
        <v>85.566666666666677</v>
      </c>
      <c r="N26" s="7">
        <v>100</v>
      </c>
      <c r="O26" s="7">
        <v>100</v>
      </c>
      <c r="P26" s="7">
        <v>78.739999999999995</v>
      </c>
      <c r="Q26" s="7">
        <v>78.739999999999995</v>
      </c>
      <c r="R26" s="7">
        <v>51.62</v>
      </c>
      <c r="S26" s="7">
        <v>38.6</v>
      </c>
      <c r="T26" s="7">
        <v>50</v>
      </c>
      <c r="U26" s="7">
        <v>50</v>
      </c>
      <c r="V26" s="7">
        <v>50</v>
      </c>
      <c r="W26" s="3" t="str">
        <f t="shared" ref="W26:W27" si="93">IF(G26="","",IF(G26&gt;=90,"A",IF(G26&gt;=80,"B",IF(G26&gt;=70,"C",IF(G26&gt;=60,"D",IF(G26&gt;=50,"E",IF(G26&gt;=0,"F","")))))))</f>
        <v>C</v>
      </c>
      <c r="X26" s="3" t="str">
        <f t="shared" ref="X26:X27" si="94">IF(H26="","",IF(H26&gt;=90,"A",IF(H26&gt;=80,"B",IF(H26&gt;=70,"C",IF(H26&gt;=60,"D",IF(H26&gt;=50,"E",IF(H26&gt;=0,"F","")))))))</f>
        <v>B</v>
      </c>
      <c r="Y26" s="3" t="str">
        <f t="shared" ref="Y26:Y27" si="95">IF(I26="","",IF(I26&gt;=90,"A",IF(I26&gt;=80,"B",IF(I26&gt;=70,"C",IF(I26&gt;=60,"D",IF(I26&gt;=50,"E",IF(I26&gt;=0,"F","")))))))</f>
        <v>B</v>
      </c>
      <c r="Z26" s="3" t="str">
        <f t="shared" ref="Z26:Z27" si="96">IF(J26="","",IF(J26&gt;=90,"A",IF(J26&gt;=80,"B",IF(J26&gt;=70,"C",IF(J26&gt;=60,"D",IF(J26&gt;=50,"E",IF(J26&gt;=0,"F","")))))))</f>
        <v>B</v>
      </c>
      <c r="AA26" s="3" t="str">
        <f t="shared" ref="AA26:AA27" si="97">IF(K26="","",IF(K26&gt;=90,"A",IF(K26&gt;=80,"B",IF(K26&gt;=70,"C",IF(K26&gt;=60,"D",IF(K26&gt;=50,"E",IF(K26&gt;=0,"F","")))))))</f>
        <v>B</v>
      </c>
      <c r="AB26" s="3" t="str">
        <f t="shared" ref="AB26:AB27" si="98">IF(L26="","",IF(L26&gt;=90,"A",IF(L26&gt;=80,"B",IF(L26&gt;=70,"C",IF(L26&gt;=60,"D",IF(L26&gt;=50,"E",IF(L26&gt;=0,"F","")))))))</f>
        <v>B</v>
      </c>
      <c r="AC26" s="3" t="str">
        <f t="shared" ref="AC26:AC27" si="99">IF(M26="","",IF(M26&gt;=90,"A",IF(M26&gt;=80,"B",IF(M26&gt;=70,"C",IF(M26&gt;=60,"D",IF(M26&gt;=50,"E",IF(M26&gt;=0,"F","")))))))</f>
        <v>B</v>
      </c>
      <c r="AD26" s="3" t="str">
        <f t="shared" ref="AD26:AD27" si="100">IF(N26="","",IF(N26&gt;=90,"A",IF(N26&gt;=80,"B",IF(N26&gt;=70,"C",IF(N26&gt;=60,"D",IF(N26&gt;=50,"E",IF(N26&gt;=0,"F","")))))))</f>
        <v>A</v>
      </c>
      <c r="AE26" s="3" t="str">
        <f t="shared" ref="AE26:AE27" si="101">IF(O26="","",IF(O26&gt;=90,"A",IF(O26&gt;=80,"B",IF(O26&gt;=70,"C",IF(O26&gt;=60,"D",IF(O26&gt;=50,"E",IF(O26&gt;=0,"F","")))))))</f>
        <v>A</v>
      </c>
      <c r="AF26" s="24" t="str">
        <f t="shared" ref="AF26:AF27" si="102">IF(P26="","",IF(P26&gt;=90,"A",IF(P26&gt;=80,"B",IF(P26&gt;=70,"C",IF(P26&gt;=60,"D",IF(P26&gt;=50,"E",IF(P26&gt;=0,"F","")))))))</f>
        <v>C</v>
      </c>
      <c r="AG26" s="24" t="str">
        <f t="shared" ref="AG26:AG27" si="103">IF(Q26="","",IF(Q26&gt;=90,"A",IF(Q26&gt;=80,"B",IF(Q26&gt;=70,"C",IF(Q26&gt;=60,"D",IF(Q26&gt;=50,"E",IF(Q26&gt;=0,"F","")))))))</f>
        <v>C</v>
      </c>
      <c r="AH26" s="24" t="str">
        <f t="shared" ref="AH26:AH27" si="104">IF(R26="","",IF(R26&gt;=90,"A",IF(R26&gt;=80,"B",IF(R26&gt;=70,"C",IF(R26&gt;=60,"D",IF(R26&gt;=50,"E",IF(R26&gt;=0,"F","")))))))</f>
        <v>E</v>
      </c>
      <c r="AI26" s="24" t="str">
        <f t="shared" ref="AI26:AI27" si="105">IF(S26="","",IF(S26&gt;=90,"A",IF(S26&gt;=80,"B",IF(S26&gt;=70,"C",IF(S26&gt;=60,"D",IF(S26&gt;=50,"E",IF(S26&gt;=0,"F","")))))))</f>
        <v>F</v>
      </c>
      <c r="AJ26" s="24" t="str">
        <f t="shared" ref="AJ26:AJ27" si="106">IF(T26="","",IF(T26&gt;=90,"A",IF(T26&gt;=80,"B",IF(T26&gt;=70,"C",IF(T26&gt;=60,"D",IF(T26&gt;=50,"E",IF(T26&gt;=0,"F","")))))))</f>
        <v>E</v>
      </c>
      <c r="AK26" s="24" t="str">
        <f t="shared" ref="AK26:AK27" si="107">IF(U26="","",IF(U26&gt;=90,"A",IF(U26&gt;=80,"B",IF(U26&gt;=70,"C",IF(U26&gt;=60,"D",IF(U26&gt;=50,"E",IF(U26&gt;=0,"F","")))))))</f>
        <v>E</v>
      </c>
      <c r="AL26" s="24" t="str">
        <f t="shared" ref="AL26:AL27" si="108">IF(V26="","",IF(V26&gt;=90,"A",IF(V26&gt;=80,"B",IF(V26&gt;=70,"C",IF(V26&gt;=60,"D",IF(V26&gt;=50,"E",IF(V26&gt;=0,"F","")))))))</f>
        <v>E</v>
      </c>
      <c r="AM26" s="24">
        <f t="shared" ref="AM26:AM27" si="109">IF(G26="","",$AM$14)</f>
        <v>2</v>
      </c>
      <c r="AN26" s="24">
        <f t="shared" ref="AN26:AN27" si="110">IF(H26="","",$AN$14)</f>
        <v>2</v>
      </c>
      <c r="AO26" s="24">
        <f t="shared" ref="AO26:AO27" si="111">IF(I26="","",$AO$14)</f>
        <v>3</v>
      </c>
      <c r="AP26" s="24">
        <f t="shared" ref="AP26:AP27" si="112">IF(J26="","",$AP$14)</f>
        <v>1</v>
      </c>
      <c r="AQ26" s="24">
        <f t="shared" ref="AQ26:AQ27" si="113">IF(K26="","",$AQ$14)</f>
        <v>5</v>
      </c>
      <c r="AR26" s="24">
        <f t="shared" ref="AR26:AR27" si="114">IF(L26="","",$AR$14)</f>
        <v>3</v>
      </c>
      <c r="AS26" s="24">
        <f t="shared" ref="AS26:AS27" si="115">IF(M26="","",$AS$14)</f>
        <v>2</v>
      </c>
      <c r="AT26" s="24">
        <f t="shared" ref="AT26:AT27" si="116">IF(N26="","",$AT$14)</f>
        <v>1</v>
      </c>
      <c r="AU26" s="24">
        <f t="shared" ref="AU26:AU27" si="117">IF(O26="","",$AU$14)</f>
        <v>1</v>
      </c>
      <c r="AV26" s="24">
        <f t="shared" ref="AV26:AV27" si="118">IF(P26="","",$AV$14)</f>
        <v>5</v>
      </c>
      <c r="AW26" s="24">
        <f t="shared" ref="AW26:AW27" si="119">IF(Q26="","",$AW$14)</f>
        <v>1</v>
      </c>
      <c r="AX26" s="24">
        <f t="shared" ref="AX26:AX27" si="120">IF(R26="","",$AX$14)</f>
        <v>5</v>
      </c>
      <c r="AY26" s="24">
        <f t="shared" ref="AY26:AY27" si="121">IF(S26="","",$AY$14)</f>
        <v>3</v>
      </c>
      <c r="AZ26" s="24">
        <f t="shared" ref="AZ26:AZ27" si="122">IF(T26="","",$AZ$14)</f>
        <v>2</v>
      </c>
      <c r="BA26" s="24">
        <f t="shared" ref="BA26:BA27" si="123">IF(U26="","",$BA$14)</f>
        <v>2</v>
      </c>
      <c r="BB26" s="24">
        <f t="shared" ref="BB26:BB27" si="124">IF(V26="","",$BB$14)</f>
        <v>2</v>
      </c>
      <c r="BC26" s="26">
        <f t="shared" ref="BC26:BC27" si="125">IF(OR(G26="",AM26=""),"",PRODUCT(G26,AM26))</f>
        <v>154</v>
      </c>
      <c r="BD26" s="26">
        <f t="shared" ref="BD26:BD27" si="126">IF(OR(H26="",AN26=""),"",PRODUCT(H26,AN26))</f>
        <v>170.73333333333335</v>
      </c>
      <c r="BE26" s="26">
        <f t="shared" ref="BE26:BE27" si="127">IF(OR(I26="",AO26=""),"",PRODUCT(I26,AO26))</f>
        <v>257.8</v>
      </c>
      <c r="BF26" s="26">
        <f t="shared" ref="BF26:BF27" si="128">IF(OR(J26="",AP26=""),"",PRODUCT(J26,AP26))</f>
        <v>82.333333333333343</v>
      </c>
      <c r="BG26" s="26">
        <f t="shared" ref="BG26:BG27" si="129">IF(OR(K26="",AQ26=""),"",PRODUCT(K26,AQ26))</f>
        <v>427.33333333333343</v>
      </c>
      <c r="BH26" s="26">
        <f t="shared" ref="BH26:BH27" si="130">IF(OR(L26="",AR26=""),"",PRODUCT(L26,AR26))</f>
        <v>249.50000000000006</v>
      </c>
      <c r="BI26" s="26">
        <f t="shared" ref="BI26:BI27" si="131">IF(OR(M26="",AS26=""),"",PRODUCT(M26,AS26))</f>
        <v>171.13333333333335</v>
      </c>
      <c r="BJ26" s="26">
        <f t="shared" ref="BJ26:BJ27" si="132">IF(OR(N26="",AT26=""),"",PRODUCT(N26,AT26))</f>
        <v>100</v>
      </c>
      <c r="BK26" s="26">
        <f t="shared" ref="BK26:BK27" si="133">IF(OR(O26="",AU26=""),"",PRODUCT(O26,AU26))</f>
        <v>100</v>
      </c>
      <c r="BL26" s="26">
        <f t="shared" ref="BL26:BL27" si="134">IF(OR(P26="",AV26=""),"",PRODUCT(P26,AV26))</f>
        <v>393.7</v>
      </c>
      <c r="BM26" s="26">
        <f t="shared" ref="BM26:BM27" si="135">IF(OR(Q26="",AW26=""),"",PRODUCT(Q26,AW26))</f>
        <v>78.739999999999995</v>
      </c>
      <c r="BN26" s="26">
        <f t="shared" ref="BN26:BN27" si="136">IF(OR(R26="",AX26=""),"",PRODUCT(R26,AX26))</f>
        <v>258.09999999999997</v>
      </c>
      <c r="BO26" s="26">
        <f t="shared" ref="BO26:BO27" si="137">IF(OR(S26="",AY26=""),"",PRODUCT(S26,AY26))</f>
        <v>115.80000000000001</v>
      </c>
      <c r="BP26" s="26">
        <f t="shared" ref="BP26:BP27" si="138">IF(OR(T26="",AZ26=""),"",PRODUCT(T26,AZ26))</f>
        <v>100</v>
      </c>
      <c r="BQ26" s="26">
        <f t="shared" ref="BQ26:BQ27" si="139">IF(OR(U26="",BA26=""),"",PRODUCT(U26,BA26))</f>
        <v>100</v>
      </c>
      <c r="BR26" s="26">
        <f t="shared" ref="BR26:BR27" si="140">IF(OR(V26="",BB26=""),"",PRODUCT(V26,BB26))</f>
        <v>100</v>
      </c>
      <c r="BS26" s="24">
        <f t="shared" si="48"/>
        <v>4</v>
      </c>
      <c r="BT26" s="24">
        <f t="shared" si="49"/>
        <v>6</v>
      </c>
      <c r="BU26" s="24">
        <f t="shared" si="50"/>
        <v>9</v>
      </c>
      <c r="BV26" s="24">
        <f t="shared" si="51"/>
        <v>3</v>
      </c>
      <c r="BW26" s="24">
        <f t="shared" si="52"/>
        <v>15</v>
      </c>
      <c r="BX26" s="24">
        <f t="shared" si="53"/>
        <v>9</v>
      </c>
      <c r="BY26" s="24">
        <f t="shared" si="54"/>
        <v>6</v>
      </c>
      <c r="BZ26" s="24">
        <f t="shared" si="55"/>
        <v>4</v>
      </c>
      <c r="CA26" s="24">
        <f t="shared" si="56"/>
        <v>4</v>
      </c>
      <c r="CB26" s="24">
        <f t="shared" si="57"/>
        <v>10</v>
      </c>
      <c r="CC26" s="24">
        <f t="shared" si="58"/>
        <v>2</v>
      </c>
      <c r="CD26" s="24">
        <f t="shared" si="59"/>
        <v>5</v>
      </c>
      <c r="CE26" s="24">
        <f t="shared" si="60"/>
        <v>0</v>
      </c>
      <c r="CF26" s="24">
        <f t="shared" si="61"/>
        <v>2</v>
      </c>
      <c r="CG26" s="24">
        <f t="shared" si="62"/>
        <v>2</v>
      </c>
      <c r="CH26" s="24">
        <f t="shared" si="63"/>
        <v>2</v>
      </c>
      <c r="CI26" s="24">
        <f t="shared" ref="CI26:CI27" si="141">IF(B26="","",SUM(AM26:AU26))</f>
        <v>20</v>
      </c>
      <c r="CJ26" s="26">
        <f t="shared" ref="CJ26:CJ27" si="142">IF(B26="","",SUM(BC26:BK26))</f>
        <v>1712.8333333333335</v>
      </c>
      <c r="CK26" s="26">
        <f t="shared" ref="CK26:CK27" si="143">IF(B26="","",SUM(BS26:CA26))</f>
        <v>60</v>
      </c>
      <c r="CL26" s="26">
        <f t="shared" ref="CL26:CL27" si="144">IF(OR(CI26="",CJ26=""),"",CJ26/CI26)</f>
        <v>85.64166666666668</v>
      </c>
      <c r="CM26" s="24" t="str">
        <f t="shared" ref="CM26:CM27" si="145">IF(CL26="","",IF(CL26&gt;=90,"A",IF(CL26&gt;=80,"B",IF(CL26&gt;=70,"C",IF(CL26&gt;=60,"D",IF(CL26&gt;=50,"E",IF(CL26&gt;=0,"F","")))))))</f>
        <v>B</v>
      </c>
      <c r="CN26" s="26">
        <f t="shared" ref="CN26:CN27" si="146">IF(B26="","",CK26/CI26)</f>
        <v>3</v>
      </c>
      <c r="CO26" s="24">
        <f t="shared" ref="CO26:CO27" si="147">IF(B26="","",SUM(AV26:BB26))</f>
        <v>20</v>
      </c>
      <c r="CP26" s="26">
        <f t="shared" ref="CP26:CP27" si="148">IF(B26="","",SUM(BL26:BR26))</f>
        <v>1146.3399999999999</v>
      </c>
      <c r="CQ26" s="26">
        <f t="shared" ref="CQ26:CQ27" si="149">IF(B26="","",SUM(CB26:CH26))</f>
        <v>23</v>
      </c>
      <c r="CR26" s="26">
        <f t="shared" ref="CR26:CR27" si="150">IF(OR(CO26="",CP26=""),"",CP26/CO26)</f>
        <v>57.316999999999993</v>
      </c>
      <c r="CS26" s="24" t="str">
        <f t="shared" ref="CS26:CS27" si="151">IF(CR26="","",IF(CR26&gt;=90,"A",IF(CR26&gt;=80,"B",IF(CR26&gt;=70,"C",IF(CR26&gt;=60,"D",IF(CR26&gt;=50,"E",IF(CR26&gt;=0,"F","")))))))</f>
        <v>E</v>
      </c>
      <c r="CT26" s="27">
        <f t="shared" ref="CT26:CT27" si="152">IF(B26="","",CQ26/CO26)</f>
        <v>1.1499999999999999</v>
      </c>
      <c r="CU26" s="24">
        <f t="shared" ref="CU26:CU27" si="153">IF(SUM(AM26:BB26)=0,"",IF(OR(B26="",F26="I",F26="II",F26="M",F26="A"),(SUM(AM26:BB26)),IF(OR(B26="",F26="III"),(SUM(CI26,CO26)))))</f>
        <v>40</v>
      </c>
      <c r="CV26" s="27">
        <f t="shared" ref="CV26:CV27" si="154">IF(SUM(AM26:BB26)=0,"",IF(OR(B26="",F26="I",F26="II",F26="M",F26="A"),(SUM(BC26:BR26)),IF(OR(B26="",F26="III"),(SUM(CJ26,CP26)))))</f>
        <v>2859.1733333333332</v>
      </c>
      <c r="CW26" s="26">
        <f t="shared" ref="CW26:CW27" si="155">IF(SUM(AM26:BB26)=0,"",IF(OR(B26="",F26="I",F26="II",F26="M",F26="A"),(SUM(BS26:CH26)),IF(OR(B26="",F26="III"),(SUM(CQ26,CK26)))))</f>
        <v>83</v>
      </c>
      <c r="CX26" s="26">
        <f t="shared" ref="CX26:CX27" si="156">IF(OR(CU26=0,CV26=0),0,IF(OR(CU26="",CV26=""),"",CV26/CU26))</f>
        <v>71.479333333333329</v>
      </c>
      <c r="CY26" s="27" t="str">
        <f t="shared" ref="CY26:CY27" si="157">IF(CX26="","",IF(CX26&gt;=90,"A",IF(CX26&gt;=80,"B",IF(CX26&gt;=70,"C",IF(CX26&gt;=60,"D",IF(CX26&gt;=50,"E",IF(CX26&gt;=0,"F","")))))))</f>
        <v>C</v>
      </c>
      <c r="CZ26" s="26">
        <f t="shared" ref="CZ26:CZ27" si="158">IF(B26="","",CW26/CU26)</f>
        <v>2.0750000000000002</v>
      </c>
      <c r="DA26" s="24">
        <f t="shared" si="75"/>
        <v>10</v>
      </c>
      <c r="DB26" s="24" t="str">
        <f t="shared" ref="DB26:DB27" si="159">IF(B26="","",$C$9)</f>
        <v>6A</v>
      </c>
      <c r="DC26" s="24">
        <f t="shared" si="77"/>
        <v>13</v>
      </c>
      <c r="DD26" s="24">
        <f t="shared" ref="DD26:DD27" si="160">IF(B26="","",$C$8)</f>
        <v>50</v>
      </c>
      <c r="DE26" s="1">
        <v>0</v>
      </c>
      <c r="DF26" s="1">
        <v>0</v>
      </c>
      <c r="DG26" s="1">
        <v>0</v>
      </c>
      <c r="DH26" s="24">
        <f t="shared" ref="DH26:DH27" si="161">IF(B26="","",DF26+DG26)</f>
        <v>0</v>
      </c>
      <c r="DI26" s="25">
        <f t="shared" ref="DI26:DI27" si="162">IF(B26="","",(DD26-DH26)/DD26)</f>
        <v>1</v>
      </c>
      <c r="DJ26" t="str">
        <f t="shared" ref="DJ26:DJ27" si="163">IF(B26="","",$C$11)</f>
        <v>2025-2026</v>
      </c>
      <c r="DK26" s="9"/>
      <c r="DL26" s="9"/>
      <c r="DM26" s="9"/>
      <c r="DN26" s="9"/>
      <c r="DO26" s="9"/>
      <c r="DP26" s="9"/>
      <c r="DQ26" s="136" t="b">
        <f t="shared" ref="DQ26:DQ27" si="164">EXACT(B26,DK26)</f>
        <v>0</v>
      </c>
    </row>
    <row r="27" spans="1:121" ht="27" customHeight="1" x14ac:dyDescent="1.1499999999999999">
      <c r="A27" s="24">
        <f t="shared" si="90"/>
        <v>13</v>
      </c>
      <c r="B27" s="36" t="s">
        <v>250</v>
      </c>
      <c r="C27" s="20" t="s">
        <v>251</v>
      </c>
      <c r="D27" s="21" t="s">
        <v>124</v>
      </c>
      <c r="E27" s="156">
        <v>773</v>
      </c>
      <c r="F27" s="1" t="s">
        <v>237</v>
      </c>
      <c r="G27" s="7">
        <v>77</v>
      </c>
      <c r="H27" s="7">
        <v>85.366666666666674</v>
      </c>
      <c r="I27" s="7">
        <v>85.933333333333337</v>
      </c>
      <c r="J27" s="7">
        <v>82.333333333333343</v>
      </c>
      <c r="K27" s="7">
        <v>85.466666666666683</v>
      </c>
      <c r="L27" s="7">
        <v>83.166666666666686</v>
      </c>
      <c r="M27" s="7">
        <v>85.566666666666677</v>
      </c>
      <c r="N27" s="7">
        <v>100</v>
      </c>
      <c r="O27" s="7">
        <v>100</v>
      </c>
      <c r="P27" s="7">
        <v>78.739999999999995</v>
      </c>
      <c r="Q27" s="7">
        <v>78.739999999999995</v>
      </c>
      <c r="R27" s="7">
        <v>51.62</v>
      </c>
      <c r="S27" s="7">
        <v>38.6</v>
      </c>
      <c r="T27" s="7">
        <v>50</v>
      </c>
      <c r="U27" s="7">
        <v>50</v>
      </c>
      <c r="V27" s="7">
        <v>50</v>
      </c>
      <c r="W27" s="3" t="str">
        <f t="shared" si="93"/>
        <v>C</v>
      </c>
      <c r="X27" s="3" t="str">
        <f t="shared" si="94"/>
        <v>B</v>
      </c>
      <c r="Y27" s="3" t="str">
        <f t="shared" si="95"/>
        <v>B</v>
      </c>
      <c r="Z27" s="3" t="str">
        <f t="shared" si="96"/>
        <v>B</v>
      </c>
      <c r="AA27" s="3" t="str">
        <f t="shared" si="97"/>
        <v>B</v>
      </c>
      <c r="AB27" s="3" t="str">
        <f t="shared" si="98"/>
        <v>B</v>
      </c>
      <c r="AC27" s="3" t="str">
        <f t="shared" si="99"/>
        <v>B</v>
      </c>
      <c r="AD27" s="3" t="str">
        <f t="shared" si="100"/>
        <v>A</v>
      </c>
      <c r="AE27" s="3" t="str">
        <f t="shared" si="101"/>
        <v>A</v>
      </c>
      <c r="AF27" s="24" t="str">
        <f t="shared" si="102"/>
        <v>C</v>
      </c>
      <c r="AG27" s="24" t="str">
        <f t="shared" si="103"/>
        <v>C</v>
      </c>
      <c r="AH27" s="24" t="str">
        <f t="shared" si="104"/>
        <v>E</v>
      </c>
      <c r="AI27" s="24" t="str">
        <f t="shared" si="105"/>
        <v>F</v>
      </c>
      <c r="AJ27" s="24" t="str">
        <f t="shared" si="106"/>
        <v>E</v>
      </c>
      <c r="AK27" s="24" t="str">
        <f t="shared" si="107"/>
        <v>E</v>
      </c>
      <c r="AL27" s="24" t="str">
        <f t="shared" si="108"/>
        <v>E</v>
      </c>
      <c r="AM27" s="24">
        <f t="shared" si="109"/>
        <v>2</v>
      </c>
      <c r="AN27" s="24">
        <f t="shared" si="110"/>
        <v>2</v>
      </c>
      <c r="AO27" s="24">
        <f t="shared" si="111"/>
        <v>3</v>
      </c>
      <c r="AP27" s="24">
        <f t="shared" si="112"/>
        <v>1</v>
      </c>
      <c r="AQ27" s="24">
        <f t="shared" si="113"/>
        <v>5</v>
      </c>
      <c r="AR27" s="24">
        <f t="shared" si="114"/>
        <v>3</v>
      </c>
      <c r="AS27" s="24">
        <f t="shared" si="115"/>
        <v>2</v>
      </c>
      <c r="AT27" s="24">
        <f t="shared" si="116"/>
        <v>1</v>
      </c>
      <c r="AU27" s="24">
        <f t="shared" si="117"/>
        <v>1</v>
      </c>
      <c r="AV27" s="24">
        <f t="shared" si="118"/>
        <v>5</v>
      </c>
      <c r="AW27" s="24">
        <f t="shared" si="119"/>
        <v>1</v>
      </c>
      <c r="AX27" s="24">
        <f t="shared" si="120"/>
        <v>5</v>
      </c>
      <c r="AY27" s="24">
        <f t="shared" si="121"/>
        <v>3</v>
      </c>
      <c r="AZ27" s="24">
        <f t="shared" si="122"/>
        <v>2</v>
      </c>
      <c r="BA27" s="24">
        <f t="shared" si="123"/>
        <v>2</v>
      </c>
      <c r="BB27" s="24">
        <f t="shared" si="124"/>
        <v>2</v>
      </c>
      <c r="BC27" s="26">
        <f t="shared" si="125"/>
        <v>154</v>
      </c>
      <c r="BD27" s="26">
        <f t="shared" si="126"/>
        <v>170.73333333333335</v>
      </c>
      <c r="BE27" s="26">
        <f t="shared" si="127"/>
        <v>257.8</v>
      </c>
      <c r="BF27" s="26">
        <f t="shared" si="128"/>
        <v>82.333333333333343</v>
      </c>
      <c r="BG27" s="26">
        <f t="shared" si="129"/>
        <v>427.33333333333343</v>
      </c>
      <c r="BH27" s="26">
        <f t="shared" si="130"/>
        <v>249.50000000000006</v>
      </c>
      <c r="BI27" s="26">
        <f t="shared" si="131"/>
        <v>171.13333333333335</v>
      </c>
      <c r="BJ27" s="26">
        <f t="shared" si="132"/>
        <v>100</v>
      </c>
      <c r="BK27" s="26">
        <f t="shared" si="133"/>
        <v>100</v>
      </c>
      <c r="BL27" s="26">
        <f t="shared" si="134"/>
        <v>393.7</v>
      </c>
      <c r="BM27" s="26">
        <f t="shared" si="135"/>
        <v>78.739999999999995</v>
      </c>
      <c r="BN27" s="26">
        <f t="shared" si="136"/>
        <v>258.09999999999997</v>
      </c>
      <c r="BO27" s="26">
        <f t="shared" si="137"/>
        <v>115.80000000000001</v>
      </c>
      <c r="BP27" s="26">
        <f t="shared" si="138"/>
        <v>100</v>
      </c>
      <c r="BQ27" s="26">
        <f t="shared" si="139"/>
        <v>100</v>
      </c>
      <c r="BR27" s="26">
        <f t="shared" si="140"/>
        <v>100</v>
      </c>
      <c r="BS27" s="24">
        <f t="shared" si="48"/>
        <v>4</v>
      </c>
      <c r="BT27" s="24">
        <f t="shared" si="49"/>
        <v>6</v>
      </c>
      <c r="BU27" s="24">
        <f t="shared" si="50"/>
        <v>9</v>
      </c>
      <c r="BV27" s="24">
        <f t="shared" si="51"/>
        <v>3</v>
      </c>
      <c r="BW27" s="24">
        <f t="shared" si="52"/>
        <v>15</v>
      </c>
      <c r="BX27" s="24">
        <f t="shared" si="53"/>
        <v>9</v>
      </c>
      <c r="BY27" s="24">
        <f t="shared" si="54"/>
        <v>6</v>
      </c>
      <c r="BZ27" s="24">
        <f t="shared" si="55"/>
        <v>4</v>
      </c>
      <c r="CA27" s="24">
        <f t="shared" si="56"/>
        <v>4</v>
      </c>
      <c r="CB27" s="24">
        <f t="shared" si="57"/>
        <v>10</v>
      </c>
      <c r="CC27" s="24">
        <f t="shared" si="58"/>
        <v>2</v>
      </c>
      <c r="CD27" s="24">
        <f t="shared" si="59"/>
        <v>5</v>
      </c>
      <c r="CE27" s="24">
        <f t="shared" si="60"/>
        <v>0</v>
      </c>
      <c r="CF27" s="24">
        <f t="shared" si="61"/>
        <v>2</v>
      </c>
      <c r="CG27" s="24">
        <f t="shared" si="62"/>
        <v>2</v>
      </c>
      <c r="CH27" s="24">
        <f t="shared" si="63"/>
        <v>2</v>
      </c>
      <c r="CI27" s="24">
        <f t="shared" si="141"/>
        <v>20</v>
      </c>
      <c r="CJ27" s="26">
        <f t="shared" si="142"/>
        <v>1712.8333333333335</v>
      </c>
      <c r="CK27" s="26">
        <f t="shared" si="143"/>
        <v>60</v>
      </c>
      <c r="CL27" s="26">
        <f t="shared" si="144"/>
        <v>85.64166666666668</v>
      </c>
      <c r="CM27" s="24" t="str">
        <f t="shared" si="145"/>
        <v>B</v>
      </c>
      <c r="CN27" s="26">
        <f t="shared" si="146"/>
        <v>3</v>
      </c>
      <c r="CO27" s="24">
        <f t="shared" si="147"/>
        <v>20</v>
      </c>
      <c r="CP27" s="26">
        <f t="shared" si="148"/>
        <v>1146.3399999999999</v>
      </c>
      <c r="CQ27" s="26">
        <f t="shared" si="149"/>
        <v>23</v>
      </c>
      <c r="CR27" s="26">
        <f t="shared" si="150"/>
        <v>57.316999999999993</v>
      </c>
      <c r="CS27" s="24" t="str">
        <f t="shared" si="151"/>
        <v>E</v>
      </c>
      <c r="CT27" s="27">
        <f t="shared" si="152"/>
        <v>1.1499999999999999</v>
      </c>
      <c r="CU27" s="24">
        <f t="shared" si="153"/>
        <v>40</v>
      </c>
      <c r="CV27" s="27">
        <f t="shared" si="154"/>
        <v>2859.1733333333332</v>
      </c>
      <c r="CW27" s="26">
        <f t="shared" si="155"/>
        <v>83</v>
      </c>
      <c r="CX27" s="26">
        <f t="shared" si="156"/>
        <v>71.479333333333329</v>
      </c>
      <c r="CY27" s="27" t="str">
        <f t="shared" si="157"/>
        <v>C</v>
      </c>
      <c r="CZ27" s="26">
        <f t="shared" si="158"/>
        <v>2.0750000000000002</v>
      </c>
      <c r="DA27" s="24">
        <f t="shared" si="75"/>
        <v>10</v>
      </c>
      <c r="DB27" s="24" t="str">
        <f t="shared" si="159"/>
        <v>6A</v>
      </c>
      <c r="DC27" s="24">
        <f t="shared" si="77"/>
        <v>13</v>
      </c>
      <c r="DD27" s="24">
        <f t="shared" si="160"/>
        <v>50</v>
      </c>
      <c r="DE27" s="1">
        <v>0</v>
      </c>
      <c r="DF27" s="1">
        <v>0</v>
      </c>
      <c r="DG27" s="1">
        <v>0</v>
      </c>
      <c r="DH27" s="24">
        <f t="shared" si="161"/>
        <v>0</v>
      </c>
      <c r="DI27" s="25">
        <f t="shared" si="162"/>
        <v>1</v>
      </c>
      <c r="DJ27" t="str">
        <f t="shared" si="163"/>
        <v>2025-2026</v>
      </c>
      <c r="DK27" s="9"/>
      <c r="DL27" s="9"/>
      <c r="DM27" s="9"/>
      <c r="DN27" s="9"/>
      <c r="DO27" s="9"/>
      <c r="DP27" s="9"/>
      <c r="DQ27" s="136" t="b">
        <f t="shared" si="164"/>
        <v>0</v>
      </c>
    </row>
    <row r="28" spans="1:121" ht="27" customHeight="1" x14ac:dyDescent="0.35">
      <c r="A28" s="24" t="str">
        <f>IF(B28="","",#REF!+1)</f>
        <v/>
      </c>
      <c r="B28" s="34"/>
      <c r="C28" s="35"/>
      <c r="D28" s="1"/>
      <c r="E28" s="1"/>
      <c r="F28" s="1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3" t="str">
        <f t="shared" si="0"/>
        <v/>
      </c>
      <c r="X28" s="3" t="str">
        <f t="shared" si="1"/>
        <v/>
      </c>
      <c r="Y28" s="3" t="str">
        <f t="shared" si="2"/>
        <v/>
      </c>
      <c r="Z28" s="3" t="str">
        <f t="shared" si="3"/>
        <v/>
      </c>
      <c r="AA28" s="3" t="str">
        <f t="shared" si="4"/>
        <v/>
      </c>
      <c r="AB28" s="3" t="str">
        <f t="shared" si="5"/>
        <v/>
      </c>
      <c r="AC28" s="3" t="str">
        <f t="shared" si="6"/>
        <v/>
      </c>
      <c r="AD28" s="3" t="str">
        <f t="shared" si="7"/>
        <v/>
      </c>
      <c r="AE28" s="3" t="str">
        <f t="shared" si="8"/>
        <v/>
      </c>
      <c r="AF28" s="24" t="str">
        <f t="shared" si="9"/>
        <v/>
      </c>
      <c r="AG28" s="24" t="str">
        <f t="shared" si="10"/>
        <v/>
      </c>
      <c r="AH28" s="24" t="str">
        <f t="shared" si="11"/>
        <v/>
      </c>
      <c r="AI28" s="24" t="str">
        <f t="shared" si="12"/>
        <v/>
      </c>
      <c r="AJ28" s="24" t="str">
        <f t="shared" si="13"/>
        <v/>
      </c>
      <c r="AK28" s="24" t="str">
        <f t="shared" si="14"/>
        <v/>
      </c>
      <c r="AL28" s="24" t="str">
        <f t="shared" si="15"/>
        <v/>
      </c>
      <c r="AM28" s="24" t="str">
        <f t="shared" si="16"/>
        <v/>
      </c>
      <c r="AN28" s="24" t="str">
        <f t="shared" si="17"/>
        <v/>
      </c>
      <c r="AO28" s="24" t="str">
        <f t="shared" si="18"/>
        <v/>
      </c>
      <c r="AP28" s="24" t="str">
        <f t="shared" si="19"/>
        <v/>
      </c>
      <c r="AQ28" s="24" t="str">
        <f t="shared" si="20"/>
        <v/>
      </c>
      <c r="AR28" s="24" t="str">
        <f t="shared" si="21"/>
        <v/>
      </c>
      <c r="AS28" s="24" t="str">
        <f t="shared" si="22"/>
        <v/>
      </c>
      <c r="AT28" s="24" t="str">
        <f t="shared" si="23"/>
        <v/>
      </c>
      <c r="AU28" s="24" t="str">
        <f t="shared" si="24"/>
        <v/>
      </c>
      <c r="AV28" s="24" t="str">
        <f t="shared" si="25"/>
        <v/>
      </c>
      <c r="AW28" s="24" t="str">
        <f t="shared" si="26"/>
        <v/>
      </c>
      <c r="AX28" s="24" t="str">
        <f t="shared" si="27"/>
        <v/>
      </c>
      <c r="AY28" s="24" t="str">
        <f t="shared" si="28"/>
        <v/>
      </c>
      <c r="AZ28" s="24" t="str">
        <f t="shared" si="29"/>
        <v/>
      </c>
      <c r="BA28" s="24" t="str">
        <f t="shared" si="30"/>
        <v/>
      </c>
      <c r="BB28" s="24" t="str">
        <f t="shared" si="31"/>
        <v/>
      </c>
      <c r="BC28" s="26" t="str">
        <f t="shared" si="32"/>
        <v/>
      </c>
      <c r="BD28" s="26" t="str">
        <f t="shared" si="33"/>
        <v/>
      </c>
      <c r="BE28" s="26" t="str">
        <f t="shared" si="34"/>
        <v/>
      </c>
      <c r="BF28" s="26" t="str">
        <f t="shared" si="35"/>
        <v/>
      </c>
      <c r="BG28" s="26" t="str">
        <f t="shared" si="36"/>
        <v/>
      </c>
      <c r="BH28" s="26" t="str">
        <f t="shared" si="37"/>
        <v/>
      </c>
      <c r="BI28" s="26" t="str">
        <f t="shared" si="38"/>
        <v/>
      </c>
      <c r="BJ28" s="26" t="str">
        <f t="shared" si="39"/>
        <v/>
      </c>
      <c r="BK28" s="26" t="str">
        <f t="shared" si="40"/>
        <v/>
      </c>
      <c r="BL28" s="26" t="str">
        <f t="shared" si="41"/>
        <v/>
      </c>
      <c r="BM28" s="26" t="str">
        <f t="shared" si="42"/>
        <v/>
      </c>
      <c r="BN28" s="26" t="str">
        <f t="shared" si="43"/>
        <v/>
      </c>
      <c r="BO28" s="26" t="str">
        <f t="shared" si="44"/>
        <v/>
      </c>
      <c r="BP28" s="26" t="str">
        <f t="shared" si="45"/>
        <v/>
      </c>
      <c r="BQ28" s="26" t="str">
        <f t="shared" si="46"/>
        <v/>
      </c>
      <c r="BR28" s="26" t="str">
        <f t="shared" si="47"/>
        <v/>
      </c>
      <c r="BS28" s="24" t="str">
        <f t="shared" ref="BS28:BS30" si="165">IF(OR(AM28="",W28=""),"",AM28*(IF(OR(W28="A",W28="a"),4,(IF(OR(W534="B",W28="b"),3,(IF(OR(W28="C",W28="c"),2,(IF(OR(W28="D",W28="d"),1.5,(IF(OR(W28="E",W28="e"),1,(IF(OR(W28="F",W28="f"),0)))))))))))))</f>
        <v/>
      </c>
      <c r="BT28" s="24" t="str">
        <f t="shared" ref="BT28:BT30" si="166">IF(OR(AN28="",X28=""),"",AN28*(IF(OR(X28="A",X28="a"),4,(IF(OR(X534="B",X28="b"),3,(IF(OR(X28="C",X28="c"),2,(IF(OR(X28="D",X28="d"),1.5,(IF(OR(X28="E",X28="e"),1,(IF(OR(X28="F",X28="f"),0)))))))))))))</f>
        <v/>
      </c>
      <c r="BU28" s="24" t="str">
        <f t="shared" ref="BU28:BU30" si="167">IF(OR(AO28="",Y28=""),"",AO28*(IF(OR(Y28="A",Y28="a"),4,(IF(OR(Y534="B",Y28="b"),3,(IF(OR(Y28="C",Y28="c"),2,(IF(OR(Y28="D",Y28="d"),1.5,(IF(OR(Y28="E",Y28="e"),1,(IF(OR(Y28="F",Y28="f"),0)))))))))))))</f>
        <v/>
      </c>
      <c r="BV28" s="24" t="str">
        <f t="shared" ref="BV28:BV30" si="168">IF(OR(AP28="",Z28=""),"",AP28*(IF(OR(Z28="A",Z28="a"),4,(IF(OR(Z534="B",Z28="b"),3,(IF(OR(Z28="C",Z28="c"),2,(IF(OR(Z28="D",Z28="d"),1.5,(IF(OR(Z28="E",Z28="e"),1,(IF(OR(Z28="F",Z28="f"),0)))))))))))))</f>
        <v/>
      </c>
      <c r="BW28" s="24" t="str">
        <f t="shared" ref="BW28:BW30" si="169">IF(OR(AQ28="",AA28=""),"",AQ28*(IF(OR(AA28="A",AA28="a"),4,(IF(OR(AA534="B",AA28="b"),3,(IF(OR(AA28="C",AA28="c"),2,(IF(OR(AA28="D",AA28="d"),1.5,(IF(OR(AA28="E",AA28="e"),1,(IF(OR(AA28="F",AA28="f"),0)))))))))))))</f>
        <v/>
      </c>
      <c r="BX28" s="24" t="str">
        <f t="shared" ref="BX28:BX30" si="170">IF(OR(AR28="",AB28=""),"",AR28*(IF(OR(AB28="A",AB28="a"),4,(IF(OR(AE534="B",AB28="b"),3,(IF(OR(AB28="C",AB28="c"),2,(IF(OR(AB28="D",AB28="d"),1.5,(IF(OR(AB28="E",AB28="e"),1,(IF(OR(AB28="F",AB28="f"),0)))))))))))))</f>
        <v/>
      </c>
      <c r="BY28" s="24" t="str">
        <f t="shared" ref="BY28:BY30" si="171">IF(OR(AS28="",AC28=""),"",AS28*(IF(OR(AC28="A",AC28="a"),4,(IF(OR(AM534="B",AC28="b"),3,(IF(OR(AC28="C",AC28="c"),2,(IF(OR(AC28="D",AC28="d"),1.5,(IF(OR(AC28="E",AC28="e"),1,(IF(OR(AC28="F",AC28="f"),0)))))))))))))</f>
        <v/>
      </c>
      <c r="BZ28" s="24" t="str">
        <f t="shared" ref="BZ28:BZ30" si="172">IF(OR(AT28="",AD28=""),"",AT28*(IF(OR(AD28="A",AD28="a"),4,(IF(OR(AN534="B",AD28="b"),3,(IF(OR(AD28="C",AD28="c"),2,(IF(OR(AD28="D",AD28="d"),1.5,(IF(OR(AD28="E",AD28="e"),1,(IF(OR(AD28="F",AD28="f"),0)))))))))))))</f>
        <v/>
      </c>
      <c r="CA28" s="24" t="str">
        <f t="shared" ref="CA28:CA30" si="173">IF(OR(AU28="",AE28=""),"",AU28*(IF(OR(AE28="A",AE28="a"),4,(IF(OR(AE534="B",AE28="b"),3,(IF(OR(AE28="C",AE28="c"),2,(IF(OR(AE28="D",AE28="d"),1.5,(IF(OR(AE28="E",AE28="e"),1,(IF(OR(AE28="F",AE28="f"),0)))))))))))))</f>
        <v/>
      </c>
      <c r="CB28" s="24" t="str">
        <f t="shared" ref="CB28:CB45" si="174">IF(OR(AV28="",AF28=""),"",AV28*(IF(OR(AF28="A",AF28="a"),4,(IF(OR(AF537="B",AF28="b"),3,(IF(OR(AF28="C",AF28="c"),2,(IF(OR(AF28="D",AF28="d"),1.5,(IF(OR(AF28="E",AF28="e"),1,(IF(OR(AF28="F",AF28="f"),0)))))))))))))</f>
        <v/>
      </c>
      <c r="CC28" s="24" t="str">
        <f t="shared" ref="CC28:CC45" si="175">IF(OR(AW28="",AG28=""),"",AW28*(IF(OR(AG28="A",AG28="a"),4,(IF(OR(AG537="B",AG28="b"),3,(IF(OR(AG28="C",AG28="c"),2,(IF(OR(AG28="D",AG28="d"),1.5,(IF(OR(AG28="E",AG28="e"),1,(IF(OR(AG28="F",AG28="f"),0)))))))))))))</f>
        <v/>
      </c>
      <c r="CD28" s="24" t="str">
        <f t="shared" ref="CD28:CD45" si="176">IF(OR(AX28="",AH28=""),"",AX28*(IF(OR(AH28="A",AH28="a"),4,(IF(OR(AH537="B",AH28="b"),3,(IF(OR(AH28="C",AH28="c"),2,(IF(OR(AH28="D",AH28="d"),1.5,(IF(OR(AH28="E",AH28="e"),1,(IF(OR(AH28="F",AH28="f"),0)))))))))))))</f>
        <v/>
      </c>
      <c r="CE28" s="24" t="str">
        <f t="shared" ref="CE28:CE43" si="177">IF(OR(AY28="",AI28=""),"",AY28*(IF(OR(AI28="A",AI28="a"),4,(IF(OR(AI535="B",AI28="b"),3,(IF(OR(AI28="C",AI28="c"),2,(IF(OR(AI28="D",AI28="d"),1.5,(IF(OR(AI28="E",AI28="e"),1,(IF(OR(AI28="F",AI28="f"),0)))))))))))))</f>
        <v/>
      </c>
      <c r="CF28" s="24" t="str">
        <f t="shared" ref="CF28:CF45" si="178">IF(OR(AZ28="",AJ28=""),"",AZ28*(IF(OR(AJ28="A",AJ28="a"),4,(IF(OR(AJ537="B",AJ28="b"),3,(IF(OR(AJ28="C",AJ28="c"),2,(IF(OR(AJ28="D",AJ28="d"),1.5,(IF(OR(AJ28="E",AJ28="e"),1,(IF(OR(AJ28="F",AJ28="f"),0)))))))))))))</f>
        <v/>
      </c>
      <c r="CG28" s="24" t="str">
        <f>IF(OR(BA28="",AK28=""),"",BA28*(IF(OR(AK28="A",AK28="a"),4,(IF(OR(#REF!="B",AK28="b"),3,(IF(OR(AK28="C",AK28="c"),2,(IF(OR(AK28="D",AK28="d"),1.5,(IF(OR(AK28="E",AK28="e"),1,(IF(OR(AK28="F",AK28="f"),0)))))))))))))</f>
        <v/>
      </c>
      <c r="CH28" s="24" t="str">
        <f t="shared" ref="CH28:CH45" si="179">IF(OR(BB28="",AL28=""),"",BB28*(IF(OR(AL28="A",AL28="a"),4,(IF(OR(AV537="B",AL28="b"),3,(IF(OR(AL28="C",AL28="c"),2,(IF(OR(AL28="D",AL28="d"),1.5,(IF(OR(AL28="E",AL28="e"),1,(IF(OR(AL28="F",AL28="f"),0)))))))))))))</f>
        <v/>
      </c>
      <c r="CI28" s="24" t="str">
        <f t="shared" si="64"/>
        <v/>
      </c>
      <c r="CJ28" s="26" t="str">
        <f t="shared" ref="CJ28:CJ30" si="180">IF(OR(B28="",F28="I",F28="II",F28="M",F28="A"),"",IF(OR(B28="",G28=""),"",SUM(BC28:BK28)))</f>
        <v/>
      </c>
      <c r="CK28" s="26" t="str">
        <f t="shared" si="65"/>
        <v/>
      </c>
      <c r="CL28" s="26" t="str">
        <f t="shared" si="84"/>
        <v/>
      </c>
      <c r="CM28" s="24" t="str">
        <f t="shared" si="85"/>
        <v/>
      </c>
      <c r="CN28" s="26" t="str">
        <f t="shared" si="66"/>
        <v/>
      </c>
      <c r="CO28" s="24" t="str">
        <f t="shared" si="67"/>
        <v/>
      </c>
      <c r="CP28" s="26" t="str">
        <f t="shared" si="68"/>
        <v/>
      </c>
      <c r="CQ28" s="26" t="str">
        <f t="shared" si="69"/>
        <v/>
      </c>
      <c r="CR28" s="26" t="str">
        <f t="shared" si="86"/>
        <v/>
      </c>
      <c r="CS28" s="24" t="str">
        <f t="shared" si="87"/>
        <v/>
      </c>
      <c r="CT28" s="27" t="str">
        <f t="shared" si="70"/>
        <v/>
      </c>
      <c r="CU28" s="24" t="str">
        <f t="shared" si="71"/>
        <v/>
      </c>
      <c r="CV28" s="27" t="str">
        <f t="shared" si="72"/>
        <v/>
      </c>
      <c r="CW28" s="26" t="str">
        <f t="shared" si="73"/>
        <v/>
      </c>
      <c r="CX28" s="26" t="str">
        <f t="shared" si="88"/>
        <v/>
      </c>
      <c r="CY28" s="27" t="str">
        <f t="shared" si="89"/>
        <v/>
      </c>
      <c r="CZ28" s="26" t="str">
        <f t="shared" si="74"/>
        <v/>
      </c>
      <c r="DA28" s="24" t="str">
        <f t="shared" si="75"/>
        <v/>
      </c>
      <c r="DB28" s="24" t="str">
        <f t="shared" si="76"/>
        <v/>
      </c>
      <c r="DC28" s="24" t="str">
        <f t="shared" si="77"/>
        <v/>
      </c>
      <c r="DD28" s="24" t="str">
        <f t="shared" si="78"/>
        <v/>
      </c>
      <c r="DE28" s="1">
        <v>0</v>
      </c>
      <c r="DF28" s="1">
        <v>0</v>
      </c>
      <c r="DG28" s="1">
        <v>0</v>
      </c>
      <c r="DH28" s="24" t="str">
        <f t="shared" si="79"/>
        <v/>
      </c>
      <c r="DI28" s="25" t="str">
        <f t="shared" si="80"/>
        <v/>
      </c>
      <c r="DJ28" t="str">
        <f t="shared" si="81"/>
        <v/>
      </c>
      <c r="DK28" s="9"/>
      <c r="DL28" s="9"/>
      <c r="DM28" s="9"/>
      <c r="DN28" s="9"/>
      <c r="DO28" s="9"/>
      <c r="DP28" s="9"/>
      <c r="DQ28" s="136" t="b">
        <f t="shared" si="82"/>
        <v>1</v>
      </c>
    </row>
    <row r="29" spans="1:121" ht="27" customHeight="1" x14ac:dyDescent="0.95">
      <c r="A29" s="24" t="str">
        <f t="shared" si="90"/>
        <v/>
      </c>
      <c r="B29" s="9"/>
      <c r="C29" s="14"/>
      <c r="D29" s="9"/>
      <c r="E29" s="9"/>
      <c r="F29" s="1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3" t="str">
        <f t="shared" si="0"/>
        <v/>
      </c>
      <c r="X29" s="3" t="str">
        <f t="shared" si="1"/>
        <v/>
      </c>
      <c r="Y29" s="3" t="str">
        <f t="shared" si="2"/>
        <v/>
      </c>
      <c r="Z29" s="3" t="str">
        <f t="shared" si="3"/>
        <v/>
      </c>
      <c r="AA29" s="3" t="str">
        <f t="shared" si="4"/>
        <v/>
      </c>
      <c r="AB29" s="3" t="str">
        <f t="shared" si="5"/>
        <v/>
      </c>
      <c r="AC29" s="3" t="str">
        <f t="shared" si="6"/>
        <v/>
      </c>
      <c r="AD29" s="3" t="str">
        <f t="shared" si="7"/>
        <v/>
      </c>
      <c r="AE29" s="3" t="str">
        <f t="shared" si="8"/>
        <v/>
      </c>
      <c r="AF29" s="24" t="str">
        <f t="shared" si="9"/>
        <v/>
      </c>
      <c r="AG29" s="24" t="str">
        <f t="shared" si="10"/>
        <v/>
      </c>
      <c r="AH29" s="24" t="str">
        <f t="shared" si="11"/>
        <v/>
      </c>
      <c r="AI29" s="24" t="str">
        <f t="shared" si="12"/>
        <v/>
      </c>
      <c r="AJ29" s="24" t="str">
        <f t="shared" si="13"/>
        <v/>
      </c>
      <c r="AK29" s="24" t="str">
        <f t="shared" si="14"/>
        <v/>
      </c>
      <c r="AL29" s="24" t="str">
        <f t="shared" si="15"/>
        <v/>
      </c>
      <c r="AM29" s="24" t="str">
        <f t="shared" si="16"/>
        <v/>
      </c>
      <c r="AN29" s="24" t="str">
        <f t="shared" si="17"/>
        <v/>
      </c>
      <c r="AO29" s="24" t="str">
        <f t="shared" si="18"/>
        <v/>
      </c>
      <c r="AP29" s="24" t="str">
        <f t="shared" si="19"/>
        <v/>
      </c>
      <c r="AQ29" s="24" t="str">
        <f t="shared" si="20"/>
        <v/>
      </c>
      <c r="AR29" s="24" t="str">
        <f t="shared" si="21"/>
        <v/>
      </c>
      <c r="AS29" s="24" t="str">
        <f t="shared" si="22"/>
        <v/>
      </c>
      <c r="AT29" s="24" t="str">
        <f t="shared" si="23"/>
        <v/>
      </c>
      <c r="AU29" s="24" t="str">
        <f t="shared" si="24"/>
        <v/>
      </c>
      <c r="AV29" s="24" t="str">
        <f t="shared" si="25"/>
        <v/>
      </c>
      <c r="AW29" s="24" t="str">
        <f t="shared" si="26"/>
        <v/>
      </c>
      <c r="AX29" s="24" t="str">
        <f t="shared" si="27"/>
        <v/>
      </c>
      <c r="AY29" s="24" t="str">
        <f t="shared" si="28"/>
        <v/>
      </c>
      <c r="AZ29" s="24" t="str">
        <f t="shared" si="29"/>
        <v/>
      </c>
      <c r="BA29" s="24" t="str">
        <f t="shared" si="30"/>
        <v/>
      </c>
      <c r="BB29" s="24" t="str">
        <f t="shared" si="31"/>
        <v/>
      </c>
      <c r="BC29" s="26" t="str">
        <f t="shared" si="32"/>
        <v/>
      </c>
      <c r="BD29" s="26" t="str">
        <f t="shared" si="33"/>
        <v/>
      </c>
      <c r="BE29" s="26" t="str">
        <f t="shared" si="34"/>
        <v/>
      </c>
      <c r="BF29" s="26" t="str">
        <f t="shared" si="35"/>
        <v/>
      </c>
      <c r="BG29" s="26" t="str">
        <f t="shared" si="36"/>
        <v/>
      </c>
      <c r="BH29" s="26" t="str">
        <f t="shared" si="37"/>
        <v/>
      </c>
      <c r="BI29" s="26" t="str">
        <f t="shared" si="38"/>
        <v/>
      </c>
      <c r="BJ29" s="26" t="str">
        <f t="shared" si="39"/>
        <v/>
      </c>
      <c r="BK29" s="26" t="str">
        <f t="shared" si="40"/>
        <v/>
      </c>
      <c r="BL29" s="26" t="str">
        <f t="shared" si="41"/>
        <v/>
      </c>
      <c r="BM29" s="26" t="str">
        <f t="shared" si="42"/>
        <v/>
      </c>
      <c r="BN29" s="26" t="str">
        <f t="shared" si="43"/>
        <v/>
      </c>
      <c r="BO29" s="26" t="str">
        <f t="shared" si="44"/>
        <v/>
      </c>
      <c r="BP29" s="26" t="str">
        <f t="shared" si="45"/>
        <v/>
      </c>
      <c r="BQ29" s="26" t="str">
        <f t="shared" si="46"/>
        <v/>
      </c>
      <c r="BR29" s="26" t="str">
        <f t="shared" si="47"/>
        <v/>
      </c>
      <c r="BS29" s="24" t="str">
        <f t="shared" si="165"/>
        <v/>
      </c>
      <c r="BT29" s="24" t="str">
        <f t="shared" si="166"/>
        <v/>
      </c>
      <c r="BU29" s="24" t="str">
        <f t="shared" si="167"/>
        <v/>
      </c>
      <c r="BV29" s="24" t="str">
        <f t="shared" si="168"/>
        <v/>
      </c>
      <c r="BW29" s="24" t="str">
        <f t="shared" si="169"/>
        <v/>
      </c>
      <c r="BX29" s="24" t="str">
        <f t="shared" si="170"/>
        <v/>
      </c>
      <c r="BY29" s="24" t="str">
        <f t="shared" si="171"/>
        <v/>
      </c>
      <c r="BZ29" s="24" t="str">
        <f t="shared" si="172"/>
        <v/>
      </c>
      <c r="CA29" s="24" t="str">
        <f t="shared" si="173"/>
        <v/>
      </c>
      <c r="CB29" s="24" t="str">
        <f t="shared" si="174"/>
        <v/>
      </c>
      <c r="CC29" s="24" t="str">
        <f t="shared" si="175"/>
        <v/>
      </c>
      <c r="CD29" s="24" t="str">
        <f t="shared" si="176"/>
        <v/>
      </c>
      <c r="CE29" s="24" t="str">
        <f t="shared" si="177"/>
        <v/>
      </c>
      <c r="CF29" s="24" t="str">
        <f t="shared" si="178"/>
        <v/>
      </c>
      <c r="CG29" s="24" t="str">
        <f>IF(OR(BA29="",AK29=""),"",BA29*(IF(OR(AK29="A",AK29="a"),4,(IF(OR(#REF!="B",AK29="b"),3,(IF(OR(AK29="C",AK29="c"),2,(IF(OR(AK29="D",AK29="d"),1.5,(IF(OR(AK29="E",AK29="e"),1,(IF(OR(AK29="F",AK29="f"),0)))))))))))))</f>
        <v/>
      </c>
      <c r="CH29" s="24" t="str">
        <f t="shared" si="179"/>
        <v/>
      </c>
      <c r="CI29" s="24" t="str">
        <f t="shared" si="64"/>
        <v/>
      </c>
      <c r="CJ29" s="26" t="str">
        <f t="shared" si="180"/>
        <v/>
      </c>
      <c r="CK29" s="26" t="str">
        <f t="shared" si="65"/>
        <v/>
      </c>
      <c r="CL29" s="26" t="str">
        <f t="shared" si="84"/>
        <v/>
      </c>
      <c r="CM29" s="24" t="str">
        <f t="shared" si="85"/>
        <v/>
      </c>
      <c r="CN29" s="26" t="str">
        <f t="shared" si="66"/>
        <v/>
      </c>
      <c r="CO29" s="24" t="str">
        <f t="shared" si="67"/>
        <v/>
      </c>
      <c r="CP29" s="26" t="str">
        <f t="shared" si="68"/>
        <v/>
      </c>
      <c r="CQ29" s="26" t="str">
        <f t="shared" si="69"/>
        <v/>
      </c>
      <c r="CR29" s="26" t="str">
        <f t="shared" si="86"/>
        <v/>
      </c>
      <c r="CS29" s="24" t="str">
        <f t="shared" si="87"/>
        <v/>
      </c>
      <c r="CT29" s="27" t="str">
        <f t="shared" si="70"/>
        <v/>
      </c>
      <c r="CU29" s="24" t="str">
        <f t="shared" si="71"/>
        <v/>
      </c>
      <c r="CV29" s="27" t="str">
        <f t="shared" si="72"/>
        <v/>
      </c>
      <c r="CW29" s="26" t="str">
        <f t="shared" si="73"/>
        <v/>
      </c>
      <c r="CX29" s="26" t="str">
        <f t="shared" si="88"/>
        <v/>
      </c>
      <c r="CY29" s="27" t="str">
        <f t="shared" si="89"/>
        <v/>
      </c>
      <c r="CZ29" s="26" t="str">
        <f t="shared" si="74"/>
        <v/>
      </c>
      <c r="DA29" s="24" t="str">
        <f t="shared" si="75"/>
        <v/>
      </c>
      <c r="DB29" s="24" t="str">
        <f t="shared" si="76"/>
        <v/>
      </c>
      <c r="DC29" s="24" t="str">
        <f t="shared" si="77"/>
        <v/>
      </c>
      <c r="DD29" s="24" t="str">
        <f t="shared" si="78"/>
        <v/>
      </c>
      <c r="DE29" s="1">
        <v>0</v>
      </c>
      <c r="DF29" s="1">
        <v>0</v>
      </c>
      <c r="DG29" s="1">
        <v>0</v>
      </c>
      <c r="DH29" s="24" t="str">
        <f t="shared" si="79"/>
        <v/>
      </c>
      <c r="DI29" s="25" t="str">
        <f t="shared" si="80"/>
        <v/>
      </c>
      <c r="DJ29" t="str">
        <f t="shared" si="81"/>
        <v/>
      </c>
      <c r="DK29" s="9"/>
      <c r="DL29" s="9"/>
      <c r="DM29" s="9"/>
      <c r="DN29" s="9"/>
      <c r="DO29" s="9"/>
      <c r="DP29" s="9"/>
      <c r="DQ29" s="136" t="b">
        <f t="shared" si="82"/>
        <v>1</v>
      </c>
    </row>
    <row r="30" spans="1:121" ht="27" customHeight="1" x14ac:dyDescent="0.95">
      <c r="A30" s="24" t="str">
        <f t="shared" si="90"/>
        <v/>
      </c>
      <c r="B30" s="9"/>
      <c r="C30" s="14"/>
      <c r="D30" s="9"/>
      <c r="E30" s="9"/>
      <c r="F30" s="1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3" t="str">
        <f t="shared" si="0"/>
        <v/>
      </c>
      <c r="X30" s="3" t="str">
        <f t="shared" si="1"/>
        <v/>
      </c>
      <c r="Y30" s="3" t="str">
        <f t="shared" si="2"/>
        <v/>
      </c>
      <c r="Z30" s="3" t="str">
        <f t="shared" si="3"/>
        <v/>
      </c>
      <c r="AA30" s="3" t="str">
        <f t="shared" si="4"/>
        <v/>
      </c>
      <c r="AB30" s="3" t="str">
        <f t="shared" si="5"/>
        <v/>
      </c>
      <c r="AC30" s="3" t="str">
        <f t="shared" si="6"/>
        <v/>
      </c>
      <c r="AD30" s="3" t="str">
        <f t="shared" si="7"/>
        <v/>
      </c>
      <c r="AE30" s="3" t="str">
        <f t="shared" si="8"/>
        <v/>
      </c>
      <c r="AF30" s="24" t="str">
        <f t="shared" si="9"/>
        <v/>
      </c>
      <c r="AG30" s="24" t="str">
        <f t="shared" si="10"/>
        <v/>
      </c>
      <c r="AH30" s="24" t="str">
        <f t="shared" si="11"/>
        <v/>
      </c>
      <c r="AI30" s="24" t="str">
        <f t="shared" si="12"/>
        <v/>
      </c>
      <c r="AJ30" s="24" t="str">
        <f t="shared" si="13"/>
        <v/>
      </c>
      <c r="AK30" s="24" t="str">
        <f t="shared" si="14"/>
        <v/>
      </c>
      <c r="AL30" s="24" t="str">
        <f t="shared" si="15"/>
        <v/>
      </c>
      <c r="AM30" s="24" t="str">
        <f t="shared" si="16"/>
        <v/>
      </c>
      <c r="AN30" s="24" t="str">
        <f t="shared" si="17"/>
        <v/>
      </c>
      <c r="AO30" s="24" t="str">
        <f t="shared" si="18"/>
        <v/>
      </c>
      <c r="AP30" s="24" t="str">
        <f t="shared" si="19"/>
        <v/>
      </c>
      <c r="AQ30" s="24" t="str">
        <f t="shared" si="20"/>
        <v/>
      </c>
      <c r="AR30" s="24" t="str">
        <f t="shared" si="21"/>
        <v/>
      </c>
      <c r="AS30" s="24" t="str">
        <f t="shared" si="22"/>
        <v/>
      </c>
      <c r="AT30" s="24" t="str">
        <f t="shared" si="23"/>
        <v/>
      </c>
      <c r="AU30" s="24" t="str">
        <f t="shared" si="24"/>
        <v/>
      </c>
      <c r="AV30" s="24" t="str">
        <f t="shared" si="25"/>
        <v/>
      </c>
      <c r="AW30" s="24" t="str">
        <f t="shared" si="26"/>
        <v/>
      </c>
      <c r="AX30" s="24" t="str">
        <f t="shared" si="27"/>
        <v/>
      </c>
      <c r="AY30" s="24" t="str">
        <f t="shared" si="28"/>
        <v/>
      </c>
      <c r="AZ30" s="24" t="str">
        <f t="shared" si="29"/>
        <v/>
      </c>
      <c r="BA30" s="24" t="str">
        <f t="shared" si="30"/>
        <v/>
      </c>
      <c r="BB30" s="24" t="str">
        <f t="shared" si="31"/>
        <v/>
      </c>
      <c r="BC30" s="26" t="str">
        <f t="shared" si="32"/>
        <v/>
      </c>
      <c r="BD30" s="26" t="str">
        <f t="shared" si="33"/>
        <v/>
      </c>
      <c r="BE30" s="26" t="str">
        <f t="shared" si="34"/>
        <v/>
      </c>
      <c r="BF30" s="26" t="str">
        <f t="shared" si="35"/>
        <v/>
      </c>
      <c r="BG30" s="26" t="str">
        <f t="shared" si="36"/>
        <v/>
      </c>
      <c r="BH30" s="26" t="str">
        <f t="shared" si="37"/>
        <v/>
      </c>
      <c r="BI30" s="26" t="str">
        <f t="shared" si="38"/>
        <v/>
      </c>
      <c r="BJ30" s="26" t="str">
        <f t="shared" si="39"/>
        <v/>
      </c>
      <c r="BK30" s="26" t="str">
        <f t="shared" si="40"/>
        <v/>
      </c>
      <c r="BL30" s="26" t="str">
        <f t="shared" si="41"/>
        <v/>
      </c>
      <c r="BM30" s="26" t="str">
        <f t="shared" si="42"/>
        <v/>
      </c>
      <c r="BN30" s="26" t="str">
        <f t="shared" si="43"/>
        <v/>
      </c>
      <c r="BO30" s="26" t="str">
        <f t="shared" si="44"/>
        <v/>
      </c>
      <c r="BP30" s="26" t="str">
        <f t="shared" si="45"/>
        <v/>
      </c>
      <c r="BQ30" s="26" t="str">
        <f t="shared" si="46"/>
        <v/>
      </c>
      <c r="BR30" s="26" t="str">
        <f t="shared" si="47"/>
        <v/>
      </c>
      <c r="BS30" s="24" t="str">
        <f t="shared" si="165"/>
        <v/>
      </c>
      <c r="BT30" s="24" t="str">
        <f t="shared" si="166"/>
        <v/>
      </c>
      <c r="BU30" s="24" t="str">
        <f t="shared" si="167"/>
        <v/>
      </c>
      <c r="BV30" s="24" t="str">
        <f t="shared" si="168"/>
        <v/>
      </c>
      <c r="BW30" s="24" t="str">
        <f t="shared" si="169"/>
        <v/>
      </c>
      <c r="BX30" s="24" t="str">
        <f t="shared" si="170"/>
        <v/>
      </c>
      <c r="BY30" s="24" t="str">
        <f t="shared" si="171"/>
        <v/>
      </c>
      <c r="BZ30" s="24" t="str">
        <f t="shared" si="172"/>
        <v/>
      </c>
      <c r="CA30" s="24" t="str">
        <f t="shared" si="173"/>
        <v/>
      </c>
      <c r="CB30" s="24" t="str">
        <f t="shared" si="174"/>
        <v/>
      </c>
      <c r="CC30" s="24" t="str">
        <f t="shared" si="175"/>
        <v/>
      </c>
      <c r="CD30" s="24" t="str">
        <f t="shared" si="176"/>
        <v/>
      </c>
      <c r="CE30" s="24" t="str">
        <f t="shared" si="177"/>
        <v/>
      </c>
      <c r="CF30" s="24" t="str">
        <f t="shared" si="178"/>
        <v/>
      </c>
      <c r="CG30" s="24" t="str">
        <f>IF(OR(BA30="",AK30=""),"",BA30*(IF(OR(AK30="A",AK30="a"),4,(IF(OR(#REF!="B",AK30="b"),3,(IF(OR(AK30="C",AK30="c"),2,(IF(OR(AK30="D",AK30="d"),1.5,(IF(OR(AK30="E",AK30="e"),1,(IF(OR(AK30="F",AK30="f"),0)))))))))))))</f>
        <v/>
      </c>
      <c r="CH30" s="24" t="str">
        <f t="shared" si="179"/>
        <v/>
      </c>
      <c r="CI30" s="24" t="str">
        <f t="shared" si="64"/>
        <v/>
      </c>
      <c r="CJ30" s="26" t="str">
        <f t="shared" si="180"/>
        <v/>
      </c>
      <c r="CK30" s="26" t="str">
        <f t="shared" si="65"/>
        <v/>
      </c>
      <c r="CL30" s="26" t="str">
        <f t="shared" si="84"/>
        <v/>
      </c>
      <c r="CM30" s="24" t="str">
        <f t="shared" si="85"/>
        <v/>
      </c>
      <c r="CN30" s="26" t="str">
        <f t="shared" si="66"/>
        <v/>
      </c>
      <c r="CO30" s="24" t="str">
        <f t="shared" si="67"/>
        <v/>
      </c>
      <c r="CP30" s="26" t="str">
        <f t="shared" si="68"/>
        <v/>
      </c>
      <c r="CQ30" s="26" t="str">
        <f t="shared" si="69"/>
        <v/>
      </c>
      <c r="CR30" s="26" t="str">
        <f t="shared" si="86"/>
        <v/>
      </c>
      <c r="CS30" s="24" t="str">
        <f t="shared" si="87"/>
        <v/>
      </c>
      <c r="CT30" s="27" t="str">
        <f t="shared" si="70"/>
        <v/>
      </c>
      <c r="CU30" s="24" t="str">
        <f t="shared" si="71"/>
        <v/>
      </c>
      <c r="CV30" s="27" t="str">
        <f t="shared" si="72"/>
        <v/>
      </c>
      <c r="CW30" s="26" t="str">
        <f t="shared" si="73"/>
        <v/>
      </c>
      <c r="CX30" s="26" t="str">
        <f t="shared" si="88"/>
        <v/>
      </c>
      <c r="CY30" s="27" t="str">
        <f t="shared" si="89"/>
        <v/>
      </c>
      <c r="CZ30" s="26" t="str">
        <f t="shared" si="74"/>
        <v/>
      </c>
      <c r="DA30" s="24" t="str">
        <f t="shared" ref="DA30:DA61" si="181">IF(OR(B30="",CR30=""),"",RANK(CR30,$CR$15:$CR$82))</f>
        <v/>
      </c>
      <c r="DB30" s="24" t="str">
        <f t="shared" si="76"/>
        <v/>
      </c>
      <c r="DC30" s="24" t="str">
        <f t="shared" si="77"/>
        <v/>
      </c>
      <c r="DD30" s="24" t="str">
        <f t="shared" si="78"/>
        <v/>
      </c>
      <c r="DE30" s="1">
        <v>0</v>
      </c>
      <c r="DF30" s="1">
        <v>0</v>
      </c>
      <c r="DG30" s="1">
        <v>0</v>
      </c>
      <c r="DH30" s="24" t="str">
        <f t="shared" si="79"/>
        <v/>
      </c>
      <c r="DI30" s="25" t="str">
        <f t="shared" si="80"/>
        <v/>
      </c>
      <c r="DJ30" t="str">
        <f t="shared" si="81"/>
        <v/>
      </c>
      <c r="DK30" s="9"/>
      <c r="DL30" s="9"/>
      <c r="DM30" s="9"/>
      <c r="DN30" s="9"/>
      <c r="DO30" s="9"/>
      <c r="DP30" s="9"/>
      <c r="DQ30" s="136" t="b">
        <f t="shared" si="82"/>
        <v>1</v>
      </c>
    </row>
    <row r="31" spans="1:121" ht="27" customHeight="1" x14ac:dyDescent="0.95">
      <c r="A31" s="24" t="str">
        <f t="shared" si="90"/>
        <v/>
      </c>
      <c r="B31" s="9"/>
      <c r="C31" s="14"/>
      <c r="D31" s="9"/>
      <c r="E31" s="9"/>
      <c r="F31" s="1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3" t="str">
        <f t="shared" ref="W31:W62" si="182">IF(G31="","",IF(G31&gt;=90,"A",IF(G31&gt;=80,"B",IF(G31&gt;=70,"C",IF(G31&gt;=60,"D",IF(G31&gt;=50,"E",IF(G31&gt;=0,"F","")))))))</f>
        <v/>
      </c>
      <c r="X31" s="3" t="str">
        <f t="shared" ref="X31:X62" si="183">IF(H31="","",IF(H31&gt;=90,"A",IF(H31&gt;=80,"B",IF(H31&gt;=70,"C",IF(H31&gt;=60,"D",IF(H31&gt;=50,"E",IF(H31&gt;=0,"F","")))))))</f>
        <v/>
      </c>
      <c r="Y31" s="3" t="str">
        <f t="shared" ref="Y31:Y62" si="184">IF(I31="","",IF(I31&gt;=90,"A",IF(I31&gt;=80,"B",IF(I31&gt;=70,"C",IF(I31&gt;=60,"D",IF(I31&gt;=50,"E",IF(I31&gt;=0,"F","")))))))</f>
        <v/>
      </c>
      <c r="Z31" s="3" t="str">
        <f t="shared" ref="Z31:Z62" si="185">IF(J31="","",IF(J31&gt;=90,"A",IF(J31&gt;=80,"B",IF(J31&gt;=70,"C",IF(J31&gt;=60,"D",IF(J31&gt;=50,"E",IF(J31&gt;=0,"F","")))))))</f>
        <v/>
      </c>
      <c r="AA31" s="3" t="str">
        <f t="shared" ref="AA31:AA62" si="186">IF(K31="","",IF(K31&gt;=90,"A",IF(K31&gt;=80,"B",IF(K31&gt;=70,"C",IF(K31&gt;=60,"D",IF(K31&gt;=50,"E",IF(K31&gt;=0,"F","")))))))</f>
        <v/>
      </c>
      <c r="AB31" s="3" t="str">
        <f t="shared" ref="AB31:AB62" si="187">IF(L31="","",IF(L31&gt;=90,"A",IF(L31&gt;=80,"B",IF(L31&gt;=70,"C",IF(L31&gt;=60,"D",IF(L31&gt;=50,"E",IF(L31&gt;=0,"F","")))))))</f>
        <v/>
      </c>
      <c r="AC31" s="3" t="str">
        <f t="shared" ref="AC31:AC62" si="188">IF(M31="","",IF(M31&gt;=90,"A",IF(M31&gt;=80,"B",IF(M31&gt;=70,"C",IF(M31&gt;=60,"D",IF(M31&gt;=50,"E",IF(M31&gt;=0,"F","")))))))</f>
        <v/>
      </c>
      <c r="AD31" s="3" t="str">
        <f t="shared" ref="AD31:AD62" si="189">IF(N31="","",IF(N31&gt;=90,"A",IF(N31&gt;=80,"B",IF(N31&gt;=70,"C",IF(N31&gt;=60,"D",IF(N31&gt;=50,"E",IF(N31&gt;=0,"F","")))))))</f>
        <v/>
      </c>
      <c r="AE31" s="3" t="str">
        <f t="shared" ref="AE31:AE62" si="190">IF(O31="","",IF(O31&gt;=90,"A",IF(O31&gt;=80,"B",IF(O31&gt;=70,"C",IF(O31&gt;=60,"D",IF(O31&gt;=50,"E",IF(O31&gt;=0,"F","")))))))</f>
        <v/>
      </c>
      <c r="AF31" s="24" t="str">
        <f t="shared" ref="AF31:AF62" si="191">IF(P31="","",IF(P31&gt;=90,"A",IF(P31&gt;=80,"B",IF(P31&gt;=70,"C",IF(P31&gt;=60,"D",IF(P31&gt;=50,"E",IF(P31&gt;=0,"F","")))))))</f>
        <v/>
      </c>
      <c r="AG31" s="24" t="str">
        <f t="shared" ref="AG31:AG62" si="192">IF(Q31="","",IF(Q31&gt;=90,"A",IF(Q31&gt;=80,"B",IF(Q31&gt;=70,"C",IF(Q31&gt;=60,"D",IF(Q31&gt;=50,"E",IF(Q31&gt;=0,"F","")))))))</f>
        <v/>
      </c>
      <c r="AH31" s="24" t="str">
        <f t="shared" ref="AH31:AH62" si="193">IF(R31="","",IF(R31&gt;=90,"A",IF(R31&gt;=80,"B",IF(R31&gt;=70,"C",IF(R31&gt;=60,"D",IF(R31&gt;=50,"E",IF(R31&gt;=0,"F","")))))))</f>
        <v/>
      </c>
      <c r="AI31" s="24" t="str">
        <f t="shared" ref="AI31:AI62" si="194">IF(S31="","",IF(S31&gt;=90,"A",IF(S31&gt;=80,"B",IF(S31&gt;=70,"C",IF(S31&gt;=60,"D",IF(S31&gt;=50,"E",IF(S31&gt;=0,"F","")))))))</f>
        <v/>
      </c>
      <c r="AJ31" s="24" t="str">
        <f t="shared" ref="AJ31:AJ62" si="195">IF(T31="","",IF(T31&gt;=90,"A",IF(T31&gt;=80,"B",IF(T31&gt;=70,"C",IF(T31&gt;=60,"D",IF(T31&gt;=50,"E",IF(T31&gt;=0,"F","")))))))</f>
        <v/>
      </c>
      <c r="AK31" s="24" t="str">
        <f t="shared" ref="AK31:AK62" si="196">IF(U31="","",IF(U31&gt;=90,"A",IF(U31&gt;=80,"B",IF(U31&gt;=70,"C",IF(U31&gt;=60,"D",IF(U31&gt;=50,"E",IF(U31&gt;=0,"F","")))))))</f>
        <v/>
      </c>
      <c r="AL31" s="24" t="str">
        <f t="shared" ref="AL31:AL62" si="197">IF(V31="","",IF(V31&gt;=90,"A",IF(V31&gt;=80,"B",IF(V31&gt;=70,"C",IF(V31&gt;=60,"D",IF(V31&gt;=50,"E",IF(V31&gt;=0,"F","")))))))</f>
        <v/>
      </c>
      <c r="AM31" s="24" t="str">
        <f t="shared" ref="AM31:AM62" si="198">IF(G31="","",$AM$14)</f>
        <v/>
      </c>
      <c r="AN31" s="24" t="str">
        <f t="shared" ref="AN31:AN62" si="199">IF(H31="","",$AN$14)</f>
        <v/>
      </c>
      <c r="AO31" s="24" t="str">
        <f t="shared" ref="AO31:AO62" si="200">IF(I31="","",$AO$14)</f>
        <v/>
      </c>
      <c r="AP31" s="24" t="str">
        <f t="shared" ref="AP31:AP62" si="201">IF(J31="","",$AP$14)</f>
        <v/>
      </c>
      <c r="AQ31" s="24" t="str">
        <f t="shared" ref="AQ31:AQ62" si="202">IF(K31="","",$AQ$14)</f>
        <v/>
      </c>
      <c r="AR31" s="24" t="str">
        <f t="shared" ref="AR31:AR62" si="203">IF(L31="","",$AR$14)</f>
        <v/>
      </c>
      <c r="AS31" s="24" t="str">
        <f t="shared" ref="AS31:AS62" si="204">IF(M31="","",$AS$14)</f>
        <v/>
      </c>
      <c r="AT31" s="24" t="str">
        <f t="shared" ref="AT31:AT62" si="205">IF(N31="","",$AT$14)</f>
        <v/>
      </c>
      <c r="AU31" s="24" t="str">
        <f t="shared" ref="AU31:AU62" si="206">IF(O31="","",$AU$14)</f>
        <v/>
      </c>
      <c r="AV31" s="24" t="str">
        <f t="shared" ref="AV31:AV62" si="207">IF(P31="","",$AV$14)</f>
        <v/>
      </c>
      <c r="AW31" s="24" t="str">
        <f t="shared" ref="AW31:AW62" si="208">IF(Q31="","",$AW$14)</f>
        <v/>
      </c>
      <c r="AX31" s="24" t="str">
        <f t="shared" ref="AX31:AX62" si="209">IF(R31="","",$AX$14)</f>
        <v/>
      </c>
      <c r="AY31" s="24" t="str">
        <f t="shared" ref="AY31:AY62" si="210">IF(S31="","",$AY$14)</f>
        <v/>
      </c>
      <c r="AZ31" s="24" t="str">
        <f t="shared" ref="AZ31:AZ62" si="211">IF(T31="","",$AZ$14)</f>
        <v/>
      </c>
      <c r="BA31" s="24" t="str">
        <f t="shared" ref="BA31:BA62" si="212">IF(U31="","",$BA$14)</f>
        <v/>
      </c>
      <c r="BB31" s="24" t="str">
        <f t="shared" ref="BB31:BB62" si="213">IF(V31="","",$BB$14)</f>
        <v/>
      </c>
      <c r="BC31" s="26" t="str">
        <f t="shared" ref="BC31:BC62" si="214">IF(OR(G31="",AM31=""),"",PRODUCT(G31,AM31))</f>
        <v/>
      </c>
      <c r="BD31" s="26" t="str">
        <f t="shared" ref="BD31:BD62" si="215">IF(OR(H31="",AN31=""),"",PRODUCT(H31,AN31))</f>
        <v/>
      </c>
      <c r="BE31" s="26" t="str">
        <f t="shared" ref="BE31:BE62" si="216">IF(OR(I31="",AO31=""),"",PRODUCT(I31,AO31))</f>
        <v/>
      </c>
      <c r="BF31" s="26" t="str">
        <f t="shared" ref="BF31:BF62" si="217">IF(OR(J31="",AP31=""),"",PRODUCT(J31,AP31))</f>
        <v/>
      </c>
      <c r="BG31" s="26" t="str">
        <f t="shared" ref="BG31:BG62" si="218">IF(OR(K31="",AQ31=""),"",PRODUCT(K31,AQ31))</f>
        <v/>
      </c>
      <c r="BH31" s="26" t="str">
        <f t="shared" ref="BH31:BH62" si="219">IF(OR(L31="",AR31=""),"",PRODUCT(L31,AR31))</f>
        <v/>
      </c>
      <c r="BI31" s="26" t="str">
        <f t="shared" ref="BI31:BI62" si="220">IF(OR(M31="",AS31=""),"",PRODUCT(M31,AS31))</f>
        <v/>
      </c>
      <c r="BJ31" s="26" t="str">
        <f t="shared" ref="BJ31:BJ62" si="221">IF(OR(N31="",AT31=""),"",PRODUCT(N31,AT31))</f>
        <v/>
      </c>
      <c r="BK31" s="26" t="str">
        <f t="shared" ref="BK31:BK62" si="222">IF(OR(O31="",AU31=""),"",PRODUCT(O31,AU31))</f>
        <v/>
      </c>
      <c r="BL31" s="26" t="str">
        <f t="shared" ref="BL31:BL62" si="223">IF(OR(P31="",AV31=""),"",PRODUCT(P31,AV31))</f>
        <v/>
      </c>
      <c r="BM31" s="26" t="str">
        <f t="shared" ref="BM31:BM62" si="224">IF(OR(Q31="",AW31=""),"",PRODUCT(Q31,AW31))</f>
        <v/>
      </c>
      <c r="BN31" s="26" t="str">
        <f t="shared" ref="BN31:BN62" si="225">IF(OR(R31="",AX31=""),"",PRODUCT(R31,AX31))</f>
        <v/>
      </c>
      <c r="BO31" s="26" t="str">
        <f t="shared" ref="BO31:BO62" si="226">IF(OR(S31="",AY31=""),"",PRODUCT(S31,AY31))</f>
        <v/>
      </c>
      <c r="BP31" s="26" t="str">
        <f t="shared" ref="BP31:BP62" si="227">IF(OR(T31="",AZ31=""),"",PRODUCT(T31,AZ31))</f>
        <v/>
      </c>
      <c r="BQ31" s="26" t="str">
        <f t="shared" ref="BQ31:BQ62" si="228">IF(OR(U31="",BA31=""),"",PRODUCT(U31,BA31))</f>
        <v/>
      </c>
      <c r="BR31" s="26" t="str">
        <f t="shared" ref="BR31:BR62" si="229">IF(OR(V31="",BB31=""),"",PRODUCT(V31,BB31))</f>
        <v/>
      </c>
      <c r="BS31" s="24" t="str">
        <f t="shared" ref="BS31:BS62" si="230">IF(OR(AM31="",W31=""),"",AM31*(IF(OR(W31="A",W31="a"),4,(IF(OR(W537="B",W31="b"),3,(IF(OR(W31="C",W31="c"),2,(IF(OR(W31="D",W31="d"),1.5,(IF(OR(W31="E",W31="e"),1,(IF(OR(W31="F",W31="f"),0)))))))))))))</f>
        <v/>
      </c>
      <c r="BT31" s="24" t="str">
        <f t="shared" ref="BT31:BT62" si="231">IF(OR(AN31="",X31=""),"",AN31*(IF(OR(X31="A",X31="a"),4,(IF(OR(X537="B",X31="b"),3,(IF(OR(X31="C",X31="c"),2,(IF(OR(X31="D",X31="d"),1.5,(IF(OR(X31="E",X31="e"),1,(IF(OR(X31="F",X31="f"),0)))))))))))))</f>
        <v/>
      </c>
      <c r="BU31" s="24" t="str">
        <f t="shared" ref="BU31:BU62" si="232">IF(OR(AO31="",Y31=""),"",AO31*(IF(OR(Y31="A",Y31="a"),4,(IF(OR(Y537="B",Y31="b"),3,(IF(OR(Y31="C",Y31="c"),2,(IF(OR(Y31="D",Y31="d"),1.5,(IF(OR(Y31="E",Y31="e"),1,(IF(OR(Y31="F",Y31="f"),0)))))))))))))</f>
        <v/>
      </c>
      <c r="BV31" s="24" t="str">
        <f t="shared" ref="BV31:BV62" si="233">IF(OR(AP31="",Z31=""),"",AP31*(IF(OR(Z31="A",Z31="a"),4,(IF(OR(Z537="B",Z31="b"),3,(IF(OR(Z31="C",Z31="c"),2,(IF(OR(Z31="D",Z31="d"),1.5,(IF(OR(Z31="E",Z31="e"),1,(IF(OR(Z31="F",Z31="f"),0)))))))))))))</f>
        <v/>
      </c>
      <c r="BW31" s="24" t="str">
        <f t="shared" ref="BW31:BW62" si="234">IF(OR(AQ31="",AA31=""),"",AQ31*(IF(OR(AA31="A",AA31="a"),4,(IF(OR(AA537="B",AA31="b"),3,(IF(OR(AA31="C",AA31="c"),2,(IF(OR(AA31="D",AA31="d"),1.5,(IF(OR(AA31="E",AA31="e"),1,(IF(OR(AA31="F",AA31="f"),0)))))))))))))</f>
        <v/>
      </c>
      <c r="BX31" s="24" t="str">
        <f t="shared" ref="BX31:BX62" si="235">IF(OR(AR31="",AB31=""),"",AR31*(IF(OR(AB31="A",AB31="a"),4,(IF(OR(AE537="B",AB31="b"),3,(IF(OR(AB31="C",AB31="c"),2,(IF(OR(AB31="D",AB31="d"),1.5,(IF(OR(AB31="E",AB31="e"),1,(IF(OR(AB31="F",AB31="f"),0)))))))))))))</f>
        <v/>
      </c>
      <c r="BY31" s="24" t="str">
        <f t="shared" ref="BY31:BY62" si="236">IF(OR(AS31="",AC31=""),"",AS31*(IF(OR(AC31="A",AC31="a"),4,(IF(OR(AM537="B",AC31="b"),3,(IF(OR(AC31="C",AC31="c"),2,(IF(OR(AC31="D",AC31="d"),1.5,(IF(OR(AC31="E",AC31="e"),1,(IF(OR(AC31="F",AC31="f"),0)))))))))))))</f>
        <v/>
      </c>
      <c r="BZ31" s="24" t="str">
        <f t="shared" ref="BZ31:BZ62" si="237">IF(OR(AT31="",AD31=""),"",AT31*(IF(OR(AD31="A",AD31="a"),4,(IF(OR(AN537="B",AD31="b"),3,(IF(OR(AD31="C",AD31="c"),2,(IF(OR(AD31="D",AD31="d"),1.5,(IF(OR(AD31="E",AD31="e"),1,(IF(OR(AD31="F",AD31="f"),0)))))))))))))</f>
        <v/>
      </c>
      <c r="CA31" s="24" t="str">
        <f t="shared" ref="CA31:CA62" si="238">IF(OR(AU31="",AE31=""),"",AU31*(IF(OR(AE31="A",AE31="a"),4,(IF(OR(AE537="B",AE31="b"),3,(IF(OR(AE31="C",AE31="c"),2,(IF(OR(AE31="D",AE31="d"),1.5,(IF(OR(AE31="E",AE31="e"),1,(IF(OR(AE31="F",AE31="f"),0)))))))))))))</f>
        <v/>
      </c>
      <c r="CB31" s="24" t="str">
        <f t="shared" si="174"/>
        <v/>
      </c>
      <c r="CC31" s="24" t="str">
        <f t="shared" si="175"/>
        <v/>
      </c>
      <c r="CD31" s="24" t="str">
        <f t="shared" si="176"/>
        <v/>
      </c>
      <c r="CE31" s="24" t="str">
        <f t="shared" si="177"/>
        <v/>
      </c>
      <c r="CF31" s="24" t="str">
        <f t="shared" si="178"/>
        <v/>
      </c>
      <c r="CG31" s="24" t="str">
        <f>IF(OR(BA31="",AK31=""),"",BA31*(IF(OR(AK31="A",AK31="a"),4,(IF(OR(#REF!="B",AK31="b"),3,(IF(OR(AK31="C",AK31="c"),2,(IF(OR(AK31="D",AK31="d"),1.5,(IF(OR(AK31="E",AK31="e"),1,(IF(OR(AK31="F",AK31="f"),0)))))))))))))</f>
        <v/>
      </c>
      <c r="CH31" s="24" t="str">
        <f t="shared" si="179"/>
        <v/>
      </c>
      <c r="CI31" s="24" t="str">
        <f t="shared" ref="CI31:CI62" si="239">IF(B31="","",SUM(AM31:AU31))</f>
        <v/>
      </c>
      <c r="CJ31" s="26" t="str">
        <f t="shared" ref="CJ31:CJ62" si="240">IF(OR(B31="",F31="I",F31="II",F31="M",F31="A"),"",IF(OR(B31="",G31=""),"",SUM(BC31:BK31)))</f>
        <v/>
      </c>
      <c r="CK31" s="26" t="str">
        <f t="shared" ref="CK31:CK62" si="241">IF(B31="","",SUM(BS31:CA31))</f>
        <v/>
      </c>
      <c r="CL31" s="26" t="str">
        <f t="shared" si="84"/>
        <v/>
      </c>
      <c r="CM31" s="24" t="str">
        <f t="shared" si="85"/>
        <v/>
      </c>
      <c r="CN31" s="26" t="str">
        <f t="shared" ref="CN31:CN62" si="242">IF(B31="","",CK31/CI31)</f>
        <v/>
      </c>
      <c r="CO31" s="24" t="str">
        <f t="shared" ref="CO31:CO62" si="243">IF(B31="","",SUM(AV31:BB31))</f>
        <v/>
      </c>
      <c r="CP31" s="26" t="str">
        <f t="shared" ref="CP31:CP62" si="244">IF(B31="","",SUM(BL31:BR31))</f>
        <v/>
      </c>
      <c r="CQ31" s="26" t="str">
        <f t="shared" ref="CQ31:CQ62" si="245">IF(B31="","",SUM(CB31:CH31))</f>
        <v/>
      </c>
      <c r="CR31" s="26" t="str">
        <f t="shared" si="86"/>
        <v/>
      </c>
      <c r="CS31" s="24" t="str">
        <f t="shared" si="87"/>
        <v/>
      </c>
      <c r="CT31" s="27" t="str">
        <f t="shared" ref="CT31:CT62" si="246">IF(B31="","",CQ31/CO31)</f>
        <v/>
      </c>
      <c r="CU31" s="24" t="str">
        <f t="shared" ref="CU31:CU62" si="247">IF(SUM(AM31:BB31)=0,"",IF(OR(B31="",F31="I",F31="II",F31="M",F31="A"),(SUM(AM31:BB31)),IF(OR(B31="",F31="III"),(SUM(CI31,CO31)))))</f>
        <v/>
      </c>
      <c r="CV31" s="27" t="str">
        <f t="shared" ref="CV31:CV62" si="248">IF(SUM(AM31:BB31)=0,"",IF(OR(B31="",F31="I",F31="II",F31="M",F31="A"),(SUM(BC31:BR31)),IF(OR(B31="",F31="III"),(SUM(CJ31,CP31)))))</f>
        <v/>
      </c>
      <c r="CW31" s="26" t="str">
        <f t="shared" ref="CW31:CW62" si="249">IF(SUM(AM31:BB31)=0,"",IF(OR(B31="",F31="I",F31="II",F31="M",F31="A"),(SUM(BS31:CH31)),IF(OR(B31="",F31="III"),(SUM(CQ31,CK31)))))</f>
        <v/>
      </c>
      <c r="CX31" s="26" t="str">
        <f t="shared" si="88"/>
        <v/>
      </c>
      <c r="CY31" s="27" t="str">
        <f t="shared" si="89"/>
        <v/>
      </c>
      <c r="CZ31" s="26" t="str">
        <f t="shared" ref="CZ31:CZ62" si="250">IF(B31="","",CW31/CU31)</f>
        <v/>
      </c>
      <c r="DA31" s="24" t="str">
        <f t="shared" si="181"/>
        <v/>
      </c>
      <c r="DB31" s="24" t="str">
        <f t="shared" ref="DB31:DB62" si="251">IF(B31="","",$C$9)</f>
        <v/>
      </c>
      <c r="DC31" s="24" t="str">
        <f t="shared" si="77"/>
        <v/>
      </c>
      <c r="DD31" s="24" t="str">
        <f t="shared" ref="DD31:DD62" si="252">IF(B31="","",$C$8)</f>
        <v/>
      </c>
      <c r="DE31" s="1">
        <v>0</v>
      </c>
      <c r="DF31" s="1">
        <v>0</v>
      </c>
      <c r="DG31" s="1">
        <v>0</v>
      </c>
      <c r="DH31" s="24" t="str">
        <f t="shared" ref="DH31:DH62" si="253">IF(B31="","",DF31+DG31)</f>
        <v/>
      </c>
      <c r="DI31" s="25" t="str">
        <f t="shared" ref="DI31:DI62" si="254">IF(B31="","",(DD31-DH31)/DD31)</f>
        <v/>
      </c>
      <c r="DJ31" t="str">
        <f t="shared" ref="DJ31:DJ62" si="255">IF(B31="","",$C$11)</f>
        <v/>
      </c>
      <c r="DK31" s="9"/>
      <c r="DL31" s="9"/>
      <c r="DM31" s="9"/>
      <c r="DN31" s="9"/>
      <c r="DO31" s="9"/>
      <c r="DP31" s="9"/>
      <c r="DQ31" s="136" t="b">
        <f t="shared" ref="DQ31:DQ62" si="256">EXACT(B31,DK31)</f>
        <v>1</v>
      </c>
    </row>
    <row r="32" spans="1:121" ht="27" customHeight="1" x14ac:dyDescent="0.95">
      <c r="A32" s="24" t="str">
        <f t="shared" si="90"/>
        <v/>
      </c>
      <c r="B32" s="9"/>
      <c r="C32" s="14"/>
      <c r="D32" s="9"/>
      <c r="E32" s="9"/>
      <c r="F32" s="1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3" t="str">
        <f t="shared" si="182"/>
        <v/>
      </c>
      <c r="X32" s="3" t="str">
        <f t="shared" si="183"/>
        <v/>
      </c>
      <c r="Y32" s="3" t="str">
        <f t="shared" si="184"/>
        <v/>
      </c>
      <c r="Z32" s="3" t="str">
        <f t="shared" si="185"/>
        <v/>
      </c>
      <c r="AA32" s="3" t="str">
        <f t="shared" si="186"/>
        <v/>
      </c>
      <c r="AB32" s="3" t="str">
        <f t="shared" si="187"/>
        <v/>
      </c>
      <c r="AC32" s="3" t="str">
        <f t="shared" si="188"/>
        <v/>
      </c>
      <c r="AD32" s="3" t="str">
        <f t="shared" si="189"/>
        <v/>
      </c>
      <c r="AE32" s="3" t="str">
        <f t="shared" si="190"/>
        <v/>
      </c>
      <c r="AF32" s="24" t="str">
        <f t="shared" si="191"/>
        <v/>
      </c>
      <c r="AG32" s="24" t="str">
        <f t="shared" si="192"/>
        <v/>
      </c>
      <c r="AH32" s="24" t="str">
        <f t="shared" si="193"/>
        <v/>
      </c>
      <c r="AI32" s="24" t="str">
        <f t="shared" si="194"/>
        <v/>
      </c>
      <c r="AJ32" s="24" t="str">
        <f t="shared" si="195"/>
        <v/>
      </c>
      <c r="AK32" s="24" t="str">
        <f t="shared" si="196"/>
        <v/>
      </c>
      <c r="AL32" s="24" t="str">
        <f t="shared" si="197"/>
        <v/>
      </c>
      <c r="AM32" s="24" t="str">
        <f t="shared" si="198"/>
        <v/>
      </c>
      <c r="AN32" s="24" t="str">
        <f t="shared" si="199"/>
        <v/>
      </c>
      <c r="AO32" s="24" t="str">
        <f t="shared" si="200"/>
        <v/>
      </c>
      <c r="AP32" s="24" t="str">
        <f t="shared" si="201"/>
        <v/>
      </c>
      <c r="AQ32" s="24" t="str">
        <f t="shared" si="202"/>
        <v/>
      </c>
      <c r="AR32" s="24" t="str">
        <f t="shared" si="203"/>
        <v/>
      </c>
      <c r="AS32" s="24" t="str">
        <f t="shared" si="204"/>
        <v/>
      </c>
      <c r="AT32" s="24" t="str">
        <f t="shared" si="205"/>
        <v/>
      </c>
      <c r="AU32" s="24" t="str">
        <f t="shared" si="206"/>
        <v/>
      </c>
      <c r="AV32" s="24" t="str">
        <f t="shared" si="207"/>
        <v/>
      </c>
      <c r="AW32" s="24" t="str">
        <f t="shared" si="208"/>
        <v/>
      </c>
      <c r="AX32" s="24" t="str">
        <f t="shared" si="209"/>
        <v/>
      </c>
      <c r="AY32" s="24" t="str">
        <f t="shared" si="210"/>
        <v/>
      </c>
      <c r="AZ32" s="24" t="str">
        <f t="shared" si="211"/>
        <v/>
      </c>
      <c r="BA32" s="24" t="str">
        <f t="shared" si="212"/>
        <v/>
      </c>
      <c r="BB32" s="24" t="str">
        <f t="shared" si="213"/>
        <v/>
      </c>
      <c r="BC32" s="26" t="str">
        <f t="shared" si="214"/>
        <v/>
      </c>
      <c r="BD32" s="26" t="str">
        <f t="shared" si="215"/>
        <v/>
      </c>
      <c r="BE32" s="26" t="str">
        <f t="shared" si="216"/>
        <v/>
      </c>
      <c r="BF32" s="26" t="str">
        <f t="shared" si="217"/>
        <v/>
      </c>
      <c r="BG32" s="26" t="str">
        <f t="shared" si="218"/>
        <v/>
      </c>
      <c r="BH32" s="26" t="str">
        <f t="shared" si="219"/>
        <v/>
      </c>
      <c r="BI32" s="26" t="str">
        <f t="shared" si="220"/>
        <v/>
      </c>
      <c r="BJ32" s="26" t="str">
        <f t="shared" si="221"/>
        <v/>
      </c>
      <c r="BK32" s="26" t="str">
        <f t="shared" si="222"/>
        <v/>
      </c>
      <c r="BL32" s="26" t="str">
        <f t="shared" si="223"/>
        <v/>
      </c>
      <c r="BM32" s="26" t="str">
        <f t="shared" si="224"/>
        <v/>
      </c>
      <c r="BN32" s="26" t="str">
        <f t="shared" si="225"/>
        <v/>
      </c>
      <c r="BO32" s="26" t="str">
        <f t="shared" si="226"/>
        <v/>
      </c>
      <c r="BP32" s="26" t="str">
        <f t="shared" si="227"/>
        <v/>
      </c>
      <c r="BQ32" s="26" t="str">
        <f t="shared" si="228"/>
        <v/>
      </c>
      <c r="BR32" s="26" t="str">
        <f t="shared" si="229"/>
        <v/>
      </c>
      <c r="BS32" s="24" t="str">
        <f t="shared" si="230"/>
        <v/>
      </c>
      <c r="BT32" s="24" t="str">
        <f t="shared" si="231"/>
        <v/>
      </c>
      <c r="BU32" s="24" t="str">
        <f t="shared" si="232"/>
        <v/>
      </c>
      <c r="BV32" s="24" t="str">
        <f t="shared" si="233"/>
        <v/>
      </c>
      <c r="BW32" s="24" t="str">
        <f t="shared" si="234"/>
        <v/>
      </c>
      <c r="BX32" s="24" t="str">
        <f t="shared" si="235"/>
        <v/>
      </c>
      <c r="BY32" s="24" t="str">
        <f t="shared" si="236"/>
        <v/>
      </c>
      <c r="BZ32" s="24" t="str">
        <f t="shared" si="237"/>
        <v/>
      </c>
      <c r="CA32" s="24" t="str">
        <f t="shared" si="238"/>
        <v/>
      </c>
      <c r="CB32" s="24" t="str">
        <f t="shared" si="174"/>
        <v/>
      </c>
      <c r="CC32" s="24" t="str">
        <f t="shared" si="175"/>
        <v/>
      </c>
      <c r="CD32" s="24" t="str">
        <f t="shared" si="176"/>
        <v/>
      </c>
      <c r="CE32" s="24" t="str">
        <f t="shared" si="177"/>
        <v/>
      </c>
      <c r="CF32" s="24" t="str">
        <f t="shared" si="178"/>
        <v/>
      </c>
      <c r="CG32" s="24" t="str">
        <f>IF(OR(BA32="",AK32=""),"",BA32*(IF(OR(AK32="A",AK32="a"),4,(IF(OR(#REF!="B",AK32="b"),3,(IF(OR(AK32="C",AK32="c"),2,(IF(OR(AK32="D",AK32="d"),1.5,(IF(OR(AK32="E",AK32="e"),1,(IF(OR(AK32="F",AK32="f"),0)))))))))))))</f>
        <v/>
      </c>
      <c r="CH32" s="24" t="str">
        <f t="shared" si="179"/>
        <v/>
      </c>
      <c r="CI32" s="24" t="str">
        <f t="shared" si="239"/>
        <v/>
      </c>
      <c r="CJ32" s="26" t="str">
        <f t="shared" si="240"/>
        <v/>
      </c>
      <c r="CK32" s="26" t="str">
        <f t="shared" si="241"/>
        <v/>
      </c>
      <c r="CL32" s="26" t="str">
        <f t="shared" si="84"/>
        <v/>
      </c>
      <c r="CM32" s="24" t="str">
        <f t="shared" si="85"/>
        <v/>
      </c>
      <c r="CN32" s="26" t="str">
        <f t="shared" si="242"/>
        <v/>
      </c>
      <c r="CO32" s="24" t="str">
        <f t="shared" si="243"/>
        <v/>
      </c>
      <c r="CP32" s="26" t="str">
        <f t="shared" si="244"/>
        <v/>
      </c>
      <c r="CQ32" s="26" t="str">
        <f t="shared" si="245"/>
        <v/>
      </c>
      <c r="CR32" s="26" t="str">
        <f t="shared" si="86"/>
        <v/>
      </c>
      <c r="CS32" s="24" t="str">
        <f t="shared" si="87"/>
        <v/>
      </c>
      <c r="CT32" s="27" t="str">
        <f t="shared" si="246"/>
        <v/>
      </c>
      <c r="CU32" s="24" t="str">
        <f t="shared" si="247"/>
        <v/>
      </c>
      <c r="CV32" s="27" t="str">
        <f t="shared" si="248"/>
        <v/>
      </c>
      <c r="CW32" s="26" t="str">
        <f t="shared" si="249"/>
        <v/>
      </c>
      <c r="CX32" s="26" t="str">
        <f t="shared" si="88"/>
        <v/>
      </c>
      <c r="CY32" s="27" t="str">
        <f t="shared" si="89"/>
        <v/>
      </c>
      <c r="CZ32" s="26" t="str">
        <f t="shared" si="250"/>
        <v/>
      </c>
      <c r="DA32" s="24" t="str">
        <f t="shared" si="181"/>
        <v/>
      </c>
      <c r="DB32" s="24" t="str">
        <f t="shared" si="251"/>
        <v/>
      </c>
      <c r="DC32" s="24" t="str">
        <f t="shared" si="77"/>
        <v/>
      </c>
      <c r="DD32" s="24" t="str">
        <f t="shared" si="252"/>
        <v/>
      </c>
      <c r="DE32" s="1">
        <v>0</v>
      </c>
      <c r="DF32" s="1">
        <v>0</v>
      </c>
      <c r="DG32" s="1">
        <v>0</v>
      </c>
      <c r="DH32" s="24" t="str">
        <f t="shared" si="253"/>
        <v/>
      </c>
      <c r="DI32" s="25" t="str">
        <f t="shared" si="254"/>
        <v/>
      </c>
      <c r="DJ32" t="str">
        <f t="shared" si="255"/>
        <v/>
      </c>
      <c r="DK32" s="9"/>
      <c r="DL32" s="9"/>
      <c r="DM32" s="9"/>
      <c r="DN32" s="9"/>
      <c r="DO32" s="9"/>
      <c r="DP32" s="9"/>
      <c r="DQ32" s="136" t="b">
        <f t="shared" si="256"/>
        <v>1</v>
      </c>
    </row>
    <row r="33" spans="1:121" ht="27" customHeight="1" x14ac:dyDescent="0.95">
      <c r="A33" s="24" t="str">
        <f t="shared" si="90"/>
        <v/>
      </c>
      <c r="B33" s="9"/>
      <c r="C33" s="14"/>
      <c r="D33" s="9"/>
      <c r="E33" s="9"/>
      <c r="F33" s="1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3" t="str">
        <f t="shared" si="182"/>
        <v/>
      </c>
      <c r="X33" s="3" t="str">
        <f t="shared" si="183"/>
        <v/>
      </c>
      <c r="Y33" s="3" t="str">
        <f t="shared" si="184"/>
        <v/>
      </c>
      <c r="Z33" s="3" t="str">
        <f t="shared" si="185"/>
        <v/>
      </c>
      <c r="AA33" s="3" t="str">
        <f t="shared" si="186"/>
        <v/>
      </c>
      <c r="AB33" s="3" t="str">
        <f t="shared" si="187"/>
        <v/>
      </c>
      <c r="AC33" s="3" t="str">
        <f t="shared" si="188"/>
        <v/>
      </c>
      <c r="AD33" s="3" t="str">
        <f t="shared" si="189"/>
        <v/>
      </c>
      <c r="AE33" s="3" t="str">
        <f t="shared" si="190"/>
        <v/>
      </c>
      <c r="AF33" s="24" t="str">
        <f t="shared" si="191"/>
        <v/>
      </c>
      <c r="AG33" s="24" t="str">
        <f t="shared" si="192"/>
        <v/>
      </c>
      <c r="AH33" s="24" t="str">
        <f t="shared" si="193"/>
        <v/>
      </c>
      <c r="AI33" s="24" t="str">
        <f t="shared" si="194"/>
        <v/>
      </c>
      <c r="AJ33" s="24" t="str">
        <f t="shared" si="195"/>
        <v/>
      </c>
      <c r="AK33" s="24" t="str">
        <f t="shared" si="196"/>
        <v/>
      </c>
      <c r="AL33" s="24" t="str">
        <f t="shared" si="197"/>
        <v/>
      </c>
      <c r="AM33" s="24" t="str">
        <f t="shared" si="198"/>
        <v/>
      </c>
      <c r="AN33" s="24" t="str">
        <f t="shared" si="199"/>
        <v/>
      </c>
      <c r="AO33" s="24" t="str">
        <f t="shared" si="200"/>
        <v/>
      </c>
      <c r="AP33" s="24" t="str">
        <f t="shared" si="201"/>
        <v/>
      </c>
      <c r="AQ33" s="24" t="str">
        <f t="shared" si="202"/>
        <v/>
      </c>
      <c r="AR33" s="24" t="str">
        <f t="shared" si="203"/>
        <v/>
      </c>
      <c r="AS33" s="24" t="str">
        <f t="shared" si="204"/>
        <v/>
      </c>
      <c r="AT33" s="24" t="str">
        <f t="shared" si="205"/>
        <v/>
      </c>
      <c r="AU33" s="24" t="str">
        <f t="shared" si="206"/>
        <v/>
      </c>
      <c r="AV33" s="24" t="str">
        <f t="shared" si="207"/>
        <v/>
      </c>
      <c r="AW33" s="24" t="str">
        <f t="shared" si="208"/>
        <v/>
      </c>
      <c r="AX33" s="24" t="str">
        <f t="shared" si="209"/>
        <v/>
      </c>
      <c r="AY33" s="24" t="str">
        <f t="shared" si="210"/>
        <v/>
      </c>
      <c r="AZ33" s="24" t="str">
        <f t="shared" si="211"/>
        <v/>
      </c>
      <c r="BA33" s="24" t="str">
        <f t="shared" si="212"/>
        <v/>
      </c>
      <c r="BB33" s="24" t="str">
        <f t="shared" si="213"/>
        <v/>
      </c>
      <c r="BC33" s="26" t="str">
        <f t="shared" si="214"/>
        <v/>
      </c>
      <c r="BD33" s="26" t="str">
        <f t="shared" si="215"/>
        <v/>
      </c>
      <c r="BE33" s="26" t="str">
        <f t="shared" si="216"/>
        <v/>
      </c>
      <c r="BF33" s="26" t="str">
        <f t="shared" si="217"/>
        <v/>
      </c>
      <c r="BG33" s="26" t="str">
        <f t="shared" si="218"/>
        <v/>
      </c>
      <c r="BH33" s="26" t="str">
        <f t="shared" si="219"/>
        <v/>
      </c>
      <c r="BI33" s="26" t="str">
        <f t="shared" si="220"/>
        <v/>
      </c>
      <c r="BJ33" s="26" t="str">
        <f t="shared" si="221"/>
        <v/>
      </c>
      <c r="BK33" s="26" t="str">
        <f t="shared" si="222"/>
        <v/>
      </c>
      <c r="BL33" s="26" t="str">
        <f t="shared" si="223"/>
        <v/>
      </c>
      <c r="BM33" s="26" t="str">
        <f t="shared" si="224"/>
        <v/>
      </c>
      <c r="BN33" s="26" t="str">
        <f t="shared" si="225"/>
        <v/>
      </c>
      <c r="BO33" s="26" t="str">
        <f t="shared" si="226"/>
        <v/>
      </c>
      <c r="BP33" s="26" t="str">
        <f t="shared" si="227"/>
        <v/>
      </c>
      <c r="BQ33" s="26" t="str">
        <f t="shared" si="228"/>
        <v/>
      </c>
      <c r="BR33" s="26" t="str">
        <f t="shared" si="229"/>
        <v/>
      </c>
      <c r="BS33" s="24" t="str">
        <f t="shared" si="230"/>
        <v/>
      </c>
      <c r="BT33" s="24" t="str">
        <f t="shared" si="231"/>
        <v/>
      </c>
      <c r="BU33" s="24" t="str">
        <f t="shared" si="232"/>
        <v/>
      </c>
      <c r="BV33" s="24" t="str">
        <f t="shared" si="233"/>
        <v/>
      </c>
      <c r="BW33" s="24" t="str">
        <f t="shared" si="234"/>
        <v/>
      </c>
      <c r="BX33" s="24" t="str">
        <f t="shared" si="235"/>
        <v/>
      </c>
      <c r="BY33" s="24" t="str">
        <f t="shared" si="236"/>
        <v/>
      </c>
      <c r="BZ33" s="24" t="str">
        <f t="shared" si="237"/>
        <v/>
      </c>
      <c r="CA33" s="24" t="str">
        <f t="shared" si="238"/>
        <v/>
      </c>
      <c r="CB33" s="24" t="str">
        <f t="shared" si="174"/>
        <v/>
      </c>
      <c r="CC33" s="24" t="str">
        <f t="shared" si="175"/>
        <v/>
      </c>
      <c r="CD33" s="24" t="str">
        <f t="shared" si="176"/>
        <v/>
      </c>
      <c r="CE33" s="24" t="str">
        <f t="shared" si="177"/>
        <v/>
      </c>
      <c r="CF33" s="24" t="str">
        <f t="shared" si="178"/>
        <v/>
      </c>
      <c r="CG33" s="24" t="str">
        <f>IF(OR(BA33="",AK33=""),"",BA33*(IF(OR(AK33="A",AK33="a"),4,(IF(OR(#REF!="B",AK33="b"),3,(IF(OR(AK33="C",AK33="c"),2,(IF(OR(AK33="D",AK33="d"),1.5,(IF(OR(AK33="E",AK33="e"),1,(IF(OR(AK33="F",AK33="f"),0)))))))))))))</f>
        <v/>
      </c>
      <c r="CH33" s="24" t="str">
        <f t="shared" si="179"/>
        <v/>
      </c>
      <c r="CI33" s="24" t="str">
        <f t="shared" si="239"/>
        <v/>
      </c>
      <c r="CJ33" s="26" t="str">
        <f t="shared" si="240"/>
        <v/>
      </c>
      <c r="CK33" s="26" t="str">
        <f t="shared" si="241"/>
        <v/>
      </c>
      <c r="CL33" s="26" t="str">
        <f t="shared" si="84"/>
        <v/>
      </c>
      <c r="CM33" s="24" t="str">
        <f t="shared" si="85"/>
        <v/>
      </c>
      <c r="CN33" s="26" t="str">
        <f t="shared" si="242"/>
        <v/>
      </c>
      <c r="CO33" s="24" t="str">
        <f t="shared" si="243"/>
        <v/>
      </c>
      <c r="CP33" s="26" t="str">
        <f t="shared" si="244"/>
        <v/>
      </c>
      <c r="CQ33" s="26" t="str">
        <f t="shared" si="245"/>
        <v/>
      </c>
      <c r="CR33" s="26" t="str">
        <f t="shared" si="86"/>
        <v/>
      </c>
      <c r="CS33" s="24" t="str">
        <f t="shared" si="87"/>
        <v/>
      </c>
      <c r="CT33" s="27" t="str">
        <f t="shared" si="246"/>
        <v/>
      </c>
      <c r="CU33" s="24" t="str">
        <f t="shared" si="247"/>
        <v/>
      </c>
      <c r="CV33" s="27" t="str">
        <f t="shared" si="248"/>
        <v/>
      </c>
      <c r="CW33" s="26" t="str">
        <f t="shared" si="249"/>
        <v/>
      </c>
      <c r="CX33" s="26" t="str">
        <f t="shared" si="88"/>
        <v/>
      </c>
      <c r="CY33" s="27" t="str">
        <f t="shared" si="89"/>
        <v/>
      </c>
      <c r="CZ33" s="26" t="str">
        <f t="shared" si="250"/>
        <v/>
      </c>
      <c r="DA33" s="24" t="str">
        <f t="shared" si="181"/>
        <v/>
      </c>
      <c r="DB33" s="24" t="str">
        <f t="shared" si="251"/>
        <v/>
      </c>
      <c r="DC33" s="24" t="str">
        <f t="shared" si="77"/>
        <v/>
      </c>
      <c r="DD33" s="24" t="str">
        <f t="shared" si="252"/>
        <v/>
      </c>
      <c r="DE33" s="1">
        <v>0</v>
      </c>
      <c r="DF33" s="1">
        <v>0</v>
      </c>
      <c r="DG33" s="1">
        <v>0</v>
      </c>
      <c r="DH33" s="24" t="str">
        <f t="shared" si="253"/>
        <v/>
      </c>
      <c r="DI33" s="25" t="str">
        <f t="shared" si="254"/>
        <v/>
      </c>
      <c r="DJ33" t="str">
        <f t="shared" si="255"/>
        <v/>
      </c>
      <c r="DK33" s="9"/>
      <c r="DL33" s="9"/>
      <c r="DM33" s="9"/>
      <c r="DN33" s="9"/>
      <c r="DO33" s="9"/>
      <c r="DP33" s="9"/>
      <c r="DQ33" s="136" t="b">
        <f t="shared" si="256"/>
        <v>1</v>
      </c>
    </row>
    <row r="34" spans="1:121" ht="27" customHeight="1" x14ac:dyDescent="0.95">
      <c r="A34" s="24" t="str">
        <f t="shared" si="90"/>
        <v/>
      </c>
      <c r="B34" s="9"/>
      <c r="C34" s="14"/>
      <c r="D34" s="9"/>
      <c r="E34" s="9"/>
      <c r="F34" s="1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3" t="str">
        <f t="shared" si="182"/>
        <v/>
      </c>
      <c r="X34" s="3" t="str">
        <f t="shared" si="183"/>
        <v/>
      </c>
      <c r="Y34" s="3" t="str">
        <f t="shared" si="184"/>
        <v/>
      </c>
      <c r="Z34" s="3" t="str">
        <f t="shared" si="185"/>
        <v/>
      </c>
      <c r="AA34" s="3" t="str">
        <f t="shared" si="186"/>
        <v/>
      </c>
      <c r="AB34" s="3" t="str">
        <f t="shared" si="187"/>
        <v/>
      </c>
      <c r="AC34" s="3" t="str">
        <f t="shared" si="188"/>
        <v/>
      </c>
      <c r="AD34" s="3" t="str">
        <f t="shared" si="189"/>
        <v/>
      </c>
      <c r="AE34" s="3" t="str">
        <f t="shared" si="190"/>
        <v/>
      </c>
      <c r="AF34" s="24" t="str">
        <f t="shared" si="191"/>
        <v/>
      </c>
      <c r="AG34" s="24" t="str">
        <f t="shared" si="192"/>
        <v/>
      </c>
      <c r="AH34" s="24" t="str">
        <f t="shared" si="193"/>
        <v/>
      </c>
      <c r="AI34" s="24" t="str">
        <f t="shared" si="194"/>
        <v/>
      </c>
      <c r="AJ34" s="24" t="str">
        <f t="shared" si="195"/>
        <v/>
      </c>
      <c r="AK34" s="24" t="str">
        <f t="shared" si="196"/>
        <v/>
      </c>
      <c r="AL34" s="24" t="str">
        <f t="shared" si="197"/>
        <v/>
      </c>
      <c r="AM34" s="24" t="str">
        <f t="shared" si="198"/>
        <v/>
      </c>
      <c r="AN34" s="24" t="str">
        <f t="shared" si="199"/>
        <v/>
      </c>
      <c r="AO34" s="24" t="str">
        <f t="shared" si="200"/>
        <v/>
      </c>
      <c r="AP34" s="24" t="str">
        <f t="shared" si="201"/>
        <v/>
      </c>
      <c r="AQ34" s="24" t="str">
        <f t="shared" si="202"/>
        <v/>
      </c>
      <c r="AR34" s="24" t="str">
        <f t="shared" si="203"/>
        <v/>
      </c>
      <c r="AS34" s="24" t="str">
        <f t="shared" si="204"/>
        <v/>
      </c>
      <c r="AT34" s="24" t="str">
        <f t="shared" si="205"/>
        <v/>
      </c>
      <c r="AU34" s="24" t="str">
        <f t="shared" si="206"/>
        <v/>
      </c>
      <c r="AV34" s="24" t="str">
        <f t="shared" si="207"/>
        <v/>
      </c>
      <c r="AW34" s="24" t="str">
        <f t="shared" si="208"/>
        <v/>
      </c>
      <c r="AX34" s="24" t="str">
        <f t="shared" si="209"/>
        <v/>
      </c>
      <c r="AY34" s="24" t="str">
        <f t="shared" si="210"/>
        <v/>
      </c>
      <c r="AZ34" s="24" t="str">
        <f t="shared" si="211"/>
        <v/>
      </c>
      <c r="BA34" s="24" t="str">
        <f t="shared" si="212"/>
        <v/>
      </c>
      <c r="BB34" s="24" t="str">
        <f t="shared" si="213"/>
        <v/>
      </c>
      <c r="BC34" s="26" t="str">
        <f t="shared" si="214"/>
        <v/>
      </c>
      <c r="BD34" s="26" t="str">
        <f t="shared" si="215"/>
        <v/>
      </c>
      <c r="BE34" s="26" t="str">
        <f t="shared" si="216"/>
        <v/>
      </c>
      <c r="BF34" s="26" t="str">
        <f t="shared" si="217"/>
        <v/>
      </c>
      <c r="BG34" s="26" t="str">
        <f t="shared" si="218"/>
        <v/>
      </c>
      <c r="BH34" s="26" t="str">
        <f t="shared" si="219"/>
        <v/>
      </c>
      <c r="BI34" s="26" t="str">
        <f t="shared" si="220"/>
        <v/>
      </c>
      <c r="BJ34" s="26" t="str">
        <f t="shared" si="221"/>
        <v/>
      </c>
      <c r="BK34" s="26" t="str">
        <f t="shared" si="222"/>
        <v/>
      </c>
      <c r="BL34" s="26" t="str">
        <f t="shared" si="223"/>
        <v/>
      </c>
      <c r="BM34" s="26" t="str">
        <f t="shared" si="224"/>
        <v/>
      </c>
      <c r="BN34" s="26" t="str">
        <f t="shared" si="225"/>
        <v/>
      </c>
      <c r="BO34" s="26" t="str">
        <f t="shared" si="226"/>
        <v/>
      </c>
      <c r="BP34" s="26" t="str">
        <f t="shared" si="227"/>
        <v/>
      </c>
      <c r="BQ34" s="26" t="str">
        <f t="shared" si="228"/>
        <v/>
      </c>
      <c r="BR34" s="26" t="str">
        <f t="shared" si="229"/>
        <v/>
      </c>
      <c r="BS34" s="24" t="str">
        <f t="shared" si="230"/>
        <v/>
      </c>
      <c r="BT34" s="24" t="str">
        <f t="shared" si="231"/>
        <v/>
      </c>
      <c r="BU34" s="24" t="str">
        <f t="shared" si="232"/>
        <v/>
      </c>
      <c r="BV34" s="24" t="str">
        <f t="shared" si="233"/>
        <v/>
      </c>
      <c r="BW34" s="24" t="str">
        <f t="shared" si="234"/>
        <v/>
      </c>
      <c r="BX34" s="24" t="str">
        <f t="shared" si="235"/>
        <v/>
      </c>
      <c r="BY34" s="24" t="str">
        <f t="shared" si="236"/>
        <v/>
      </c>
      <c r="BZ34" s="24" t="str">
        <f t="shared" si="237"/>
        <v/>
      </c>
      <c r="CA34" s="24" t="str">
        <f t="shared" si="238"/>
        <v/>
      </c>
      <c r="CB34" s="24" t="str">
        <f t="shared" si="174"/>
        <v/>
      </c>
      <c r="CC34" s="24" t="str">
        <f t="shared" si="175"/>
        <v/>
      </c>
      <c r="CD34" s="24" t="str">
        <f t="shared" si="176"/>
        <v/>
      </c>
      <c r="CE34" s="24" t="str">
        <f t="shared" si="177"/>
        <v/>
      </c>
      <c r="CF34" s="24" t="str">
        <f t="shared" si="178"/>
        <v/>
      </c>
      <c r="CG34" s="24" t="str">
        <f>IF(OR(BA34="",AK34=""),"",BA34*(IF(OR(AK34="A",AK34="a"),4,(IF(OR(#REF!="B",AK34="b"),3,(IF(OR(AK34="C",AK34="c"),2,(IF(OR(AK34="D",AK34="d"),1.5,(IF(OR(AK34="E",AK34="e"),1,(IF(OR(AK34="F",AK34="f"),0)))))))))))))</f>
        <v/>
      </c>
      <c r="CH34" s="24" t="str">
        <f t="shared" si="179"/>
        <v/>
      </c>
      <c r="CI34" s="24" t="str">
        <f t="shared" si="239"/>
        <v/>
      </c>
      <c r="CJ34" s="26" t="str">
        <f t="shared" si="240"/>
        <v/>
      </c>
      <c r="CK34" s="26" t="str">
        <f t="shared" si="241"/>
        <v/>
      </c>
      <c r="CL34" s="26" t="str">
        <f t="shared" si="84"/>
        <v/>
      </c>
      <c r="CM34" s="24" t="str">
        <f t="shared" si="85"/>
        <v/>
      </c>
      <c r="CN34" s="26" t="str">
        <f t="shared" si="242"/>
        <v/>
      </c>
      <c r="CO34" s="24" t="str">
        <f t="shared" si="243"/>
        <v/>
      </c>
      <c r="CP34" s="26" t="str">
        <f t="shared" si="244"/>
        <v/>
      </c>
      <c r="CQ34" s="26" t="str">
        <f t="shared" si="245"/>
        <v/>
      </c>
      <c r="CR34" s="26" t="str">
        <f t="shared" si="86"/>
        <v/>
      </c>
      <c r="CS34" s="24" t="str">
        <f t="shared" si="87"/>
        <v/>
      </c>
      <c r="CT34" s="27" t="str">
        <f t="shared" si="246"/>
        <v/>
      </c>
      <c r="CU34" s="24" t="str">
        <f t="shared" si="247"/>
        <v/>
      </c>
      <c r="CV34" s="27" t="str">
        <f t="shared" si="248"/>
        <v/>
      </c>
      <c r="CW34" s="26" t="str">
        <f t="shared" si="249"/>
        <v/>
      </c>
      <c r="CX34" s="26" t="str">
        <f t="shared" si="88"/>
        <v/>
      </c>
      <c r="CY34" s="27" t="str">
        <f t="shared" si="89"/>
        <v/>
      </c>
      <c r="CZ34" s="26" t="str">
        <f t="shared" si="250"/>
        <v/>
      </c>
      <c r="DA34" s="24" t="str">
        <f t="shared" si="181"/>
        <v/>
      </c>
      <c r="DB34" s="24" t="str">
        <f t="shared" si="251"/>
        <v/>
      </c>
      <c r="DC34" s="24" t="str">
        <f t="shared" si="77"/>
        <v/>
      </c>
      <c r="DD34" s="24" t="str">
        <f t="shared" si="252"/>
        <v/>
      </c>
      <c r="DE34" s="1">
        <v>0</v>
      </c>
      <c r="DF34" s="1">
        <v>0</v>
      </c>
      <c r="DG34" s="1">
        <v>0</v>
      </c>
      <c r="DH34" s="24" t="str">
        <f t="shared" si="253"/>
        <v/>
      </c>
      <c r="DI34" s="25" t="str">
        <f t="shared" si="254"/>
        <v/>
      </c>
      <c r="DJ34" t="str">
        <f t="shared" si="255"/>
        <v/>
      </c>
      <c r="DK34" s="9"/>
      <c r="DL34" s="9"/>
      <c r="DM34" s="9"/>
      <c r="DN34" s="9"/>
      <c r="DO34" s="9"/>
      <c r="DP34" s="9"/>
      <c r="DQ34" s="136" t="b">
        <f t="shared" si="256"/>
        <v>1</v>
      </c>
    </row>
    <row r="35" spans="1:121" ht="27" customHeight="1" x14ac:dyDescent="0.95">
      <c r="A35" s="24" t="str">
        <f t="shared" si="90"/>
        <v/>
      </c>
      <c r="B35" s="9"/>
      <c r="C35" s="14"/>
      <c r="D35" s="9"/>
      <c r="E35" s="9"/>
      <c r="F35" s="1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3" t="str">
        <f t="shared" si="182"/>
        <v/>
      </c>
      <c r="X35" s="3" t="str">
        <f t="shared" si="183"/>
        <v/>
      </c>
      <c r="Y35" s="3" t="str">
        <f t="shared" si="184"/>
        <v/>
      </c>
      <c r="Z35" s="3" t="str">
        <f t="shared" si="185"/>
        <v/>
      </c>
      <c r="AA35" s="3" t="str">
        <f t="shared" si="186"/>
        <v/>
      </c>
      <c r="AB35" s="3" t="str">
        <f t="shared" si="187"/>
        <v/>
      </c>
      <c r="AC35" s="3" t="str">
        <f t="shared" si="188"/>
        <v/>
      </c>
      <c r="AD35" s="3" t="str">
        <f t="shared" si="189"/>
        <v/>
      </c>
      <c r="AE35" s="3" t="str">
        <f t="shared" si="190"/>
        <v/>
      </c>
      <c r="AF35" s="24" t="str">
        <f t="shared" si="191"/>
        <v/>
      </c>
      <c r="AG35" s="24" t="str">
        <f t="shared" si="192"/>
        <v/>
      </c>
      <c r="AH35" s="24" t="str">
        <f t="shared" si="193"/>
        <v/>
      </c>
      <c r="AI35" s="24" t="str">
        <f t="shared" si="194"/>
        <v/>
      </c>
      <c r="AJ35" s="24" t="str">
        <f t="shared" si="195"/>
        <v/>
      </c>
      <c r="AK35" s="24" t="str">
        <f t="shared" si="196"/>
        <v/>
      </c>
      <c r="AL35" s="24" t="str">
        <f t="shared" si="197"/>
        <v/>
      </c>
      <c r="AM35" s="24" t="str">
        <f t="shared" si="198"/>
        <v/>
      </c>
      <c r="AN35" s="24" t="str">
        <f t="shared" si="199"/>
        <v/>
      </c>
      <c r="AO35" s="24" t="str">
        <f t="shared" si="200"/>
        <v/>
      </c>
      <c r="AP35" s="24" t="str">
        <f t="shared" si="201"/>
        <v/>
      </c>
      <c r="AQ35" s="24" t="str">
        <f t="shared" si="202"/>
        <v/>
      </c>
      <c r="AR35" s="24" t="str">
        <f t="shared" si="203"/>
        <v/>
      </c>
      <c r="AS35" s="24" t="str">
        <f t="shared" si="204"/>
        <v/>
      </c>
      <c r="AT35" s="24" t="str">
        <f t="shared" si="205"/>
        <v/>
      </c>
      <c r="AU35" s="24" t="str">
        <f t="shared" si="206"/>
        <v/>
      </c>
      <c r="AV35" s="24" t="str">
        <f t="shared" si="207"/>
        <v/>
      </c>
      <c r="AW35" s="24" t="str">
        <f t="shared" si="208"/>
        <v/>
      </c>
      <c r="AX35" s="24" t="str">
        <f t="shared" si="209"/>
        <v/>
      </c>
      <c r="AY35" s="24" t="str">
        <f t="shared" si="210"/>
        <v/>
      </c>
      <c r="AZ35" s="24" t="str">
        <f t="shared" si="211"/>
        <v/>
      </c>
      <c r="BA35" s="24" t="str">
        <f t="shared" si="212"/>
        <v/>
      </c>
      <c r="BB35" s="24" t="str">
        <f t="shared" si="213"/>
        <v/>
      </c>
      <c r="BC35" s="26" t="str">
        <f t="shared" si="214"/>
        <v/>
      </c>
      <c r="BD35" s="26" t="str">
        <f t="shared" si="215"/>
        <v/>
      </c>
      <c r="BE35" s="26" t="str">
        <f t="shared" si="216"/>
        <v/>
      </c>
      <c r="BF35" s="26" t="str">
        <f t="shared" si="217"/>
        <v/>
      </c>
      <c r="BG35" s="26" t="str">
        <f t="shared" si="218"/>
        <v/>
      </c>
      <c r="BH35" s="26" t="str">
        <f t="shared" si="219"/>
        <v/>
      </c>
      <c r="BI35" s="26" t="str">
        <f t="shared" si="220"/>
        <v/>
      </c>
      <c r="BJ35" s="26" t="str">
        <f t="shared" si="221"/>
        <v/>
      </c>
      <c r="BK35" s="26" t="str">
        <f t="shared" si="222"/>
        <v/>
      </c>
      <c r="BL35" s="26" t="str">
        <f t="shared" si="223"/>
        <v/>
      </c>
      <c r="BM35" s="26" t="str">
        <f t="shared" si="224"/>
        <v/>
      </c>
      <c r="BN35" s="26" t="str">
        <f t="shared" si="225"/>
        <v/>
      </c>
      <c r="BO35" s="26" t="str">
        <f t="shared" si="226"/>
        <v/>
      </c>
      <c r="BP35" s="26" t="str">
        <f t="shared" si="227"/>
        <v/>
      </c>
      <c r="BQ35" s="26" t="str">
        <f t="shared" si="228"/>
        <v/>
      </c>
      <c r="BR35" s="26" t="str">
        <f t="shared" si="229"/>
        <v/>
      </c>
      <c r="BS35" s="24" t="str">
        <f t="shared" si="230"/>
        <v/>
      </c>
      <c r="BT35" s="24" t="str">
        <f t="shared" si="231"/>
        <v/>
      </c>
      <c r="BU35" s="24" t="str">
        <f t="shared" si="232"/>
        <v/>
      </c>
      <c r="BV35" s="24" t="str">
        <f t="shared" si="233"/>
        <v/>
      </c>
      <c r="BW35" s="24" t="str">
        <f t="shared" si="234"/>
        <v/>
      </c>
      <c r="BX35" s="24" t="str">
        <f t="shared" si="235"/>
        <v/>
      </c>
      <c r="BY35" s="24" t="str">
        <f t="shared" si="236"/>
        <v/>
      </c>
      <c r="BZ35" s="24" t="str">
        <f t="shared" si="237"/>
        <v/>
      </c>
      <c r="CA35" s="24" t="str">
        <f t="shared" si="238"/>
        <v/>
      </c>
      <c r="CB35" s="24" t="str">
        <f t="shared" si="174"/>
        <v/>
      </c>
      <c r="CC35" s="24" t="str">
        <f t="shared" si="175"/>
        <v/>
      </c>
      <c r="CD35" s="24" t="str">
        <f t="shared" si="176"/>
        <v/>
      </c>
      <c r="CE35" s="24" t="str">
        <f t="shared" si="177"/>
        <v/>
      </c>
      <c r="CF35" s="24" t="str">
        <f t="shared" si="178"/>
        <v/>
      </c>
      <c r="CG35" s="24" t="str">
        <f>IF(OR(BA35="",AK35=""),"",BA35*(IF(OR(AK35="A",AK35="a"),4,(IF(OR(#REF!="B",AK35="b"),3,(IF(OR(AK35="C",AK35="c"),2,(IF(OR(AK35="D",AK35="d"),1.5,(IF(OR(AK35="E",AK35="e"),1,(IF(OR(AK35="F",AK35="f"),0)))))))))))))</f>
        <v/>
      </c>
      <c r="CH35" s="24" t="str">
        <f t="shared" si="179"/>
        <v/>
      </c>
      <c r="CI35" s="24" t="str">
        <f t="shared" si="239"/>
        <v/>
      </c>
      <c r="CJ35" s="26" t="str">
        <f t="shared" si="240"/>
        <v/>
      </c>
      <c r="CK35" s="26" t="str">
        <f t="shared" si="241"/>
        <v/>
      </c>
      <c r="CL35" s="26" t="str">
        <f t="shared" si="84"/>
        <v/>
      </c>
      <c r="CM35" s="24" t="str">
        <f t="shared" si="85"/>
        <v/>
      </c>
      <c r="CN35" s="26" t="str">
        <f t="shared" si="242"/>
        <v/>
      </c>
      <c r="CO35" s="24" t="str">
        <f t="shared" si="243"/>
        <v/>
      </c>
      <c r="CP35" s="26" t="str">
        <f t="shared" si="244"/>
        <v/>
      </c>
      <c r="CQ35" s="26" t="str">
        <f t="shared" si="245"/>
        <v/>
      </c>
      <c r="CR35" s="26" t="str">
        <f t="shared" si="86"/>
        <v/>
      </c>
      <c r="CS35" s="24" t="str">
        <f t="shared" si="87"/>
        <v/>
      </c>
      <c r="CT35" s="27" t="str">
        <f t="shared" si="246"/>
        <v/>
      </c>
      <c r="CU35" s="24" t="str">
        <f t="shared" si="247"/>
        <v/>
      </c>
      <c r="CV35" s="27" t="str">
        <f t="shared" si="248"/>
        <v/>
      </c>
      <c r="CW35" s="26" t="str">
        <f t="shared" si="249"/>
        <v/>
      </c>
      <c r="CX35" s="26" t="str">
        <f t="shared" si="88"/>
        <v/>
      </c>
      <c r="CY35" s="27" t="str">
        <f t="shared" si="89"/>
        <v/>
      </c>
      <c r="CZ35" s="26" t="str">
        <f t="shared" si="250"/>
        <v/>
      </c>
      <c r="DA35" s="24" t="str">
        <f t="shared" si="181"/>
        <v/>
      </c>
      <c r="DB35" s="24" t="str">
        <f t="shared" si="251"/>
        <v/>
      </c>
      <c r="DC35" s="24" t="str">
        <f t="shared" si="77"/>
        <v/>
      </c>
      <c r="DD35" s="24" t="str">
        <f t="shared" si="252"/>
        <v/>
      </c>
      <c r="DE35" s="1">
        <v>0</v>
      </c>
      <c r="DF35" s="1">
        <v>0</v>
      </c>
      <c r="DG35" s="1">
        <v>0</v>
      </c>
      <c r="DH35" s="24" t="str">
        <f t="shared" si="253"/>
        <v/>
      </c>
      <c r="DI35" s="25" t="str">
        <f t="shared" si="254"/>
        <v/>
      </c>
      <c r="DJ35" t="str">
        <f t="shared" si="255"/>
        <v/>
      </c>
      <c r="DK35" s="9"/>
      <c r="DL35" s="9"/>
      <c r="DM35" s="9"/>
      <c r="DN35" s="9"/>
      <c r="DO35" s="9"/>
      <c r="DP35" s="9"/>
      <c r="DQ35" s="136" t="b">
        <f t="shared" si="256"/>
        <v>1</v>
      </c>
    </row>
    <row r="36" spans="1:121" ht="27" customHeight="1" x14ac:dyDescent="0.95">
      <c r="A36" s="24" t="str">
        <f t="shared" si="90"/>
        <v/>
      </c>
      <c r="B36" s="9"/>
      <c r="C36" s="14"/>
      <c r="D36" s="9"/>
      <c r="E36" s="9"/>
      <c r="F36" s="1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3" t="str">
        <f t="shared" si="182"/>
        <v/>
      </c>
      <c r="X36" s="3" t="str">
        <f t="shared" si="183"/>
        <v/>
      </c>
      <c r="Y36" s="3" t="str">
        <f t="shared" si="184"/>
        <v/>
      </c>
      <c r="Z36" s="3" t="str">
        <f t="shared" si="185"/>
        <v/>
      </c>
      <c r="AA36" s="3" t="str">
        <f t="shared" si="186"/>
        <v/>
      </c>
      <c r="AB36" s="3" t="str">
        <f t="shared" si="187"/>
        <v/>
      </c>
      <c r="AC36" s="3" t="str">
        <f t="shared" si="188"/>
        <v/>
      </c>
      <c r="AD36" s="3" t="str">
        <f t="shared" si="189"/>
        <v/>
      </c>
      <c r="AE36" s="3" t="str">
        <f t="shared" si="190"/>
        <v/>
      </c>
      <c r="AF36" s="24" t="str">
        <f t="shared" si="191"/>
        <v/>
      </c>
      <c r="AG36" s="24" t="str">
        <f t="shared" si="192"/>
        <v/>
      </c>
      <c r="AH36" s="24" t="str">
        <f t="shared" si="193"/>
        <v/>
      </c>
      <c r="AI36" s="24" t="str">
        <f t="shared" si="194"/>
        <v/>
      </c>
      <c r="AJ36" s="24" t="str">
        <f t="shared" si="195"/>
        <v/>
      </c>
      <c r="AK36" s="24" t="str">
        <f t="shared" si="196"/>
        <v/>
      </c>
      <c r="AL36" s="24" t="str">
        <f t="shared" si="197"/>
        <v/>
      </c>
      <c r="AM36" s="24" t="str">
        <f t="shared" si="198"/>
        <v/>
      </c>
      <c r="AN36" s="24" t="str">
        <f t="shared" si="199"/>
        <v/>
      </c>
      <c r="AO36" s="24" t="str">
        <f t="shared" si="200"/>
        <v/>
      </c>
      <c r="AP36" s="24" t="str">
        <f t="shared" si="201"/>
        <v/>
      </c>
      <c r="AQ36" s="24" t="str">
        <f t="shared" si="202"/>
        <v/>
      </c>
      <c r="AR36" s="24" t="str">
        <f t="shared" si="203"/>
        <v/>
      </c>
      <c r="AS36" s="24" t="str">
        <f t="shared" si="204"/>
        <v/>
      </c>
      <c r="AT36" s="24" t="str">
        <f t="shared" si="205"/>
        <v/>
      </c>
      <c r="AU36" s="24" t="str">
        <f t="shared" si="206"/>
        <v/>
      </c>
      <c r="AV36" s="24" t="str">
        <f t="shared" si="207"/>
        <v/>
      </c>
      <c r="AW36" s="24" t="str">
        <f t="shared" si="208"/>
        <v/>
      </c>
      <c r="AX36" s="24" t="str">
        <f t="shared" si="209"/>
        <v/>
      </c>
      <c r="AY36" s="24" t="str">
        <f t="shared" si="210"/>
        <v/>
      </c>
      <c r="AZ36" s="24" t="str">
        <f t="shared" si="211"/>
        <v/>
      </c>
      <c r="BA36" s="24" t="str">
        <f t="shared" si="212"/>
        <v/>
      </c>
      <c r="BB36" s="24" t="str">
        <f t="shared" si="213"/>
        <v/>
      </c>
      <c r="BC36" s="26" t="str">
        <f t="shared" si="214"/>
        <v/>
      </c>
      <c r="BD36" s="26" t="str">
        <f t="shared" si="215"/>
        <v/>
      </c>
      <c r="BE36" s="26" t="str">
        <f t="shared" si="216"/>
        <v/>
      </c>
      <c r="BF36" s="26" t="str">
        <f t="shared" si="217"/>
        <v/>
      </c>
      <c r="BG36" s="26" t="str">
        <f t="shared" si="218"/>
        <v/>
      </c>
      <c r="BH36" s="26" t="str">
        <f t="shared" si="219"/>
        <v/>
      </c>
      <c r="BI36" s="26" t="str">
        <f t="shared" si="220"/>
        <v/>
      </c>
      <c r="BJ36" s="26" t="str">
        <f t="shared" si="221"/>
        <v/>
      </c>
      <c r="BK36" s="26" t="str">
        <f t="shared" si="222"/>
        <v/>
      </c>
      <c r="BL36" s="26" t="str">
        <f t="shared" si="223"/>
        <v/>
      </c>
      <c r="BM36" s="26" t="str">
        <f t="shared" si="224"/>
        <v/>
      </c>
      <c r="BN36" s="26" t="str">
        <f t="shared" si="225"/>
        <v/>
      </c>
      <c r="BO36" s="26" t="str">
        <f t="shared" si="226"/>
        <v/>
      </c>
      <c r="BP36" s="26" t="str">
        <f t="shared" si="227"/>
        <v/>
      </c>
      <c r="BQ36" s="26" t="str">
        <f t="shared" si="228"/>
        <v/>
      </c>
      <c r="BR36" s="26" t="str">
        <f t="shared" si="229"/>
        <v/>
      </c>
      <c r="BS36" s="24" t="str">
        <f t="shared" si="230"/>
        <v/>
      </c>
      <c r="BT36" s="24" t="str">
        <f t="shared" si="231"/>
        <v/>
      </c>
      <c r="BU36" s="24" t="str">
        <f t="shared" si="232"/>
        <v/>
      </c>
      <c r="BV36" s="24" t="str">
        <f t="shared" si="233"/>
        <v/>
      </c>
      <c r="BW36" s="24" t="str">
        <f t="shared" si="234"/>
        <v/>
      </c>
      <c r="BX36" s="24" t="str">
        <f t="shared" si="235"/>
        <v/>
      </c>
      <c r="BY36" s="24" t="str">
        <f t="shared" si="236"/>
        <v/>
      </c>
      <c r="BZ36" s="24" t="str">
        <f t="shared" si="237"/>
        <v/>
      </c>
      <c r="CA36" s="24" t="str">
        <f t="shared" si="238"/>
        <v/>
      </c>
      <c r="CB36" s="24" t="str">
        <f t="shared" si="174"/>
        <v/>
      </c>
      <c r="CC36" s="24" t="str">
        <f t="shared" si="175"/>
        <v/>
      </c>
      <c r="CD36" s="24" t="str">
        <f t="shared" si="176"/>
        <v/>
      </c>
      <c r="CE36" s="24" t="str">
        <f t="shared" si="177"/>
        <v/>
      </c>
      <c r="CF36" s="24" t="str">
        <f t="shared" si="178"/>
        <v/>
      </c>
      <c r="CG36" s="24" t="str">
        <f>IF(OR(BA36="",AK36=""),"",BA36*(IF(OR(AK36="A",AK36="a"),4,(IF(OR(#REF!="B",AK36="b"),3,(IF(OR(AK36="C",AK36="c"),2,(IF(OR(AK36="D",AK36="d"),1.5,(IF(OR(AK36="E",AK36="e"),1,(IF(OR(AK36="F",AK36="f"),0)))))))))))))</f>
        <v/>
      </c>
      <c r="CH36" s="24" t="str">
        <f t="shared" si="179"/>
        <v/>
      </c>
      <c r="CI36" s="24" t="str">
        <f t="shared" si="239"/>
        <v/>
      </c>
      <c r="CJ36" s="26" t="str">
        <f t="shared" si="240"/>
        <v/>
      </c>
      <c r="CK36" s="26" t="str">
        <f t="shared" si="241"/>
        <v/>
      </c>
      <c r="CL36" s="26" t="str">
        <f t="shared" si="84"/>
        <v/>
      </c>
      <c r="CM36" s="24" t="str">
        <f t="shared" si="85"/>
        <v/>
      </c>
      <c r="CN36" s="26" t="str">
        <f t="shared" si="242"/>
        <v/>
      </c>
      <c r="CO36" s="24" t="str">
        <f t="shared" si="243"/>
        <v/>
      </c>
      <c r="CP36" s="26" t="str">
        <f t="shared" si="244"/>
        <v/>
      </c>
      <c r="CQ36" s="26" t="str">
        <f t="shared" si="245"/>
        <v/>
      </c>
      <c r="CR36" s="26" t="str">
        <f t="shared" si="86"/>
        <v/>
      </c>
      <c r="CS36" s="24" t="str">
        <f t="shared" si="87"/>
        <v/>
      </c>
      <c r="CT36" s="27" t="str">
        <f t="shared" si="246"/>
        <v/>
      </c>
      <c r="CU36" s="24" t="str">
        <f t="shared" si="247"/>
        <v/>
      </c>
      <c r="CV36" s="27" t="str">
        <f t="shared" si="248"/>
        <v/>
      </c>
      <c r="CW36" s="26" t="str">
        <f t="shared" si="249"/>
        <v/>
      </c>
      <c r="CX36" s="26" t="str">
        <f t="shared" si="88"/>
        <v/>
      </c>
      <c r="CY36" s="27" t="str">
        <f t="shared" si="89"/>
        <v/>
      </c>
      <c r="CZ36" s="26" t="str">
        <f t="shared" si="250"/>
        <v/>
      </c>
      <c r="DA36" s="24" t="str">
        <f t="shared" si="181"/>
        <v/>
      </c>
      <c r="DB36" s="24" t="str">
        <f t="shared" si="251"/>
        <v/>
      </c>
      <c r="DC36" s="24" t="str">
        <f t="shared" si="77"/>
        <v/>
      </c>
      <c r="DD36" s="24" t="str">
        <f t="shared" si="252"/>
        <v/>
      </c>
      <c r="DE36" s="1">
        <v>0</v>
      </c>
      <c r="DF36" s="1">
        <v>0</v>
      </c>
      <c r="DG36" s="1">
        <v>0</v>
      </c>
      <c r="DH36" s="24" t="str">
        <f t="shared" si="253"/>
        <v/>
      </c>
      <c r="DI36" s="25" t="str">
        <f t="shared" si="254"/>
        <v/>
      </c>
      <c r="DJ36" t="str">
        <f t="shared" si="255"/>
        <v/>
      </c>
      <c r="DK36" s="9"/>
      <c r="DL36" s="9"/>
      <c r="DM36" s="9"/>
      <c r="DN36" s="9"/>
      <c r="DO36" s="9"/>
      <c r="DP36" s="9"/>
      <c r="DQ36" s="136" t="b">
        <f t="shared" si="256"/>
        <v>1</v>
      </c>
    </row>
    <row r="37" spans="1:121" ht="27" customHeight="1" x14ac:dyDescent="0.95">
      <c r="A37" s="24" t="str">
        <f t="shared" si="90"/>
        <v/>
      </c>
      <c r="B37" s="9"/>
      <c r="C37" s="14"/>
      <c r="D37" s="9"/>
      <c r="E37" s="9"/>
      <c r="F37" s="1"/>
      <c r="G37" s="7"/>
      <c r="H37" s="7"/>
      <c r="I37" s="7"/>
      <c r="J37" s="7"/>
      <c r="K37" s="7"/>
      <c r="L37" s="7"/>
      <c r="M37" s="7"/>
      <c r="N37" s="7"/>
      <c r="O37" s="7"/>
      <c r="P37" s="10"/>
      <c r="Q37" s="10"/>
      <c r="R37" s="10"/>
      <c r="S37" s="10"/>
      <c r="T37" s="10"/>
      <c r="U37" s="10"/>
      <c r="V37" s="10"/>
      <c r="W37" s="3" t="str">
        <f t="shared" si="182"/>
        <v/>
      </c>
      <c r="X37" s="3" t="str">
        <f t="shared" si="183"/>
        <v/>
      </c>
      <c r="Y37" s="3" t="str">
        <f t="shared" si="184"/>
        <v/>
      </c>
      <c r="Z37" s="3" t="str">
        <f t="shared" si="185"/>
        <v/>
      </c>
      <c r="AA37" s="3" t="str">
        <f t="shared" si="186"/>
        <v/>
      </c>
      <c r="AB37" s="3" t="str">
        <f t="shared" si="187"/>
        <v/>
      </c>
      <c r="AC37" s="3" t="str">
        <f t="shared" si="188"/>
        <v/>
      </c>
      <c r="AD37" s="3" t="str">
        <f t="shared" si="189"/>
        <v/>
      </c>
      <c r="AE37" s="3" t="str">
        <f t="shared" si="190"/>
        <v/>
      </c>
      <c r="AF37" s="24" t="str">
        <f t="shared" si="191"/>
        <v/>
      </c>
      <c r="AG37" s="24" t="str">
        <f t="shared" si="192"/>
        <v/>
      </c>
      <c r="AH37" s="24" t="str">
        <f t="shared" si="193"/>
        <v/>
      </c>
      <c r="AI37" s="24" t="str">
        <f t="shared" si="194"/>
        <v/>
      </c>
      <c r="AJ37" s="24" t="str">
        <f t="shared" si="195"/>
        <v/>
      </c>
      <c r="AK37" s="24" t="str">
        <f t="shared" si="196"/>
        <v/>
      </c>
      <c r="AL37" s="24" t="str">
        <f t="shared" si="197"/>
        <v/>
      </c>
      <c r="AM37" s="24" t="str">
        <f t="shared" si="198"/>
        <v/>
      </c>
      <c r="AN37" s="24" t="str">
        <f t="shared" si="199"/>
        <v/>
      </c>
      <c r="AO37" s="24" t="str">
        <f t="shared" si="200"/>
        <v/>
      </c>
      <c r="AP37" s="24" t="str">
        <f t="shared" si="201"/>
        <v/>
      </c>
      <c r="AQ37" s="24" t="str">
        <f t="shared" si="202"/>
        <v/>
      </c>
      <c r="AR37" s="24" t="str">
        <f t="shared" si="203"/>
        <v/>
      </c>
      <c r="AS37" s="24" t="str">
        <f t="shared" si="204"/>
        <v/>
      </c>
      <c r="AT37" s="24" t="str">
        <f t="shared" si="205"/>
        <v/>
      </c>
      <c r="AU37" s="24" t="str">
        <f t="shared" si="206"/>
        <v/>
      </c>
      <c r="AV37" s="24" t="str">
        <f t="shared" si="207"/>
        <v/>
      </c>
      <c r="AW37" s="24" t="str">
        <f t="shared" si="208"/>
        <v/>
      </c>
      <c r="AX37" s="24" t="str">
        <f t="shared" si="209"/>
        <v/>
      </c>
      <c r="AY37" s="24" t="str">
        <f t="shared" si="210"/>
        <v/>
      </c>
      <c r="AZ37" s="24" t="str">
        <f t="shared" si="211"/>
        <v/>
      </c>
      <c r="BA37" s="24" t="str">
        <f t="shared" si="212"/>
        <v/>
      </c>
      <c r="BB37" s="24" t="str">
        <f t="shared" si="213"/>
        <v/>
      </c>
      <c r="BC37" s="26" t="str">
        <f t="shared" si="214"/>
        <v/>
      </c>
      <c r="BD37" s="26" t="str">
        <f t="shared" si="215"/>
        <v/>
      </c>
      <c r="BE37" s="26" t="str">
        <f t="shared" si="216"/>
        <v/>
      </c>
      <c r="BF37" s="26" t="str">
        <f t="shared" si="217"/>
        <v/>
      </c>
      <c r="BG37" s="26" t="str">
        <f t="shared" si="218"/>
        <v/>
      </c>
      <c r="BH37" s="26" t="str">
        <f t="shared" si="219"/>
        <v/>
      </c>
      <c r="BI37" s="26" t="str">
        <f t="shared" si="220"/>
        <v/>
      </c>
      <c r="BJ37" s="26" t="str">
        <f t="shared" si="221"/>
        <v/>
      </c>
      <c r="BK37" s="26" t="str">
        <f t="shared" si="222"/>
        <v/>
      </c>
      <c r="BL37" s="26" t="str">
        <f t="shared" si="223"/>
        <v/>
      </c>
      <c r="BM37" s="26" t="str">
        <f t="shared" si="224"/>
        <v/>
      </c>
      <c r="BN37" s="26" t="str">
        <f t="shared" si="225"/>
        <v/>
      </c>
      <c r="BO37" s="26" t="str">
        <f t="shared" si="226"/>
        <v/>
      </c>
      <c r="BP37" s="26" t="str">
        <f t="shared" si="227"/>
        <v/>
      </c>
      <c r="BQ37" s="26" t="str">
        <f t="shared" si="228"/>
        <v/>
      </c>
      <c r="BR37" s="26" t="str">
        <f t="shared" si="229"/>
        <v/>
      </c>
      <c r="BS37" s="24" t="str">
        <f t="shared" si="230"/>
        <v/>
      </c>
      <c r="BT37" s="24" t="str">
        <f t="shared" si="231"/>
        <v/>
      </c>
      <c r="BU37" s="24" t="str">
        <f t="shared" si="232"/>
        <v/>
      </c>
      <c r="BV37" s="24" t="str">
        <f t="shared" si="233"/>
        <v/>
      </c>
      <c r="BW37" s="24" t="str">
        <f t="shared" si="234"/>
        <v/>
      </c>
      <c r="BX37" s="24" t="str">
        <f t="shared" si="235"/>
        <v/>
      </c>
      <c r="BY37" s="24" t="str">
        <f t="shared" si="236"/>
        <v/>
      </c>
      <c r="BZ37" s="24" t="str">
        <f t="shared" si="237"/>
        <v/>
      </c>
      <c r="CA37" s="24" t="str">
        <f t="shared" si="238"/>
        <v/>
      </c>
      <c r="CB37" s="24" t="str">
        <f t="shared" si="174"/>
        <v/>
      </c>
      <c r="CC37" s="24" t="str">
        <f t="shared" si="175"/>
        <v/>
      </c>
      <c r="CD37" s="24" t="str">
        <f t="shared" si="176"/>
        <v/>
      </c>
      <c r="CE37" s="24" t="str">
        <f t="shared" si="177"/>
        <v/>
      </c>
      <c r="CF37" s="24" t="str">
        <f t="shared" si="178"/>
        <v/>
      </c>
      <c r="CG37" s="24" t="str">
        <f>IF(OR(BA37="",AK37=""),"",BA37*(IF(OR(AK37="A",AK37="a"),4,(IF(OR(#REF!="B",AK37="b"),3,(IF(OR(AK37="C",AK37="c"),2,(IF(OR(AK37="D",AK37="d"),1.5,(IF(OR(AK37="E",AK37="e"),1,(IF(OR(AK37="F",AK37="f"),0)))))))))))))</f>
        <v/>
      </c>
      <c r="CH37" s="24" t="str">
        <f t="shared" si="179"/>
        <v/>
      </c>
      <c r="CI37" s="24" t="str">
        <f t="shared" si="239"/>
        <v/>
      </c>
      <c r="CJ37" s="26" t="str">
        <f t="shared" si="240"/>
        <v/>
      </c>
      <c r="CK37" s="26" t="str">
        <f t="shared" si="241"/>
        <v/>
      </c>
      <c r="CL37" s="26" t="str">
        <f t="shared" si="84"/>
        <v/>
      </c>
      <c r="CM37" s="24" t="str">
        <f t="shared" si="85"/>
        <v/>
      </c>
      <c r="CN37" s="26" t="str">
        <f t="shared" si="242"/>
        <v/>
      </c>
      <c r="CO37" s="24" t="str">
        <f t="shared" si="243"/>
        <v/>
      </c>
      <c r="CP37" s="26" t="str">
        <f t="shared" si="244"/>
        <v/>
      </c>
      <c r="CQ37" s="26" t="str">
        <f t="shared" si="245"/>
        <v/>
      </c>
      <c r="CR37" s="26" t="str">
        <f t="shared" si="86"/>
        <v/>
      </c>
      <c r="CS37" s="24" t="str">
        <f t="shared" si="87"/>
        <v/>
      </c>
      <c r="CT37" s="27" t="str">
        <f t="shared" si="246"/>
        <v/>
      </c>
      <c r="CU37" s="24" t="str">
        <f t="shared" si="247"/>
        <v/>
      </c>
      <c r="CV37" s="27" t="str">
        <f t="shared" si="248"/>
        <v/>
      </c>
      <c r="CW37" s="26" t="str">
        <f t="shared" si="249"/>
        <v/>
      </c>
      <c r="CX37" s="26" t="str">
        <f t="shared" si="88"/>
        <v/>
      </c>
      <c r="CY37" s="27" t="str">
        <f t="shared" si="89"/>
        <v/>
      </c>
      <c r="CZ37" s="26" t="str">
        <f t="shared" si="250"/>
        <v/>
      </c>
      <c r="DA37" s="24" t="str">
        <f t="shared" si="181"/>
        <v/>
      </c>
      <c r="DB37" s="24" t="str">
        <f t="shared" si="251"/>
        <v/>
      </c>
      <c r="DC37" s="24" t="str">
        <f t="shared" si="77"/>
        <v/>
      </c>
      <c r="DD37" s="24" t="str">
        <f t="shared" si="252"/>
        <v/>
      </c>
      <c r="DE37" s="1">
        <v>0</v>
      </c>
      <c r="DF37" s="1">
        <v>0</v>
      </c>
      <c r="DG37" s="1">
        <v>0</v>
      </c>
      <c r="DH37" s="24" t="str">
        <f t="shared" si="253"/>
        <v/>
      </c>
      <c r="DI37" s="25" t="str">
        <f t="shared" si="254"/>
        <v/>
      </c>
      <c r="DJ37" t="str">
        <f t="shared" si="255"/>
        <v/>
      </c>
      <c r="DK37" s="9"/>
      <c r="DL37" s="9"/>
      <c r="DM37" s="9"/>
      <c r="DN37" s="9"/>
      <c r="DO37" s="9"/>
      <c r="DP37" s="9"/>
      <c r="DQ37" s="136" t="b">
        <f t="shared" si="256"/>
        <v>1</v>
      </c>
    </row>
    <row r="38" spans="1:121" ht="27" customHeight="1" x14ac:dyDescent="0.95">
      <c r="A38" s="24" t="str">
        <f t="shared" si="90"/>
        <v/>
      </c>
      <c r="B38" s="9"/>
      <c r="C38" s="14"/>
      <c r="D38" s="9"/>
      <c r="E38" s="9"/>
      <c r="F38" s="1"/>
      <c r="G38" s="7"/>
      <c r="H38" s="7"/>
      <c r="I38" s="7"/>
      <c r="J38" s="7"/>
      <c r="K38" s="7"/>
      <c r="L38" s="7"/>
      <c r="M38" s="7"/>
      <c r="N38" s="7"/>
      <c r="O38" s="7"/>
      <c r="P38" s="10"/>
      <c r="Q38" s="10"/>
      <c r="R38" s="10"/>
      <c r="S38" s="10"/>
      <c r="T38" s="10"/>
      <c r="U38" s="10"/>
      <c r="V38" s="10"/>
      <c r="W38" s="3" t="str">
        <f t="shared" si="182"/>
        <v/>
      </c>
      <c r="X38" s="3" t="str">
        <f t="shared" si="183"/>
        <v/>
      </c>
      <c r="Y38" s="3" t="str">
        <f t="shared" si="184"/>
        <v/>
      </c>
      <c r="Z38" s="3" t="str">
        <f t="shared" si="185"/>
        <v/>
      </c>
      <c r="AA38" s="3" t="str">
        <f t="shared" si="186"/>
        <v/>
      </c>
      <c r="AB38" s="3" t="str">
        <f t="shared" si="187"/>
        <v/>
      </c>
      <c r="AC38" s="3" t="str">
        <f t="shared" si="188"/>
        <v/>
      </c>
      <c r="AD38" s="3" t="str">
        <f t="shared" si="189"/>
        <v/>
      </c>
      <c r="AE38" s="3" t="str">
        <f t="shared" si="190"/>
        <v/>
      </c>
      <c r="AF38" s="24" t="str">
        <f t="shared" si="191"/>
        <v/>
      </c>
      <c r="AG38" s="24" t="str">
        <f t="shared" si="192"/>
        <v/>
      </c>
      <c r="AH38" s="24" t="str">
        <f t="shared" si="193"/>
        <v/>
      </c>
      <c r="AI38" s="24" t="str">
        <f t="shared" si="194"/>
        <v/>
      </c>
      <c r="AJ38" s="24" t="str">
        <f t="shared" si="195"/>
        <v/>
      </c>
      <c r="AK38" s="24" t="str">
        <f t="shared" si="196"/>
        <v/>
      </c>
      <c r="AL38" s="24" t="str">
        <f t="shared" si="197"/>
        <v/>
      </c>
      <c r="AM38" s="24" t="str">
        <f t="shared" si="198"/>
        <v/>
      </c>
      <c r="AN38" s="24" t="str">
        <f t="shared" si="199"/>
        <v/>
      </c>
      <c r="AO38" s="24" t="str">
        <f t="shared" si="200"/>
        <v/>
      </c>
      <c r="AP38" s="24" t="str">
        <f t="shared" si="201"/>
        <v/>
      </c>
      <c r="AQ38" s="24" t="str">
        <f t="shared" si="202"/>
        <v/>
      </c>
      <c r="AR38" s="24" t="str">
        <f t="shared" si="203"/>
        <v/>
      </c>
      <c r="AS38" s="24" t="str">
        <f t="shared" si="204"/>
        <v/>
      </c>
      <c r="AT38" s="24" t="str">
        <f t="shared" si="205"/>
        <v/>
      </c>
      <c r="AU38" s="24" t="str">
        <f t="shared" si="206"/>
        <v/>
      </c>
      <c r="AV38" s="24" t="str">
        <f t="shared" si="207"/>
        <v/>
      </c>
      <c r="AW38" s="24" t="str">
        <f t="shared" si="208"/>
        <v/>
      </c>
      <c r="AX38" s="24" t="str">
        <f t="shared" si="209"/>
        <v/>
      </c>
      <c r="AY38" s="24" t="str">
        <f t="shared" si="210"/>
        <v/>
      </c>
      <c r="AZ38" s="24" t="str">
        <f t="shared" si="211"/>
        <v/>
      </c>
      <c r="BA38" s="24" t="str">
        <f t="shared" si="212"/>
        <v/>
      </c>
      <c r="BB38" s="24" t="str">
        <f t="shared" si="213"/>
        <v/>
      </c>
      <c r="BC38" s="26" t="str">
        <f t="shared" si="214"/>
        <v/>
      </c>
      <c r="BD38" s="26" t="str">
        <f t="shared" si="215"/>
        <v/>
      </c>
      <c r="BE38" s="26" t="str">
        <f t="shared" si="216"/>
        <v/>
      </c>
      <c r="BF38" s="26" t="str">
        <f t="shared" si="217"/>
        <v/>
      </c>
      <c r="BG38" s="26" t="str">
        <f t="shared" si="218"/>
        <v/>
      </c>
      <c r="BH38" s="26" t="str">
        <f t="shared" si="219"/>
        <v/>
      </c>
      <c r="BI38" s="26" t="str">
        <f t="shared" si="220"/>
        <v/>
      </c>
      <c r="BJ38" s="26" t="str">
        <f t="shared" si="221"/>
        <v/>
      </c>
      <c r="BK38" s="26" t="str">
        <f t="shared" si="222"/>
        <v/>
      </c>
      <c r="BL38" s="26" t="str">
        <f t="shared" si="223"/>
        <v/>
      </c>
      <c r="BM38" s="26" t="str">
        <f t="shared" si="224"/>
        <v/>
      </c>
      <c r="BN38" s="26" t="str">
        <f t="shared" si="225"/>
        <v/>
      </c>
      <c r="BO38" s="26" t="str">
        <f t="shared" si="226"/>
        <v/>
      </c>
      <c r="BP38" s="26" t="str">
        <f t="shared" si="227"/>
        <v/>
      </c>
      <c r="BQ38" s="26" t="str">
        <f t="shared" si="228"/>
        <v/>
      </c>
      <c r="BR38" s="26" t="str">
        <f t="shared" si="229"/>
        <v/>
      </c>
      <c r="BS38" s="24" t="str">
        <f t="shared" si="230"/>
        <v/>
      </c>
      <c r="BT38" s="24" t="str">
        <f t="shared" si="231"/>
        <v/>
      </c>
      <c r="BU38" s="24" t="str">
        <f t="shared" si="232"/>
        <v/>
      </c>
      <c r="BV38" s="24" t="str">
        <f t="shared" si="233"/>
        <v/>
      </c>
      <c r="BW38" s="24" t="str">
        <f t="shared" si="234"/>
        <v/>
      </c>
      <c r="BX38" s="24" t="str">
        <f t="shared" si="235"/>
        <v/>
      </c>
      <c r="BY38" s="24" t="str">
        <f t="shared" si="236"/>
        <v/>
      </c>
      <c r="BZ38" s="24" t="str">
        <f t="shared" si="237"/>
        <v/>
      </c>
      <c r="CA38" s="24" t="str">
        <f t="shared" si="238"/>
        <v/>
      </c>
      <c r="CB38" s="24" t="str">
        <f t="shared" si="174"/>
        <v/>
      </c>
      <c r="CC38" s="24" t="str">
        <f t="shared" si="175"/>
        <v/>
      </c>
      <c r="CD38" s="24" t="str">
        <f t="shared" si="176"/>
        <v/>
      </c>
      <c r="CE38" s="24" t="str">
        <f t="shared" si="177"/>
        <v/>
      </c>
      <c r="CF38" s="24" t="str">
        <f t="shared" si="178"/>
        <v/>
      </c>
      <c r="CG38" s="24" t="str">
        <f>IF(OR(BA38="",AK38=""),"",BA38*(IF(OR(AK38="A",AK38="a"),4,(IF(OR(#REF!="B",AK38="b"),3,(IF(OR(AK38="C",AK38="c"),2,(IF(OR(AK38="D",AK38="d"),1.5,(IF(OR(AK38="E",AK38="e"),1,(IF(OR(AK38="F",AK38="f"),0)))))))))))))</f>
        <v/>
      </c>
      <c r="CH38" s="24" t="str">
        <f t="shared" si="179"/>
        <v/>
      </c>
      <c r="CI38" s="24" t="str">
        <f t="shared" si="239"/>
        <v/>
      </c>
      <c r="CJ38" s="26" t="str">
        <f t="shared" si="240"/>
        <v/>
      </c>
      <c r="CK38" s="26" t="str">
        <f t="shared" si="241"/>
        <v/>
      </c>
      <c r="CL38" s="26" t="str">
        <f t="shared" si="84"/>
        <v/>
      </c>
      <c r="CM38" s="24" t="str">
        <f t="shared" si="85"/>
        <v/>
      </c>
      <c r="CN38" s="26" t="str">
        <f t="shared" si="242"/>
        <v/>
      </c>
      <c r="CO38" s="24" t="str">
        <f t="shared" si="243"/>
        <v/>
      </c>
      <c r="CP38" s="26" t="str">
        <f t="shared" si="244"/>
        <v/>
      </c>
      <c r="CQ38" s="26" t="str">
        <f t="shared" si="245"/>
        <v/>
      </c>
      <c r="CR38" s="26" t="str">
        <f t="shared" si="86"/>
        <v/>
      </c>
      <c r="CS38" s="24" t="str">
        <f t="shared" si="87"/>
        <v/>
      </c>
      <c r="CT38" s="27" t="str">
        <f t="shared" si="246"/>
        <v/>
      </c>
      <c r="CU38" s="24" t="str">
        <f t="shared" si="247"/>
        <v/>
      </c>
      <c r="CV38" s="27" t="str">
        <f t="shared" si="248"/>
        <v/>
      </c>
      <c r="CW38" s="26" t="str">
        <f t="shared" si="249"/>
        <v/>
      </c>
      <c r="CX38" s="26" t="str">
        <f t="shared" si="88"/>
        <v/>
      </c>
      <c r="CY38" s="27" t="str">
        <f t="shared" si="89"/>
        <v/>
      </c>
      <c r="CZ38" s="26" t="str">
        <f t="shared" si="250"/>
        <v/>
      </c>
      <c r="DA38" s="24" t="str">
        <f t="shared" si="181"/>
        <v/>
      </c>
      <c r="DB38" s="24" t="str">
        <f t="shared" si="251"/>
        <v/>
      </c>
      <c r="DC38" s="24" t="str">
        <f t="shared" si="77"/>
        <v/>
      </c>
      <c r="DD38" s="24" t="str">
        <f t="shared" si="252"/>
        <v/>
      </c>
      <c r="DE38" s="1">
        <v>0</v>
      </c>
      <c r="DF38" s="1">
        <v>0</v>
      </c>
      <c r="DG38" s="1">
        <v>0</v>
      </c>
      <c r="DH38" s="24" t="str">
        <f t="shared" si="253"/>
        <v/>
      </c>
      <c r="DI38" s="25" t="str">
        <f t="shared" si="254"/>
        <v/>
      </c>
      <c r="DJ38" t="str">
        <f t="shared" si="255"/>
        <v/>
      </c>
      <c r="DK38" s="9"/>
      <c r="DL38" s="9"/>
      <c r="DM38" s="9"/>
      <c r="DN38" s="9"/>
      <c r="DO38" s="9"/>
      <c r="DP38" s="9"/>
      <c r="DQ38" s="136" t="b">
        <f t="shared" si="256"/>
        <v>1</v>
      </c>
    </row>
    <row r="39" spans="1:121" ht="27" customHeight="1" x14ac:dyDescent="0.95">
      <c r="A39" s="24" t="str">
        <f t="shared" si="90"/>
        <v/>
      </c>
      <c r="B39" s="9"/>
      <c r="C39" s="14"/>
      <c r="D39" s="9"/>
      <c r="E39" s="9"/>
      <c r="F39" s="1"/>
      <c r="G39" s="7"/>
      <c r="H39" s="7"/>
      <c r="I39" s="7"/>
      <c r="J39" s="7"/>
      <c r="K39" s="7"/>
      <c r="L39" s="7"/>
      <c r="M39" s="7"/>
      <c r="N39" s="7"/>
      <c r="O39" s="7"/>
      <c r="P39" s="10"/>
      <c r="Q39" s="10"/>
      <c r="R39" s="10"/>
      <c r="S39" s="10"/>
      <c r="T39" s="10"/>
      <c r="U39" s="10"/>
      <c r="V39" s="10"/>
      <c r="W39" s="3" t="str">
        <f t="shared" si="182"/>
        <v/>
      </c>
      <c r="X39" s="3" t="str">
        <f t="shared" si="183"/>
        <v/>
      </c>
      <c r="Y39" s="3" t="str">
        <f t="shared" si="184"/>
        <v/>
      </c>
      <c r="Z39" s="3" t="str">
        <f t="shared" si="185"/>
        <v/>
      </c>
      <c r="AA39" s="3" t="str">
        <f t="shared" si="186"/>
        <v/>
      </c>
      <c r="AB39" s="3" t="str">
        <f t="shared" si="187"/>
        <v/>
      </c>
      <c r="AC39" s="3" t="str">
        <f t="shared" si="188"/>
        <v/>
      </c>
      <c r="AD39" s="3" t="str">
        <f t="shared" si="189"/>
        <v/>
      </c>
      <c r="AE39" s="3" t="str">
        <f t="shared" si="190"/>
        <v/>
      </c>
      <c r="AF39" s="24" t="str">
        <f t="shared" si="191"/>
        <v/>
      </c>
      <c r="AG39" s="24" t="str">
        <f t="shared" si="192"/>
        <v/>
      </c>
      <c r="AH39" s="24" t="str">
        <f t="shared" si="193"/>
        <v/>
      </c>
      <c r="AI39" s="24" t="str">
        <f t="shared" si="194"/>
        <v/>
      </c>
      <c r="AJ39" s="24" t="str">
        <f t="shared" si="195"/>
        <v/>
      </c>
      <c r="AK39" s="24" t="str">
        <f t="shared" si="196"/>
        <v/>
      </c>
      <c r="AL39" s="24" t="str">
        <f t="shared" si="197"/>
        <v/>
      </c>
      <c r="AM39" s="24" t="str">
        <f t="shared" si="198"/>
        <v/>
      </c>
      <c r="AN39" s="24" t="str">
        <f t="shared" si="199"/>
        <v/>
      </c>
      <c r="AO39" s="24" t="str">
        <f t="shared" si="200"/>
        <v/>
      </c>
      <c r="AP39" s="24" t="str">
        <f t="shared" si="201"/>
        <v/>
      </c>
      <c r="AQ39" s="24" t="str">
        <f t="shared" si="202"/>
        <v/>
      </c>
      <c r="AR39" s="24" t="str">
        <f t="shared" si="203"/>
        <v/>
      </c>
      <c r="AS39" s="24" t="str">
        <f t="shared" si="204"/>
        <v/>
      </c>
      <c r="AT39" s="24" t="str">
        <f t="shared" si="205"/>
        <v/>
      </c>
      <c r="AU39" s="24" t="str">
        <f t="shared" si="206"/>
        <v/>
      </c>
      <c r="AV39" s="24" t="str">
        <f t="shared" si="207"/>
        <v/>
      </c>
      <c r="AW39" s="24" t="str">
        <f t="shared" si="208"/>
        <v/>
      </c>
      <c r="AX39" s="24" t="str">
        <f t="shared" si="209"/>
        <v/>
      </c>
      <c r="AY39" s="24" t="str">
        <f t="shared" si="210"/>
        <v/>
      </c>
      <c r="AZ39" s="24" t="str">
        <f t="shared" si="211"/>
        <v/>
      </c>
      <c r="BA39" s="24" t="str">
        <f t="shared" si="212"/>
        <v/>
      </c>
      <c r="BB39" s="24" t="str">
        <f t="shared" si="213"/>
        <v/>
      </c>
      <c r="BC39" s="26" t="str">
        <f t="shared" si="214"/>
        <v/>
      </c>
      <c r="BD39" s="26" t="str">
        <f t="shared" si="215"/>
        <v/>
      </c>
      <c r="BE39" s="26" t="str">
        <f t="shared" si="216"/>
        <v/>
      </c>
      <c r="BF39" s="26" t="str">
        <f t="shared" si="217"/>
        <v/>
      </c>
      <c r="BG39" s="26" t="str">
        <f t="shared" si="218"/>
        <v/>
      </c>
      <c r="BH39" s="26" t="str">
        <f t="shared" si="219"/>
        <v/>
      </c>
      <c r="BI39" s="26" t="str">
        <f t="shared" si="220"/>
        <v/>
      </c>
      <c r="BJ39" s="26" t="str">
        <f t="shared" si="221"/>
        <v/>
      </c>
      <c r="BK39" s="26" t="str">
        <f t="shared" si="222"/>
        <v/>
      </c>
      <c r="BL39" s="26" t="str">
        <f t="shared" si="223"/>
        <v/>
      </c>
      <c r="BM39" s="26" t="str">
        <f t="shared" si="224"/>
        <v/>
      </c>
      <c r="BN39" s="26" t="str">
        <f t="shared" si="225"/>
        <v/>
      </c>
      <c r="BO39" s="26" t="str">
        <f t="shared" si="226"/>
        <v/>
      </c>
      <c r="BP39" s="26" t="str">
        <f t="shared" si="227"/>
        <v/>
      </c>
      <c r="BQ39" s="26" t="str">
        <f t="shared" si="228"/>
        <v/>
      </c>
      <c r="BR39" s="26" t="str">
        <f t="shared" si="229"/>
        <v/>
      </c>
      <c r="BS39" s="24" t="str">
        <f t="shared" si="230"/>
        <v/>
      </c>
      <c r="BT39" s="24" t="str">
        <f t="shared" si="231"/>
        <v/>
      </c>
      <c r="BU39" s="24" t="str">
        <f t="shared" si="232"/>
        <v/>
      </c>
      <c r="BV39" s="24" t="str">
        <f t="shared" si="233"/>
        <v/>
      </c>
      <c r="BW39" s="24" t="str">
        <f t="shared" si="234"/>
        <v/>
      </c>
      <c r="BX39" s="24" t="str">
        <f t="shared" si="235"/>
        <v/>
      </c>
      <c r="BY39" s="24" t="str">
        <f t="shared" si="236"/>
        <v/>
      </c>
      <c r="BZ39" s="24" t="str">
        <f t="shared" si="237"/>
        <v/>
      </c>
      <c r="CA39" s="24" t="str">
        <f t="shared" si="238"/>
        <v/>
      </c>
      <c r="CB39" s="24" t="str">
        <f t="shared" si="174"/>
        <v/>
      </c>
      <c r="CC39" s="24" t="str">
        <f t="shared" si="175"/>
        <v/>
      </c>
      <c r="CD39" s="24" t="str">
        <f t="shared" si="176"/>
        <v/>
      </c>
      <c r="CE39" s="24" t="str">
        <f t="shared" si="177"/>
        <v/>
      </c>
      <c r="CF39" s="24" t="str">
        <f t="shared" si="178"/>
        <v/>
      </c>
      <c r="CG39" s="24" t="str">
        <f>IF(OR(BA39="",AK39=""),"",BA39*(IF(OR(AK39="A",AK39="a"),4,(IF(OR(#REF!="B",AK39="b"),3,(IF(OR(AK39="C",AK39="c"),2,(IF(OR(AK39="D",AK39="d"),1.5,(IF(OR(AK39="E",AK39="e"),1,(IF(OR(AK39="F",AK39="f"),0)))))))))))))</f>
        <v/>
      </c>
      <c r="CH39" s="24" t="str">
        <f t="shared" si="179"/>
        <v/>
      </c>
      <c r="CI39" s="24" t="str">
        <f t="shared" si="239"/>
        <v/>
      </c>
      <c r="CJ39" s="26" t="str">
        <f t="shared" si="240"/>
        <v/>
      </c>
      <c r="CK39" s="26" t="str">
        <f t="shared" si="241"/>
        <v/>
      </c>
      <c r="CL39" s="26" t="str">
        <f t="shared" si="84"/>
        <v/>
      </c>
      <c r="CM39" s="24" t="str">
        <f t="shared" si="85"/>
        <v/>
      </c>
      <c r="CN39" s="26" t="str">
        <f t="shared" si="242"/>
        <v/>
      </c>
      <c r="CO39" s="24" t="str">
        <f t="shared" si="243"/>
        <v/>
      </c>
      <c r="CP39" s="26" t="str">
        <f t="shared" si="244"/>
        <v/>
      </c>
      <c r="CQ39" s="26" t="str">
        <f t="shared" si="245"/>
        <v/>
      </c>
      <c r="CR39" s="26" t="str">
        <f t="shared" si="86"/>
        <v/>
      </c>
      <c r="CS39" s="24" t="str">
        <f t="shared" si="87"/>
        <v/>
      </c>
      <c r="CT39" s="27" t="str">
        <f t="shared" si="246"/>
        <v/>
      </c>
      <c r="CU39" s="24" t="str">
        <f t="shared" si="247"/>
        <v/>
      </c>
      <c r="CV39" s="27" t="str">
        <f t="shared" si="248"/>
        <v/>
      </c>
      <c r="CW39" s="26" t="str">
        <f t="shared" si="249"/>
        <v/>
      </c>
      <c r="CX39" s="26" t="str">
        <f t="shared" si="88"/>
        <v/>
      </c>
      <c r="CY39" s="27" t="str">
        <f t="shared" si="89"/>
        <v/>
      </c>
      <c r="CZ39" s="26" t="str">
        <f t="shared" si="250"/>
        <v/>
      </c>
      <c r="DA39" s="24" t="str">
        <f t="shared" si="181"/>
        <v/>
      </c>
      <c r="DB39" s="24" t="str">
        <f t="shared" si="251"/>
        <v/>
      </c>
      <c r="DC39" s="24" t="str">
        <f t="shared" si="77"/>
        <v/>
      </c>
      <c r="DD39" s="24" t="str">
        <f t="shared" si="252"/>
        <v/>
      </c>
      <c r="DE39" s="1">
        <v>0</v>
      </c>
      <c r="DF39" s="1">
        <v>0</v>
      </c>
      <c r="DG39" s="1">
        <v>0</v>
      </c>
      <c r="DH39" s="24" t="str">
        <f t="shared" si="253"/>
        <v/>
      </c>
      <c r="DI39" s="25" t="str">
        <f t="shared" si="254"/>
        <v/>
      </c>
      <c r="DJ39" t="str">
        <f t="shared" si="255"/>
        <v/>
      </c>
      <c r="DK39" s="9"/>
      <c r="DL39" s="9"/>
      <c r="DM39" s="9"/>
      <c r="DN39" s="9"/>
      <c r="DO39" s="9"/>
      <c r="DP39" s="9"/>
      <c r="DQ39" s="136" t="b">
        <f t="shared" si="256"/>
        <v>1</v>
      </c>
    </row>
    <row r="40" spans="1:121" ht="27" customHeight="1" x14ac:dyDescent="0.95">
      <c r="A40" s="24" t="str">
        <f t="shared" si="90"/>
        <v/>
      </c>
      <c r="B40" s="9"/>
      <c r="C40" s="14"/>
      <c r="D40" s="9"/>
      <c r="E40" s="9"/>
      <c r="F40" s="1"/>
      <c r="G40" s="7"/>
      <c r="H40" s="7"/>
      <c r="I40" s="7"/>
      <c r="J40" s="7"/>
      <c r="K40" s="7"/>
      <c r="L40" s="7"/>
      <c r="M40" s="7"/>
      <c r="N40" s="7"/>
      <c r="O40" s="7"/>
      <c r="P40" s="10"/>
      <c r="Q40" s="10"/>
      <c r="R40" s="10"/>
      <c r="S40" s="10"/>
      <c r="T40" s="10"/>
      <c r="U40" s="10"/>
      <c r="V40" s="10"/>
      <c r="W40" s="3" t="str">
        <f t="shared" si="182"/>
        <v/>
      </c>
      <c r="X40" s="3" t="str">
        <f t="shared" si="183"/>
        <v/>
      </c>
      <c r="Y40" s="3" t="str">
        <f t="shared" si="184"/>
        <v/>
      </c>
      <c r="Z40" s="3" t="str">
        <f t="shared" si="185"/>
        <v/>
      </c>
      <c r="AA40" s="3" t="str">
        <f t="shared" si="186"/>
        <v/>
      </c>
      <c r="AB40" s="3" t="str">
        <f t="shared" si="187"/>
        <v/>
      </c>
      <c r="AC40" s="3" t="str">
        <f t="shared" si="188"/>
        <v/>
      </c>
      <c r="AD40" s="3" t="str">
        <f t="shared" si="189"/>
        <v/>
      </c>
      <c r="AE40" s="3" t="str">
        <f t="shared" si="190"/>
        <v/>
      </c>
      <c r="AF40" s="24" t="str">
        <f t="shared" si="191"/>
        <v/>
      </c>
      <c r="AG40" s="24" t="str">
        <f t="shared" si="192"/>
        <v/>
      </c>
      <c r="AH40" s="24" t="str">
        <f t="shared" si="193"/>
        <v/>
      </c>
      <c r="AI40" s="24" t="str">
        <f t="shared" si="194"/>
        <v/>
      </c>
      <c r="AJ40" s="24" t="str">
        <f t="shared" si="195"/>
        <v/>
      </c>
      <c r="AK40" s="24" t="str">
        <f t="shared" si="196"/>
        <v/>
      </c>
      <c r="AL40" s="24" t="str">
        <f t="shared" si="197"/>
        <v/>
      </c>
      <c r="AM40" s="24" t="str">
        <f t="shared" si="198"/>
        <v/>
      </c>
      <c r="AN40" s="24" t="str">
        <f t="shared" si="199"/>
        <v/>
      </c>
      <c r="AO40" s="24" t="str">
        <f t="shared" si="200"/>
        <v/>
      </c>
      <c r="AP40" s="24" t="str">
        <f t="shared" si="201"/>
        <v/>
      </c>
      <c r="AQ40" s="24" t="str">
        <f t="shared" si="202"/>
        <v/>
      </c>
      <c r="AR40" s="24" t="str">
        <f t="shared" si="203"/>
        <v/>
      </c>
      <c r="AS40" s="24" t="str">
        <f t="shared" si="204"/>
        <v/>
      </c>
      <c r="AT40" s="24" t="str">
        <f t="shared" si="205"/>
        <v/>
      </c>
      <c r="AU40" s="24" t="str">
        <f t="shared" si="206"/>
        <v/>
      </c>
      <c r="AV40" s="24" t="str">
        <f t="shared" si="207"/>
        <v/>
      </c>
      <c r="AW40" s="24" t="str">
        <f t="shared" si="208"/>
        <v/>
      </c>
      <c r="AX40" s="24" t="str">
        <f t="shared" si="209"/>
        <v/>
      </c>
      <c r="AY40" s="24" t="str">
        <f t="shared" si="210"/>
        <v/>
      </c>
      <c r="AZ40" s="24" t="str">
        <f t="shared" si="211"/>
        <v/>
      </c>
      <c r="BA40" s="24" t="str">
        <f t="shared" si="212"/>
        <v/>
      </c>
      <c r="BB40" s="24" t="str">
        <f t="shared" si="213"/>
        <v/>
      </c>
      <c r="BC40" s="26" t="str">
        <f t="shared" si="214"/>
        <v/>
      </c>
      <c r="BD40" s="26" t="str">
        <f t="shared" si="215"/>
        <v/>
      </c>
      <c r="BE40" s="26" t="str">
        <f t="shared" si="216"/>
        <v/>
      </c>
      <c r="BF40" s="26" t="str">
        <f t="shared" si="217"/>
        <v/>
      </c>
      <c r="BG40" s="26" t="str">
        <f t="shared" si="218"/>
        <v/>
      </c>
      <c r="BH40" s="26" t="str">
        <f t="shared" si="219"/>
        <v/>
      </c>
      <c r="BI40" s="26" t="str">
        <f t="shared" si="220"/>
        <v/>
      </c>
      <c r="BJ40" s="26" t="str">
        <f t="shared" si="221"/>
        <v/>
      </c>
      <c r="BK40" s="26" t="str">
        <f t="shared" si="222"/>
        <v/>
      </c>
      <c r="BL40" s="26" t="str">
        <f t="shared" si="223"/>
        <v/>
      </c>
      <c r="BM40" s="26" t="str">
        <f t="shared" si="224"/>
        <v/>
      </c>
      <c r="BN40" s="26" t="str">
        <f t="shared" si="225"/>
        <v/>
      </c>
      <c r="BO40" s="26" t="str">
        <f t="shared" si="226"/>
        <v/>
      </c>
      <c r="BP40" s="26" t="str">
        <f t="shared" si="227"/>
        <v/>
      </c>
      <c r="BQ40" s="26" t="str">
        <f t="shared" si="228"/>
        <v/>
      </c>
      <c r="BR40" s="26" t="str">
        <f t="shared" si="229"/>
        <v/>
      </c>
      <c r="BS40" s="24" t="str">
        <f t="shared" si="230"/>
        <v/>
      </c>
      <c r="BT40" s="24" t="str">
        <f t="shared" si="231"/>
        <v/>
      </c>
      <c r="BU40" s="24" t="str">
        <f t="shared" si="232"/>
        <v/>
      </c>
      <c r="BV40" s="24" t="str">
        <f t="shared" si="233"/>
        <v/>
      </c>
      <c r="BW40" s="24" t="str">
        <f t="shared" si="234"/>
        <v/>
      </c>
      <c r="BX40" s="24" t="str">
        <f t="shared" si="235"/>
        <v/>
      </c>
      <c r="BY40" s="24" t="str">
        <f t="shared" si="236"/>
        <v/>
      </c>
      <c r="BZ40" s="24" t="str">
        <f t="shared" si="237"/>
        <v/>
      </c>
      <c r="CA40" s="24" t="str">
        <f t="shared" si="238"/>
        <v/>
      </c>
      <c r="CB40" s="24" t="str">
        <f t="shared" si="174"/>
        <v/>
      </c>
      <c r="CC40" s="24" t="str">
        <f t="shared" si="175"/>
        <v/>
      </c>
      <c r="CD40" s="24" t="str">
        <f t="shared" si="176"/>
        <v/>
      </c>
      <c r="CE40" s="24" t="str">
        <f t="shared" si="177"/>
        <v/>
      </c>
      <c r="CF40" s="24" t="str">
        <f t="shared" si="178"/>
        <v/>
      </c>
      <c r="CG40" s="24" t="str">
        <f>IF(OR(BA40="",AK40=""),"",BA40*(IF(OR(AK40="A",AK40="a"),4,(IF(OR(#REF!="B",AK40="b"),3,(IF(OR(AK40="C",AK40="c"),2,(IF(OR(AK40="D",AK40="d"),1.5,(IF(OR(AK40="E",AK40="e"),1,(IF(OR(AK40="F",AK40="f"),0)))))))))))))</f>
        <v/>
      </c>
      <c r="CH40" s="24" t="str">
        <f t="shared" si="179"/>
        <v/>
      </c>
      <c r="CI40" s="24" t="str">
        <f t="shared" si="239"/>
        <v/>
      </c>
      <c r="CJ40" s="26" t="str">
        <f t="shared" si="240"/>
        <v/>
      </c>
      <c r="CK40" s="26" t="str">
        <f t="shared" si="241"/>
        <v/>
      </c>
      <c r="CL40" s="26" t="str">
        <f t="shared" si="84"/>
        <v/>
      </c>
      <c r="CM40" s="24" t="str">
        <f t="shared" si="85"/>
        <v/>
      </c>
      <c r="CN40" s="26" t="str">
        <f t="shared" si="242"/>
        <v/>
      </c>
      <c r="CO40" s="24" t="str">
        <f t="shared" si="243"/>
        <v/>
      </c>
      <c r="CP40" s="26" t="str">
        <f t="shared" si="244"/>
        <v/>
      </c>
      <c r="CQ40" s="26" t="str">
        <f t="shared" si="245"/>
        <v/>
      </c>
      <c r="CR40" s="26" t="str">
        <f t="shared" si="86"/>
        <v/>
      </c>
      <c r="CS40" s="24" t="str">
        <f t="shared" si="87"/>
        <v/>
      </c>
      <c r="CT40" s="27" t="str">
        <f t="shared" si="246"/>
        <v/>
      </c>
      <c r="CU40" s="24" t="str">
        <f t="shared" si="247"/>
        <v/>
      </c>
      <c r="CV40" s="27" t="str">
        <f t="shared" si="248"/>
        <v/>
      </c>
      <c r="CW40" s="26" t="str">
        <f t="shared" si="249"/>
        <v/>
      </c>
      <c r="CX40" s="26" t="str">
        <f t="shared" si="88"/>
        <v/>
      </c>
      <c r="CY40" s="27" t="str">
        <f t="shared" si="89"/>
        <v/>
      </c>
      <c r="CZ40" s="26" t="str">
        <f t="shared" si="250"/>
        <v/>
      </c>
      <c r="DA40" s="24" t="str">
        <f t="shared" si="181"/>
        <v/>
      </c>
      <c r="DB40" s="24" t="str">
        <f t="shared" si="251"/>
        <v/>
      </c>
      <c r="DC40" s="24" t="str">
        <f t="shared" si="77"/>
        <v/>
      </c>
      <c r="DD40" s="24" t="str">
        <f t="shared" si="252"/>
        <v/>
      </c>
      <c r="DE40" s="1">
        <v>0</v>
      </c>
      <c r="DF40" s="1">
        <v>0</v>
      </c>
      <c r="DG40" s="1">
        <v>0</v>
      </c>
      <c r="DH40" s="24" t="str">
        <f t="shared" si="253"/>
        <v/>
      </c>
      <c r="DI40" s="25" t="str">
        <f t="shared" si="254"/>
        <v/>
      </c>
      <c r="DJ40" t="str">
        <f t="shared" si="255"/>
        <v/>
      </c>
      <c r="DK40" s="9"/>
      <c r="DL40" s="9"/>
      <c r="DM40" s="9"/>
      <c r="DN40" s="9"/>
      <c r="DO40" s="9"/>
      <c r="DP40" s="9"/>
      <c r="DQ40" s="136" t="b">
        <f t="shared" si="256"/>
        <v>1</v>
      </c>
    </row>
    <row r="41" spans="1:121" ht="27" customHeight="1" x14ac:dyDescent="0.95">
      <c r="A41" s="24" t="str">
        <f t="shared" si="90"/>
        <v/>
      </c>
      <c r="B41" s="9"/>
      <c r="C41" s="14"/>
      <c r="D41" s="9"/>
      <c r="E41" s="9"/>
      <c r="F41" s="1"/>
      <c r="G41" s="7"/>
      <c r="H41" s="7"/>
      <c r="I41" s="7"/>
      <c r="J41" s="7"/>
      <c r="K41" s="7"/>
      <c r="L41" s="7"/>
      <c r="M41" s="7"/>
      <c r="N41" s="7"/>
      <c r="O41" s="7"/>
      <c r="P41" s="10"/>
      <c r="Q41" s="10"/>
      <c r="R41" s="10"/>
      <c r="S41" s="10"/>
      <c r="T41" s="10"/>
      <c r="U41" s="10"/>
      <c r="V41" s="10"/>
      <c r="W41" s="3" t="str">
        <f t="shared" si="182"/>
        <v/>
      </c>
      <c r="X41" s="3" t="str">
        <f t="shared" si="183"/>
        <v/>
      </c>
      <c r="Y41" s="3" t="str">
        <f t="shared" si="184"/>
        <v/>
      </c>
      <c r="Z41" s="3" t="str">
        <f t="shared" si="185"/>
        <v/>
      </c>
      <c r="AA41" s="3" t="str">
        <f t="shared" si="186"/>
        <v/>
      </c>
      <c r="AB41" s="3" t="str">
        <f t="shared" si="187"/>
        <v/>
      </c>
      <c r="AC41" s="3" t="str">
        <f t="shared" si="188"/>
        <v/>
      </c>
      <c r="AD41" s="3" t="str">
        <f t="shared" si="189"/>
        <v/>
      </c>
      <c r="AE41" s="3" t="str">
        <f t="shared" si="190"/>
        <v/>
      </c>
      <c r="AF41" s="24" t="str">
        <f t="shared" si="191"/>
        <v/>
      </c>
      <c r="AG41" s="24" t="str">
        <f t="shared" si="192"/>
        <v/>
      </c>
      <c r="AH41" s="24" t="str">
        <f t="shared" si="193"/>
        <v/>
      </c>
      <c r="AI41" s="24" t="str">
        <f t="shared" si="194"/>
        <v/>
      </c>
      <c r="AJ41" s="24" t="str">
        <f t="shared" si="195"/>
        <v/>
      </c>
      <c r="AK41" s="24" t="str">
        <f t="shared" si="196"/>
        <v/>
      </c>
      <c r="AL41" s="24" t="str">
        <f t="shared" si="197"/>
        <v/>
      </c>
      <c r="AM41" s="24" t="str">
        <f t="shared" si="198"/>
        <v/>
      </c>
      <c r="AN41" s="24" t="str">
        <f t="shared" si="199"/>
        <v/>
      </c>
      <c r="AO41" s="24" t="str">
        <f t="shared" si="200"/>
        <v/>
      </c>
      <c r="AP41" s="24" t="str">
        <f t="shared" si="201"/>
        <v/>
      </c>
      <c r="AQ41" s="24" t="str">
        <f t="shared" si="202"/>
        <v/>
      </c>
      <c r="AR41" s="24" t="str">
        <f t="shared" si="203"/>
        <v/>
      </c>
      <c r="AS41" s="24" t="str">
        <f t="shared" si="204"/>
        <v/>
      </c>
      <c r="AT41" s="24" t="str">
        <f t="shared" si="205"/>
        <v/>
      </c>
      <c r="AU41" s="24" t="str">
        <f t="shared" si="206"/>
        <v/>
      </c>
      <c r="AV41" s="24" t="str">
        <f t="shared" si="207"/>
        <v/>
      </c>
      <c r="AW41" s="24" t="str">
        <f t="shared" si="208"/>
        <v/>
      </c>
      <c r="AX41" s="24" t="str">
        <f t="shared" si="209"/>
        <v/>
      </c>
      <c r="AY41" s="24" t="str">
        <f t="shared" si="210"/>
        <v/>
      </c>
      <c r="AZ41" s="24" t="str">
        <f t="shared" si="211"/>
        <v/>
      </c>
      <c r="BA41" s="24" t="str">
        <f t="shared" si="212"/>
        <v/>
      </c>
      <c r="BB41" s="24" t="str">
        <f t="shared" si="213"/>
        <v/>
      </c>
      <c r="BC41" s="26" t="str">
        <f t="shared" si="214"/>
        <v/>
      </c>
      <c r="BD41" s="26" t="str">
        <f t="shared" si="215"/>
        <v/>
      </c>
      <c r="BE41" s="26" t="str">
        <f t="shared" si="216"/>
        <v/>
      </c>
      <c r="BF41" s="26" t="str">
        <f t="shared" si="217"/>
        <v/>
      </c>
      <c r="BG41" s="26" t="str">
        <f t="shared" si="218"/>
        <v/>
      </c>
      <c r="BH41" s="26" t="str">
        <f t="shared" si="219"/>
        <v/>
      </c>
      <c r="BI41" s="26" t="str">
        <f t="shared" si="220"/>
        <v/>
      </c>
      <c r="BJ41" s="26" t="str">
        <f t="shared" si="221"/>
        <v/>
      </c>
      <c r="BK41" s="26" t="str">
        <f t="shared" si="222"/>
        <v/>
      </c>
      <c r="BL41" s="26" t="str">
        <f t="shared" si="223"/>
        <v/>
      </c>
      <c r="BM41" s="26" t="str">
        <f t="shared" si="224"/>
        <v/>
      </c>
      <c r="BN41" s="26" t="str">
        <f t="shared" si="225"/>
        <v/>
      </c>
      <c r="BO41" s="26" t="str">
        <f t="shared" si="226"/>
        <v/>
      </c>
      <c r="BP41" s="26" t="str">
        <f t="shared" si="227"/>
        <v/>
      </c>
      <c r="BQ41" s="26" t="str">
        <f t="shared" si="228"/>
        <v/>
      </c>
      <c r="BR41" s="26" t="str">
        <f t="shared" si="229"/>
        <v/>
      </c>
      <c r="BS41" s="24" t="str">
        <f t="shared" si="230"/>
        <v/>
      </c>
      <c r="BT41" s="24" t="str">
        <f t="shared" si="231"/>
        <v/>
      </c>
      <c r="BU41" s="24" t="str">
        <f t="shared" si="232"/>
        <v/>
      </c>
      <c r="BV41" s="24" t="str">
        <f t="shared" si="233"/>
        <v/>
      </c>
      <c r="BW41" s="24" t="str">
        <f t="shared" si="234"/>
        <v/>
      </c>
      <c r="BX41" s="24" t="str">
        <f t="shared" si="235"/>
        <v/>
      </c>
      <c r="BY41" s="24" t="str">
        <f t="shared" si="236"/>
        <v/>
      </c>
      <c r="BZ41" s="24" t="str">
        <f t="shared" si="237"/>
        <v/>
      </c>
      <c r="CA41" s="24" t="str">
        <f t="shared" si="238"/>
        <v/>
      </c>
      <c r="CB41" s="24" t="str">
        <f t="shared" si="174"/>
        <v/>
      </c>
      <c r="CC41" s="24" t="str">
        <f t="shared" si="175"/>
        <v/>
      </c>
      <c r="CD41" s="24" t="str">
        <f t="shared" si="176"/>
        <v/>
      </c>
      <c r="CE41" s="24" t="str">
        <f t="shared" si="177"/>
        <v/>
      </c>
      <c r="CF41" s="24" t="str">
        <f t="shared" si="178"/>
        <v/>
      </c>
      <c r="CG41" s="24" t="str">
        <f>IF(OR(BA41="",AK41=""),"",BA41*(IF(OR(AK41="A",AK41="a"),4,(IF(OR(#REF!="B",AK41="b"),3,(IF(OR(AK41="C",AK41="c"),2,(IF(OR(AK41="D",AK41="d"),1.5,(IF(OR(AK41="E",AK41="e"),1,(IF(OR(AK41="F",AK41="f"),0)))))))))))))</f>
        <v/>
      </c>
      <c r="CH41" s="24" t="str">
        <f t="shared" si="179"/>
        <v/>
      </c>
      <c r="CI41" s="24" t="str">
        <f t="shared" si="239"/>
        <v/>
      </c>
      <c r="CJ41" s="26" t="str">
        <f t="shared" si="240"/>
        <v/>
      </c>
      <c r="CK41" s="26" t="str">
        <f t="shared" si="241"/>
        <v/>
      </c>
      <c r="CL41" s="26" t="str">
        <f t="shared" si="84"/>
        <v/>
      </c>
      <c r="CM41" s="24" t="str">
        <f t="shared" si="85"/>
        <v/>
      </c>
      <c r="CN41" s="26" t="str">
        <f t="shared" si="242"/>
        <v/>
      </c>
      <c r="CO41" s="24" t="str">
        <f t="shared" si="243"/>
        <v/>
      </c>
      <c r="CP41" s="26" t="str">
        <f t="shared" si="244"/>
        <v/>
      </c>
      <c r="CQ41" s="26" t="str">
        <f t="shared" si="245"/>
        <v/>
      </c>
      <c r="CR41" s="26" t="str">
        <f t="shared" si="86"/>
        <v/>
      </c>
      <c r="CS41" s="24" t="str">
        <f t="shared" si="87"/>
        <v/>
      </c>
      <c r="CT41" s="27" t="str">
        <f t="shared" si="246"/>
        <v/>
      </c>
      <c r="CU41" s="24" t="str">
        <f t="shared" si="247"/>
        <v/>
      </c>
      <c r="CV41" s="27" t="str">
        <f t="shared" si="248"/>
        <v/>
      </c>
      <c r="CW41" s="26" t="str">
        <f t="shared" si="249"/>
        <v/>
      </c>
      <c r="CX41" s="26" t="str">
        <f t="shared" si="88"/>
        <v/>
      </c>
      <c r="CY41" s="27" t="str">
        <f t="shared" si="89"/>
        <v/>
      </c>
      <c r="CZ41" s="26" t="str">
        <f t="shared" si="250"/>
        <v/>
      </c>
      <c r="DA41" s="24" t="str">
        <f t="shared" si="181"/>
        <v/>
      </c>
      <c r="DB41" s="24" t="str">
        <f t="shared" si="251"/>
        <v/>
      </c>
      <c r="DC41" s="24" t="str">
        <f t="shared" si="77"/>
        <v/>
      </c>
      <c r="DD41" s="24" t="str">
        <f t="shared" si="252"/>
        <v/>
      </c>
      <c r="DE41" s="1">
        <v>0</v>
      </c>
      <c r="DF41" s="1">
        <v>0</v>
      </c>
      <c r="DG41" s="1">
        <v>0</v>
      </c>
      <c r="DH41" s="24" t="str">
        <f t="shared" si="253"/>
        <v/>
      </c>
      <c r="DI41" s="25" t="str">
        <f t="shared" si="254"/>
        <v/>
      </c>
      <c r="DJ41" t="str">
        <f t="shared" si="255"/>
        <v/>
      </c>
      <c r="DK41" s="9"/>
      <c r="DL41" s="9"/>
      <c r="DM41" s="9"/>
      <c r="DN41" s="9"/>
      <c r="DO41" s="9"/>
      <c r="DP41" s="9"/>
      <c r="DQ41" s="136" t="b">
        <f t="shared" si="256"/>
        <v>1</v>
      </c>
    </row>
    <row r="42" spans="1:121" ht="27" customHeight="1" x14ac:dyDescent="0.95">
      <c r="A42" s="24" t="str">
        <f t="shared" si="90"/>
        <v/>
      </c>
      <c r="B42" s="9"/>
      <c r="C42" s="14"/>
      <c r="D42" s="9"/>
      <c r="E42" s="9"/>
      <c r="F42" s="1"/>
      <c r="G42" s="7"/>
      <c r="H42" s="7"/>
      <c r="I42" s="7"/>
      <c r="J42" s="7"/>
      <c r="K42" s="7"/>
      <c r="L42" s="7"/>
      <c r="M42" s="7"/>
      <c r="N42" s="7"/>
      <c r="O42" s="7"/>
      <c r="P42" s="10"/>
      <c r="Q42" s="10"/>
      <c r="R42" s="10"/>
      <c r="S42" s="10"/>
      <c r="T42" s="10"/>
      <c r="U42" s="10"/>
      <c r="V42" s="10"/>
      <c r="W42" s="3" t="str">
        <f t="shared" si="182"/>
        <v/>
      </c>
      <c r="X42" s="3" t="str">
        <f t="shared" si="183"/>
        <v/>
      </c>
      <c r="Y42" s="3" t="str">
        <f t="shared" si="184"/>
        <v/>
      </c>
      <c r="Z42" s="3" t="str">
        <f t="shared" si="185"/>
        <v/>
      </c>
      <c r="AA42" s="3" t="str">
        <f t="shared" si="186"/>
        <v/>
      </c>
      <c r="AB42" s="3" t="str">
        <f t="shared" si="187"/>
        <v/>
      </c>
      <c r="AC42" s="3" t="str">
        <f t="shared" si="188"/>
        <v/>
      </c>
      <c r="AD42" s="3" t="str">
        <f t="shared" si="189"/>
        <v/>
      </c>
      <c r="AE42" s="3" t="str">
        <f t="shared" si="190"/>
        <v/>
      </c>
      <c r="AF42" s="24" t="str">
        <f t="shared" si="191"/>
        <v/>
      </c>
      <c r="AG42" s="24" t="str">
        <f t="shared" si="192"/>
        <v/>
      </c>
      <c r="AH42" s="24" t="str">
        <f t="shared" si="193"/>
        <v/>
      </c>
      <c r="AI42" s="24" t="str">
        <f t="shared" si="194"/>
        <v/>
      </c>
      <c r="AJ42" s="24" t="str">
        <f t="shared" si="195"/>
        <v/>
      </c>
      <c r="AK42" s="24" t="str">
        <f t="shared" si="196"/>
        <v/>
      </c>
      <c r="AL42" s="24" t="str">
        <f t="shared" si="197"/>
        <v/>
      </c>
      <c r="AM42" s="24" t="str">
        <f t="shared" si="198"/>
        <v/>
      </c>
      <c r="AN42" s="24" t="str">
        <f t="shared" si="199"/>
        <v/>
      </c>
      <c r="AO42" s="24" t="str">
        <f t="shared" si="200"/>
        <v/>
      </c>
      <c r="AP42" s="24" t="str">
        <f t="shared" si="201"/>
        <v/>
      </c>
      <c r="AQ42" s="24" t="str">
        <f t="shared" si="202"/>
        <v/>
      </c>
      <c r="AR42" s="24" t="str">
        <f t="shared" si="203"/>
        <v/>
      </c>
      <c r="AS42" s="24" t="str">
        <f t="shared" si="204"/>
        <v/>
      </c>
      <c r="AT42" s="24" t="str">
        <f t="shared" si="205"/>
        <v/>
      </c>
      <c r="AU42" s="24" t="str">
        <f t="shared" si="206"/>
        <v/>
      </c>
      <c r="AV42" s="24" t="str">
        <f t="shared" si="207"/>
        <v/>
      </c>
      <c r="AW42" s="24" t="str">
        <f t="shared" si="208"/>
        <v/>
      </c>
      <c r="AX42" s="24" t="str">
        <f t="shared" si="209"/>
        <v/>
      </c>
      <c r="AY42" s="24" t="str">
        <f t="shared" si="210"/>
        <v/>
      </c>
      <c r="AZ42" s="24" t="str">
        <f t="shared" si="211"/>
        <v/>
      </c>
      <c r="BA42" s="24" t="str">
        <f t="shared" si="212"/>
        <v/>
      </c>
      <c r="BB42" s="24" t="str">
        <f t="shared" si="213"/>
        <v/>
      </c>
      <c r="BC42" s="26" t="str">
        <f t="shared" si="214"/>
        <v/>
      </c>
      <c r="BD42" s="26" t="str">
        <f t="shared" si="215"/>
        <v/>
      </c>
      <c r="BE42" s="26" t="str">
        <f t="shared" si="216"/>
        <v/>
      </c>
      <c r="BF42" s="26" t="str">
        <f t="shared" si="217"/>
        <v/>
      </c>
      <c r="BG42" s="26" t="str">
        <f t="shared" si="218"/>
        <v/>
      </c>
      <c r="BH42" s="26" t="str">
        <f t="shared" si="219"/>
        <v/>
      </c>
      <c r="BI42" s="26" t="str">
        <f t="shared" si="220"/>
        <v/>
      </c>
      <c r="BJ42" s="26" t="str">
        <f t="shared" si="221"/>
        <v/>
      </c>
      <c r="BK42" s="26" t="str">
        <f t="shared" si="222"/>
        <v/>
      </c>
      <c r="BL42" s="26" t="str">
        <f t="shared" si="223"/>
        <v/>
      </c>
      <c r="BM42" s="26" t="str">
        <f t="shared" si="224"/>
        <v/>
      </c>
      <c r="BN42" s="26" t="str">
        <f t="shared" si="225"/>
        <v/>
      </c>
      <c r="BO42" s="26" t="str">
        <f t="shared" si="226"/>
        <v/>
      </c>
      <c r="BP42" s="26" t="str">
        <f t="shared" si="227"/>
        <v/>
      </c>
      <c r="BQ42" s="26" t="str">
        <f t="shared" si="228"/>
        <v/>
      </c>
      <c r="BR42" s="26" t="str">
        <f t="shared" si="229"/>
        <v/>
      </c>
      <c r="BS42" s="24" t="str">
        <f t="shared" si="230"/>
        <v/>
      </c>
      <c r="BT42" s="24" t="str">
        <f t="shared" si="231"/>
        <v/>
      </c>
      <c r="BU42" s="24" t="str">
        <f t="shared" si="232"/>
        <v/>
      </c>
      <c r="BV42" s="24" t="str">
        <f t="shared" si="233"/>
        <v/>
      </c>
      <c r="BW42" s="24" t="str">
        <f t="shared" si="234"/>
        <v/>
      </c>
      <c r="BX42" s="24" t="str">
        <f t="shared" si="235"/>
        <v/>
      </c>
      <c r="BY42" s="24" t="str">
        <f t="shared" si="236"/>
        <v/>
      </c>
      <c r="BZ42" s="24" t="str">
        <f t="shared" si="237"/>
        <v/>
      </c>
      <c r="CA42" s="24" t="str">
        <f t="shared" si="238"/>
        <v/>
      </c>
      <c r="CB42" s="24" t="str">
        <f t="shared" si="174"/>
        <v/>
      </c>
      <c r="CC42" s="24" t="str">
        <f t="shared" si="175"/>
        <v/>
      </c>
      <c r="CD42" s="24" t="str">
        <f t="shared" si="176"/>
        <v/>
      </c>
      <c r="CE42" s="24" t="str">
        <f t="shared" si="177"/>
        <v/>
      </c>
      <c r="CF42" s="24" t="str">
        <f t="shared" si="178"/>
        <v/>
      </c>
      <c r="CG42" s="24" t="str">
        <f>IF(OR(BA42="",AK42=""),"",BA42*(IF(OR(AK42="A",AK42="a"),4,(IF(OR(#REF!="B",AK42="b"),3,(IF(OR(AK42="C",AK42="c"),2,(IF(OR(AK42="D",AK42="d"),1.5,(IF(OR(AK42="E",AK42="e"),1,(IF(OR(AK42="F",AK42="f"),0)))))))))))))</f>
        <v/>
      </c>
      <c r="CH42" s="24" t="str">
        <f t="shared" si="179"/>
        <v/>
      </c>
      <c r="CI42" s="24" t="str">
        <f t="shared" si="239"/>
        <v/>
      </c>
      <c r="CJ42" s="26" t="str">
        <f t="shared" si="240"/>
        <v/>
      </c>
      <c r="CK42" s="26" t="str">
        <f t="shared" si="241"/>
        <v/>
      </c>
      <c r="CL42" s="26" t="str">
        <f t="shared" si="84"/>
        <v/>
      </c>
      <c r="CM42" s="24" t="str">
        <f t="shared" si="85"/>
        <v/>
      </c>
      <c r="CN42" s="26" t="str">
        <f t="shared" si="242"/>
        <v/>
      </c>
      <c r="CO42" s="24" t="str">
        <f t="shared" si="243"/>
        <v/>
      </c>
      <c r="CP42" s="26" t="str">
        <f t="shared" si="244"/>
        <v/>
      </c>
      <c r="CQ42" s="26" t="str">
        <f t="shared" si="245"/>
        <v/>
      </c>
      <c r="CR42" s="26" t="str">
        <f t="shared" si="86"/>
        <v/>
      </c>
      <c r="CS42" s="24" t="str">
        <f t="shared" si="87"/>
        <v/>
      </c>
      <c r="CT42" s="27" t="str">
        <f t="shared" si="246"/>
        <v/>
      </c>
      <c r="CU42" s="24" t="str">
        <f t="shared" si="247"/>
        <v/>
      </c>
      <c r="CV42" s="27" t="str">
        <f t="shared" si="248"/>
        <v/>
      </c>
      <c r="CW42" s="26" t="str">
        <f t="shared" si="249"/>
        <v/>
      </c>
      <c r="CX42" s="26" t="str">
        <f t="shared" si="88"/>
        <v/>
      </c>
      <c r="CY42" s="27" t="str">
        <f t="shared" si="89"/>
        <v/>
      </c>
      <c r="CZ42" s="26" t="str">
        <f t="shared" si="250"/>
        <v/>
      </c>
      <c r="DA42" s="24" t="str">
        <f t="shared" si="181"/>
        <v/>
      </c>
      <c r="DB42" s="24" t="str">
        <f t="shared" si="251"/>
        <v/>
      </c>
      <c r="DC42" s="24" t="str">
        <f t="shared" si="77"/>
        <v/>
      </c>
      <c r="DD42" s="24" t="str">
        <f t="shared" si="252"/>
        <v/>
      </c>
      <c r="DE42" s="1">
        <v>0</v>
      </c>
      <c r="DF42" s="1">
        <v>0</v>
      </c>
      <c r="DG42" s="1">
        <v>0</v>
      </c>
      <c r="DH42" s="24" t="str">
        <f t="shared" si="253"/>
        <v/>
      </c>
      <c r="DI42" s="25" t="str">
        <f t="shared" si="254"/>
        <v/>
      </c>
      <c r="DJ42" t="str">
        <f t="shared" si="255"/>
        <v/>
      </c>
      <c r="DK42" s="9"/>
      <c r="DL42" s="9"/>
      <c r="DM42" s="9"/>
      <c r="DN42" s="9"/>
      <c r="DO42" s="9"/>
      <c r="DP42" s="9"/>
      <c r="DQ42" s="136" t="b">
        <f t="shared" si="256"/>
        <v>1</v>
      </c>
    </row>
    <row r="43" spans="1:121" ht="27" customHeight="1" x14ac:dyDescent="0.95">
      <c r="A43" s="24" t="str">
        <f t="shared" si="90"/>
        <v/>
      </c>
      <c r="B43" s="9"/>
      <c r="C43" s="14"/>
      <c r="D43" s="9"/>
      <c r="E43" s="9"/>
      <c r="F43" s="1"/>
      <c r="G43" s="7"/>
      <c r="H43" s="7"/>
      <c r="I43" s="7"/>
      <c r="J43" s="7"/>
      <c r="K43" s="7"/>
      <c r="L43" s="7"/>
      <c r="M43" s="7"/>
      <c r="N43" s="7"/>
      <c r="O43" s="7"/>
      <c r="P43" s="10"/>
      <c r="Q43" s="10"/>
      <c r="R43" s="10"/>
      <c r="S43" s="10"/>
      <c r="T43" s="10"/>
      <c r="U43" s="10"/>
      <c r="V43" s="10"/>
      <c r="W43" s="3" t="str">
        <f t="shared" si="182"/>
        <v/>
      </c>
      <c r="X43" s="3" t="str">
        <f t="shared" si="183"/>
        <v/>
      </c>
      <c r="Y43" s="3" t="str">
        <f t="shared" si="184"/>
        <v/>
      </c>
      <c r="Z43" s="3" t="str">
        <f t="shared" si="185"/>
        <v/>
      </c>
      <c r="AA43" s="3" t="str">
        <f t="shared" si="186"/>
        <v/>
      </c>
      <c r="AB43" s="3" t="str">
        <f t="shared" si="187"/>
        <v/>
      </c>
      <c r="AC43" s="3" t="str">
        <f t="shared" si="188"/>
        <v/>
      </c>
      <c r="AD43" s="3" t="str">
        <f t="shared" si="189"/>
        <v/>
      </c>
      <c r="AE43" s="3" t="str">
        <f t="shared" si="190"/>
        <v/>
      </c>
      <c r="AF43" s="24" t="str">
        <f t="shared" si="191"/>
        <v/>
      </c>
      <c r="AG43" s="24" t="str">
        <f t="shared" si="192"/>
        <v/>
      </c>
      <c r="AH43" s="24" t="str">
        <f t="shared" si="193"/>
        <v/>
      </c>
      <c r="AI43" s="24" t="str">
        <f t="shared" si="194"/>
        <v/>
      </c>
      <c r="AJ43" s="24" t="str">
        <f t="shared" si="195"/>
        <v/>
      </c>
      <c r="AK43" s="24" t="str">
        <f t="shared" si="196"/>
        <v/>
      </c>
      <c r="AL43" s="24" t="str">
        <f t="shared" si="197"/>
        <v/>
      </c>
      <c r="AM43" s="24" t="str">
        <f t="shared" si="198"/>
        <v/>
      </c>
      <c r="AN43" s="24" t="str">
        <f t="shared" si="199"/>
        <v/>
      </c>
      <c r="AO43" s="24" t="str">
        <f t="shared" si="200"/>
        <v/>
      </c>
      <c r="AP43" s="24" t="str">
        <f t="shared" si="201"/>
        <v/>
      </c>
      <c r="AQ43" s="24" t="str">
        <f t="shared" si="202"/>
        <v/>
      </c>
      <c r="AR43" s="24" t="str">
        <f t="shared" si="203"/>
        <v/>
      </c>
      <c r="AS43" s="24" t="str">
        <f t="shared" si="204"/>
        <v/>
      </c>
      <c r="AT43" s="24" t="str">
        <f t="shared" si="205"/>
        <v/>
      </c>
      <c r="AU43" s="24" t="str">
        <f t="shared" si="206"/>
        <v/>
      </c>
      <c r="AV43" s="24" t="str">
        <f t="shared" si="207"/>
        <v/>
      </c>
      <c r="AW43" s="24" t="str">
        <f t="shared" si="208"/>
        <v/>
      </c>
      <c r="AX43" s="24" t="str">
        <f t="shared" si="209"/>
        <v/>
      </c>
      <c r="AY43" s="24" t="str">
        <f t="shared" si="210"/>
        <v/>
      </c>
      <c r="AZ43" s="24" t="str">
        <f t="shared" si="211"/>
        <v/>
      </c>
      <c r="BA43" s="24" t="str">
        <f t="shared" si="212"/>
        <v/>
      </c>
      <c r="BB43" s="24" t="str">
        <f t="shared" si="213"/>
        <v/>
      </c>
      <c r="BC43" s="26" t="str">
        <f t="shared" si="214"/>
        <v/>
      </c>
      <c r="BD43" s="26" t="str">
        <f t="shared" si="215"/>
        <v/>
      </c>
      <c r="BE43" s="26" t="str">
        <f t="shared" si="216"/>
        <v/>
      </c>
      <c r="BF43" s="26" t="str">
        <f t="shared" si="217"/>
        <v/>
      </c>
      <c r="BG43" s="26" t="str">
        <f t="shared" si="218"/>
        <v/>
      </c>
      <c r="BH43" s="26" t="str">
        <f t="shared" si="219"/>
        <v/>
      </c>
      <c r="BI43" s="26" t="str">
        <f t="shared" si="220"/>
        <v/>
      </c>
      <c r="BJ43" s="26" t="str">
        <f t="shared" si="221"/>
        <v/>
      </c>
      <c r="BK43" s="26" t="str">
        <f t="shared" si="222"/>
        <v/>
      </c>
      <c r="BL43" s="26" t="str">
        <f t="shared" si="223"/>
        <v/>
      </c>
      <c r="BM43" s="26" t="str">
        <f t="shared" si="224"/>
        <v/>
      </c>
      <c r="BN43" s="26" t="str">
        <f t="shared" si="225"/>
        <v/>
      </c>
      <c r="BO43" s="26" t="str">
        <f t="shared" si="226"/>
        <v/>
      </c>
      <c r="BP43" s="26" t="str">
        <f t="shared" si="227"/>
        <v/>
      </c>
      <c r="BQ43" s="26" t="str">
        <f t="shared" si="228"/>
        <v/>
      </c>
      <c r="BR43" s="26" t="str">
        <f t="shared" si="229"/>
        <v/>
      </c>
      <c r="BS43" s="24" t="str">
        <f t="shared" si="230"/>
        <v/>
      </c>
      <c r="BT43" s="24" t="str">
        <f t="shared" si="231"/>
        <v/>
      </c>
      <c r="BU43" s="24" t="str">
        <f t="shared" si="232"/>
        <v/>
      </c>
      <c r="BV43" s="24" t="str">
        <f t="shared" si="233"/>
        <v/>
      </c>
      <c r="BW43" s="24" t="str">
        <f t="shared" si="234"/>
        <v/>
      </c>
      <c r="BX43" s="24" t="str">
        <f t="shared" si="235"/>
        <v/>
      </c>
      <c r="BY43" s="24" t="str">
        <f t="shared" si="236"/>
        <v/>
      </c>
      <c r="BZ43" s="24" t="str">
        <f t="shared" si="237"/>
        <v/>
      </c>
      <c r="CA43" s="24" t="str">
        <f t="shared" si="238"/>
        <v/>
      </c>
      <c r="CB43" s="24" t="str">
        <f t="shared" si="174"/>
        <v/>
      </c>
      <c r="CC43" s="24" t="str">
        <f t="shared" si="175"/>
        <v/>
      </c>
      <c r="CD43" s="24" t="str">
        <f t="shared" si="176"/>
        <v/>
      </c>
      <c r="CE43" s="24" t="str">
        <f t="shared" si="177"/>
        <v/>
      </c>
      <c r="CF43" s="24" t="str">
        <f t="shared" si="178"/>
        <v/>
      </c>
      <c r="CG43" s="24" t="str">
        <f>IF(OR(BA43="",AK43=""),"",BA43*(IF(OR(AK43="A",AK43="a"),4,(IF(OR(#REF!="B",AK43="b"),3,(IF(OR(AK43="C",AK43="c"),2,(IF(OR(AK43="D",AK43="d"),1.5,(IF(OR(AK43="E",AK43="e"),1,(IF(OR(AK43="F",AK43="f"),0)))))))))))))</f>
        <v/>
      </c>
      <c r="CH43" s="24" t="str">
        <f t="shared" si="179"/>
        <v/>
      </c>
      <c r="CI43" s="24" t="str">
        <f t="shared" si="239"/>
        <v/>
      </c>
      <c r="CJ43" s="26" t="str">
        <f t="shared" si="240"/>
        <v/>
      </c>
      <c r="CK43" s="26" t="str">
        <f t="shared" si="241"/>
        <v/>
      </c>
      <c r="CL43" s="26" t="str">
        <f t="shared" si="84"/>
        <v/>
      </c>
      <c r="CM43" s="24" t="str">
        <f t="shared" si="85"/>
        <v/>
      </c>
      <c r="CN43" s="26" t="str">
        <f t="shared" si="242"/>
        <v/>
      </c>
      <c r="CO43" s="24" t="str">
        <f t="shared" si="243"/>
        <v/>
      </c>
      <c r="CP43" s="26" t="str">
        <f t="shared" si="244"/>
        <v/>
      </c>
      <c r="CQ43" s="26" t="str">
        <f t="shared" si="245"/>
        <v/>
      </c>
      <c r="CR43" s="26" t="str">
        <f t="shared" si="86"/>
        <v/>
      </c>
      <c r="CS43" s="24" t="str">
        <f t="shared" si="87"/>
        <v/>
      </c>
      <c r="CT43" s="27" t="str">
        <f t="shared" si="246"/>
        <v/>
      </c>
      <c r="CU43" s="24" t="str">
        <f t="shared" si="247"/>
        <v/>
      </c>
      <c r="CV43" s="27" t="str">
        <f t="shared" si="248"/>
        <v/>
      </c>
      <c r="CW43" s="26" t="str">
        <f t="shared" si="249"/>
        <v/>
      </c>
      <c r="CX43" s="26" t="str">
        <f t="shared" si="88"/>
        <v/>
      </c>
      <c r="CY43" s="27" t="str">
        <f t="shared" si="89"/>
        <v/>
      </c>
      <c r="CZ43" s="26" t="str">
        <f t="shared" si="250"/>
        <v/>
      </c>
      <c r="DA43" s="24" t="str">
        <f t="shared" si="181"/>
        <v/>
      </c>
      <c r="DB43" s="24" t="str">
        <f t="shared" si="251"/>
        <v/>
      </c>
      <c r="DC43" s="24" t="str">
        <f t="shared" si="77"/>
        <v/>
      </c>
      <c r="DD43" s="24" t="str">
        <f t="shared" si="252"/>
        <v/>
      </c>
      <c r="DE43" s="1">
        <v>0</v>
      </c>
      <c r="DF43" s="1">
        <v>0</v>
      </c>
      <c r="DG43" s="1">
        <v>0</v>
      </c>
      <c r="DH43" s="24" t="str">
        <f t="shared" si="253"/>
        <v/>
      </c>
      <c r="DI43" s="25" t="str">
        <f t="shared" si="254"/>
        <v/>
      </c>
      <c r="DJ43" t="str">
        <f t="shared" si="255"/>
        <v/>
      </c>
      <c r="DK43" s="9"/>
      <c r="DL43" s="9"/>
      <c r="DM43" s="9"/>
      <c r="DN43" s="9"/>
      <c r="DO43" s="9"/>
      <c r="DP43" s="9"/>
      <c r="DQ43" s="136" t="b">
        <f t="shared" si="256"/>
        <v>1</v>
      </c>
    </row>
    <row r="44" spans="1:121" ht="27" customHeight="1" x14ac:dyDescent="0.95">
      <c r="A44" s="24" t="str">
        <f t="shared" si="90"/>
        <v/>
      </c>
      <c r="B44" s="9"/>
      <c r="C44" s="14"/>
      <c r="D44" s="9"/>
      <c r="E44" s="9"/>
      <c r="F44" s="1"/>
      <c r="G44" s="1"/>
      <c r="H44" s="1"/>
      <c r="I44" s="1"/>
      <c r="J44" s="1"/>
      <c r="K44" s="1"/>
      <c r="L44" s="1"/>
      <c r="M44" s="1"/>
      <c r="N44" s="1"/>
      <c r="O44" s="1"/>
      <c r="P44" s="10"/>
      <c r="Q44" s="10"/>
      <c r="R44" s="10"/>
      <c r="S44" s="10"/>
      <c r="T44" s="10"/>
      <c r="U44" s="10"/>
      <c r="V44" s="10"/>
      <c r="W44" s="3" t="str">
        <f t="shared" si="182"/>
        <v/>
      </c>
      <c r="X44" s="3" t="str">
        <f t="shared" si="183"/>
        <v/>
      </c>
      <c r="Y44" s="3" t="str">
        <f t="shared" si="184"/>
        <v/>
      </c>
      <c r="Z44" s="3" t="str">
        <f t="shared" si="185"/>
        <v/>
      </c>
      <c r="AA44" s="3" t="str">
        <f t="shared" si="186"/>
        <v/>
      </c>
      <c r="AB44" s="3" t="str">
        <f t="shared" si="187"/>
        <v/>
      </c>
      <c r="AC44" s="3" t="str">
        <f t="shared" si="188"/>
        <v/>
      </c>
      <c r="AD44" s="3" t="str">
        <f t="shared" si="189"/>
        <v/>
      </c>
      <c r="AE44" s="3" t="str">
        <f t="shared" si="190"/>
        <v/>
      </c>
      <c r="AF44" s="24" t="str">
        <f t="shared" si="191"/>
        <v/>
      </c>
      <c r="AG44" s="24" t="str">
        <f t="shared" si="192"/>
        <v/>
      </c>
      <c r="AH44" s="24" t="str">
        <f t="shared" si="193"/>
        <v/>
      </c>
      <c r="AI44" s="24" t="str">
        <f t="shared" si="194"/>
        <v/>
      </c>
      <c r="AJ44" s="24" t="str">
        <f t="shared" si="195"/>
        <v/>
      </c>
      <c r="AK44" s="24" t="str">
        <f t="shared" si="196"/>
        <v/>
      </c>
      <c r="AL44" s="24" t="str">
        <f t="shared" si="197"/>
        <v/>
      </c>
      <c r="AM44" s="24" t="str">
        <f t="shared" si="198"/>
        <v/>
      </c>
      <c r="AN44" s="24" t="str">
        <f t="shared" si="199"/>
        <v/>
      </c>
      <c r="AO44" s="24" t="str">
        <f t="shared" si="200"/>
        <v/>
      </c>
      <c r="AP44" s="24" t="str">
        <f t="shared" si="201"/>
        <v/>
      </c>
      <c r="AQ44" s="24" t="str">
        <f t="shared" si="202"/>
        <v/>
      </c>
      <c r="AR44" s="24" t="str">
        <f t="shared" si="203"/>
        <v/>
      </c>
      <c r="AS44" s="24" t="str">
        <f t="shared" si="204"/>
        <v/>
      </c>
      <c r="AT44" s="24" t="str">
        <f t="shared" si="205"/>
        <v/>
      </c>
      <c r="AU44" s="24" t="str">
        <f t="shared" si="206"/>
        <v/>
      </c>
      <c r="AV44" s="24" t="str">
        <f t="shared" si="207"/>
        <v/>
      </c>
      <c r="AW44" s="24" t="str">
        <f t="shared" si="208"/>
        <v/>
      </c>
      <c r="AX44" s="24" t="str">
        <f t="shared" si="209"/>
        <v/>
      </c>
      <c r="AY44" s="24" t="str">
        <f t="shared" si="210"/>
        <v/>
      </c>
      <c r="AZ44" s="24" t="str">
        <f t="shared" si="211"/>
        <v/>
      </c>
      <c r="BA44" s="24" t="str">
        <f t="shared" si="212"/>
        <v/>
      </c>
      <c r="BB44" s="24" t="str">
        <f t="shared" si="213"/>
        <v/>
      </c>
      <c r="BC44" s="24" t="str">
        <f t="shared" si="214"/>
        <v/>
      </c>
      <c r="BD44" s="24" t="str">
        <f t="shared" si="215"/>
        <v/>
      </c>
      <c r="BE44" s="24" t="str">
        <f t="shared" si="216"/>
        <v/>
      </c>
      <c r="BF44" s="24" t="str">
        <f t="shared" si="217"/>
        <v/>
      </c>
      <c r="BG44" s="24" t="str">
        <f t="shared" si="218"/>
        <v/>
      </c>
      <c r="BH44" s="24" t="str">
        <f t="shared" si="219"/>
        <v/>
      </c>
      <c r="BI44" s="24" t="str">
        <f t="shared" si="220"/>
        <v/>
      </c>
      <c r="BJ44" s="24" t="str">
        <f t="shared" si="221"/>
        <v/>
      </c>
      <c r="BK44" s="24" t="str">
        <f t="shared" si="222"/>
        <v/>
      </c>
      <c r="BL44" s="26" t="str">
        <f t="shared" si="223"/>
        <v/>
      </c>
      <c r="BM44" s="26" t="str">
        <f t="shared" si="224"/>
        <v/>
      </c>
      <c r="BN44" s="26" t="str">
        <f t="shared" si="225"/>
        <v/>
      </c>
      <c r="BO44" s="26" t="str">
        <f t="shared" si="226"/>
        <v/>
      </c>
      <c r="BP44" s="26" t="str">
        <f t="shared" si="227"/>
        <v/>
      </c>
      <c r="BQ44" s="26" t="str">
        <f t="shared" si="228"/>
        <v/>
      </c>
      <c r="BR44" s="26" t="str">
        <f t="shared" si="229"/>
        <v/>
      </c>
      <c r="BS44" s="26" t="str">
        <f t="shared" si="230"/>
        <v/>
      </c>
      <c r="BT44" s="26" t="str">
        <f t="shared" si="231"/>
        <v/>
      </c>
      <c r="BU44" s="26" t="str">
        <f t="shared" si="232"/>
        <v/>
      </c>
      <c r="BV44" s="26" t="str">
        <f t="shared" si="233"/>
        <v/>
      </c>
      <c r="BW44" s="26" t="str">
        <f t="shared" si="234"/>
        <v/>
      </c>
      <c r="BX44" s="26" t="str">
        <f t="shared" si="235"/>
        <v/>
      </c>
      <c r="BY44" s="26" t="str">
        <f t="shared" si="236"/>
        <v/>
      </c>
      <c r="BZ44" s="26" t="str">
        <f t="shared" si="237"/>
        <v/>
      </c>
      <c r="CA44" s="26" t="str">
        <f t="shared" si="238"/>
        <v/>
      </c>
      <c r="CB44" s="24" t="str">
        <f t="shared" si="174"/>
        <v/>
      </c>
      <c r="CC44" s="24" t="str">
        <f t="shared" si="175"/>
        <v/>
      </c>
      <c r="CD44" s="24" t="str">
        <f t="shared" si="176"/>
        <v/>
      </c>
      <c r="CE44" s="24" t="str">
        <f t="shared" ref="CE44:CE75" si="257">IF(OR(AY44="",AI44=""),"",AY44*(IF(OR(AI44="A",AI44="a"),4,(IF(OR(AI551="B",AI44="b"),3,(IF(OR(AI44="C",AI44="c"),2,(IF(OR(AI44="D",AI44="d"),1.5,(IF(OR(AI44="E",AI44="e"),1,(IF(OR(AI44="F",AI44="f"),0)))))))))))))</f>
        <v/>
      </c>
      <c r="CF44" s="24" t="str">
        <f t="shared" si="178"/>
        <v/>
      </c>
      <c r="CG44" s="24" t="str">
        <f>IF(OR(BA44="",AK44=""),"",BA44*(IF(OR(AK44="A",AK44="a"),4,(IF(OR(#REF!="B",AK44="b"),3,(IF(OR(AK44="C",AK44="c"),2,(IF(OR(AK44="D",AK44="d"),1.5,(IF(OR(AK44="E",AK44="e"),1,(IF(OR(AK44="F",AK44="f"),0)))))))))))))</f>
        <v/>
      </c>
      <c r="CH44" s="24" t="str">
        <f t="shared" si="179"/>
        <v/>
      </c>
      <c r="CI44" s="24" t="str">
        <f t="shared" si="239"/>
        <v/>
      </c>
      <c r="CJ44" s="26" t="str">
        <f t="shared" si="240"/>
        <v/>
      </c>
      <c r="CK44" s="26" t="str">
        <f t="shared" si="241"/>
        <v/>
      </c>
      <c r="CL44" s="26" t="str">
        <f t="shared" si="84"/>
        <v/>
      </c>
      <c r="CM44" s="24" t="str">
        <f t="shared" si="85"/>
        <v/>
      </c>
      <c r="CN44" s="26" t="str">
        <f t="shared" si="242"/>
        <v/>
      </c>
      <c r="CO44" s="24" t="str">
        <f t="shared" si="243"/>
        <v/>
      </c>
      <c r="CP44" s="26" t="str">
        <f t="shared" si="244"/>
        <v/>
      </c>
      <c r="CQ44" s="26" t="str">
        <f t="shared" si="245"/>
        <v/>
      </c>
      <c r="CR44" s="26" t="str">
        <f t="shared" si="86"/>
        <v/>
      </c>
      <c r="CS44" s="24" t="str">
        <f t="shared" si="87"/>
        <v/>
      </c>
      <c r="CT44" s="27" t="str">
        <f t="shared" si="246"/>
        <v/>
      </c>
      <c r="CU44" s="24" t="str">
        <f t="shared" si="247"/>
        <v/>
      </c>
      <c r="CV44" s="27" t="str">
        <f t="shared" si="248"/>
        <v/>
      </c>
      <c r="CW44" s="26" t="str">
        <f t="shared" si="249"/>
        <v/>
      </c>
      <c r="CX44" s="26" t="str">
        <f t="shared" si="88"/>
        <v/>
      </c>
      <c r="CY44" s="27" t="str">
        <f t="shared" si="89"/>
        <v/>
      </c>
      <c r="CZ44" s="26" t="str">
        <f t="shared" si="250"/>
        <v/>
      </c>
      <c r="DA44" s="24" t="str">
        <f t="shared" si="181"/>
        <v/>
      </c>
      <c r="DB44" s="24" t="str">
        <f t="shared" si="251"/>
        <v/>
      </c>
      <c r="DC44" s="24" t="str">
        <f t="shared" si="77"/>
        <v/>
      </c>
      <c r="DD44" s="24" t="str">
        <f t="shared" si="252"/>
        <v/>
      </c>
      <c r="DE44" s="1">
        <v>0</v>
      </c>
      <c r="DF44" s="1">
        <v>0</v>
      </c>
      <c r="DG44" s="1">
        <v>0</v>
      </c>
      <c r="DH44" s="24" t="str">
        <f t="shared" si="253"/>
        <v/>
      </c>
      <c r="DI44" s="25" t="str">
        <f t="shared" si="254"/>
        <v/>
      </c>
      <c r="DJ44" t="str">
        <f t="shared" si="255"/>
        <v/>
      </c>
      <c r="DK44" s="9"/>
      <c r="DL44" s="9"/>
      <c r="DM44" s="9"/>
      <c r="DN44" s="9"/>
      <c r="DO44" s="9"/>
      <c r="DP44" s="9"/>
      <c r="DQ44" s="136" t="b">
        <f t="shared" si="256"/>
        <v>1</v>
      </c>
    </row>
    <row r="45" spans="1:121" ht="27" customHeight="1" x14ac:dyDescent="0.95">
      <c r="A45" s="24" t="str">
        <f t="shared" si="90"/>
        <v/>
      </c>
      <c r="B45" s="9"/>
      <c r="C45" s="14"/>
      <c r="D45" s="9"/>
      <c r="E45" s="9"/>
      <c r="F45" s="1"/>
      <c r="G45" s="1"/>
      <c r="H45" s="1"/>
      <c r="I45" s="1"/>
      <c r="J45" s="1"/>
      <c r="K45" s="1"/>
      <c r="L45" s="1"/>
      <c r="M45" s="1"/>
      <c r="N45" s="1"/>
      <c r="O45" s="1"/>
      <c r="P45" s="10"/>
      <c r="Q45" s="10"/>
      <c r="R45" s="10"/>
      <c r="S45" s="10"/>
      <c r="T45" s="10"/>
      <c r="U45" s="10"/>
      <c r="V45" s="10"/>
      <c r="W45" s="3" t="str">
        <f t="shared" si="182"/>
        <v/>
      </c>
      <c r="X45" s="3" t="str">
        <f t="shared" si="183"/>
        <v/>
      </c>
      <c r="Y45" s="3" t="str">
        <f t="shared" si="184"/>
        <v/>
      </c>
      <c r="Z45" s="3" t="str">
        <f t="shared" si="185"/>
        <v/>
      </c>
      <c r="AA45" s="3" t="str">
        <f t="shared" si="186"/>
        <v/>
      </c>
      <c r="AB45" s="3" t="str">
        <f t="shared" si="187"/>
        <v/>
      </c>
      <c r="AC45" s="3" t="str">
        <f t="shared" si="188"/>
        <v/>
      </c>
      <c r="AD45" s="3" t="str">
        <f t="shared" si="189"/>
        <v/>
      </c>
      <c r="AE45" s="3" t="str">
        <f t="shared" si="190"/>
        <v/>
      </c>
      <c r="AF45" s="24" t="str">
        <f t="shared" si="191"/>
        <v/>
      </c>
      <c r="AG45" s="24" t="str">
        <f t="shared" si="192"/>
        <v/>
      </c>
      <c r="AH45" s="24" t="str">
        <f t="shared" si="193"/>
        <v/>
      </c>
      <c r="AI45" s="24" t="str">
        <f t="shared" si="194"/>
        <v/>
      </c>
      <c r="AJ45" s="24" t="str">
        <f t="shared" si="195"/>
        <v/>
      </c>
      <c r="AK45" s="24" t="str">
        <f t="shared" si="196"/>
        <v/>
      </c>
      <c r="AL45" s="24" t="str">
        <f t="shared" si="197"/>
        <v/>
      </c>
      <c r="AM45" s="24" t="str">
        <f t="shared" si="198"/>
        <v/>
      </c>
      <c r="AN45" s="24" t="str">
        <f t="shared" si="199"/>
        <v/>
      </c>
      <c r="AO45" s="24" t="str">
        <f t="shared" si="200"/>
        <v/>
      </c>
      <c r="AP45" s="24" t="str">
        <f t="shared" si="201"/>
        <v/>
      </c>
      <c r="AQ45" s="24" t="str">
        <f t="shared" si="202"/>
        <v/>
      </c>
      <c r="AR45" s="24" t="str">
        <f t="shared" si="203"/>
        <v/>
      </c>
      <c r="AS45" s="24" t="str">
        <f t="shared" si="204"/>
        <v/>
      </c>
      <c r="AT45" s="24" t="str">
        <f t="shared" si="205"/>
        <v/>
      </c>
      <c r="AU45" s="24" t="str">
        <f t="shared" si="206"/>
        <v/>
      </c>
      <c r="AV45" s="24" t="str">
        <f t="shared" si="207"/>
        <v/>
      </c>
      <c r="AW45" s="24" t="str">
        <f t="shared" si="208"/>
        <v/>
      </c>
      <c r="AX45" s="24" t="str">
        <f t="shared" si="209"/>
        <v/>
      </c>
      <c r="AY45" s="24" t="str">
        <f t="shared" si="210"/>
        <v/>
      </c>
      <c r="AZ45" s="24" t="str">
        <f t="shared" si="211"/>
        <v/>
      </c>
      <c r="BA45" s="24" t="str">
        <f t="shared" si="212"/>
        <v/>
      </c>
      <c r="BB45" s="24" t="str">
        <f t="shared" si="213"/>
        <v/>
      </c>
      <c r="BC45" s="24" t="str">
        <f t="shared" si="214"/>
        <v/>
      </c>
      <c r="BD45" s="24" t="str">
        <f t="shared" si="215"/>
        <v/>
      </c>
      <c r="BE45" s="24" t="str">
        <f t="shared" si="216"/>
        <v/>
      </c>
      <c r="BF45" s="24" t="str">
        <f t="shared" si="217"/>
        <v/>
      </c>
      <c r="BG45" s="24" t="str">
        <f t="shared" si="218"/>
        <v/>
      </c>
      <c r="BH45" s="24" t="str">
        <f t="shared" si="219"/>
        <v/>
      </c>
      <c r="BI45" s="24" t="str">
        <f t="shared" si="220"/>
        <v/>
      </c>
      <c r="BJ45" s="24" t="str">
        <f t="shared" si="221"/>
        <v/>
      </c>
      <c r="BK45" s="24" t="str">
        <f t="shared" si="222"/>
        <v/>
      </c>
      <c r="BL45" s="26" t="str">
        <f t="shared" si="223"/>
        <v/>
      </c>
      <c r="BM45" s="26" t="str">
        <f t="shared" si="224"/>
        <v/>
      </c>
      <c r="BN45" s="26" t="str">
        <f t="shared" si="225"/>
        <v/>
      </c>
      <c r="BO45" s="26" t="str">
        <f t="shared" si="226"/>
        <v/>
      </c>
      <c r="BP45" s="26" t="str">
        <f t="shared" si="227"/>
        <v/>
      </c>
      <c r="BQ45" s="26" t="str">
        <f t="shared" si="228"/>
        <v/>
      </c>
      <c r="BR45" s="26" t="str">
        <f t="shared" si="229"/>
        <v/>
      </c>
      <c r="BS45" s="26" t="str">
        <f t="shared" si="230"/>
        <v/>
      </c>
      <c r="BT45" s="26" t="str">
        <f t="shared" si="231"/>
        <v/>
      </c>
      <c r="BU45" s="26" t="str">
        <f t="shared" si="232"/>
        <v/>
      </c>
      <c r="BV45" s="26" t="str">
        <f t="shared" si="233"/>
        <v/>
      </c>
      <c r="BW45" s="26" t="str">
        <f t="shared" si="234"/>
        <v/>
      </c>
      <c r="BX45" s="26" t="str">
        <f t="shared" si="235"/>
        <v/>
      </c>
      <c r="BY45" s="26" t="str">
        <f t="shared" si="236"/>
        <v/>
      </c>
      <c r="BZ45" s="26" t="str">
        <f t="shared" si="237"/>
        <v/>
      </c>
      <c r="CA45" s="26" t="str">
        <f t="shared" si="238"/>
        <v/>
      </c>
      <c r="CB45" s="24" t="str">
        <f t="shared" si="174"/>
        <v/>
      </c>
      <c r="CC45" s="24" t="str">
        <f t="shared" si="175"/>
        <v/>
      </c>
      <c r="CD45" s="24" t="str">
        <f t="shared" si="176"/>
        <v/>
      </c>
      <c r="CE45" s="24" t="str">
        <f t="shared" si="257"/>
        <v/>
      </c>
      <c r="CF45" s="24" t="str">
        <f t="shared" si="178"/>
        <v/>
      </c>
      <c r="CG45" s="24" t="str">
        <f>IF(OR(BA45="",AK45=""),"",BA45*(IF(OR(AK45="A",AK45="a"),4,(IF(OR(#REF!="B",AK45="b"),3,(IF(OR(AK45="C",AK45="c"),2,(IF(OR(AK45="D",AK45="d"),1.5,(IF(OR(AK45="E",AK45="e"),1,(IF(OR(AK45="F",AK45="f"),0)))))))))))))</f>
        <v/>
      </c>
      <c r="CH45" s="24" t="str">
        <f t="shared" si="179"/>
        <v/>
      </c>
      <c r="CI45" s="24" t="str">
        <f t="shared" si="239"/>
        <v/>
      </c>
      <c r="CJ45" s="26" t="str">
        <f t="shared" si="240"/>
        <v/>
      </c>
      <c r="CK45" s="26" t="str">
        <f t="shared" si="241"/>
        <v/>
      </c>
      <c r="CL45" s="26" t="str">
        <f t="shared" si="84"/>
        <v/>
      </c>
      <c r="CM45" s="24" t="str">
        <f t="shared" si="85"/>
        <v/>
      </c>
      <c r="CN45" s="26" t="str">
        <f t="shared" si="242"/>
        <v/>
      </c>
      <c r="CO45" s="24" t="str">
        <f t="shared" si="243"/>
        <v/>
      </c>
      <c r="CP45" s="26" t="str">
        <f t="shared" si="244"/>
        <v/>
      </c>
      <c r="CQ45" s="26" t="str">
        <f t="shared" si="245"/>
        <v/>
      </c>
      <c r="CR45" s="26" t="str">
        <f t="shared" si="86"/>
        <v/>
      </c>
      <c r="CS45" s="24" t="str">
        <f t="shared" si="87"/>
        <v/>
      </c>
      <c r="CT45" s="27" t="str">
        <f t="shared" si="246"/>
        <v/>
      </c>
      <c r="CU45" s="24" t="str">
        <f t="shared" si="247"/>
        <v/>
      </c>
      <c r="CV45" s="27" t="str">
        <f t="shared" si="248"/>
        <v/>
      </c>
      <c r="CW45" s="26" t="str">
        <f t="shared" si="249"/>
        <v/>
      </c>
      <c r="CX45" s="26" t="str">
        <f t="shared" si="88"/>
        <v/>
      </c>
      <c r="CY45" s="27" t="str">
        <f t="shared" si="89"/>
        <v/>
      </c>
      <c r="CZ45" s="26" t="str">
        <f t="shared" si="250"/>
        <v/>
      </c>
      <c r="DA45" s="24" t="str">
        <f t="shared" si="181"/>
        <v/>
      </c>
      <c r="DB45" s="24" t="str">
        <f t="shared" si="251"/>
        <v/>
      </c>
      <c r="DC45" s="24" t="str">
        <f t="shared" si="77"/>
        <v/>
      </c>
      <c r="DD45" s="24" t="str">
        <f t="shared" si="252"/>
        <v/>
      </c>
      <c r="DE45" s="1">
        <v>0</v>
      </c>
      <c r="DF45" s="1">
        <v>0</v>
      </c>
      <c r="DG45" s="1">
        <v>0</v>
      </c>
      <c r="DH45" s="24" t="str">
        <f t="shared" si="253"/>
        <v/>
      </c>
      <c r="DI45" s="25" t="str">
        <f t="shared" si="254"/>
        <v/>
      </c>
      <c r="DJ45" t="str">
        <f t="shared" si="255"/>
        <v/>
      </c>
      <c r="DK45" s="9"/>
      <c r="DL45" s="9"/>
      <c r="DM45" s="9"/>
      <c r="DN45" s="9"/>
      <c r="DO45" s="9"/>
      <c r="DP45" s="9"/>
      <c r="DQ45" s="136" t="b">
        <f t="shared" si="256"/>
        <v>1</v>
      </c>
    </row>
    <row r="46" spans="1:121" ht="27" customHeight="1" x14ac:dyDescent="0.95">
      <c r="A46" s="24" t="str">
        <f t="shared" si="90"/>
        <v/>
      </c>
      <c r="B46" s="9"/>
      <c r="C46" s="14"/>
      <c r="D46" s="9"/>
      <c r="E46" s="9"/>
      <c r="F46" s="1"/>
      <c r="G46" s="1"/>
      <c r="H46" s="1"/>
      <c r="I46" s="1"/>
      <c r="J46" s="1"/>
      <c r="K46" s="1"/>
      <c r="L46" s="1"/>
      <c r="M46" s="1"/>
      <c r="N46" s="1"/>
      <c r="O46" s="1"/>
      <c r="P46" s="10"/>
      <c r="Q46" s="10"/>
      <c r="R46" s="10"/>
      <c r="S46" s="10"/>
      <c r="T46" s="10"/>
      <c r="U46" s="10"/>
      <c r="V46" s="10"/>
      <c r="W46" s="3" t="str">
        <f t="shared" si="182"/>
        <v/>
      </c>
      <c r="X46" s="3" t="str">
        <f t="shared" si="183"/>
        <v/>
      </c>
      <c r="Y46" s="3" t="str">
        <f t="shared" si="184"/>
        <v/>
      </c>
      <c r="Z46" s="3" t="str">
        <f t="shared" si="185"/>
        <v/>
      </c>
      <c r="AA46" s="3" t="str">
        <f t="shared" si="186"/>
        <v/>
      </c>
      <c r="AB46" s="3" t="str">
        <f t="shared" si="187"/>
        <v/>
      </c>
      <c r="AC46" s="3" t="str">
        <f t="shared" si="188"/>
        <v/>
      </c>
      <c r="AD46" s="3" t="str">
        <f t="shared" si="189"/>
        <v/>
      </c>
      <c r="AE46" s="3" t="str">
        <f t="shared" si="190"/>
        <v/>
      </c>
      <c r="AF46" s="24" t="str">
        <f t="shared" si="191"/>
        <v/>
      </c>
      <c r="AG46" s="24" t="str">
        <f t="shared" si="192"/>
        <v/>
      </c>
      <c r="AH46" s="24" t="str">
        <f t="shared" si="193"/>
        <v/>
      </c>
      <c r="AI46" s="24" t="str">
        <f t="shared" si="194"/>
        <v/>
      </c>
      <c r="AJ46" s="24" t="str">
        <f t="shared" si="195"/>
        <v/>
      </c>
      <c r="AK46" s="24" t="str">
        <f t="shared" si="196"/>
        <v/>
      </c>
      <c r="AL46" s="24" t="str">
        <f t="shared" si="197"/>
        <v/>
      </c>
      <c r="AM46" s="24" t="str">
        <f t="shared" si="198"/>
        <v/>
      </c>
      <c r="AN46" s="24" t="str">
        <f t="shared" si="199"/>
        <v/>
      </c>
      <c r="AO46" s="24" t="str">
        <f t="shared" si="200"/>
        <v/>
      </c>
      <c r="AP46" s="24" t="str">
        <f t="shared" si="201"/>
        <v/>
      </c>
      <c r="AQ46" s="24" t="str">
        <f t="shared" si="202"/>
        <v/>
      </c>
      <c r="AR46" s="24" t="str">
        <f t="shared" si="203"/>
        <v/>
      </c>
      <c r="AS46" s="24" t="str">
        <f t="shared" si="204"/>
        <v/>
      </c>
      <c r="AT46" s="24" t="str">
        <f t="shared" si="205"/>
        <v/>
      </c>
      <c r="AU46" s="24" t="str">
        <f t="shared" si="206"/>
        <v/>
      </c>
      <c r="AV46" s="24" t="str">
        <f t="shared" si="207"/>
        <v/>
      </c>
      <c r="AW46" s="24" t="str">
        <f t="shared" si="208"/>
        <v/>
      </c>
      <c r="AX46" s="24" t="str">
        <f t="shared" si="209"/>
        <v/>
      </c>
      <c r="AY46" s="24" t="str">
        <f t="shared" si="210"/>
        <v/>
      </c>
      <c r="AZ46" s="24" t="str">
        <f t="shared" si="211"/>
        <v/>
      </c>
      <c r="BA46" s="24" t="str">
        <f t="shared" si="212"/>
        <v/>
      </c>
      <c r="BB46" s="24" t="str">
        <f t="shared" si="213"/>
        <v/>
      </c>
      <c r="BC46" s="24" t="str">
        <f t="shared" si="214"/>
        <v/>
      </c>
      <c r="BD46" s="24" t="str">
        <f t="shared" si="215"/>
        <v/>
      </c>
      <c r="BE46" s="24" t="str">
        <f t="shared" si="216"/>
        <v/>
      </c>
      <c r="BF46" s="24" t="str">
        <f t="shared" si="217"/>
        <v/>
      </c>
      <c r="BG46" s="24" t="str">
        <f t="shared" si="218"/>
        <v/>
      </c>
      <c r="BH46" s="24" t="str">
        <f t="shared" si="219"/>
        <v/>
      </c>
      <c r="BI46" s="24" t="str">
        <f t="shared" si="220"/>
        <v/>
      </c>
      <c r="BJ46" s="24" t="str">
        <f t="shared" si="221"/>
        <v/>
      </c>
      <c r="BK46" s="24" t="str">
        <f t="shared" si="222"/>
        <v/>
      </c>
      <c r="BL46" s="26" t="str">
        <f t="shared" si="223"/>
        <v/>
      </c>
      <c r="BM46" s="26" t="str">
        <f t="shared" si="224"/>
        <v/>
      </c>
      <c r="BN46" s="26" t="str">
        <f t="shared" si="225"/>
        <v/>
      </c>
      <c r="BO46" s="26" t="str">
        <f t="shared" si="226"/>
        <v/>
      </c>
      <c r="BP46" s="26" t="str">
        <f t="shared" si="227"/>
        <v/>
      </c>
      <c r="BQ46" s="26" t="str">
        <f t="shared" si="228"/>
        <v/>
      </c>
      <c r="BR46" s="26" t="str">
        <f t="shared" si="229"/>
        <v/>
      </c>
      <c r="BS46" s="26" t="str">
        <f t="shared" si="230"/>
        <v/>
      </c>
      <c r="BT46" s="26" t="str">
        <f t="shared" si="231"/>
        <v/>
      </c>
      <c r="BU46" s="26" t="str">
        <f t="shared" si="232"/>
        <v/>
      </c>
      <c r="BV46" s="26" t="str">
        <f t="shared" si="233"/>
        <v/>
      </c>
      <c r="BW46" s="26" t="str">
        <f t="shared" si="234"/>
        <v/>
      </c>
      <c r="BX46" s="26" t="str">
        <f t="shared" si="235"/>
        <v/>
      </c>
      <c r="BY46" s="26" t="str">
        <f t="shared" si="236"/>
        <v/>
      </c>
      <c r="BZ46" s="26" t="str">
        <f t="shared" si="237"/>
        <v/>
      </c>
      <c r="CA46" s="26" t="str">
        <f t="shared" si="238"/>
        <v/>
      </c>
      <c r="CB46" s="24" t="str">
        <f t="shared" ref="CB46:CB77" si="258">IF(OR(AV46="",AF46=""),"",AV46*(IF(OR(AF46="A",AF46="a"),4,(IF(OR(AF555="B",AF46="b"),3,(IF(OR(AF46="C",AF46="c"),2,(IF(OR(AF46="D",AF46="d"),1.5,(IF(OR(AF46="E",AF46="e"),1,(IF(OR(AF46="F",AF46="f"),0)))))))))))))</f>
        <v/>
      </c>
      <c r="CC46" s="24" t="str">
        <f t="shared" ref="CC46:CC77" si="259">IF(OR(AW46="",AG46=""),"",AW46*(IF(OR(AG46="A",AG46="a"),4,(IF(OR(AG555="B",AG46="b"),3,(IF(OR(AG46="C",AG46="c"),2,(IF(OR(AG46="D",AG46="d"),1.5,(IF(OR(AG46="E",AG46="e"),1,(IF(OR(AG46="F",AG46="f"),0)))))))))))))</f>
        <v/>
      </c>
      <c r="CD46" s="24" t="str">
        <f t="shared" ref="CD46:CD77" si="260">IF(OR(AX46="",AH46=""),"",AX46*(IF(OR(AH46="A",AH46="a"),4,(IF(OR(AH555="B",AH46="b"),3,(IF(OR(AH46="C",AH46="c"),2,(IF(OR(AH46="D",AH46="d"),1.5,(IF(OR(AH46="E",AH46="e"),1,(IF(OR(AH46="F",AH46="f"),0)))))))))))))</f>
        <v/>
      </c>
      <c r="CE46" s="24" t="str">
        <f t="shared" si="257"/>
        <v/>
      </c>
      <c r="CF46" s="24" t="str">
        <f t="shared" ref="CF46:CF77" si="261">IF(OR(AZ46="",AJ46=""),"",AZ46*(IF(OR(AJ46="A",AJ46="a"),4,(IF(OR(AJ555="B",AJ46="b"),3,(IF(OR(AJ46="C",AJ46="c"),2,(IF(OR(AJ46="D",AJ46="d"),1.5,(IF(OR(AJ46="E",AJ46="e"),1,(IF(OR(AJ46="F",AJ46="f"),0)))))))))))))</f>
        <v/>
      </c>
      <c r="CG46" s="24" t="str">
        <f>IF(OR(BA46="",AK46=""),"",BA46*(IF(OR(AK46="A",AK46="a"),4,(IF(OR(#REF!="B",AK46="b"),3,(IF(OR(AK46="C",AK46="c"),2,(IF(OR(AK46="D",AK46="d"),1.5,(IF(OR(AK46="E",AK46="e"),1,(IF(OR(AK46="F",AK46="f"),0)))))))))))))</f>
        <v/>
      </c>
      <c r="CH46" s="24" t="str">
        <f t="shared" ref="CH46:CH77" si="262">IF(OR(BB46="",AL46=""),"",BB46*(IF(OR(AL46="A",AL46="a"),4,(IF(OR(AV555="B",AL46="b"),3,(IF(OR(AL46="C",AL46="c"),2,(IF(OR(AL46="D",AL46="d"),1.5,(IF(OR(AL46="E",AL46="e"),1,(IF(OR(AL46="F",AL46="f"),0)))))))))))))</f>
        <v/>
      </c>
      <c r="CI46" s="24" t="str">
        <f t="shared" si="239"/>
        <v/>
      </c>
      <c r="CJ46" s="26" t="str">
        <f t="shared" si="240"/>
        <v/>
      </c>
      <c r="CK46" s="26" t="str">
        <f t="shared" si="241"/>
        <v/>
      </c>
      <c r="CL46" s="26" t="str">
        <f t="shared" si="84"/>
        <v/>
      </c>
      <c r="CM46" s="24" t="str">
        <f t="shared" si="85"/>
        <v/>
      </c>
      <c r="CN46" s="26" t="str">
        <f t="shared" si="242"/>
        <v/>
      </c>
      <c r="CO46" s="24" t="str">
        <f t="shared" si="243"/>
        <v/>
      </c>
      <c r="CP46" s="26" t="str">
        <f t="shared" si="244"/>
        <v/>
      </c>
      <c r="CQ46" s="26" t="str">
        <f t="shared" si="245"/>
        <v/>
      </c>
      <c r="CR46" s="26" t="str">
        <f t="shared" si="86"/>
        <v/>
      </c>
      <c r="CS46" s="24" t="str">
        <f t="shared" si="87"/>
        <v/>
      </c>
      <c r="CT46" s="27" t="str">
        <f t="shared" si="246"/>
        <v/>
      </c>
      <c r="CU46" s="24" t="str">
        <f t="shared" si="247"/>
        <v/>
      </c>
      <c r="CV46" s="27" t="str">
        <f t="shared" si="248"/>
        <v/>
      </c>
      <c r="CW46" s="26" t="str">
        <f t="shared" si="249"/>
        <v/>
      </c>
      <c r="CX46" s="26" t="str">
        <f t="shared" si="88"/>
        <v/>
      </c>
      <c r="CY46" s="27" t="str">
        <f t="shared" si="89"/>
        <v/>
      </c>
      <c r="CZ46" s="26" t="str">
        <f t="shared" si="250"/>
        <v/>
      </c>
      <c r="DA46" s="24" t="str">
        <f t="shared" si="181"/>
        <v/>
      </c>
      <c r="DB46" s="24" t="str">
        <f t="shared" si="251"/>
        <v/>
      </c>
      <c r="DC46" s="24" t="str">
        <f t="shared" si="77"/>
        <v/>
      </c>
      <c r="DD46" s="24" t="str">
        <f t="shared" si="252"/>
        <v/>
      </c>
      <c r="DE46" s="1">
        <v>0</v>
      </c>
      <c r="DF46" s="1">
        <v>0</v>
      </c>
      <c r="DG46" s="1">
        <v>0</v>
      </c>
      <c r="DH46" s="24" t="str">
        <f t="shared" si="253"/>
        <v/>
      </c>
      <c r="DI46" s="25" t="str">
        <f t="shared" si="254"/>
        <v/>
      </c>
      <c r="DJ46" t="str">
        <f t="shared" si="255"/>
        <v/>
      </c>
      <c r="DK46" s="9"/>
      <c r="DL46" s="9"/>
      <c r="DM46" s="9"/>
      <c r="DN46" s="9"/>
      <c r="DO46" s="9"/>
      <c r="DP46" s="9"/>
      <c r="DQ46" s="136" t="b">
        <f t="shared" si="256"/>
        <v>1</v>
      </c>
    </row>
    <row r="47" spans="1:121" ht="27" customHeight="1" x14ac:dyDescent="0.95">
      <c r="A47" s="24" t="str">
        <f t="shared" si="90"/>
        <v/>
      </c>
      <c r="B47" s="9"/>
      <c r="C47" s="14"/>
      <c r="D47" s="9"/>
      <c r="E47" s="9"/>
      <c r="F47" s="1"/>
      <c r="G47" s="1"/>
      <c r="H47" s="1"/>
      <c r="I47" s="1"/>
      <c r="J47" s="1"/>
      <c r="K47" s="1"/>
      <c r="L47" s="1"/>
      <c r="M47" s="1"/>
      <c r="N47" s="1"/>
      <c r="O47" s="1"/>
      <c r="P47" s="10"/>
      <c r="Q47" s="10"/>
      <c r="R47" s="10"/>
      <c r="S47" s="10"/>
      <c r="T47" s="10"/>
      <c r="U47" s="10"/>
      <c r="V47" s="10"/>
      <c r="W47" s="3" t="str">
        <f t="shared" si="182"/>
        <v/>
      </c>
      <c r="X47" s="3" t="str">
        <f t="shared" si="183"/>
        <v/>
      </c>
      <c r="Y47" s="3" t="str">
        <f t="shared" si="184"/>
        <v/>
      </c>
      <c r="Z47" s="3" t="str">
        <f t="shared" si="185"/>
        <v/>
      </c>
      <c r="AA47" s="3" t="str">
        <f t="shared" si="186"/>
        <v/>
      </c>
      <c r="AB47" s="3" t="str">
        <f t="shared" si="187"/>
        <v/>
      </c>
      <c r="AC47" s="3" t="str">
        <f t="shared" si="188"/>
        <v/>
      </c>
      <c r="AD47" s="3" t="str">
        <f t="shared" si="189"/>
        <v/>
      </c>
      <c r="AE47" s="3" t="str">
        <f t="shared" si="190"/>
        <v/>
      </c>
      <c r="AF47" s="24" t="str">
        <f t="shared" si="191"/>
        <v/>
      </c>
      <c r="AG47" s="24" t="str">
        <f t="shared" si="192"/>
        <v/>
      </c>
      <c r="AH47" s="24" t="str">
        <f t="shared" si="193"/>
        <v/>
      </c>
      <c r="AI47" s="24" t="str">
        <f t="shared" si="194"/>
        <v/>
      </c>
      <c r="AJ47" s="24" t="str">
        <f t="shared" si="195"/>
        <v/>
      </c>
      <c r="AK47" s="24" t="str">
        <f t="shared" si="196"/>
        <v/>
      </c>
      <c r="AL47" s="24" t="str">
        <f t="shared" si="197"/>
        <v/>
      </c>
      <c r="AM47" s="24" t="str">
        <f t="shared" si="198"/>
        <v/>
      </c>
      <c r="AN47" s="24" t="str">
        <f t="shared" si="199"/>
        <v/>
      </c>
      <c r="AO47" s="24" t="str">
        <f t="shared" si="200"/>
        <v/>
      </c>
      <c r="AP47" s="24" t="str">
        <f t="shared" si="201"/>
        <v/>
      </c>
      <c r="AQ47" s="24" t="str">
        <f t="shared" si="202"/>
        <v/>
      </c>
      <c r="AR47" s="24" t="str">
        <f t="shared" si="203"/>
        <v/>
      </c>
      <c r="AS47" s="24" t="str">
        <f t="shared" si="204"/>
        <v/>
      </c>
      <c r="AT47" s="24" t="str">
        <f t="shared" si="205"/>
        <v/>
      </c>
      <c r="AU47" s="24" t="str">
        <f t="shared" si="206"/>
        <v/>
      </c>
      <c r="AV47" s="24" t="str">
        <f t="shared" si="207"/>
        <v/>
      </c>
      <c r="AW47" s="24" t="str">
        <f t="shared" si="208"/>
        <v/>
      </c>
      <c r="AX47" s="24" t="str">
        <f t="shared" si="209"/>
        <v/>
      </c>
      <c r="AY47" s="24" t="str">
        <f t="shared" si="210"/>
        <v/>
      </c>
      <c r="AZ47" s="24" t="str">
        <f t="shared" si="211"/>
        <v/>
      </c>
      <c r="BA47" s="24" t="str">
        <f t="shared" si="212"/>
        <v/>
      </c>
      <c r="BB47" s="24" t="str">
        <f t="shared" si="213"/>
        <v/>
      </c>
      <c r="BC47" s="24" t="str">
        <f t="shared" si="214"/>
        <v/>
      </c>
      <c r="BD47" s="24" t="str">
        <f t="shared" si="215"/>
        <v/>
      </c>
      <c r="BE47" s="24" t="str">
        <f t="shared" si="216"/>
        <v/>
      </c>
      <c r="BF47" s="24" t="str">
        <f t="shared" si="217"/>
        <v/>
      </c>
      <c r="BG47" s="24" t="str">
        <f t="shared" si="218"/>
        <v/>
      </c>
      <c r="BH47" s="24" t="str">
        <f t="shared" si="219"/>
        <v/>
      </c>
      <c r="BI47" s="24" t="str">
        <f t="shared" si="220"/>
        <v/>
      </c>
      <c r="BJ47" s="24" t="str">
        <f t="shared" si="221"/>
        <v/>
      </c>
      <c r="BK47" s="24" t="str">
        <f t="shared" si="222"/>
        <v/>
      </c>
      <c r="BL47" s="26" t="str">
        <f t="shared" si="223"/>
        <v/>
      </c>
      <c r="BM47" s="26" t="str">
        <f t="shared" si="224"/>
        <v/>
      </c>
      <c r="BN47" s="26" t="str">
        <f t="shared" si="225"/>
        <v/>
      </c>
      <c r="BO47" s="26" t="str">
        <f t="shared" si="226"/>
        <v/>
      </c>
      <c r="BP47" s="26" t="str">
        <f t="shared" si="227"/>
        <v/>
      </c>
      <c r="BQ47" s="26" t="str">
        <f t="shared" si="228"/>
        <v/>
      </c>
      <c r="BR47" s="26" t="str">
        <f t="shared" si="229"/>
        <v/>
      </c>
      <c r="BS47" s="26" t="str">
        <f t="shared" si="230"/>
        <v/>
      </c>
      <c r="BT47" s="26" t="str">
        <f t="shared" si="231"/>
        <v/>
      </c>
      <c r="BU47" s="26" t="str">
        <f t="shared" si="232"/>
        <v/>
      </c>
      <c r="BV47" s="26" t="str">
        <f t="shared" si="233"/>
        <v/>
      </c>
      <c r="BW47" s="26" t="str">
        <f t="shared" si="234"/>
        <v/>
      </c>
      <c r="BX47" s="26" t="str">
        <f t="shared" si="235"/>
        <v/>
      </c>
      <c r="BY47" s="26" t="str">
        <f t="shared" si="236"/>
        <v/>
      </c>
      <c r="BZ47" s="26" t="str">
        <f t="shared" si="237"/>
        <v/>
      </c>
      <c r="CA47" s="26" t="str">
        <f t="shared" si="238"/>
        <v/>
      </c>
      <c r="CB47" s="24" t="str">
        <f t="shared" si="258"/>
        <v/>
      </c>
      <c r="CC47" s="24" t="str">
        <f t="shared" si="259"/>
        <v/>
      </c>
      <c r="CD47" s="24" t="str">
        <f t="shared" si="260"/>
        <v/>
      </c>
      <c r="CE47" s="24" t="str">
        <f t="shared" si="257"/>
        <v/>
      </c>
      <c r="CF47" s="24" t="str">
        <f t="shared" si="261"/>
        <v/>
      </c>
      <c r="CG47" s="24" t="str">
        <f>IF(OR(BA47="",AK47=""),"",BA47*(IF(OR(AK47="A",AK47="a"),4,(IF(OR(#REF!="B",AK47="b"),3,(IF(OR(AK47="C",AK47="c"),2,(IF(OR(AK47="D",AK47="d"),1.5,(IF(OR(AK47="E",AK47="e"),1,(IF(OR(AK47="F",AK47="f"),0)))))))))))))</f>
        <v/>
      </c>
      <c r="CH47" s="24" t="str">
        <f t="shared" si="262"/>
        <v/>
      </c>
      <c r="CI47" s="24" t="str">
        <f t="shared" si="239"/>
        <v/>
      </c>
      <c r="CJ47" s="26" t="str">
        <f t="shared" si="240"/>
        <v/>
      </c>
      <c r="CK47" s="26" t="str">
        <f t="shared" si="241"/>
        <v/>
      </c>
      <c r="CL47" s="26" t="str">
        <f t="shared" si="84"/>
        <v/>
      </c>
      <c r="CM47" s="24" t="str">
        <f t="shared" si="85"/>
        <v/>
      </c>
      <c r="CN47" s="26" t="str">
        <f t="shared" si="242"/>
        <v/>
      </c>
      <c r="CO47" s="24" t="str">
        <f t="shared" si="243"/>
        <v/>
      </c>
      <c r="CP47" s="26" t="str">
        <f t="shared" si="244"/>
        <v/>
      </c>
      <c r="CQ47" s="26" t="str">
        <f t="shared" si="245"/>
        <v/>
      </c>
      <c r="CR47" s="26" t="str">
        <f t="shared" si="86"/>
        <v/>
      </c>
      <c r="CS47" s="24" t="str">
        <f t="shared" si="87"/>
        <v/>
      </c>
      <c r="CT47" s="27" t="str">
        <f t="shared" si="246"/>
        <v/>
      </c>
      <c r="CU47" s="24" t="str">
        <f t="shared" si="247"/>
        <v/>
      </c>
      <c r="CV47" s="27" t="str">
        <f t="shared" si="248"/>
        <v/>
      </c>
      <c r="CW47" s="26" t="str">
        <f t="shared" si="249"/>
        <v/>
      </c>
      <c r="CX47" s="26" t="str">
        <f t="shared" si="88"/>
        <v/>
      </c>
      <c r="CY47" s="27" t="str">
        <f t="shared" si="89"/>
        <v/>
      </c>
      <c r="CZ47" s="26" t="str">
        <f t="shared" si="250"/>
        <v/>
      </c>
      <c r="DA47" s="24" t="str">
        <f t="shared" si="181"/>
        <v/>
      </c>
      <c r="DB47" s="24" t="str">
        <f t="shared" si="251"/>
        <v/>
      </c>
      <c r="DC47" s="24" t="str">
        <f t="shared" ref="DC47:DC82" si="263">IF(B47="","",COUNTA($B$15:$B$82))</f>
        <v/>
      </c>
      <c r="DD47" s="24" t="str">
        <f t="shared" si="252"/>
        <v/>
      </c>
      <c r="DE47" s="1">
        <v>0</v>
      </c>
      <c r="DF47" s="1">
        <v>0</v>
      </c>
      <c r="DG47" s="1">
        <v>0</v>
      </c>
      <c r="DH47" s="24" t="str">
        <f t="shared" si="253"/>
        <v/>
      </c>
      <c r="DI47" s="25" t="str">
        <f t="shared" si="254"/>
        <v/>
      </c>
      <c r="DJ47" t="str">
        <f t="shared" si="255"/>
        <v/>
      </c>
      <c r="DK47" s="9"/>
      <c r="DL47" s="9"/>
      <c r="DM47" s="9"/>
      <c r="DN47" s="9"/>
      <c r="DO47" s="9"/>
      <c r="DP47" s="9"/>
      <c r="DQ47" s="136" t="b">
        <f t="shared" si="256"/>
        <v>1</v>
      </c>
    </row>
    <row r="48" spans="1:121" ht="27" customHeight="1" x14ac:dyDescent="0.95">
      <c r="A48" s="24" t="str">
        <f t="shared" si="90"/>
        <v/>
      </c>
      <c r="B48" s="9"/>
      <c r="C48" s="14"/>
      <c r="D48" s="9"/>
      <c r="E48" s="9"/>
      <c r="F48" s="1"/>
      <c r="G48" s="1"/>
      <c r="H48" s="1"/>
      <c r="I48" s="1"/>
      <c r="J48" s="1"/>
      <c r="K48" s="1"/>
      <c r="L48" s="1"/>
      <c r="M48" s="1"/>
      <c r="N48" s="1"/>
      <c r="O48" s="1"/>
      <c r="P48" s="10"/>
      <c r="Q48" s="10"/>
      <c r="R48" s="10"/>
      <c r="S48" s="10"/>
      <c r="T48" s="10"/>
      <c r="U48" s="10"/>
      <c r="V48" s="10"/>
      <c r="W48" s="3" t="str">
        <f t="shared" si="182"/>
        <v/>
      </c>
      <c r="X48" s="3" t="str">
        <f t="shared" si="183"/>
        <v/>
      </c>
      <c r="Y48" s="3" t="str">
        <f t="shared" si="184"/>
        <v/>
      </c>
      <c r="Z48" s="3" t="str">
        <f t="shared" si="185"/>
        <v/>
      </c>
      <c r="AA48" s="3" t="str">
        <f t="shared" si="186"/>
        <v/>
      </c>
      <c r="AB48" s="3" t="str">
        <f t="shared" si="187"/>
        <v/>
      </c>
      <c r="AC48" s="3" t="str">
        <f t="shared" si="188"/>
        <v/>
      </c>
      <c r="AD48" s="3" t="str">
        <f t="shared" si="189"/>
        <v/>
      </c>
      <c r="AE48" s="3" t="str">
        <f t="shared" si="190"/>
        <v/>
      </c>
      <c r="AF48" s="24" t="str">
        <f t="shared" si="191"/>
        <v/>
      </c>
      <c r="AG48" s="24" t="str">
        <f t="shared" si="192"/>
        <v/>
      </c>
      <c r="AH48" s="24" t="str">
        <f t="shared" si="193"/>
        <v/>
      </c>
      <c r="AI48" s="24" t="str">
        <f t="shared" si="194"/>
        <v/>
      </c>
      <c r="AJ48" s="24" t="str">
        <f t="shared" si="195"/>
        <v/>
      </c>
      <c r="AK48" s="24" t="str">
        <f t="shared" si="196"/>
        <v/>
      </c>
      <c r="AL48" s="24" t="str">
        <f t="shared" si="197"/>
        <v/>
      </c>
      <c r="AM48" s="24" t="str">
        <f t="shared" si="198"/>
        <v/>
      </c>
      <c r="AN48" s="24" t="str">
        <f t="shared" si="199"/>
        <v/>
      </c>
      <c r="AO48" s="24" t="str">
        <f t="shared" si="200"/>
        <v/>
      </c>
      <c r="AP48" s="24" t="str">
        <f t="shared" si="201"/>
        <v/>
      </c>
      <c r="AQ48" s="24" t="str">
        <f t="shared" si="202"/>
        <v/>
      </c>
      <c r="AR48" s="24" t="str">
        <f t="shared" si="203"/>
        <v/>
      </c>
      <c r="AS48" s="24" t="str">
        <f t="shared" si="204"/>
        <v/>
      </c>
      <c r="AT48" s="24" t="str">
        <f t="shared" si="205"/>
        <v/>
      </c>
      <c r="AU48" s="24" t="str">
        <f t="shared" si="206"/>
        <v/>
      </c>
      <c r="AV48" s="24" t="str">
        <f t="shared" si="207"/>
        <v/>
      </c>
      <c r="AW48" s="24" t="str">
        <f t="shared" si="208"/>
        <v/>
      </c>
      <c r="AX48" s="24" t="str">
        <f t="shared" si="209"/>
        <v/>
      </c>
      <c r="AY48" s="24" t="str">
        <f t="shared" si="210"/>
        <v/>
      </c>
      <c r="AZ48" s="24" t="str">
        <f t="shared" si="211"/>
        <v/>
      </c>
      <c r="BA48" s="24" t="str">
        <f t="shared" si="212"/>
        <v/>
      </c>
      <c r="BB48" s="24" t="str">
        <f t="shared" si="213"/>
        <v/>
      </c>
      <c r="BC48" s="24" t="str">
        <f t="shared" si="214"/>
        <v/>
      </c>
      <c r="BD48" s="24" t="str">
        <f t="shared" si="215"/>
        <v/>
      </c>
      <c r="BE48" s="24" t="str">
        <f t="shared" si="216"/>
        <v/>
      </c>
      <c r="BF48" s="24" t="str">
        <f t="shared" si="217"/>
        <v/>
      </c>
      <c r="BG48" s="24" t="str">
        <f t="shared" si="218"/>
        <v/>
      </c>
      <c r="BH48" s="24" t="str">
        <f t="shared" si="219"/>
        <v/>
      </c>
      <c r="BI48" s="24" t="str">
        <f t="shared" si="220"/>
        <v/>
      </c>
      <c r="BJ48" s="24" t="str">
        <f t="shared" si="221"/>
        <v/>
      </c>
      <c r="BK48" s="24" t="str">
        <f t="shared" si="222"/>
        <v/>
      </c>
      <c r="BL48" s="26" t="str">
        <f t="shared" si="223"/>
        <v/>
      </c>
      <c r="BM48" s="26" t="str">
        <f t="shared" si="224"/>
        <v/>
      </c>
      <c r="BN48" s="26" t="str">
        <f t="shared" si="225"/>
        <v/>
      </c>
      <c r="BO48" s="26" t="str">
        <f t="shared" si="226"/>
        <v/>
      </c>
      <c r="BP48" s="26" t="str">
        <f t="shared" si="227"/>
        <v/>
      </c>
      <c r="BQ48" s="26" t="str">
        <f t="shared" si="228"/>
        <v/>
      </c>
      <c r="BR48" s="26" t="str">
        <f t="shared" si="229"/>
        <v/>
      </c>
      <c r="BS48" s="26" t="str">
        <f t="shared" si="230"/>
        <v/>
      </c>
      <c r="BT48" s="26" t="str">
        <f t="shared" si="231"/>
        <v/>
      </c>
      <c r="BU48" s="26" t="str">
        <f t="shared" si="232"/>
        <v/>
      </c>
      <c r="BV48" s="26" t="str">
        <f t="shared" si="233"/>
        <v/>
      </c>
      <c r="BW48" s="26" t="str">
        <f t="shared" si="234"/>
        <v/>
      </c>
      <c r="BX48" s="26" t="str">
        <f t="shared" si="235"/>
        <v/>
      </c>
      <c r="BY48" s="26" t="str">
        <f t="shared" si="236"/>
        <v/>
      </c>
      <c r="BZ48" s="26" t="str">
        <f t="shared" si="237"/>
        <v/>
      </c>
      <c r="CA48" s="26" t="str">
        <f t="shared" si="238"/>
        <v/>
      </c>
      <c r="CB48" s="24" t="str">
        <f t="shared" si="258"/>
        <v/>
      </c>
      <c r="CC48" s="24" t="str">
        <f t="shared" si="259"/>
        <v/>
      </c>
      <c r="CD48" s="24" t="str">
        <f t="shared" si="260"/>
        <v/>
      </c>
      <c r="CE48" s="24" t="str">
        <f t="shared" si="257"/>
        <v/>
      </c>
      <c r="CF48" s="24" t="str">
        <f t="shared" si="261"/>
        <v/>
      </c>
      <c r="CG48" s="24" t="str">
        <f>IF(OR(BA48="",AK48=""),"",BA48*(IF(OR(AK48="A",AK48="a"),4,(IF(OR(#REF!="B",AK48="b"),3,(IF(OR(AK48="C",AK48="c"),2,(IF(OR(AK48="D",AK48="d"),1.5,(IF(OR(AK48="E",AK48="e"),1,(IF(OR(AK48="F",AK48="f"),0)))))))))))))</f>
        <v/>
      </c>
      <c r="CH48" s="24" t="str">
        <f t="shared" si="262"/>
        <v/>
      </c>
      <c r="CI48" s="24" t="str">
        <f t="shared" si="239"/>
        <v/>
      </c>
      <c r="CJ48" s="26" t="str">
        <f t="shared" si="240"/>
        <v/>
      </c>
      <c r="CK48" s="26" t="str">
        <f t="shared" si="241"/>
        <v/>
      </c>
      <c r="CL48" s="26" t="str">
        <f t="shared" si="84"/>
        <v/>
      </c>
      <c r="CM48" s="24" t="str">
        <f t="shared" si="85"/>
        <v/>
      </c>
      <c r="CN48" s="26" t="str">
        <f t="shared" si="242"/>
        <v/>
      </c>
      <c r="CO48" s="24" t="str">
        <f t="shared" si="243"/>
        <v/>
      </c>
      <c r="CP48" s="26" t="str">
        <f t="shared" si="244"/>
        <v/>
      </c>
      <c r="CQ48" s="26" t="str">
        <f t="shared" si="245"/>
        <v/>
      </c>
      <c r="CR48" s="26" t="str">
        <f t="shared" si="86"/>
        <v/>
      </c>
      <c r="CS48" s="24" t="str">
        <f t="shared" si="87"/>
        <v/>
      </c>
      <c r="CT48" s="27" t="str">
        <f t="shared" si="246"/>
        <v/>
      </c>
      <c r="CU48" s="24" t="str">
        <f t="shared" si="247"/>
        <v/>
      </c>
      <c r="CV48" s="27" t="str">
        <f t="shared" si="248"/>
        <v/>
      </c>
      <c r="CW48" s="26" t="str">
        <f t="shared" si="249"/>
        <v/>
      </c>
      <c r="CX48" s="26" t="str">
        <f t="shared" si="88"/>
        <v/>
      </c>
      <c r="CY48" s="27" t="str">
        <f t="shared" si="89"/>
        <v/>
      </c>
      <c r="CZ48" s="26" t="str">
        <f t="shared" si="250"/>
        <v/>
      </c>
      <c r="DA48" s="24" t="str">
        <f t="shared" si="181"/>
        <v/>
      </c>
      <c r="DB48" s="24" t="str">
        <f t="shared" si="251"/>
        <v/>
      </c>
      <c r="DC48" s="24" t="str">
        <f t="shared" si="263"/>
        <v/>
      </c>
      <c r="DD48" s="24" t="str">
        <f t="shared" si="252"/>
        <v/>
      </c>
      <c r="DE48" s="1"/>
      <c r="DF48" s="1"/>
      <c r="DG48" s="1"/>
      <c r="DH48" s="24" t="str">
        <f t="shared" si="253"/>
        <v/>
      </c>
      <c r="DI48" s="25" t="str">
        <f t="shared" si="254"/>
        <v/>
      </c>
      <c r="DJ48" t="str">
        <f t="shared" si="255"/>
        <v/>
      </c>
      <c r="DK48" s="9"/>
      <c r="DL48" s="9"/>
      <c r="DM48" s="9"/>
      <c r="DN48" s="9"/>
      <c r="DO48" s="9"/>
      <c r="DP48" s="9"/>
      <c r="DQ48" s="136" t="b">
        <f t="shared" si="256"/>
        <v>1</v>
      </c>
    </row>
    <row r="49" spans="1:121" ht="27" customHeight="1" x14ac:dyDescent="0.95">
      <c r="A49" s="24" t="str">
        <f t="shared" si="90"/>
        <v/>
      </c>
      <c r="B49" s="9"/>
      <c r="C49" s="14"/>
      <c r="D49" s="9"/>
      <c r="E49" s="9"/>
      <c r="F49" s="1"/>
      <c r="G49" s="1"/>
      <c r="H49" s="1"/>
      <c r="I49" s="1"/>
      <c r="J49" s="1"/>
      <c r="K49" s="1"/>
      <c r="L49" s="1"/>
      <c r="M49" s="1"/>
      <c r="N49" s="1"/>
      <c r="O49" s="1"/>
      <c r="P49" s="10"/>
      <c r="Q49" s="10"/>
      <c r="R49" s="10"/>
      <c r="S49" s="10"/>
      <c r="T49" s="10"/>
      <c r="U49" s="10"/>
      <c r="V49" s="10"/>
      <c r="W49" s="3" t="str">
        <f t="shared" si="182"/>
        <v/>
      </c>
      <c r="X49" s="3" t="str">
        <f t="shared" si="183"/>
        <v/>
      </c>
      <c r="Y49" s="3" t="str">
        <f t="shared" si="184"/>
        <v/>
      </c>
      <c r="Z49" s="3" t="str">
        <f t="shared" si="185"/>
        <v/>
      </c>
      <c r="AA49" s="3" t="str">
        <f t="shared" si="186"/>
        <v/>
      </c>
      <c r="AB49" s="3" t="str">
        <f t="shared" si="187"/>
        <v/>
      </c>
      <c r="AC49" s="3" t="str">
        <f t="shared" si="188"/>
        <v/>
      </c>
      <c r="AD49" s="3" t="str">
        <f t="shared" si="189"/>
        <v/>
      </c>
      <c r="AE49" s="3" t="str">
        <f t="shared" si="190"/>
        <v/>
      </c>
      <c r="AF49" s="24" t="str">
        <f t="shared" si="191"/>
        <v/>
      </c>
      <c r="AG49" s="24" t="str">
        <f t="shared" si="192"/>
        <v/>
      </c>
      <c r="AH49" s="24" t="str">
        <f t="shared" si="193"/>
        <v/>
      </c>
      <c r="AI49" s="24" t="str">
        <f t="shared" si="194"/>
        <v/>
      </c>
      <c r="AJ49" s="24" t="str">
        <f t="shared" si="195"/>
        <v/>
      </c>
      <c r="AK49" s="24" t="str">
        <f t="shared" si="196"/>
        <v/>
      </c>
      <c r="AL49" s="24" t="str">
        <f t="shared" si="197"/>
        <v/>
      </c>
      <c r="AM49" s="24" t="str">
        <f t="shared" si="198"/>
        <v/>
      </c>
      <c r="AN49" s="24" t="str">
        <f t="shared" si="199"/>
        <v/>
      </c>
      <c r="AO49" s="24" t="str">
        <f t="shared" si="200"/>
        <v/>
      </c>
      <c r="AP49" s="24" t="str">
        <f t="shared" si="201"/>
        <v/>
      </c>
      <c r="AQ49" s="24" t="str">
        <f t="shared" si="202"/>
        <v/>
      </c>
      <c r="AR49" s="24" t="str">
        <f t="shared" si="203"/>
        <v/>
      </c>
      <c r="AS49" s="24" t="str">
        <f t="shared" si="204"/>
        <v/>
      </c>
      <c r="AT49" s="24" t="str">
        <f t="shared" si="205"/>
        <v/>
      </c>
      <c r="AU49" s="24" t="str">
        <f t="shared" si="206"/>
        <v/>
      </c>
      <c r="AV49" s="24" t="str">
        <f t="shared" si="207"/>
        <v/>
      </c>
      <c r="AW49" s="24" t="str">
        <f t="shared" si="208"/>
        <v/>
      </c>
      <c r="AX49" s="24" t="str">
        <f t="shared" si="209"/>
        <v/>
      </c>
      <c r="AY49" s="24" t="str">
        <f t="shared" si="210"/>
        <v/>
      </c>
      <c r="AZ49" s="24" t="str">
        <f t="shared" si="211"/>
        <v/>
      </c>
      <c r="BA49" s="24" t="str">
        <f t="shared" si="212"/>
        <v/>
      </c>
      <c r="BB49" s="24" t="str">
        <f t="shared" si="213"/>
        <v/>
      </c>
      <c r="BC49" s="24" t="str">
        <f t="shared" si="214"/>
        <v/>
      </c>
      <c r="BD49" s="24" t="str">
        <f t="shared" si="215"/>
        <v/>
      </c>
      <c r="BE49" s="24" t="str">
        <f t="shared" si="216"/>
        <v/>
      </c>
      <c r="BF49" s="24" t="str">
        <f t="shared" si="217"/>
        <v/>
      </c>
      <c r="BG49" s="24" t="str">
        <f t="shared" si="218"/>
        <v/>
      </c>
      <c r="BH49" s="24" t="str">
        <f t="shared" si="219"/>
        <v/>
      </c>
      <c r="BI49" s="24" t="str">
        <f t="shared" si="220"/>
        <v/>
      </c>
      <c r="BJ49" s="24" t="str">
        <f t="shared" si="221"/>
        <v/>
      </c>
      <c r="BK49" s="24" t="str">
        <f t="shared" si="222"/>
        <v/>
      </c>
      <c r="BL49" s="26" t="str">
        <f t="shared" si="223"/>
        <v/>
      </c>
      <c r="BM49" s="26" t="str">
        <f t="shared" si="224"/>
        <v/>
      </c>
      <c r="BN49" s="26" t="str">
        <f t="shared" si="225"/>
        <v/>
      </c>
      <c r="BO49" s="26" t="str">
        <f t="shared" si="226"/>
        <v/>
      </c>
      <c r="BP49" s="26" t="str">
        <f t="shared" si="227"/>
        <v/>
      </c>
      <c r="BQ49" s="26" t="str">
        <f t="shared" si="228"/>
        <v/>
      </c>
      <c r="BR49" s="26" t="str">
        <f t="shared" si="229"/>
        <v/>
      </c>
      <c r="BS49" s="26" t="str">
        <f t="shared" si="230"/>
        <v/>
      </c>
      <c r="BT49" s="26" t="str">
        <f t="shared" si="231"/>
        <v/>
      </c>
      <c r="BU49" s="26" t="str">
        <f t="shared" si="232"/>
        <v/>
      </c>
      <c r="BV49" s="26" t="str">
        <f t="shared" si="233"/>
        <v/>
      </c>
      <c r="BW49" s="26" t="str">
        <f t="shared" si="234"/>
        <v/>
      </c>
      <c r="BX49" s="26" t="str">
        <f t="shared" si="235"/>
        <v/>
      </c>
      <c r="BY49" s="26" t="str">
        <f t="shared" si="236"/>
        <v/>
      </c>
      <c r="BZ49" s="26" t="str">
        <f t="shared" si="237"/>
        <v/>
      </c>
      <c r="CA49" s="26" t="str">
        <f t="shared" si="238"/>
        <v/>
      </c>
      <c r="CB49" s="24" t="str">
        <f t="shared" si="258"/>
        <v/>
      </c>
      <c r="CC49" s="24" t="str">
        <f t="shared" si="259"/>
        <v/>
      </c>
      <c r="CD49" s="24" t="str">
        <f t="shared" si="260"/>
        <v/>
      </c>
      <c r="CE49" s="24" t="str">
        <f t="shared" si="257"/>
        <v/>
      </c>
      <c r="CF49" s="24" t="str">
        <f t="shared" si="261"/>
        <v/>
      </c>
      <c r="CG49" s="24" t="str">
        <f>IF(OR(BA49="",AK49=""),"",BA49*(IF(OR(AK49="A",AK49="a"),4,(IF(OR(#REF!="B",AK49="b"),3,(IF(OR(AK49="C",AK49="c"),2,(IF(OR(AK49="D",AK49="d"),1.5,(IF(OR(AK49="E",AK49="e"),1,(IF(OR(AK49="F",AK49="f"),0)))))))))))))</f>
        <v/>
      </c>
      <c r="CH49" s="24" t="str">
        <f t="shared" si="262"/>
        <v/>
      </c>
      <c r="CI49" s="24" t="str">
        <f t="shared" si="239"/>
        <v/>
      </c>
      <c r="CJ49" s="26" t="str">
        <f t="shared" si="240"/>
        <v/>
      </c>
      <c r="CK49" s="26" t="str">
        <f t="shared" si="241"/>
        <v/>
      </c>
      <c r="CL49" s="26" t="str">
        <f t="shared" si="84"/>
        <v/>
      </c>
      <c r="CM49" s="24" t="str">
        <f t="shared" si="85"/>
        <v/>
      </c>
      <c r="CN49" s="26" t="str">
        <f t="shared" si="242"/>
        <v/>
      </c>
      <c r="CO49" s="24" t="str">
        <f t="shared" si="243"/>
        <v/>
      </c>
      <c r="CP49" s="26" t="str">
        <f t="shared" si="244"/>
        <v/>
      </c>
      <c r="CQ49" s="26" t="str">
        <f t="shared" si="245"/>
        <v/>
      </c>
      <c r="CR49" s="26" t="str">
        <f t="shared" si="86"/>
        <v/>
      </c>
      <c r="CS49" s="24" t="str">
        <f t="shared" si="87"/>
        <v/>
      </c>
      <c r="CT49" s="27" t="str">
        <f t="shared" si="246"/>
        <v/>
      </c>
      <c r="CU49" s="24" t="str">
        <f t="shared" si="247"/>
        <v/>
      </c>
      <c r="CV49" s="27" t="str">
        <f t="shared" si="248"/>
        <v/>
      </c>
      <c r="CW49" s="26" t="str">
        <f t="shared" si="249"/>
        <v/>
      </c>
      <c r="CX49" s="26" t="str">
        <f t="shared" si="88"/>
        <v/>
      </c>
      <c r="CY49" s="27" t="str">
        <f t="shared" si="89"/>
        <v/>
      </c>
      <c r="CZ49" s="26" t="str">
        <f t="shared" si="250"/>
        <v/>
      </c>
      <c r="DA49" s="24" t="str">
        <f t="shared" si="181"/>
        <v/>
      </c>
      <c r="DB49" s="24" t="str">
        <f t="shared" si="251"/>
        <v/>
      </c>
      <c r="DC49" s="24" t="str">
        <f t="shared" si="263"/>
        <v/>
      </c>
      <c r="DD49" s="24" t="str">
        <f t="shared" si="252"/>
        <v/>
      </c>
      <c r="DE49" s="1"/>
      <c r="DF49" s="1"/>
      <c r="DG49" s="1"/>
      <c r="DH49" s="24" t="str">
        <f t="shared" si="253"/>
        <v/>
      </c>
      <c r="DI49" s="25" t="str">
        <f t="shared" si="254"/>
        <v/>
      </c>
      <c r="DJ49" t="str">
        <f t="shared" si="255"/>
        <v/>
      </c>
      <c r="DK49" s="9"/>
      <c r="DL49" s="9"/>
      <c r="DM49" s="9"/>
      <c r="DN49" s="9"/>
      <c r="DO49" s="9"/>
      <c r="DP49" s="9"/>
      <c r="DQ49" s="136" t="b">
        <f t="shared" si="256"/>
        <v>1</v>
      </c>
    </row>
    <row r="50" spans="1:121" ht="27" customHeight="1" x14ac:dyDescent="0.95">
      <c r="A50" s="24" t="str">
        <f t="shared" si="90"/>
        <v/>
      </c>
      <c r="B50" s="9"/>
      <c r="C50" s="14"/>
      <c r="D50" s="9"/>
      <c r="E50" s="9"/>
      <c r="F50" s="1"/>
      <c r="G50" s="1"/>
      <c r="H50" s="1"/>
      <c r="I50" s="1"/>
      <c r="J50" s="1"/>
      <c r="K50" s="1"/>
      <c r="L50" s="1"/>
      <c r="M50" s="1"/>
      <c r="N50" s="1"/>
      <c r="O50" s="1"/>
      <c r="P50" s="10"/>
      <c r="Q50" s="10"/>
      <c r="R50" s="10"/>
      <c r="S50" s="10"/>
      <c r="T50" s="10"/>
      <c r="U50" s="10"/>
      <c r="V50" s="10"/>
      <c r="W50" s="3" t="str">
        <f t="shared" si="182"/>
        <v/>
      </c>
      <c r="X50" s="3" t="str">
        <f t="shared" si="183"/>
        <v/>
      </c>
      <c r="Y50" s="3" t="str">
        <f t="shared" si="184"/>
        <v/>
      </c>
      <c r="Z50" s="3" t="str">
        <f t="shared" si="185"/>
        <v/>
      </c>
      <c r="AA50" s="3" t="str">
        <f t="shared" si="186"/>
        <v/>
      </c>
      <c r="AB50" s="3" t="str">
        <f t="shared" si="187"/>
        <v/>
      </c>
      <c r="AC50" s="3" t="str">
        <f t="shared" si="188"/>
        <v/>
      </c>
      <c r="AD50" s="3" t="str">
        <f t="shared" si="189"/>
        <v/>
      </c>
      <c r="AE50" s="3" t="str">
        <f t="shared" si="190"/>
        <v/>
      </c>
      <c r="AF50" s="24" t="str">
        <f t="shared" si="191"/>
        <v/>
      </c>
      <c r="AG50" s="24" t="str">
        <f t="shared" si="192"/>
        <v/>
      </c>
      <c r="AH50" s="24" t="str">
        <f t="shared" si="193"/>
        <v/>
      </c>
      <c r="AI50" s="24" t="str">
        <f t="shared" si="194"/>
        <v/>
      </c>
      <c r="AJ50" s="24" t="str">
        <f t="shared" si="195"/>
        <v/>
      </c>
      <c r="AK50" s="24" t="str">
        <f t="shared" si="196"/>
        <v/>
      </c>
      <c r="AL50" s="24" t="str">
        <f t="shared" si="197"/>
        <v/>
      </c>
      <c r="AM50" s="24" t="str">
        <f t="shared" si="198"/>
        <v/>
      </c>
      <c r="AN50" s="24" t="str">
        <f t="shared" si="199"/>
        <v/>
      </c>
      <c r="AO50" s="24" t="str">
        <f t="shared" si="200"/>
        <v/>
      </c>
      <c r="AP50" s="24" t="str">
        <f t="shared" si="201"/>
        <v/>
      </c>
      <c r="AQ50" s="24" t="str">
        <f t="shared" si="202"/>
        <v/>
      </c>
      <c r="AR50" s="24" t="str">
        <f t="shared" si="203"/>
        <v/>
      </c>
      <c r="AS50" s="24" t="str">
        <f t="shared" si="204"/>
        <v/>
      </c>
      <c r="AT50" s="24" t="str">
        <f t="shared" si="205"/>
        <v/>
      </c>
      <c r="AU50" s="24" t="str">
        <f t="shared" si="206"/>
        <v/>
      </c>
      <c r="AV50" s="24" t="str">
        <f t="shared" si="207"/>
        <v/>
      </c>
      <c r="AW50" s="24" t="str">
        <f t="shared" si="208"/>
        <v/>
      </c>
      <c r="AX50" s="24" t="str">
        <f t="shared" si="209"/>
        <v/>
      </c>
      <c r="AY50" s="24" t="str">
        <f t="shared" si="210"/>
        <v/>
      </c>
      <c r="AZ50" s="24" t="str">
        <f t="shared" si="211"/>
        <v/>
      </c>
      <c r="BA50" s="24" t="str">
        <f t="shared" si="212"/>
        <v/>
      </c>
      <c r="BB50" s="24" t="str">
        <f t="shared" si="213"/>
        <v/>
      </c>
      <c r="BC50" s="24" t="str">
        <f t="shared" si="214"/>
        <v/>
      </c>
      <c r="BD50" s="24" t="str">
        <f t="shared" si="215"/>
        <v/>
      </c>
      <c r="BE50" s="24" t="str">
        <f t="shared" si="216"/>
        <v/>
      </c>
      <c r="BF50" s="24" t="str">
        <f t="shared" si="217"/>
        <v/>
      </c>
      <c r="BG50" s="24" t="str">
        <f t="shared" si="218"/>
        <v/>
      </c>
      <c r="BH50" s="24" t="str">
        <f t="shared" si="219"/>
        <v/>
      </c>
      <c r="BI50" s="24" t="str">
        <f t="shared" si="220"/>
        <v/>
      </c>
      <c r="BJ50" s="24" t="str">
        <f t="shared" si="221"/>
        <v/>
      </c>
      <c r="BK50" s="24" t="str">
        <f t="shared" si="222"/>
        <v/>
      </c>
      <c r="BL50" s="26" t="str">
        <f t="shared" si="223"/>
        <v/>
      </c>
      <c r="BM50" s="26" t="str">
        <f t="shared" si="224"/>
        <v/>
      </c>
      <c r="BN50" s="26" t="str">
        <f t="shared" si="225"/>
        <v/>
      </c>
      <c r="BO50" s="26" t="str">
        <f t="shared" si="226"/>
        <v/>
      </c>
      <c r="BP50" s="26" t="str">
        <f t="shared" si="227"/>
        <v/>
      </c>
      <c r="BQ50" s="26" t="str">
        <f t="shared" si="228"/>
        <v/>
      </c>
      <c r="BR50" s="26" t="str">
        <f t="shared" si="229"/>
        <v/>
      </c>
      <c r="BS50" s="26" t="str">
        <f t="shared" si="230"/>
        <v/>
      </c>
      <c r="BT50" s="26" t="str">
        <f t="shared" si="231"/>
        <v/>
      </c>
      <c r="BU50" s="26" t="str">
        <f t="shared" si="232"/>
        <v/>
      </c>
      <c r="BV50" s="26" t="str">
        <f t="shared" si="233"/>
        <v/>
      </c>
      <c r="BW50" s="26" t="str">
        <f t="shared" si="234"/>
        <v/>
      </c>
      <c r="BX50" s="26" t="str">
        <f t="shared" si="235"/>
        <v/>
      </c>
      <c r="BY50" s="26" t="str">
        <f t="shared" si="236"/>
        <v/>
      </c>
      <c r="BZ50" s="26" t="str">
        <f t="shared" si="237"/>
        <v/>
      </c>
      <c r="CA50" s="26" t="str">
        <f t="shared" si="238"/>
        <v/>
      </c>
      <c r="CB50" s="24" t="str">
        <f t="shared" si="258"/>
        <v/>
      </c>
      <c r="CC50" s="24" t="str">
        <f t="shared" si="259"/>
        <v/>
      </c>
      <c r="CD50" s="24" t="str">
        <f t="shared" si="260"/>
        <v/>
      </c>
      <c r="CE50" s="24" t="str">
        <f t="shared" si="257"/>
        <v/>
      </c>
      <c r="CF50" s="24" t="str">
        <f t="shared" si="261"/>
        <v/>
      </c>
      <c r="CG50" s="24" t="str">
        <f>IF(OR(BA50="",AK50=""),"",BA50*(IF(OR(AK50="A",AK50="a"),4,(IF(OR(#REF!="B",AK50="b"),3,(IF(OR(AK50="C",AK50="c"),2,(IF(OR(AK50="D",AK50="d"),1.5,(IF(OR(AK50="E",AK50="e"),1,(IF(OR(AK50="F",AK50="f"),0)))))))))))))</f>
        <v/>
      </c>
      <c r="CH50" s="24" t="str">
        <f t="shared" si="262"/>
        <v/>
      </c>
      <c r="CI50" s="24" t="str">
        <f t="shared" si="239"/>
        <v/>
      </c>
      <c r="CJ50" s="26" t="str">
        <f t="shared" si="240"/>
        <v/>
      </c>
      <c r="CK50" s="26" t="str">
        <f t="shared" si="241"/>
        <v/>
      </c>
      <c r="CL50" s="26" t="str">
        <f t="shared" si="84"/>
        <v/>
      </c>
      <c r="CM50" s="24" t="str">
        <f t="shared" si="85"/>
        <v/>
      </c>
      <c r="CN50" s="26" t="str">
        <f t="shared" si="242"/>
        <v/>
      </c>
      <c r="CO50" s="24" t="str">
        <f t="shared" si="243"/>
        <v/>
      </c>
      <c r="CP50" s="26" t="str">
        <f t="shared" si="244"/>
        <v/>
      </c>
      <c r="CQ50" s="26" t="str">
        <f t="shared" si="245"/>
        <v/>
      </c>
      <c r="CR50" s="26" t="str">
        <f t="shared" si="86"/>
        <v/>
      </c>
      <c r="CS50" s="24" t="str">
        <f t="shared" si="87"/>
        <v/>
      </c>
      <c r="CT50" s="27" t="str">
        <f t="shared" si="246"/>
        <v/>
      </c>
      <c r="CU50" s="24" t="str">
        <f t="shared" si="247"/>
        <v/>
      </c>
      <c r="CV50" s="27" t="str">
        <f t="shared" si="248"/>
        <v/>
      </c>
      <c r="CW50" s="26" t="str">
        <f t="shared" si="249"/>
        <v/>
      </c>
      <c r="CX50" s="26" t="str">
        <f t="shared" si="88"/>
        <v/>
      </c>
      <c r="CY50" s="27" t="str">
        <f t="shared" si="89"/>
        <v/>
      </c>
      <c r="CZ50" s="26" t="str">
        <f t="shared" si="250"/>
        <v/>
      </c>
      <c r="DA50" s="24" t="str">
        <f t="shared" si="181"/>
        <v/>
      </c>
      <c r="DB50" s="24" t="str">
        <f t="shared" si="251"/>
        <v/>
      </c>
      <c r="DC50" s="24" t="str">
        <f t="shared" si="263"/>
        <v/>
      </c>
      <c r="DD50" s="24" t="str">
        <f t="shared" si="252"/>
        <v/>
      </c>
      <c r="DE50" s="1"/>
      <c r="DF50" s="1"/>
      <c r="DG50" s="1"/>
      <c r="DH50" s="24" t="str">
        <f t="shared" si="253"/>
        <v/>
      </c>
      <c r="DI50" s="25" t="str">
        <f t="shared" si="254"/>
        <v/>
      </c>
      <c r="DJ50" t="str">
        <f t="shared" si="255"/>
        <v/>
      </c>
      <c r="DK50" s="9"/>
      <c r="DL50" s="9"/>
      <c r="DM50" s="9"/>
      <c r="DN50" s="9"/>
      <c r="DO50" s="9"/>
      <c r="DP50" s="9"/>
      <c r="DQ50" s="136" t="b">
        <f t="shared" si="256"/>
        <v>1</v>
      </c>
    </row>
    <row r="51" spans="1:121" ht="27" customHeight="1" x14ac:dyDescent="0.95">
      <c r="A51" s="24" t="str">
        <f t="shared" si="90"/>
        <v/>
      </c>
      <c r="B51" s="9"/>
      <c r="C51" s="14"/>
      <c r="D51" s="9"/>
      <c r="E51" s="9"/>
      <c r="F51" s="1"/>
      <c r="G51" s="1"/>
      <c r="H51" s="1"/>
      <c r="I51" s="1"/>
      <c r="J51" s="1"/>
      <c r="K51" s="1"/>
      <c r="L51" s="1"/>
      <c r="M51" s="1"/>
      <c r="N51" s="1"/>
      <c r="O51" s="1"/>
      <c r="P51" s="10"/>
      <c r="Q51" s="10"/>
      <c r="R51" s="10"/>
      <c r="S51" s="10"/>
      <c r="T51" s="10"/>
      <c r="U51" s="10"/>
      <c r="V51" s="10"/>
      <c r="W51" s="3" t="str">
        <f t="shared" si="182"/>
        <v/>
      </c>
      <c r="X51" s="3" t="str">
        <f t="shared" si="183"/>
        <v/>
      </c>
      <c r="Y51" s="3" t="str">
        <f t="shared" si="184"/>
        <v/>
      </c>
      <c r="Z51" s="3" t="str">
        <f t="shared" si="185"/>
        <v/>
      </c>
      <c r="AA51" s="3" t="str">
        <f t="shared" si="186"/>
        <v/>
      </c>
      <c r="AB51" s="3" t="str">
        <f t="shared" si="187"/>
        <v/>
      </c>
      <c r="AC51" s="3" t="str">
        <f t="shared" si="188"/>
        <v/>
      </c>
      <c r="AD51" s="3" t="str">
        <f t="shared" si="189"/>
        <v/>
      </c>
      <c r="AE51" s="3" t="str">
        <f t="shared" si="190"/>
        <v/>
      </c>
      <c r="AF51" s="24" t="str">
        <f t="shared" si="191"/>
        <v/>
      </c>
      <c r="AG51" s="24" t="str">
        <f t="shared" si="192"/>
        <v/>
      </c>
      <c r="AH51" s="24" t="str">
        <f t="shared" si="193"/>
        <v/>
      </c>
      <c r="AI51" s="24" t="str">
        <f t="shared" si="194"/>
        <v/>
      </c>
      <c r="AJ51" s="24" t="str">
        <f t="shared" si="195"/>
        <v/>
      </c>
      <c r="AK51" s="24" t="str">
        <f t="shared" si="196"/>
        <v/>
      </c>
      <c r="AL51" s="24" t="str">
        <f t="shared" si="197"/>
        <v/>
      </c>
      <c r="AM51" s="24" t="str">
        <f t="shared" si="198"/>
        <v/>
      </c>
      <c r="AN51" s="24" t="str">
        <f t="shared" si="199"/>
        <v/>
      </c>
      <c r="AO51" s="24" t="str">
        <f t="shared" si="200"/>
        <v/>
      </c>
      <c r="AP51" s="24" t="str">
        <f t="shared" si="201"/>
        <v/>
      </c>
      <c r="AQ51" s="24" t="str">
        <f t="shared" si="202"/>
        <v/>
      </c>
      <c r="AR51" s="24" t="str">
        <f t="shared" si="203"/>
        <v/>
      </c>
      <c r="AS51" s="24" t="str">
        <f t="shared" si="204"/>
        <v/>
      </c>
      <c r="AT51" s="24" t="str">
        <f t="shared" si="205"/>
        <v/>
      </c>
      <c r="AU51" s="24" t="str">
        <f t="shared" si="206"/>
        <v/>
      </c>
      <c r="AV51" s="24" t="str">
        <f t="shared" si="207"/>
        <v/>
      </c>
      <c r="AW51" s="24" t="str">
        <f t="shared" si="208"/>
        <v/>
      </c>
      <c r="AX51" s="24" t="str">
        <f t="shared" si="209"/>
        <v/>
      </c>
      <c r="AY51" s="24" t="str">
        <f t="shared" si="210"/>
        <v/>
      </c>
      <c r="AZ51" s="24" t="str">
        <f t="shared" si="211"/>
        <v/>
      </c>
      <c r="BA51" s="24" t="str">
        <f t="shared" si="212"/>
        <v/>
      </c>
      <c r="BB51" s="24" t="str">
        <f t="shared" si="213"/>
        <v/>
      </c>
      <c r="BC51" s="24" t="str">
        <f t="shared" si="214"/>
        <v/>
      </c>
      <c r="BD51" s="24" t="str">
        <f t="shared" si="215"/>
        <v/>
      </c>
      <c r="BE51" s="24" t="str">
        <f t="shared" si="216"/>
        <v/>
      </c>
      <c r="BF51" s="24" t="str">
        <f t="shared" si="217"/>
        <v/>
      </c>
      <c r="BG51" s="24" t="str">
        <f t="shared" si="218"/>
        <v/>
      </c>
      <c r="BH51" s="24" t="str">
        <f t="shared" si="219"/>
        <v/>
      </c>
      <c r="BI51" s="24" t="str">
        <f t="shared" si="220"/>
        <v/>
      </c>
      <c r="BJ51" s="24" t="str">
        <f t="shared" si="221"/>
        <v/>
      </c>
      <c r="BK51" s="24" t="str">
        <f t="shared" si="222"/>
        <v/>
      </c>
      <c r="BL51" s="26" t="str">
        <f t="shared" si="223"/>
        <v/>
      </c>
      <c r="BM51" s="26" t="str">
        <f t="shared" si="224"/>
        <v/>
      </c>
      <c r="BN51" s="26" t="str">
        <f t="shared" si="225"/>
        <v/>
      </c>
      <c r="BO51" s="26" t="str">
        <f t="shared" si="226"/>
        <v/>
      </c>
      <c r="BP51" s="26" t="str">
        <f t="shared" si="227"/>
        <v/>
      </c>
      <c r="BQ51" s="26" t="str">
        <f t="shared" si="228"/>
        <v/>
      </c>
      <c r="BR51" s="26" t="str">
        <f t="shared" si="229"/>
        <v/>
      </c>
      <c r="BS51" s="26" t="str">
        <f t="shared" si="230"/>
        <v/>
      </c>
      <c r="BT51" s="26" t="str">
        <f t="shared" si="231"/>
        <v/>
      </c>
      <c r="BU51" s="26" t="str">
        <f t="shared" si="232"/>
        <v/>
      </c>
      <c r="BV51" s="26" t="str">
        <f t="shared" si="233"/>
        <v/>
      </c>
      <c r="BW51" s="26" t="str">
        <f t="shared" si="234"/>
        <v/>
      </c>
      <c r="BX51" s="26" t="str">
        <f t="shared" si="235"/>
        <v/>
      </c>
      <c r="BY51" s="26" t="str">
        <f t="shared" si="236"/>
        <v/>
      </c>
      <c r="BZ51" s="26" t="str">
        <f t="shared" si="237"/>
        <v/>
      </c>
      <c r="CA51" s="26" t="str">
        <f t="shared" si="238"/>
        <v/>
      </c>
      <c r="CB51" s="24" t="str">
        <f t="shared" si="258"/>
        <v/>
      </c>
      <c r="CC51" s="24" t="str">
        <f t="shared" si="259"/>
        <v/>
      </c>
      <c r="CD51" s="24" t="str">
        <f t="shared" si="260"/>
        <v/>
      </c>
      <c r="CE51" s="24" t="str">
        <f t="shared" si="257"/>
        <v/>
      </c>
      <c r="CF51" s="24" t="str">
        <f t="shared" si="261"/>
        <v/>
      </c>
      <c r="CG51" s="24" t="str">
        <f>IF(OR(BA51="",AK51=""),"",BA51*(IF(OR(AK51="A",AK51="a"),4,(IF(OR(#REF!="B",AK51="b"),3,(IF(OR(AK51="C",AK51="c"),2,(IF(OR(AK51="D",AK51="d"),1.5,(IF(OR(AK51="E",AK51="e"),1,(IF(OR(AK51="F",AK51="f"),0)))))))))))))</f>
        <v/>
      </c>
      <c r="CH51" s="24" t="str">
        <f t="shared" si="262"/>
        <v/>
      </c>
      <c r="CI51" s="24" t="str">
        <f t="shared" si="239"/>
        <v/>
      </c>
      <c r="CJ51" s="26" t="str">
        <f t="shared" si="240"/>
        <v/>
      </c>
      <c r="CK51" s="26" t="str">
        <f t="shared" si="241"/>
        <v/>
      </c>
      <c r="CL51" s="26" t="str">
        <f t="shared" si="84"/>
        <v/>
      </c>
      <c r="CM51" s="24" t="str">
        <f t="shared" si="85"/>
        <v/>
      </c>
      <c r="CN51" s="26" t="str">
        <f t="shared" si="242"/>
        <v/>
      </c>
      <c r="CO51" s="24" t="str">
        <f t="shared" si="243"/>
        <v/>
      </c>
      <c r="CP51" s="26" t="str">
        <f t="shared" si="244"/>
        <v/>
      </c>
      <c r="CQ51" s="26" t="str">
        <f t="shared" si="245"/>
        <v/>
      </c>
      <c r="CR51" s="26" t="str">
        <f t="shared" si="86"/>
        <v/>
      </c>
      <c r="CS51" s="24" t="str">
        <f t="shared" si="87"/>
        <v/>
      </c>
      <c r="CT51" s="27" t="str">
        <f t="shared" si="246"/>
        <v/>
      </c>
      <c r="CU51" s="24" t="str">
        <f t="shared" si="247"/>
        <v/>
      </c>
      <c r="CV51" s="27" t="str">
        <f t="shared" si="248"/>
        <v/>
      </c>
      <c r="CW51" s="26" t="str">
        <f t="shared" si="249"/>
        <v/>
      </c>
      <c r="CX51" s="26" t="str">
        <f t="shared" si="88"/>
        <v/>
      </c>
      <c r="CY51" s="27" t="str">
        <f t="shared" si="89"/>
        <v/>
      </c>
      <c r="CZ51" s="26" t="str">
        <f t="shared" si="250"/>
        <v/>
      </c>
      <c r="DA51" s="24" t="str">
        <f t="shared" si="181"/>
        <v/>
      </c>
      <c r="DB51" s="24" t="str">
        <f t="shared" si="251"/>
        <v/>
      </c>
      <c r="DC51" s="24" t="str">
        <f t="shared" si="263"/>
        <v/>
      </c>
      <c r="DD51" s="24" t="str">
        <f t="shared" si="252"/>
        <v/>
      </c>
      <c r="DE51" s="1"/>
      <c r="DF51" s="1"/>
      <c r="DG51" s="1"/>
      <c r="DH51" s="24" t="str">
        <f t="shared" si="253"/>
        <v/>
      </c>
      <c r="DI51" s="25" t="str">
        <f t="shared" si="254"/>
        <v/>
      </c>
      <c r="DJ51" t="str">
        <f t="shared" si="255"/>
        <v/>
      </c>
      <c r="DK51" s="9"/>
      <c r="DL51" s="9"/>
      <c r="DM51" s="9"/>
      <c r="DN51" s="9"/>
      <c r="DO51" s="9"/>
      <c r="DP51" s="9"/>
      <c r="DQ51" s="136" t="b">
        <f t="shared" si="256"/>
        <v>1</v>
      </c>
    </row>
    <row r="52" spans="1:121" ht="27" customHeight="1" x14ac:dyDescent="0.95">
      <c r="A52" s="24" t="str">
        <f t="shared" si="90"/>
        <v/>
      </c>
      <c r="B52" s="9"/>
      <c r="C52" s="14"/>
      <c r="D52" s="9"/>
      <c r="E52" s="9"/>
      <c r="F52" s="1"/>
      <c r="G52" s="1"/>
      <c r="H52" s="1"/>
      <c r="I52" s="1"/>
      <c r="J52" s="1"/>
      <c r="K52" s="1"/>
      <c r="L52" s="1"/>
      <c r="M52" s="1"/>
      <c r="N52" s="1"/>
      <c r="O52" s="1"/>
      <c r="P52" s="10"/>
      <c r="Q52" s="10"/>
      <c r="R52" s="10"/>
      <c r="S52" s="10"/>
      <c r="T52" s="10"/>
      <c r="U52" s="10"/>
      <c r="V52" s="10"/>
      <c r="W52" s="3" t="str">
        <f t="shared" si="182"/>
        <v/>
      </c>
      <c r="X52" s="3" t="str">
        <f t="shared" si="183"/>
        <v/>
      </c>
      <c r="Y52" s="3" t="str">
        <f t="shared" si="184"/>
        <v/>
      </c>
      <c r="Z52" s="3" t="str">
        <f t="shared" si="185"/>
        <v/>
      </c>
      <c r="AA52" s="3" t="str">
        <f t="shared" si="186"/>
        <v/>
      </c>
      <c r="AB52" s="3" t="str">
        <f t="shared" si="187"/>
        <v/>
      </c>
      <c r="AC52" s="3" t="str">
        <f t="shared" si="188"/>
        <v/>
      </c>
      <c r="AD52" s="3" t="str">
        <f t="shared" si="189"/>
        <v/>
      </c>
      <c r="AE52" s="3" t="str">
        <f t="shared" si="190"/>
        <v/>
      </c>
      <c r="AF52" s="24" t="str">
        <f t="shared" si="191"/>
        <v/>
      </c>
      <c r="AG52" s="24" t="str">
        <f t="shared" si="192"/>
        <v/>
      </c>
      <c r="AH52" s="24" t="str">
        <f t="shared" si="193"/>
        <v/>
      </c>
      <c r="AI52" s="24" t="str">
        <f t="shared" si="194"/>
        <v/>
      </c>
      <c r="AJ52" s="24" t="str">
        <f t="shared" si="195"/>
        <v/>
      </c>
      <c r="AK52" s="24" t="str">
        <f t="shared" si="196"/>
        <v/>
      </c>
      <c r="AL52" s="24" t="str">
        <f t="shared" si="197"/>
        <v/>
      </c>
      <c r="AM52" s="24" t="str">
        <f t="shared" si="198"/>
        <v/>
      </c>
      <c r="AN52" s="24" t="str">
        <f t="shared" si="199"/>
        <v/>
      </c>
      <c r="AO52" s="24" t="str">
        <f t="shared" si="200"/>
        <v/>
      </c>
      <c r="AP52" s="24" t="str">
        <f t="shared" si="201"/>
        <v/>
      </c>
      <c r="AQ52" s="24" t="str">
        <f t="shared" si="202"/>
        <v/>
      </c>
      <c r="AR52" s="24" t="str">
        <f t="shared" si="203"/>
        <v/>
      </c>
      <c r="AS52" s="24" t="str">
        <f t="shared" si="204"/>
        <v/>
      </c>
      <c r="AT52" s="24" t="str">
        <f t="shared" si="205"/>
        <v/>
      </c>
      <c r="AU52" s="24" t="str">
        <f t="shared" si="206"/>
        <v/>
      </c>
      <c r="AV52" s="24" t="str">
        <f t="shared" si="207"/>
        <v/>
      </c>
      <c r="AW52" s="24" t="str">
        <f t="shared" si="208"/>
        <v/>
      </c>
      <c r="AX52" s="24" t="str">
        <f t="shared" si="209"/>
        <v/>
      </c>
      <c r="AY52" s="24" t="str">
        <f t="shared" si="210"/>
        <v/>
      </c>
      <c r="AZ52" s="24" t="str">
        <f t="shared" si="211"/>
        <v/>
      </c>
      <c r="BA52" s="24" t="str">
        <f t="shared" si="212"/>
        <v/>
      </c>
      <c r="BB52" s="24" t="str">
        <f t="shared" si="213"/>
        <v/>
      </c>
      <c r="BC52" s="24" t="str">
        <f t="shared" si="214"/>
        <v/>
      </c>
      <c r="BD52" s="24" t="str">
        <f t="shared" si="215"/>
        <v/>
      </c>
      <c r="BE52" s="24" t="str">
        <f t="shared" si="216"/>
        <v/>
      </c>
      <c r="BF52" s="24" t="str">
        <f t="shared" si="217"/>
        <v/>
      </c>
      <c r="BG52" s="24" t="str">
        <f t="shared" si="218"/>
        <v/>
      </c>
      <c r="BH52" s="24" t="str">
        <f t="shared" si="219"/>
        <v/>
      </c>
      <c r="BI52" s="24" t="str">
        <f t="shared" si="220"/>
        <v/>
      </c>
      <c r="BJ52" s="24" t="str">
        <f t="shared" si="221"/>
        <v/>
      </c>
      <c r="BK52" s="24" t="str">
        <f t="shared" si="222"/>
        <v/>
      </c>
      <c r="BL52" s="26" t="str">
        <f t="shared" si="223"/>
        <v/>
      </c>
      <c r="BM52" s="26" t="str">
        <f t="shared" si="224"/>
        <v/>
      </c>
      <c r="BN52" s="26" t="str">
        <f t="shared" si="225"/>
        <v/>
      </c>
      <c r="BO52" s="26" t="str">
        <f t="shared" si="226"/>
        <v/>
      </c>
      <c r="BP52" s="26" t="str">
        <f t="shared" si="227"/>
        <v/>
      </c>
      <c r="BQ52" s="26" t="str">
        <f t="shared" si="228"/>
        <v/>
      </c>
      <c r="BR52" s="26" t="str">
        <f t="shared" si="229"/>
        <v/>
      </c>
      <c r="BS52" s="26" t="str">
        <f t="shared" si="230"/>
        <v/>
      </c>
      <c r="BT52" s="26" t="str">
        <f t="shared" si="231"/>
        <v/>
      </c>
      <c r="BU52" s="26" t="str">
        <f t="shared" si="232"/>
        <v/>
      </c>
      <c r="BV52" s="26" t="str">
        <f t="shared" si="233"/>
        <v/>
      </c>
      <c r="BW52" s="26" t="str">
        <f t="shared" si="234"/>
        <v/>
      </c>
      <c r="BX52" s="26" t="str">
        <f t="shared" si="235"/>
        <v/>
      </c>
      <c r="BY52" s="26" t="str">
        <f t="shared" si="236"/>
        <v/>
      </c>
      <c r="BZ52" s="26" t="str">
        <f t="shared" si="237"/>
        <v/>
      </c>
      <c r="CA52" s="26" t="str">
        <f t="shared" si="238"/>
        <v/>
      </c>
      <c r="CB52" s="24" t="str">
        <f t="shared" si="258"/>
        <v/>
      </c>
      <c r="CC52" s="24" t="str">
        <f t="shared" si="259"/>
        <v/>
      </c>
      <c r="CD52" s="24" t="str">
        <f t="shared" si="260"/>
        <v/>
      </c>
      <c r="CE52" s="24" t="str">
        <f t="shared" si="257"/>
        <v/>
      </c>
      <c r="CF52" s="24" t="str">
        <f t="shared" si="261"/>
        <v/>
      </c>
      <c r="CG52" s="24" t="str">
        <f>IF(OR(BA52="",AK52=""),"",BA52*(IF(OR(AK52="A",AK52="a"),4,(IF(OR(#REF!="B",AK52="b"),3,(IF(OR(AK52="C",AK52="c"),2,(IF(OR(AK52="D",AK52="d"),1.5,(IF(OR(AK52="E",AK52="e"),1,(IF(OR(AK52="F",AK52="f"),0)))))))))))))</f>
        <v/>
      </c>
      <c r="CH52" s="24" t="str">
        <f t="shared" si="262"/>
        <v/>
      </c>
      <c r="CI52" s="24" t="str">
        <f t="shared" si="239"/>
        <v/>
      </c>
      <c r="CJ52" s="26" t="str">
        <f t="shared" si="240"/>
        <v/>
      </c>
      <c r="CK52" s="26" t="str">
        <f t="shared" si="241"/>
        <v/>
      </c>
      <c r="CL52" s="26" t="str">
        <f t="shared" si="84"/>
        <v/>
      </c>
      <c r="CM52" s="24" t="str">
        <f t="shared" si="85"/>
        <v/>
      </c>
      <c r="CN52" s="26" t="str">
        <f t="shared" si="242"/>
        <v/>
      </c>
      <c r="CO52" s="24" t="str">
        <f t="shared" si="243"/>
        <v/>
      </c>
      <c r="CP52" s="26" t="str">
        <f t="shared" si="244"/>
        <v/>
      </c>
      <c r="CQ52" s="26" t="str">
        <f t="shared" si="245"/>
        <v/>
      </c>
      <c r="CR52" s="26" t="str">
        <f t="shared" si="86"/>
        <v/>
      </c>
      <c r="CS52" s="24" t="str">
        <f t="shared" si="87"/>
        <v/>
      </c>
      <c r="CT52" s="27" t="str">
        <f t="shared" si="246"/>
        <v/>
      </c>
      <c r="CU52" s="24" t="str">
        <f t="shared" si="247"/>
        <v/>
      </c>
      <c r="CV52" s="27" t="str">
        <f t="shared" si="248"/>
        <v/>
      </c>
      <c r="CW52" s="26" t="str">
        <f t="shared" si="249"/>
        <v/>
      </c>
      <c r="CX52" s="26" t="str">
        <f t="shared" si="88"/>
        <v/>
      </c>
      <c r="CY52" s="27" t="str">
        <f t="shared" si="89"/>
        <v/>
      </c>
      <c r="CZ52" s="26" t="str">
        <f t="shared" si="250"/>
        <v/>
      </c>
      <c r="DA52" s="24" t="str">
        <f t="shared" si="181"/>
        <v/>
      </c>
      <c r="DB52" s="24" t="str">
        <f t="shared" si="251"/>
        <v/>
      </c>
      <c r="DC52" s="24" t="str">
        <f t="shared" si="263"/>
        <v/>
      </c>
      <c r="DD52" s="24" t="str">
        <f t="shared" si="252"/>
        <v/>
      </c>
      <c r="DE52" s="1"/>
      <c r="DF52" s="1"/>
      <c r="DG52" s="1"/>
      <c r="DH52" s="24" t="str">
        <f t="shared" si="253"/>
        <v/>
      </c>
      <c r="DI52" s="25" t="str">
        <f t="shared" si="254"/>
        <v/>
      </c>
      <c r="DJ52" t="str">
        <f t="shared" si="255"/>
        <v/>
      </c>
      <c r="DK52" s="9"/>
      <c r="DL52" s="9"/>
      <c r="DM52" s="9"/>
      <c r="DN52" s="9"/>
      <c r="DO52" s="9"/>
      <c r="DP52" s="9"/>
      <c r="DQ52" s="136" t="b">
        <f t="shared" si="256"/>
        <v>1</v>
      </c>
    </row>
    <row r="53" spans="1:121" ht="27" customHeight="1" x14ac:dyDescent="0.95">
      <c r="A53" s="24" t="str">
        <f t="shared" si="90"/>
        <v/>
      </c>
      <c r="B53" s="9"/>
      <c r="C53" s="14"/>
      <c r="D53" s="9"/>
      <c r="E53" s="9"/>
      <c r="F53" s="1"/>
      <c r="G53" s="1"/>
      <c r="H53" s="1"/>
      <c r="I53" s="1"/>
      <c r="J53" s="1"/>
      <c r="K53" s="1"/>
      <c r="L53" s="1"/>
      <c r="M53" s="1"/>
      <c r="N53" s="1"/>
      <c r="O53" s="1"/>
      <c r="P53" s="10"/>
      <c r="Q53" s="10"/>
      <c r="R53" s="10"/>
      <c r="S53" s="10"/>
      <c r="T53" s="10"/>
      <c r="U53" s="10"/>
      <c r="V53" s="10"/>
      <c r="W53" s="3" t="str">
        <f t="shared" si="182"/>
        <v/>
      </c>
      <c r="X53" s="3" t="str">
        <f t="shared" si="183"/>
        <v/>
      </c>
      <c r="Y53" s="3" t="str">
        <f t="shared" si="184"/>
        <v/>
      </c>
      <c r="Z53" s="3" t="str">
        <f t="shared" si="185"/>
        <v/>
      </c>
      <c r="AA53" s="3" t="str">
        <f t="shared" si="186"/>
        <v/>
      </c>
      <c r="AB53" s="3" t="str">
        <f t="shared" si="187"/>
        <v/>
      </c>
      <c r="AC53" s="3" t="str">
        <f t="shared" si="188"/>
        <v/>
      </c>
      <c r="AD53" s="3" t="str">
        <f t="shared" si="189"/>
        <v/>
      </c>
      <c r="AE53" s="3" t="str">
        <f t="shared" si="190"/>
        <v/>
      </c>
      <c r="AF53" s="24" t="str">
        <f t="shared" si="191"/>
        <v/>
      </c>
      <c r="AG53" s="24" t="str">
        <f t="shared" si="192"/>
        <v/>
      </c>
      <c r="AH53" s="24" t="str">
        <f t="shared" si="193"/>
        <v/>
      </c>
      <c r="AI53" s="24" t="str">
        <f t="shared" si="194"/>
        <v/>
      </c>
      <c r="AJ53" s="24" t="str">
        <f t="shared" si="195"/>
        <v/>
      </c>
      <c r="AK53" s="24" t="str">
        <f t="shared" si="196"/>
        <v/>
      </c>
      <c r="AL53" s="24" t="str">
        <f t="shared" si="197"/>
        <v/>
      </c>
      <c r="AM53" s="24" t="str">
        <f t="shared" si="198"/>
        <v/>
      </c>
      <c r="AN53" s="24" t="str">
        <f t="shared" si="199"/>
        <v/>
      </c>
      <c r="AO53" s="24" t="str">
        <f t="shared" si="200"/>
        <v/>
      </c>
      <c r="AP53" s="24" t="str">
        <f t="shared" si="201"/>
        <v/>
      </c>
      <c r="AQ53" s="24" t="str">
        <f t="shared" si="202"/>
        <v/>
      </c>
      <c r="AR53" s="24" t="str">
        <f t="shared" si="203"/>
        <v/>
      </c>
      <c r="AS53" s="24" t="str">
        <f t="shared" si="204"/>
        <v/>
      </c>
      <c r="AT53" s="24" t="str">
        <f t="shared" si="205"/>
        <v/>
      </c>
      <c r="AU53" s="24" t="str">
        <f t="shared" si="206"/>
        <v/>
      </c>
      <c r="AV53" s="24" t="str">
        <f t="shared" si="207"/>
        <v/>
      </c>
      <c r="AW53" s="24" t="str">
        <f t="shared" si="208"/>
        <v/>
      </c>
      <c r="AX53" s="24" t="str">
        <f t="shared" si="209"/>
        <v/>
      </c>
      <c r="AY53" s="24" t="str">
        <f t="shared" si="210"/>
        <v/>
      </c>
      <c r="AZ53" s="24" t="str">
        <f t="shared" si="211"/>
        <v/>
      </c>
      <c r="BA53" s="24" t="str">
        <f t="shared" si="212"/>
        <v/>
      </c>
      <c r="BB53" s="24" t="str">
        <f t="shared" si="213"/>
        <v/>
      </c>
      <c r="BC53" s="24" t="str">
        <f t="shared" si="214"/>
        <v/>
      </c>
      <c r="BD53" s="24" t="str">
        <f t="shared" si="215"/>
        <v/>
      </c>
      <c r="BE53" s="24" t="str">
        <f t="shared" si="216"/>
        <v/>
      </c>
      <c r="BF53" s="24" t="str">
        <f t="shared" si="217"/>
        <v/>
      </c>
      <c r="BG53" s="24" t="str">
        <f t="shared" si="218"/>
        <v/>
      </c>
      <c r="BH53" s="24" t="str">
        <f t="shared" si="219"/>
        <v/>
      </c>
      <c r="BI53" s="24" t="str">
        <f t="shared" si="220"/>
        <v/>
      </c>
      <c r="BJ53" s="24" t="str">
        <f t="shared" si="221"/>
        <v/>
      </c>
      <c r="BK53" s="24" t="str">
        <f t="shared" si="222"/>
        <v/>
      </c>
      <c r="BL53" s="26" t="str">
        <f t="shared" si="223"/>
        <v/>
      </c>
      <c r="BM53" s="26" t="str">
        <f t="shared" si="224"/>
        <v/>
      </c>
      <c r="BN53" s="26" t="str">
        <f t="shared" si="225"/>
        <v/>
      </c>
      <c r="BO53" s="26" t="str">
        <f t="shared" si="226"/>
        <v/>
      </c>
      <c r="BP53" s="26" t="str">
        <f t="shared" si="227"/>
        <v/>
      </c>
      <c r="BQ53" s="26" t="str">
        <f t="shared" si="228"/>
        <v/>
      </c>
      <c r="BR53" s="26" t="str">
        <f t="shared" si="229"/>
        <v/>
      </c>
      <c r="BS53" s="26" t="str">
        <f t="shared" si="230"/>
        <v/>
      </c>
      <c r="BT53" s="26" t="str">
        <f t="shared" si="231"/>
        <v/>
      </c>
      <c r="BU53" s="26" t="str">
        <f t="shared" si="232"/>
        <v/>
      </c>
      <c r="BV53" s="26" t="str">
        <f t="shared" si="233"/>
        <v/>
      </c>
      <c r="BW53" s="26" t="str">
        <f t="shared" si="234"/>
        <v/>
      </c>
      <c r="BX53" s="26" t="str">
        <f t="shared" si="235"/>
        <v/>
      </c>
      <c r="BY53" s="26" t="str">
        <f t="shared" si="236"/>
        <v/>
      </c>
      <c r="BZ53" s="26" t="str">
        <f t="shared" si="237"/>
        <v/>
      </c>
      <c r="CA53" s="26" t="str">
        <f t="shared" si="238"/>
        <v/>
      </c>
      <c r="CB53" s="24" t="str">
        <f t="shared" si="258"/>
        <v/>
      </c>
      <c r="CC53" s="24" t="str">
        <f t="shared" si="259"/>
        <v/>
      </c>
      <c r="CD53" s="24" t="str">
        <f t="shared" si="260"/>
        <v/>
      </c>
      <c r="CE53" s="24" t="str">
        <f t="shared" si="257"/>
        <v/>
      </c>
      <c r="CF53" s="24" t="str">
        <f t="shared" si="261"/>
        <v/>
      </c>
      <c r="CG53" s="24" t="str">
        <f>IF(OR(BA53="",AK53=""),"",BA53*(IF(OR(AK53="A",AK53="a"),4,(IF(OR(#REF!="B",AK53="b"),3,(IF(OR(AK53="C",AK53="c"),2,(IF(OR(AK53="D",AK53="d"),1.5,(IF(OR(AK53="E",AK53="e"),1,(IF(OR(AK53="F",AK53="f"),0)))))))))))))</f>
        <v/>
      </c>
      <c r="CH53" s="24" t="str">
        <f t="shared" si="262"/>
        <v/>
      </c>
      <c r="CI53" s="24" t="str">
        <f t="shared" si="239"/>
        <v/>
      </c>
      <c r="CJ53" s="24" t="str">
        <f t="shared" si="240"/>
        <v/>
      </c>
      <c r="CK53" s="26" t="str">
        <f t="shared" si="241"/>
        <v/>
      </c>
      <c r="CL53" s="26" t="str">
        <f t="shared" si="84"/>
        <v/>
      </c>
      <c r="CM53" s="24" t="str">
        <f t="shared" si="85"/>
        <v/>
      </c>
      <c r="CN53" s="26" t="str">
        <f t="shared" si="242"/>
        <v/>
      </c>
      <c r="CO53" s="24" t="str">
        <f t="shared" si="243"/>
        <v/>
      </c>
      <c r="CP53" s="26" t="str">
        <f t="shared" si="244"/>
        <v/>
      </c>
      <c r="CQ53" s="26" t="str">
        <f t="shared" si="245"/>
        <v/>
      </c>
      <c r="CR53" s="26" t="str">
        <f t="shared" si="86"/>
        <v/>
      </c>
      <c r="CS53" s="24" t="str">
        <f t="shared" si="87"/>
        <v/>
      </c>
      <c r="CT53" s="27" t="str">
        <f t="shared" si="246"/>
        <v/>
      </c>
      <c r="CU53" s="24" t="str">
        <f t="shared" si="247"/>
        <v/>
      </c>
      <c r="CV53" s="27" t="str">
        <f t="shared" si="248"/>
        <v/>
      </c>
      <c r="CW53" s="26" t="str">
        <f t="shared" si="249"/>
        <v/>
      </c>
      <c r="CX53" s="26" t="str">
        <f t="shared" si="88"/>
        <v/>
      </c>
      <c r="CY53" s="27" t="str">
        <f t="shared" si="89"/>
        <v/>
      </c>
      <c r="CZ53" s="26" t="str">
        <f t="shared" si="250"/>
        <v/>
      </c>
      <c r="DA53" s="24" t="str">
        <f t="shared" si="181"/>
        <v/>
      </c>
      <c r="DB53" s="24" t="str">
        <f t="shared" si="251"/>
        <v/>
      </c>
      <c r="DC53" s="24" t="str">
        <f t="shared" si="263"/>
        <v/>
      </c>
      <c r="DD53" s="24" t="str">
        <f t="shared" si="252"/>
        <v/>
      </c>
      <c r="DE53" s="1"/>
      <c r="DF53" s="1"/>
      <c r="DG53" s="1"/>
      <c r="DH53" s="24" t="str">
        <f t="shared" si="253"/>
        <v/>
      </c>
      <c r="DI53" s="25" t="str">
        <f t="shared" si="254"/>
        <v/>
      </c>
      <c r="DJ53" t="str">
        <f t="shared" si="255"/>
        <v/>
      </c>
      <c r="DK53" s="9"/>
      <c r="DL53" s="9"/>
      <c r="DM53" s="9"/>
      <c r="DN53" s="9"/>
      <c r="DO53" s="9"/>
      <c r="DP53" s="9"/>
      <c r="DQ53" s="136" t="b">
        <f t="shared" si="256"/>
        <v>1</v>
      </c>
    </row>
    <row r="54" spans="1:121" ht="27" customHeight="1" x14ac:dyDescent="0.95">
      <c r="A54" s="24" t="str">
        <f t="shared" si="90"/>
        <v/>
      </c>
      <c r="B54" s="9"/>
      <c r="C54" s="14"/>
      <c r="D54" s="9"/>
      <c r="E54" s="9"/>
      <c r="F54" s="1"/>
      <c r="G54" s="1"/>
      <c r="H54" s="1"/>
      <c r="I54" s="1"/>
      <c r="J54" s="1"/>
      <c r="K54" s="1"/>
      <c r="L54" s="1"/>
      <c r="M54" s="1"/>
      <c r="N54" s="1"/>
      <c r="O54" s="1"/>
      <c r="P54" s="10"/>
      <c r="Q54" s="10"/>
      <c r="R54" s="10"/>
      <c r="S54" s="10"/>
      <c r="T54" s="10"/>
      <c r="U54" s="10"/>
      <c r="V54" s="10"/>
      <c r="W54" s="3" t="str">
        <f t="shared" si="182"/>
        <v/>
      </c>
      <c r="X54" s="3" t="str">
        <f t="shared" si="183"/>
        <v/>
      </c>
      <c r="Y54" s="3" t="str">
        <f t="shared" si="184"/>
        <v/>
      </c>
      <c r="Z54" s="3" t="str">
        <f t="shared" si="185"/>
        <v/>
      </c>
      <c r="AA54" s="3" t="str">
        <f t="shared" si="186"/>
        <v/>
      </c>
      <c r="AB54" s="3" t="str">
        <f t="shared" si="187"/>
        <v/>
      </c>
      <c r="AC54" s="3" t="str">
        <f t="shared" si="188"/>
        <v/>
      </c>
      <c r="AD54" s="3" t="str">
        <f t="shared" si="189"/>
        <v/>
      </c>
      <c r="AE54" s="3" t="str">
        <f t="shared" si="190"/>
        <v/>
      </c>
      <c r="AF54" s="24" t="str">
        <f t="shared" si="191"/>
        <v/>
      </c>
      <c r="AG54" s="24" t="str">
        <f t="shared" si="192"/>
        <v/>
      </c>
      <c r="AH54" s="24" t="str">
        <f t="shared" si="193"/>
        <v/>
      </c>
      <c r="AI54" s="24" t="str">
        <f t="shared" si="194"/>
        <v/>
      </c>
      <c r="AJ54" s="24" t="str">
        <f t="shared" si="195"/>
        <v/>
      </c>
      <c r="AK54" s="24" t="str">
        <f t="shared" si="196"/>
        <v/>
      </c>
      <c r="AL54" s="24" t="str">
        <f t="shared" si="197"/>
        <v/>
      </c>
      <c r="AM54" s="24" t="str">
        <f t="shared" si="198"/>
        <v/>
      </c>
      <c r="AN54" s="24" t="str">
        <f t="shared" si="199"/>
        <v/>
      </c>
      <c r="AO54" s="24" t="str">
        <f t="shared" si="200"/>
        <v/>
      </c>
      <c r="AP54" s="24" t="str">
        <f t="shared" si="201"/>
        <v/>
      </c>
      <c r="AQ54" s="24" t="str">
        <f t="shared" si="202"/>
        <v/>
      </c>
      <c r="AR54" s="24" t="str">
        <f t="shared" si="203"/>
        <v/>
      </c>
      <c r="AS54" s="24" t="str">
        <f t="shared" si="204"/>
        <v/>
      </c>
      <c r="AT54" s="24" t="str">
        <f t="shared" si="205"/>
        <v/>
      </c>
      <c r="AU54" s="24" t="str">
        <f t="shared" si="206"/>
        <v/>
      </c>
      <c r="AV54" s="24" t="str">
        <f t="shared" si="207"/>
        <v/>
      </c>
      <c r="AW54" s="24" t="str">
        <f t="shared" si="208"/>
        <v/>
      </c>
      <c r="AX54" s="24" t="str">
        <f t="shared" si="209"/>
        <v/>
      </c>
      <c r="AY54" s="24" t="str">
        <f t="shared" si="210"/>
        <v/>
      </c>
      <c r="AZ54" s="24" t="str">
        <f t="shared" si="211"/>
        <v/>
      </c>
      <c r="BA54" s="24" t="str">
        <f t="shared" si="212"/>
        <v/>
      </c>
      <c r="BB54" s="24" t="str">
        <f t="shared" si="213"/>
        <v/>
      </c>
      <c r="BC54" s="24" t="str">
        <f t="shared" si="214"/>
        <v/>
      </c>
      <c r="BD54" s="24" t="str">
        <f t="shared" si="215"/>
        <v/>
      </c>
      <c r="BE54" s="24" t="str">
        <f t="shared" si="216"/>
        <v/>
      </c>
      <c r="BF54" s="24" t="str">
        <f t="shared" si="217"/>
        <v/>
      </c>
      <c r="BG54" s="24" t="str">
        <f t="shared" si="218"/>
        <v/>
      </c>
      <c r="BH54" s="24" t="str">
        <f t="shared" si="219"/>
        <v/>
      </c>
      <c r="BI54" s="24" t="str">
        <f t="shared" si="220"/>
        <v/>
      </c>
      <c r="BJ54" s="24" t="str">
        <f t="shared" si="221"/>
        <v/>
      </c>
      <c r="BK54" s="24" t="str">
        <f t="shared" si="222"/>
        <v/>
      </c>
      <c r="BL54" s="26" t="str">
        <f t="shared" si="223"/>
        <v/>
      </c>
      <c r="BM54" s="26" t="str">
        <f t="shared" si="224"/>
        <v/>
      </c>
      <c r="BN54" s="26" t="str">
        <f t="shared" si="225"/>
        <v/>
      </c>
      <c r="BO54" s="26" t="str">
        <f t="shared" si="226"/>
        <v/>
      </c>
      <c r="BP54" s="26" t="str">
        <f t="shared" si="227"/>
        <v/>
      </c>
      <c r="BQ54" s="26" t="str">
        <f t="shared" si="228"/>
        <v/>
      </c>
      <c r="BR54" s="26" t="str">
        <f t="shared" si="229"/>
        <v/>
      </c>
      <c r="BS54" s="26" t="str">
        <f t="shared" si="230"/>
        <v/>
      </c>
      <c r="BT54" s="26" t="str">
        <f t="shared" si="231"/>
        <v/>
      </c>
      <c r="BU54" s="26" t="str">
        <f t="shared" si="232"/>
        <v/>
      </c>
      <c r="BV54" s="26" t="str">
        <f t="shared" si="233"/>
        <v/>
      </c>
      <c r="BW54" s="26" t="str">
        <f t="shared" si="234"/>
        <v/>
      </c>
      <c r="BX54" s="26" t="str">
        <f t="shared" si="235"/>
        <v/>
      </c>
      <c r="BY54" s="26" t="str">
        <f t="shared" si="236"/>
        <v/>
      </c>
      <c r="BZ54" s="26" t="str">
        <f t="shared" si="237"/>
        <v/>
      </c>
      <c r="CA54" s="26" t="str">
        <f t="shared" si="238"/>
        <v/>
      </c>
      <c r="CB54" s="24" t="str">
        <f t="shared" si="258"/>
        <v/>
      </c>
      <c r="CC54" s="24" t="str">
        <f t="shared" si="259"/>
        <v/>
      </c>
      <c r="CD54" s="24" t="str">
        <f t="shared" si="260"/>
        <v/>
      </c>
      <c r="CE54" s="24" t="str">
        <f t="shared" si="257"/>
        <v/>
      </c>
      <c r="CF54" s="24" t="str">
        <f t="shared" si="261"/>
        <v/>
      </c>
      <c r="CG54" s="24" t="str">
        <f>IF(OR(BA54="",AK54=""),"",BA54*(IF(OR(AK54="A",AK54="a"),4,(IF(OR(#REF!="B",AK54="b"),3,(IF(OR(AK54="C",AK54="c"),2,(IF(OR(AK54="D",AK54="d"),1.5,(IF(OR(AK54="E",AK54="e"),1,(IF(OR(AK54="F",AK54="f"),0)))))))))))))</f>
        <v/>
      </c>
      <c r="CH54" s="24" t="str">
        <f t="shared" si="262"/>
        <v/>
      </c>
      <c r="CI54" s="24" t="str">
        <f t="shared" si="239"/>
        <v/>
      </c>
      <c r="CJ54" s="24" t="str">
        <f t="shared" si="240"/>
        <v/>
      </c>
      <c r="CK54" s="26" t="str">
        <f t="shared" si="241"/>
        <v/>
      </c>
      <c r="CL54" s="26" t="str">
        <f t="shared" si="84"/>
        <v/>
      </c>
      <c r="CM54" s="24" t="str">
        <f t="shared" si="85"/>
        <v/>
      </c>
      <c r="CN54" s="26" t="str">
        <f t="shared" si="242"/>
        <v/>
      </c>
      <c r="CO54" s="24" t="str">
        <f t="shared" si="243"/>
        <v/>
      </c>
      <c r="CP54" s="26" t="str">
        <f t="shared" si="244"/>
        <v/>
      </c>
      <c r="CQ54" s="26" t="str">
        <f t="shared" si="245"/>
        <v/>
      </c>
      <c r="CR54" s="26" t="str">
        <f t="shared" si="86"/>
        <v/>
      </c>
      <c r="CS54" s="24" t="str">
        <f t="shared" si="87"/>
        <v/>
      </c>
      <c r="CT54" s="27" t="str">
        <f t="shared" si="246"/>
        <v/>
      </c>
      <c r="CU54" s="24" t="str">
        <f t="shared" si="247"/>
        <v/>
      </c>
      <c r="CV54" s="27" t="str">
        <f t="shared" si="248"/>
        <v/>
      </c>
      <c r="CW54" s="26" t="str">
        <f t="shared" si="249"/>
        <v/>
      </c>
      <c r="CX54" s="26" t="str">
        <f t="shared" si="88"/>
        <v/>
      </c>
      <c r="CY54" s="27" t="str">
        <f t="shared" si="89"/>
        <v/>
      </c>
      <c r="CZ54" s="26" t="str">
        <f t="shared" si="250"/>
        <v/>
      </c>
      <c r="DA54" s="24" t="str">
        <f t="shared" si="181"/>
        <v/>
      </c>
      <c r="DB54" s="24" t="str">
        <f t="shared" si="251"/>
        <v/>
      </c>
      <c r="DC54" s="24" t="str">
        <f t="shared" si="263"/>
        <v/>
      </c>
      <c r="DD54" s="24" t="str">
        <f t="shared" si="252"/>
        <v/>
      </c>
      <c r="DE54" s="1"/>
      <c r="DF54" s="1"/>
      <c r="DG54" s="1"/>
      <c r="DH54" s="24" t="str">
        <f t="shared" si="253"/>
        <v/>
      </c>
      <c r="DI54" s="25" t="str">
        <f t="shared" si="254"/>
        <v/>
      </c>
      <c r="DJ54" t="str">
        <f t="shared" si="255"/>
        <v/>
      </c>
      <c r="DK54" s="9"/>
      <c r="DL54" s="9"/>
      <c r="DM54" s="9"/>
      <c r="DN54" s="9"/>
      <c r="DO54" s="9"/>
      <c r="DP54" s="9"/>
      <c r="DQ54" s="136" t="b">
        <f t="shared" si="256"/>
        <v>1</v>
      </c>
    </row>
    <row r="55" spans="1:121" ht="27" customHeight="1" x14ac:dyDescent="0.95">
      <c r="A55" s="24" t="str">
        <f t="shared" si="90"/>
        <v/>
      </c>
      <c r="B55" s="9"/>
      <c r="C55" s="14"/>
      <c r="D55" s="9"/>
      <c r="E55" s="9"/>
      <c r="F55" s="1"/>
      <c r="G55" s="1"/>
      <c r="H55" s="1"/>
      <c r="I55" s="1"/>
      <c r="J55" s="1"/>
      <c r="K55" s="1"/>
      <c r="L55" s="1"/>
      <c r="M55" s="1"/>
      <c r="N55" s="1"/>
      <c r="O55" s="1"/>
      <c r="P55" s="10"/>
      <c r="Q55" s="10"/>
      <c r="R55" s="10"/>
      <c r="S55" s="10"/>
      <c r="T55" s="10"/>
      <c r="U55" s="10"/>
      <c r="V55" s="10"/>
      <c r="W55" s="3" t="str">
        <f t="shared" si="182"/>
        <v/>
      </c>
      <c r="X55" s="3" t="str">
        <f t="shared" si="183"/>
        <v/>
      </c>
      <c r="Y55" s="3" t="str">
        <f t="shared" si="184"/>
        <v/>
      </c>
      <c r="Z55" s="3" t="str">
        <f t="shared" si="185"/>
        <v/>
      </c>
      <c r="AA55" s="3" t="str">
        <f t="shared" si="186"/>
        <v/>
      </c>
      <c r="AB55" s="3" t="str">
        <f t="shared" si="187"/>
        <v/>
      </c>
      <c r="AC55" s="3" t="str">
        <f t="shared" si="188"/>
        <v/>
      </c>
      <c r="AD55" s="3" t="str">
        <f t="shared" si="189"/>
        <v/>
      </c>
      <c r="AE55" s="3" t="str">
        <f t="shared" si="190"/>
        <v/>
      </c>
      <c r="AF55" s="24" t="str">
        <f t="shared" si="191"/>
        <v/>
      </c>
      <c r="AG55" s="24" t="str">
        <f t="shared" si="192"/>
        <v/>
      </c>
      <c r="AH55" s="24" t="str">
        <f t="shared" si="193"/>
        <v/>
      </c>
      <c r="AI55" s="24" t="str">
        <f t="shared" si="194"/>
        <v/>
      </c>
      <c r="AJ55" s="24" t="str">
        <f t="shared" si="195"/>
        <v/>
      </c>
      <c r="AK55" s="24" t="str">
        <f t="shared" si="196"/>
        <v/>
      </c>
      <c r="AL55" s="24" t="str">
        <f t="shared" si="197"/>
        <v/>
      </c>
      <c r="AM55" s="24" t="str">
        <f t="shared" si="198"/>
        <v/>
      </c>
      <c r="AN55" s="24" t="str">
        <f t="shared" si="199"/>
        <v/>
      </c>
      <c r="AO55" s="24" t="str">
        <f t="shared" si="200"/>
        <v/>
      </c>
      <c r="AP55" s="24" t="str">
        <f t="shared" si="201"/>
        <v/>
      </c>
      <c r="AQ55" s="24" t="str">
        <f t="shared" si="202"/>
        <v/>
      </c>
      <c r="AR55" s="24" t="str">
        <f t="shared" si="203"/>
        <v/>
      </c>
      <c r="AS55" s="24" t="str">
        <f t="shared" si="204"/>
        <v/>
      </c>
      <c r="AT55" s="24" t="str">
        <f t="shared" si="205"/>
        <v/>
      </c>
      <c r="AU55" s="24" t="str">
        <f t="shared" si="206"/>
        <v/>
      </c>
      <c r="AV55" s="24" t="str">
        <f t="shared" si="207"/>
        <v/>
      </c>
      <c r="AW55" s="24" t="str">
        <f t="shared" si="208"/>
        <v/>
      </c>
      <c r="AX55" s="24" t="str">
        <f t="shared" si="209"/>
        <v/>
      </c>
      <c r="AY55" s="24" t="str">
        <f t="shared" si="210"/>
        <v/>
      </c>
      <c r="AZ55" s="24" t="str">
        <f t="shared" si="211"/>
        <v/>
      </c>
      <c r="BA55" s="24" t="str">
        <f t="shared" si="212"/>
        <v/>
      </c>
      <c r="BB55" s="24" t="str">
        <f t="shared" si="213"/>
        <v/>
      </c>
      <c r="BC55" s="24" t="str">
        <f t="shared" si="214"/>
        <v/>
      </c>
      <c r="BD55" s="24" t="str">
        <f t="shared" si="215"/>
        <v/>
      </c>
      <c r="BE55" s="24" t="str">
        <f t="shared" si="216"/>
        <v/>
      </c>
      <c r="BF55" s="24" t="str">
        <f t="shared" si="217"/>
        <v/>
      </c>
      <c r="BG55" s="24" t="str">
        <f t="shared" si="218"/>
        <v/>
      </c>
      <c r="BH55" s="24" t="str">
        <f t="shared" si="219"/>
        <v/>
      </c>
      <c r="BI55" s="24" t="str">
        <f t="shared" si="220"/>
        <v/>
      </c>
      <c r="BJ55" s="24" t="str">
        <f t="shared" si="221"/>
        <v/>
      </c>
      <c r="BK55" s="24" t="str">
        <f t="shared" si="222"/>
        <v/>
      </c>
      <c r="BL55" s="26" t="str">
        <f t="shared" si="223"/>
        <v/>
      </c>
      <c r="BM55" s="26" t="str">
        <f t="shared" si="224"/>
        <v/>
      </c>
      <c r="BN55" s="26" t="str">
        <f t="shared" si="225"/>
        <v/>
      </c>
      <c r="BO55" s="26" t="str">
        <f t="shared" si="226"/>
        <v/>
      </c>
      <c r="BP55" s="26" t="str">
        <f t="shared" si="227"/>
        <v/>
      </c>
      <c r="BQ55" s="26" t="str">
        <f t="shared" si="228"/>
        <v/>
      </c>
      <c r="BR55" s="26" t="str">
        <f t="shared" si="229"/>
        <v/>
      </c>
      <c r="BS55" s="26" t="str">
        <f t="shared" si="230"/>
        <v/>
      </c>
      <c r="BT55" s="26" t="str">
        <f t="shared" si="231"/>
        <v/>
      </c>
      <c r="BU55" s="26" t="str">
        <f t="shared" si="232"/>
        <v/>
      </c>
      <c r="BV55" s="26" t="str">
        <f t="shared" si="233"/>
        <v/>
      </c>
      <c r="BW55" s="26" t="str">
        <f t="shared" si="234"/>
        <v/>
      </c>
      <c r="BX55" s="26" t="str">
        <f t="shared" si="235"/>
        <v/>
      </c>
      <c r="BY55" s="26" t="str">
        <f t="shared" si="236"/>
        <v/>
      </c>
      <c r="BZ55" s="26" t="str">
        <f t="shared" si="237"/>
        <v/>
      </c>
      <c r="CA55" s="26" t="str">
        <f t="shared" si="238"/>
        <v/>
      </c>
      <c r="CB55" s="24" t="str">
        <f t="shared" si="258"/>
        <v/>
      </c>
      <c r="CC55" s="24" t="str">
        <f t="shared" si="259"/>
        <v/>
      </c>
      <c r="CD55" s="24" t="str">
        <f t="shared" si="260"/>
        <v/>
      </c>
      <c r="CE55" s="24" t="str">
        <f t="shared" si="257"/>
        <v/>
      </c>
      <c r="CF55" s="24" t="str">
        <f t="shared" si="261"/>
        <v/>
      </c>
      <c r="CG55" s="24" t="str">
        <f>IF(OR(BA55="",AK55=""),"",BA55*(IF(OR(AK55="A",AK55="a"),4,(IF(OR(#REF!="B",AK55="b"),3,(IF(OR(AK55="C",AK55="c"),2,(IF(OR(AK55="D",AK55="d"),1.5,(IF(OR(AK55="E",AK55="e"),1,(IF(OR(AK55="F",AK55="f"),0)))))))))))))</f>
        <v/>
      </c>
      <c r="CH55" s="24" t="str">
        <f t="shared" si="262"/>
        <v/>
      </c>
      <c r="CI55" s="24" t="str">
        <f t="shared" si="239"/>
        <v/>
      </c>
      <c r="CJ55" s="24" t="str">
        <f t="shared" si="240"/>
        <v/>
      </c>
      <c r="CK55" s="26" t="str">
        <f t="shared" si="241"/>
        <v/>
      </c>
      <c r="CL55" s="26" t="str">
        <f t="shared" si="84"/>
        <v/>
      </c>
      <c r="CM55" s="24" t="str">
        <f t="shared" si="85"/>
        <v/>
      </c>
      <c r="CN55" s="26" t="str">
        <f t="shared" si="242"/>
        <v/>
      </c>
      <c r="CO55" s="24" t="str">
        <f t="shared" si="243"/>
        <v/>
      </c>
      <c r="CP55" s="26" t="str">
        <f t="shared" si="244"/>
        <v/>
      </c>
      <c r="CQ55" s="26" t="str">
        <f t="shared" si="245"/>
        <v/>
      </c>
      <c r="CR55" s="26" t="str">
        <f t="shared" si="86"/>
        <v/>
      </c>
      <c r="CS55" s="24" t="str">
        <f t="shared" si="87"/>
        <v/>
      </c>
      <c r="CT55" s="27" t="str">
        <f t="shared" si="246"/>
        <v/>
      </c>
      <c r="CU55" s="24" t="str">
        <f t="shared" si="247"/>
        <v/>
      </c>
      <c r="CV55" s="27" t="str">
        <f t="shared" si="248"/>
        <v/>
      </c>
      <c r="CW55" s="26" t="str">
        <f t="shared" si="249"/>
        <v/>
      </c>
      <c r="CX55" s="26" t="str">
        <f t="shared" si="88"/>
        <v/>
      </c>
      <c r="CY55" s="27" t="str">
        <f t="shared" si="89"/>
        <v/>
      </c>
      <c r="CZ55" s="26" t="str">
        <f t="shared" si="250"/>
        <v/>
      </c>
      <c r="DA55" s="24" t="str">
        <f t="shared" si="181"/>
        <v/>
      </c>
      <c r="DB55" s="24" t="str">
        <f t="shared" si="251"/>
        <v/>
      </c>
      <c r="DC55" s="24" t="str">
        <f t="shared" si="263"/>
        <v/>
      </c>
      <c r="DD55" s="24" t="str">
        <f t="shared" si="252"/>
        <v/>
      </c>
      <c r="DE55" s="1"/>
      <c r="DF55" s="1"/>
      <c r="DG55" s="1"/>
      <c r="DH55" s="24" t="str">
        <f t="shared" si="253"/>
        <v/>
      </c>
      <c r="DI55" s="25" t="str">
        <f t="shared" si="254"/>
        <v/>
      </c>
      <c r="DJ55" t="str">
        <f t="shared" si="255"/>
        <v/>
      </c>
      <c r="DK55" s="9"/>
      <c r="DL55" s="9"/>
      <c r="DM55" s="9"/>
      <c r="DN55" s="9"/>
      <c r="DO55" s="9"/>
      <c r="DP55" s="9"/>
      <c r="DQ55" s="136" t="b">
        <f t="shared" si="256"/>
        <v>1</v>
      </c>
    </row>
    <row r="56" spans="1:121" ht="27" customHeight="1" x14ac:dyDescent="0.95">
      <c r="A56" s="24" t="str">
        <f t="shared" si="90"/>
        <v/>
      </c>
      <c r="B56" s="9"/>
      <c r="C56" s="14"/>
      <c r="D56" s="9"/>
      <c r="E56" s="9"/>
      <c r="F56" s="1"/>
      <c r="G56" s="1"/>
      <c r="H56" s="1"/>
      <c r="I56" s="1"/>
      <c r="J56" s="1"/>
      <c r="K56" s="1"/>
      <c r="L56" s="1"/>
      <c r="M56" s="1"/>
      <c r="N56" s="1"/>
      <c r="O56" s="1"/>
      <c r="P56" s="10"/>
      <c r="Q56" s="10"/>
      <c r="R56" s="10"/>
      <c r="S56" s="10"/>
      <c r="T56" s="10"/>
      <c r="U56" s="10"/>
      <c r="V56" s="10"/>
      <c r="W56" s="3" t="str">
        <f t="shared" si="182"/>
        <v/>
      </c>
      <c r="X56" s="3" t="str">
        <f t="shared" si="183"/>
        <v/>
      </c>
      <c r="Y56" s="3" t="str">
        <f t="shared" si="184"/>
        <v/>
      </c>
      <c r="Z56" s="3" t="str">
        <f t="shared" si="185"/>
        <v/>
      </c>
      <c r="AA56" s="3" t="str">
        <f t="shared" si="186"/>
        <v/>
      </c>
      <c r="AB56" s="3" t="str">
        <f t="shared" si="187"/>
        <v/>
      </c>
      <c r="AC56" s="3" t="str">
        <f t="shared" si="188"/>
        <v/>
      </c>
      <c r="AD56" s="3" t="str">
        <f t="shared" si="189"/>
        <v/>
      </c>
      <c r="AE56" s="3" t="str">
        <f t="shared" si="190"/>
        <v/>
      </c>
      <c r="AF56" s="24" t="str">
        <f t="shared" si="191"/>
        <v/>
      </c>
      <c r="AG56" s="24" t="str">
        <f t="shared" si="192"/>
        <v/>
      </c>
      <c r="AH56" s="24" t="str">
        <f t="shared" si="193"/>
        <v/>
      </c>
      <c r="AI56" s="24" t="str">
        <f t="shared" si="194"/>
        <v/>
      </c>
      <c r="AJ56" s="24" t="str">
        <f t="shared" si="195"/>
        <v/>
      </c>
      <c r="AK56" s="24" t="str">
        <f t="shared" si="196"/>
        <v/>
      </c>
      <c r="AL56" s="24" t="str">
        <f t="shared" si="197"/>
        <v/>
      </c>
      <c r="AM56" s="24" t="str">
        <f t="shared" si="198"/>
        <v/>
      </c>
      <c r="AN56" s="24" t="str">
        <f t="shared" si="199"/>
        <v/>
      </c>
      <c r="AO56" s="24" t="str">
        <f t="shared" si="200"/>
        <v/>
      </c>
      <c r="AP56" s="24" t="str">
        <f t="shared" si="201"/>
        <v/>
      </c>
      <c r="AQ56" s="24" t="str">
        <f t="shared" si="202"/>
        <v/>
      </c>
      <c r="AR56" s="24" t="str">
        <f t="shared" si="203"/>
        <v/>
      </c>
      <c r="AS56" s="24" t="str">
        <f t="shared" si="204"/>
        <v/>
      </c>
      <c r="AT56" s="24" t="str">
        <f t="shared" si="205"/>
        <v/>
      </c>
      <c r="AU56" s="24" t="str">
        <f t="shared" si="206"/>
        <v/>
      </c>
      <c r="AV56" s="24" t="str">
        <f t="shared" si="207"/>
        <v/>
      </c>
      <c r="AW56" s="24" t="str">
        <f t="shared" si="208"/>
        <v/>
      </c>
      <c r="AX56" s="24" t="str">
        <f t="shared" si="209"/>
        <v/>
      </c>
      <c r="AY56" s="24" t="str">
        <f t="shared" si="210"/>
        <v/>
      </c>
      <c r="AZ56" s="24" t="str">
        <f t="shared" si="211"/>
        <v/>
      </c>
      <c r="BA56" s="24" t="str">
        <f t="shared" si="212"/>
        <v/>
      </c>
      <c r="BB56" s="24" t="str">
        <f t="shared" si="213"/>
        <v/>
      </c>
      <c r="BC56" s="24" t="str">
        <f t="shared" si="214"/>
        <v/>
      </c>
      <c r="BD56" s="24" t="str">
        <f t="shared" si="215"/>
        <v/>
      </c>
      <c r="BE56" s="24" t="str">
        <f t="shared" si="216"/>
        <v/>
      </c>
      <c r="BF56" s="24" t="str">
        <f t="shared" si="217"/>
        <v/>
      </c>
      <c r="BG56" s="24" t="str">
        <f t="shared" si="218"/>
        <v/>
      </c>
      <c r="BH56" s="24" t="str">
        <f t="shared" si="219"/>
        <v/>
      </c>
      <c r="BI56" s="24" t="str">
        <f t="shared" si="220"/>
        <v/>
      </c>
      <c r="BJ56" s="24" t="str">
        <f t="shared" si="221"/>
        <v/>
      </c>
      <c r="BK56" s="24" t="str">
        <f t="shared" si="222"/>
        <v/>
      </c>
      <c r="BL56" s="26" t="str">
        <f t="shared" si="223"/>
        <v/>
      </c>
      <c r="BM56" s="26" t="str">
        <f t="shared" si="224"/>
        <v/>
      </c>
      <c r="BN56" s="26" t="str">
        <f t="shared" si="225"/>
        <v/>
      </c>
      <c r="BO56" s="26" t="str">
        <f t="shared" si="226"/>
        <v/>
      </c>
      <c r="BP56" s="26" t="str">
        <f t="shared" si="227"/>
        <v/>
      </c>
      <c r="BQ56" s="26" t="str">
        <f t="shared" si="228"/>
        <v/>
      </c>
      <c r="BR56" s="26" t="str">
        <f t="shared" si="229"/>
        <v/>
      </c>
      <c r="BS56" s="26" t="str">
        <f t="shared" si="230"/>
        <v/>
      </c>
      <c r="BT56" s="26" t="str">
        <f t="shared" si="231"/>
        <v/>
      </c>
      <c r="BU56" s="26" t="str">
        <f t="shared" si="232"/>
        <v/>
      </c>
      <c r="BV56" s="26" t="str">
        <f t="shared" si="233"/>
        <v/>
      </c>
      <c r="BW56" s="26" t="str">
        <f t="shared" si="234"/>
        <v/>
      </c>
      <c r="BX56" s="26" t="str">
        <f t="shared" si="235"/>
        <v/>
      </c>
      <c r="BY56" s="26" t="str">
        <f t="shared" si="236"/>
        <v/>
      </c>
      <c r="BZ56" s="26" t="str">
        <f t="shared" si="237"/>
        <v/>
      </c>
      <c r="CA56" s="26" t="str">
        <f t="shared" si="238"/>
        <v/>
      </c>
      <c r="CB56" s="24" t="str">
        <f t="shared" si="258"/>
        <v/>
      </c>
      <c r="CC56" s="24" t="str">
        <f t="shared" si="259"/>
        <v/>
      </c>
      <c r="CD56" s="24" t="str">
        <f t="shared" si="260"/>
        <v/>
      </c>
      <c r="CE56" s="24" t="str">
        <f t="shared" si="257"/>
        <v/>
      </c>
      <c r="CF56" s="24" t="str">
        <f t="shared" si="261"/>
        <v/>
      </c>
      <c r="CG56" s="24" t="str">
        <f>IF(OR(BA56="",AK56=""),"",BA56*(IF(OR(AK56="A",AK56="a"),4,(IF(OR(#REF!="B",AK56="b"),3,(IF(OR(AK56="C",AK56="c"),2,(IF(OR(AK56="D",AK56="d"),1.5,(IF(OR(AK56="E",AK56="e"),1,(IF(OR(AK56="F",AK56="f"),0)))))))))))))</f>
        <v/>
      </c>
      <c r="CH56" s="24" t="str">
        <f t="shared" si="262"/>
        <v/>
      </c>
      <c r="CI56" s="24" t="str">
        <f t="shared" si="239"/>
        <v/>
      </c>
      <c r="CJ56" s="24" t="str">
        <f t="shared" si="240"/>
        <v/>
      </c>
      <c r="CK56" s="26" t="str">
        <f t="shared" si="241"/>
        <v/>
      </c>
      <c r="CL56" s="26" t="str">
        <f t="shared" si="84"/>
        <v/>
      </c>
      <c r="CM56" s="24" t="str">
        <f t="shared" si="85"/>
        <v/>
      </c>
      <c r="CN56" s="26" t="str">
        <f t="shared" si="242"/>
        <v/>
      </c>
      <c r="CO56" s="24" t="str">
        <f t="shared" si="243"/>
        <v/>
      </c>
      <c r="CP56" s="26" t="str">
        <f t="shared" si="244"/>
        <v/>
      </c>
      <c r="CQ56" s="26" t="str">
        <f t="shared" si="245"/>
        <v/>
      </c>
      <c r="CR56" s="26" t="str">
        <f t="shared" si="86"/>
        <v/>
      </c>
      <c r="CS56" s="24" t="str">
        <f t="shared" si="87"/>
        <v/>
      </c>
      <c r="CT56" s="27" t="str">
        <f t="shared" si="246"/>
        <v/>
      </c>
      <c r="CU56" s="24" t="str">
        <f t="shared" si="247"/>
        <v/>
      </c>
      <c r="CV56" s="27" t="str">
        <f t="shared" si="248"/>
        <v/>
      </c>
      <c r="CW56" s="26" t="str">
        <f t="shared" si="249"/>
        <v/>
      </c>
      <c r="CX56" s="26" t="str">
        <f t="shared" si="88"/>
        <v/>
      </c>
      <c r="CY56" s="27" t="str">
        <f t="shared" si="89"/>
        <v/>
      </c>
      <c r="CZ56" s="26" t="str">
        <f t="shared" si="250"/>
        <v/>
      </c>
      <c r="DA56" s="24" t="str">
        <f t="shared" si="181"/>
        <v/>
      </c>
      <c r="DB56" s="24" t="str">
        <f t="shared" si="251"/>
        <v/>
      </c>
      <c r="DC56" s="24" t="str">
        <f t="shared" si="263"/>
        <v/>
      </c>
      <c r="DD56" s="24" t="str">
        <f t="shared" si="252"/>
        <v/>
      </c>
      <c r="DE56" s="1"/>
      <c r="DF56" s="1"/>
      <c r="DG56" s="1"/>
      <c r="DH56" s="24" t="str">
        <f t="shared" si="253"/>
        <v/>
      </c>
      <c r="DI56" s="25" t="str">
        <f t="shared" si="254"/>
        <v/>
      </c>
      <c r="DJ56" t="str">
        <f t="shared" si="255"/>
        <v/>
      </c>
      <c r="DK56" s="9"/>
      <c r="DL56" s="9"/>
      <c r="DM56" s="9"/>
      <c r="DN56" s="9"/>
      <c r="DO56" s="9"/>
      <c r="DP56" s="9"/>
      <c r="DQ56" s="136" t="b">
        <f t="shared" si="256"/>
        <v>1</v>
      </c>
    </row>
    <row r="57" spans="1:121" ht="27" customHeight="1" x14ac:dyDescent="0.95">
      <c r="A57" s="24" t="str">
        <f t="shared" si="90"/>
        <v/>
      </c>
      <c r="B57" s="9"/>
      <c r="C57" s="14"/>
      <c r="D57" s="9"/>
      <c r="E57" s="9"/>
      <c r="F57" s="1"/>
      <c r="G57" s="1"/>
      <c r="H57" s="1"/>
      <c r="I57" s="1"/>
      <c r="J57" s="1"/>
      <c r="K57" s="1"/>
      <c r="L57" s="1"/>
      <c r="M57" s="1"/>
      <c r="N57" s="1"/>
      <c r="O57" s="1"/>
      <c r="P57" s="10"/>
      <c r="Q57" s="10"/>
      <c r="R57" s="10"/>
      <c r="S57" s="10"/>
      <c r="T57" s="10"/>
      <c r="U57" s="10"/>
      <c r="V57" s="10"/>
      <c r="W57" s="3" t="str">
        <f t="shared" si="182"/>
        <v/>
      </c>
      <c r="X57" s="3" t="str">
        <f t="shared" si="183"/>
        <v/>
      </c>
      <c r="Y57" s="3" t="str">
        <f t="shared" si="184"/>
        <v/>
      </c>
      <c r="Z57" s="3" t="str">
        <f t="shared" si="185"/>
        <v/>
      </c>
      <c r="AA57" s="3" t="str">
        <f t="shared" si="186"/>
        <v/>
      </c>
      <c r="AB57" s="3" t="str">
        <f t="shared" si="187"/>
        <v/>
      </c>
      <c r="AC57" s="3" t="str">
        <f t="shared" si="188"/>
        <v/>
      </c>
      <c r="AD57" s="3" t="str">
        <f t="shared" si="189"/>
        <v/>
      </c>
      <c r="AE57" s="3" t="str">
        <f t="shared" si="190"/>
        <v/>
      </c>
      <c r="AF57" s="24" t="str">
        <f t="shared" si="191"/>
        <v/>
      </c>
      <c r="AG57" s="24" t="str">
        <f t="shared" si="192"/>
        <v/>
      </c>
      <c r="AH57" s="24" t="str">
        <f t="shared" si="193"/>
        <v/>
      </c>
      <c r="AI57" s="24" t="str">
        <f t="shared" si="194"/>
        <v/>
      </c>
      <c r="AJ57" s="24" t="str">
        <f t="shared" si="195"/>
        <v/>
      </c>
      <c r="AK57" s="24" t="str">
        <f t="shared" si="196"/>
        <v/>
      </c>
      <c r="AL57" s="24" t="str">
        <f t="shared" si="197"/>
        <v/>
      </c>
      <c r="AM57" s="24" t="str">
        <f t="shared" si="198"/>
        <v/>
      </c>
      <c r="AN57" s="24" t="str">
        <f t="shared" si="199"/>
        <v/>
      </c>
      <c r="AO57" s="24" t="str">
        <f t="shared" si="200"/>
        <v/>
      </c>
      <c r="AP57" s="24" t="str">
        <f t="shared" si="201"/>
        <v/>
      </c>
      <c r="AQ57" s="24" t="str">
        <f t="shared" si="202"/>
        <v/>
      </c>
      <c r="AR57" s="24" t="str">
        <f t="shared" si="203"/>
        <v/>
      </c>
      <c r="AS57" s="24" t="str">
        <f t="shared" si="204"/>
        <v/>
      </c>
      <c r="AT57" s="24" t="str">
        <f t="shared" si="205"/>
        <v/>
      </c>
      <c r="AU57" s="24" t="str">
        <f t="shared" si="206"/>
        <v/>
      </c>
      <c r="AV57" s="24" t="str">
        <f t="shared" si="207"/>
        <v/>
      </c>
      <c r="AW57" s="24" t="str">
        <f t="shared" si="208"/>
        <v/>
      </c>
      <c r="AX57" s="24" t="str">
        <f t="shared" si="209"/>
        <v/>
      </c>
      <c r="AY57" s="24" t="str">
        <f t="shared" si="210"/>
        <v/>
      </c>
      <c r="AZ57" s="24" t="str">
        <f t="shared" si="211"/>
        <v/>
      </c>
      <c r="BA57" s="24" t="str">
        <f t="shared" si="212"/>
        <v/>
      </c>
      <c r="BB57" s="24" t="str">
        <f t="shared" si="213"/>
        <v/>
      </c>
      <c r="BC57" s="24" t="str">
        <f t="shared" si="214"/>
        <v/>
      </c>
      <c r="BD57" s="24" t="str">
        <f t="shared" si="215"/>
        <v/>
      </c>
      <c r="BE57" s="24" t="str">
        <f t="shared" si="216"/>
        <v/>
      </c>
      <c r="BF57" s="24" t="str">
        <f t="shared" si="217"/>
        <v/>
      </c>
      <c r="BG57" s="24" t="str">
        <f t="shared" si="218"/>
        <v/>
      </c>
      <c r="BH57" s="24" t="str">
        <f t="shared" si="219"/>
        <v/>
      </c>
      <c r="BI57" s="24" t="str">
        <f t="shared" si="220"/>
        <v/>
      </c>
      <c r="BJ57" s="24" t="str">
        <f t="shared" si="221"/>
        <v/>
      </c>
      <c r="BK57" s="24" t="str">
        <f t="shared" si="222"/>
        <v/>
      </c>
      <c r="BL57" s="26" t="str">
        <f t="shared" si="223"/>
        <v/>
      </c>
      <c r="BM57" s="26" t="str">
        <f t="shared" si="224"/>
        <v/>
      </c>
      <c r="BN57" s="26" t="str">
        <f t="shared" si="225"/>
        <v/>
      </c>
      <c r="BO57" s="26" t="str">
        <f t="shared" si="226"/>
        <v/>
      </c>
      <c r="BP57" s="26" t="str">
        <f t="shared" si="227"/>
        <v/>
      </c>
      <c r="BQ57" s="26" t="str">
        <f t="shared" si="228"/>
        <v/>
      </c>
      <c r="BR57" s="26" t="str">
        <f t="shared" si="229"/>
        <v/>
      </c>
      <c r="BS57" s="26" t="str">
        <f t="shared" si="230"/>
        <v/>
      </c>
      <c r="BT57" s="26" t="str">
        <f t="shared" si="231"/>
        <v/>
      </c>
      <c r="BU57" s="26" t="str">
        <f t="shared" si="232"/>
        <v/>
      </c>
      <c r="BV57" s="26" t="str">
        <f t="shared" si="233"/>
        <v/>
      </c>
      <c r="BW57" s="26" t="str">
        <f t="shared" si="234"/>
        <v/>
      </c>
      <c r="BX57" s="26" t="str">
        <f t="shared" si="235"/>
        <v/>
      </c>
      <c r="BY57" s="26" t="str">
        <f t="shared" si="236"/>
        <v/>
      </c>
      <c r="BZ57" s="26" t="str">
        <f t="shared" si="237"/>
        <v/>
      </c>
      <c r="CA57" s="26" t="str">
        <f t="shared" si="238"/>
        <v/>
      </c>
      <c r="CB57" s="24" t="str">
        <f t="shared" si="258"/>
        <v/>
      </c>
      <c r="CC57" s="24" t="str">
        <f t="shared" si="259"/>
        <v/>
      </c>
      <c r="CD57" s="24" t="str">
        <f t="shared" si="260"/>
        <v/>
      </c>
      <c r="CE57" s="24" t="str">
        <f t="shared" si="257"/>
        <v/>
      </c>
      <c r="CF57" s="24" t="str">
        <f t="shared" si="261"/>
        <v/>
      </c>
      <c r="CG57" s="24" t="str">
        <f>IF(OR(BA57="",AK57=""),"",BA57*(IF(OR(AK57="A",AK57="a"),4,(IF(OR(#REF!="B",AK57="b"),3,(IF(OR(AK57="C",AK57="c"),2,(IF(OR(AK57="D",AK57="d"),1.5,(IF(OR(AK57="E",AK57="e"),1,(IF(OR(AK57="F",AK57="f"),0)))))))))))))</f>
        <v/>
      </c>
      <c r="CH57" s="24" t="str">
        <f t="shared" si="262"/>
        <v/>
      </c>
      <c r="CI57" s="24" t="str">
        <f t="shared" si="239"/>
        <v/>
      </c>
      <c r="CJ57" s="24" t="str">
        <f t="shared" si="240"/>
        <v/>
      </c>
      <c r="CK57" s="26" t="str">
        <f t="shared" si="241"/>
        <v/>
      </c>
      <c r="CL57" s="26" t="str">
        <f t="shared" si="84"/>
        <v/>
      </c>
      <c r="CM57" s="24" t="str">
        <f t="shared" si="85"/>
        <v/>
      </c>
      <c r="CN57" s="26" t="str">
        <f t="shared" si="242"/>
        <v/>
      </c>
      <c r="CO57" s="24" t="str">
        <f t="shared" si="243"/>
        <v/>
      </c>
      <c r="CP57" s="26" t="str">
        <f t="shared" si="244"/>
        <v/>
      </c>
      <c r="CQ57" s="26" t="str">
        <f t="shared" si="245"/>
        <v/>
      </c>
      <c r="CR57" s="26" t="str">
        <f t="shared" si="86"/>
        <v/>
      </c>
      <c r="CS57" s="24" t="str">
        <f t="shared" si="87"/>
        <v/>
      </c>
      <c r="CT57" s="27" t="str">
        <f t="shared" si="246"/>
        <v/>
      </c>
      <c r="CU57" s="24" t="str">
        <f t="shared" si="247"/>
        <v/>
      </c>
      <c r="CV57" s="27" t="str">
        <f t="shared" si="248"/>
        <v/>
      </c>
      <c r="CW57" s="26" t="str">
        <f t="shared" si="249"/>
        <v/>
      </c>
      <c r="CX57" s="26" t="str">
        <f t="shared" si="88"/>
        <v/>
      </c>
      <c r="CY57" s="27" t="str">
        <f t="shared" si="89"/>
        <v/>
      </c>
      <c r="CZ57" s="26" t="str">
        <f t="shared" si="250"/>
        <v/>
      </c>
      <c r="DA57" s="24" t="str">
        <f t="shared" si="181"/>
        <v/>
      </c>
      <c r="DB57" s="24" t="str">
        <f t="shared" si="251"/>
        <v/>
      </c>
      <c r="DC57" s="24" t="str">
        <f t="shared" si="263"/>
        <v/>
      </c>
      <c r="DD57" s="24" t="str">
        <f t="shared" si="252"/>
        <v/>
      </c>
      <c r="DE57" s="1"/>
      <c r="DF57" s="1"/>
      <c r="DG57" s="1"/>
      <c r="DH57" s="24" t="str">
        <f t="shared" si="253"/>
        <v/>
      </c>
      <c r="DI57" s="25" t="str">
        <f t="shared" si="254"/>
        <v/>
      </c>
      <c r="DJ57" t="str">
        <f t="shared" si="255"/>
        <v/>
      </c>
      <c r="DK57" s="9"/>
      <c r="DL57" s="9"/>
      <c r="DM57" s="9"/>
      <c r="DN57" s="9"/>
      <c r="DO57" s="9"/>
      <c r="DP57" s="9"/>
      <c r="DQ57" s="136" t="b">
        <f t="shared" si="256"/>
        <v>1</v>
      </c>
    </row>
    <row r="58" spans="1:121" ht="27" customHeight="1" x14ac:dyDescent="0.95">
      <c r="A58" s="24" t="str">
        <f t="shared" si="90"/>
        <v/>
      </c>
      <c r="B58" s="9"/>
      <c r="C58" s="14"/>
      <c r="D58" s="9"/>
      <c r="E58" s="9"/>
      <c r="F58" s="1"/>
      <c r="G58" s="1"/>
      <c r="H58" s="1"/>
      <c r="I58" s="1"/>
      <c r="J58" s="1"/>
      <c r="K58" s="1"/>
      <c r="L58" s="1"/>
      <c r="M58" s="1"/>
      <c r="N58" s="1"/>
      <c r="O58" s="1"/>
      <c r="P58" s="10"/>
      <c r="Q58" s="10"/>
      <c r="R58" s="10"/>
      <c r="S58" s="10"/>
      <c r="T58" s="10"/>
      <c r="U58" s="10"/>
      <c r="V58" s="10"/>
      <c r="W58" s="3" t="str">
        <f t="shared" si="182"/>
        <v/>
      </c>
      <c r="X58" s="3" t="str">
        <f t="shared" si="183"/>
        <v/>
      </c>
      <c r="Y58" s="3" t="str">
        <f t="shared" si="184"/>
        <v/>
      </c>
      <c r="Z58" s="3" t="str">
        <f t="shared" si="185"/>
        <v/>
      </c>
      <c r="AA58" s="3" t="str">
        <f t="shared" si="186"/>
        <v/>
      </c>
      <c r="AB58" s="3" t="str">
        <f t="shared" si="187"/>
        <v/>
      </c>
      <c r="AC58" s="3" t="str">
        <f t="shared" si="188"/>
        <v/>
      </c>
      <c r="AD58" s="3" t="str">
        <f t="shared" si="189"/>
        <v/>
      </c>
      <c r="AE58" s="3" t="str">
        <f t="shared" si="190"/>
        <v/>
      </c>
      <c r="AF58" s="24" t="str">
        <f t="shared" si="191"/>
        <v/>
      </c>
      <c r="AG58" s="24" t="str">
        <f t="shared" si="192"/>
        <v/>
      </c>
      <c r="AH58" s="24" t="str">
        <f t="shared" si="193"/>
        <v/>
      </c>
      <c r="AI58" s="24" t="str">
        <f t="shared" si="194"/>
        <v/>
      </c>
      <c r="AJ58" s="24" t="str">
        <f t="shared" si="195"/>
        <v/>
      </c>
      <c r="AK58" s="24" t="str">
        <f t="shared" si="196"/>
        <v/>
      </c>
      <c r="AL58" s="24" t="str">
        <f t="shared" si="197"/>
        <v/>
      </c>
      <c r="AM58" s="24" t="str">
        <f t="shared" si="198"/>
        <v/>
      </c>
      <c r="AN58" s="24" t="str">
        <f t="shared" si="199"/>
        <v/>
      </c>
      <c r="AO58" s="24" t="str">
        <f t="shared" si="200"/>
        <v/>
      </c>
      <c r="AP58" s="24" t="str">
        <f t="shared" si="201"/>
        <v/>
      </c>
      <c r="AQ58" s="24" t="str">
        <f t="shared" si="202"/>
        <v/>
      </c>
      <c r="AR58" s="24" t="str">
        <f t="shared" si="203"/>
        <v/>
      </c>
      <c r="AS58" s="24" t="str">
        <f t="shared" si="204"/>
        <v/>
      </c>
      <c r="AT58" s="24" t="str">
        <f t="shared" si="205"/>
        <v/>
      </c>
      <c r="AU58" s="24" t="str">
        <f t="shared" si="206"/>
        <v/>
      </c>
      <c r="AV58" s="24" t="str">
        <f t="shared" si="207"/>
        <v/>
      </c>
      <c r="AW58" s="24" t="str">
        <f t="shared" si="208"/>
        <v/>
      </c>
      <c r="AX58" s="24" t="str">
        <f t="shared" si="209"/>
        <v/>
      </c>
      <c r="AY58" s="24" t="str">
        <f t="shared" si="210"/>
        <v/>
      </c>
      <c r="AZ58" s="24" t="str">
        <f t="shared" si="211"/>
        <v/>
      </c>
      <c r="BA58" s="24" t="str">
        <f t="shared" si="212"/>
        <v/>
      </c>
      <c r="BB58" s="24" t="str">
        <f t="shared" si="213"/>
        <v/>
      </c>
      <c r="BC58" s="24" t="str">
        <f t="shared" si="214"/>
        <v/>
      </c>
      <c r="BD58" s="24" t="str">
        <f t="shared" si="215"/>
        <v/>
      </c>
      <c r="BE58" s="24" t="str">
        <f t="shared" si="216"/>
        <v/>
      </c>
      <c r="BF58" s="24" t="str">
        <f t="shared" si="217"/>
        <v/>
      </c>
      <c r="BG58" s="24" t="str">
        <f t="shared" si="218"/>
        <v/>
      </c>
      <c r="BH58" s="24" t="str">
        <f t="shared" si="219"/>
        <v/>
      </c>
      <c r="BI58" s="24" t="str">
        <f t="shared" si="220"/>
        <v/>
      </c>
      <c r="BJ58" s="24" t="str">
        <f t="shared" si="221"/>
        <v/>
      </c>
      <c r="BK58" s="24" t="str">
        <f t="shared" si="222"/>
        <v/>
      </c>
      <c r="BL58" s="26" t="str">
        <f t="shared" si="223"/>
        <v/>
      </c>
      <c r="BM58" s="26" t="str">
        <f t="shared" si="224"/>
        <v/>
      </c>
      <c r="BN58" s="26" t="str">
        <f t="shared" si="225"/>
        <v/>
      </c>
      <c r="BO58" s="26" t="str">
        <f t="shared" si="226"/>
        <v/>
      </c>
      <c r="BP58" s="26" t="str">
        <f t="shared" si="227"/>
        <v/>
      </c>
      <c r="BQ58" s="26" t="str">
        <f t="shared" si="228"/>
        <v/>
      </c>
      <c r="BR58" s="26" t="str">
        <f t="shared" si="229"/>
        <v/>
      </c>
      <c r="BS58" s="26" t="str">
        <f t="shared" si="230"/>
        <v/>
      </c>
      <c r="BT58" s="26" t="str">
        <f t="shared" si="231"/>
        <v/>
      </c>
      <c r="BU58" s="26" t="str">
        <f t="shared" si="232"/>
        <v/>
      </c>
      <c r="BV58" s="26" t="str">
        <f t="shared" si="233"/>
        <v/>
      </c>
      <c r="BW58" s="26" t="str">
        <f t="shared" si="234"/>
        <v/>
      </c>
      <c r="BX58" s="26" t="str">
        <f t="shared" si="235"/>
        <v/>
      </c>
      <c r="BY58" s="26" t="str">
        <f t="shared" si="236"/>
        <v/>
      </c>
      <c r="BZ58" s="26" t="str">
        <f t="shared" si="237"/>
        <v/>
      </c>
      <c r="CA58" s="26" t="str">
        <f t="shared" si="238"/>
        <v/>
      </c>
      <c r="CB58" s="24" t="str">
        <f t="shared" si="258"/>
        <v/>
      </c>
      <c r="CC58" s="24" t="str">
        <f t="shared" si="259"/>
        <v/>
      </c>
      <c r="CD58" s="24" t="str">
        <f t="shared" si="260"/>
        <v/>
      </c>
      <c r="CE58" s="24" t="str">
        <f t="shared" si="257"/>
        <v/>
      </c>
      <c r="CF58" s="24" t="str">
        <f t="shared" si="261"/>
        <v/>
      </c>
      <c r="CG58" s="24" t="str">
        <f>IF(OR(BA58="",AK58=""),"",BA58*(IF(OR(AK58="A",AK58="a"),4,(IF(OR(#REF!="B",AK58="b"),3,(IF(OR(AK58="C",AK58="c"),2,(IF(OR(AK58="D",AK58="d"),1.5,(IF(OR(AK58="E",AK58="e"),1,(IF(OR(AK58="F",AK58="f"),0)))))))))))))</f>
        <v/>
      </c>
      <c r="CH58" s="24" t="str">
        <f t="shared" si="262"/>
        <v/>
      </c>
      <c r="CI58" s="24" t="str">
        <f t="shared" si="239"/>
        <v/>
      </c>
      <c r="CJ58" s="24" t="str">
        <f t="shared" si="240"/>
        <v/>
      </c>
      <c r="CK58" s="26" t="str">
        <f t="shared" si="241"/>
        <v/>
      </c>
      <c r="CL58" s="26" t="str">
        <f t="shared" si="84"/>
        <v/>
      </c>
      <c r="CM58" s="24" t="str">
        <f t="shared" si="85"/>
        <v/>
      </c>
      <c r="CN58" s="26" t="str">
        <f t="shared" si="242"/>
        <v/>
      </c>
      <c r="CO58" s="24" t="str">
        <f t="shared" si="243"/>
        <v/>
      </c>
      <c r="CP58" s="26" t="str">
        <f t="shared" si="244"/>
        <v/>
      </c>
      <c r="CQ58" s="26" t="str">
        <f t="shared" si="245"/>
        <v/>
      </c>
      <c r="CR58" s="26" t="str">
        <f t="shared" si="86"/>
        <v/>
      </c>
      <c r="CS58" s="24" t="str">
        <f t="shared" si="87"/>
        <v/>
      </c>
      <c r="CT58" s="27" t="str">
        <f t="shared" si="246"/>
        <v/>
      </c>
      <c r="CU58" s="24" t="str">
        <f t="shared" si="247"/>
        <v/>
      </c>
      <c r="CV58" s="27" t="str">
        <f t="shared" si="248"/>
        <v/>
      </c>
      <c r="CW58" s="26" t="str">
        <f t="shared" si="249"/>
        <v/>
      </c>
      <c r="CX58" s="26" t="str">
        <f t="shared" si="88"/>
        <v/>
      </c>
      <c r="CY58" s="27" t="str">
        <f t="shared" si="89"/>
        <v/>
      </c>
      <c r="CZ58" s="26" t="str">
        <f t="shared" si="250"/>
        <v/>
      </c>
      <c r="DA58" s="24" t="str">
        <f t="shared" si="181"/>
        <v/>
      </c>
      <c r="DB58" s="24" t="str">
        <f t="shared" si="251"/>
        <v/>
      </c>
      <c r="DC58" s="24" t="str">
        <f t="shared" si="263"/>
        <v/>
      </c>
      <c r="DD58" s="24" t="str">
        <f t="shared" si="252"/>
        <v/>
      </c>
      <c r="DE58" s="1"/>
      <c r="DF58" s="1"/>
      <c r="DG58" s="1"/>
      <c r="DH58" s="24" t="str">
        <f t="shared" si="253"/>
        <v/>
      </c>
      <c r="DI58" s="25" t="str">
        <f t="shared" si="254"/>
        <v/>
      </c>
      <c r="DJ58" t="str">
        <f t="shared" si="255"/>
        <v/>
      </c>
      <c r="DK58" s="9"/>
      <c r="DL58" s="9"/>
      <c r="DM58" s="9"/>
      <c r="DN58" s="9"/>
      <c r="DO58" s="9"/>
      <c r="DP58" s="9"/>
      <c r="DQ58" s="136" t="b">
        <f t="shared" si="256"/>
        <v>1</v>
      </c>
    </row>
    <row r="59" spans="1:121" ht="27" customHeight="1" x14ac:dyDescent="0.95">
      <c r="A59" s="24" t="str">
        <f t="shared" si="90"/>
        <v/>
      </c>
      <c r="B59" s="9"/>
      <c r="C59" s="14"/>
      <c r="D59" s="9"/>
      <c r="E59" s="9"/>
      <c r="F59" s="1"/>
      <c r="G59" s="1"/>
      <c r="H59" s="1"/>
      <c r="I59" s="1"/>
      <c r="J59" s="1"/>
      <c r="K59" s="1"/>
      <c r="L59" s="1"/>
      <c r="M59" s="1"/>
      <c r="N59" s="1"/>
      <c r="O59" s="1"/>
      <c r="P59" s="10"/>
      <c r="Q59" s="10"/>
      <c r="R59" s="10"/>
      <c r="S59" s="10"/>
      <c r="T59" s="10"/>
      <c r="U59" s="10"/>
      <c r="V59" s="10"/>
      <c r="W59" s="3" t="str">
        <f t="shared" si="182"/>
        <v/>
      </c>
      <c r="X59" s="3" t="str">
        <f t="shared" si="183"/>
        <v/>
      </c>
      <c r="Y59" s="3" t="str">
        <f t="shared" si="184"/>
        <v/>
      </c>
      <c r="Z59" s="3" t="str">
        <f t="shared" si="185"/>
        <v/>
      </c>
      <c r="AA59" s="3" t="str">
        <f t="shared" si="186"/>
        <v/>
      </c>
      <c r="AB59" s="3" t="str">
        <f t="shared" si="187"/>
        <v/>
      </c>
      <c r="AC59" s="3" t="str">
        <f t="shared" si="188"/>
        <v/>
      </c>
      <c r="AD59" s="3" t="str">
        <f t="shared" si="189"/>
        <v/>
      </c>
      <c r="AE59" s="3" t="str">
        <f t="shared" si="190"/>
        <v/>
      </c>
      <c r="AF59" s="24" t="str">
        <f t="shared" si="191"/>
        <v/>
      </c>
      <c r="AG59" s="24" t="str">
        <f t="shared" si="192"/>
        <v/>
      </c>
      <c r="AH59" s="24" t="str">
        <f t="shared" si="193"/>
        <v/>
      </c>
      <c r="AI59" s="24" t="str">
        <f t="shared" si="194"/>
        <v/>
      </c>
      <c r="AJ59" s="24" t="str">
        <f t="shared" si="195"/>
        <v/>
      </c>
      <c r="AK59" s="24" t="str">
        <f t="shared" si="196"/>
        <v/>
      </c>
      <c r="AL59" s="24" t="str">
        <f t="shared" si="197"/>
        <v/>
      </c>
      <c r="AM59" s="24" t="str">
        <f t="shared" si="198"/>
        <v/>
      </c>
      <c r="AN59" s="24" t="str">
        <f t="shared" si="199"/>
        <v/>
      </c>
      <c r="AO59" s="24" t="str">
        <f t="shared" si="200"/>
        <v/>
      </c>
      <c r="AP59" s="24" t="str">
        <f t="shared" si="201"/>
        <v/>
      </c>
      <c r="AQ59" s="24" t="str">
        <f t="shared" si="202"/>
        <v/>
      </c>
      <c r="AR59" s="24" t="str">
        <f t="shared" si="203"/>
        <v/>
      </c>
      <c r="AS59" s="24" t="str">
        <f t="shared" si="204"/>
        <v/>
      </c>
      <c r="AT59" s="24" t="str">
        <f t="shared" si="205"/>
        <v/>
      </c>
      <c r="AU59" s="24" t="str">
        <f t="shared" si="206"/>
        <v/>
      </c>
      <c r="AV59" s="24" t="str">
        <f t="shared" si="207"/>
        <v/>
      </c>
      <c r="AW59" s="24" t="str">
        <f t="shared" si="208"/>
        <v/>
      </c>
      <c r="AX59" s="24" t="str">
        <f t="shared" si="209"/>
        <v/>
      </c>
      <c r="AY59" s="24" t="str">
        <f t="shared" si="210"/>
        <v/>
      </c>
      <c r="AZ59" s="24" t="str">
        <f t="shared" si="211"/>
        <v/>
      </c>
      <c r="BA59" s="24" t="str">
        <f t="shared" si="212"/>
        <v/>
      </c>
      <c r="BB59" s="24" t="str">
        <f t="shared" si="213"/>
        <v/>
      </c>
      <c r="BC59" s="24" t="str">
        <f t="shared" si="214"/>
        <v/>
      </c>
      <c r="BD59" s="24" t="str">
        <f t="shared" si="215"/>
        <v/>
      </c>
      <c r="BE59" s="24" t="str">
        <f t="shared" si="216"/>
        <v/>
      </c>
      <c r="BF59" s="24" t="str">
        <f t="shared" si="217"/>
        <v/>
      </c>
      <c r="BG59" s="24" t="str">
        <f t="shared" si="218"/>
        <v/>
      </c>
      <c r="BH59" s="24" t="str">
        <f t="shared" si="219"/>
        <v/>
      </c>
      <c r="BI59" s="24" t="str">
        <f t="shared" si="220"/>
        <v/>
      </c>
      <c r="BJ59" s="24" t="str">
        <f t="shared" si="221"/>
        <v/>
      </c>
      <c r="BK59" s="24" t="str">
        <f t="shared" si="222"/>
        <v/>
      </c>
      <c r="BL59" s="26" t="str">
        <f t="shared" si="223"/>
        <v/>
      </c>
      <c r="BM59" s="26" t="str">
        <f t="shared" si="224"/>
        <v/>
      </c>
      <c r="BN59" s="26" t="str">
        <f t="shared" si="225"/>
        <v/>
      </c>
      <c r="BO59" s="26" t="str">
        <f t="shared" si="226"/>
        <v/>
      </c>
      <c r="BP59" s="26" t="str">
        <f t="shared" si="227"/>
        <v/>
      </c>
      <c r="BQ59" s="26" t="str">
        <f t="shared" si="228"/>
        <v/>
      </c>
      <c r="BR59" s="26" t="str">
        <f t="shared" si="229"/>
        <v/>
      </c>
      <c r="BS59" s="26" t="str">
        <f t="shared" si="230"/>
        <v/>
      </c>
      <c r="BT59" s="26" t="str">
        <f t="shared" si="231"/>
        <v/>
      </c>
      <c r="BU59" s="26" t="str">
        <f t="shared" si="232"/>
        <v/>
      </c>
      <c r="BV59" s="26" t="str">
        <f t="shared" si="233"/>
        <v/>
      </c>
      <c r="BW59" s="26" t="str">
        <f t="shared" si="234"/>
        <v/>
      </c>
      <c r="BX59" s="26" t="str">
        <f t="shared" si="235"/>
        <v/>
      </c>
      <c r="BY59" s="26" t="str">
        <f t="shared" si="236"/>
        <v/>
      </c>
      <c r="BZ59" s="26" t="str">
        <f t="shared" si="237"/>
        <v/>
      </c>
      <c r="CA59" s="26" t="str">
        <f t="shared" si="238"/>
        <v/>
      </c>
      <c r="CB59" s="24" t="str">
        <f t="shared" si="258"/>
        <v/>
      </c>
      <c r="CC59" s="24" t="str">
        <f t="shared" si="259"/>
        <v/>
      </c>
      <c r="CD59" s="24" t="str">
        <f t="shared" si="260"/>
        <v/>
      </c>
      <c r="CE59" s="24" t="str">
        <f t="shared" si="257"/>
        <v/>
      </c>
      <c r="CF59" s="24" t="str">
        <f t="shared" si="261"/>
        <v/>
      </c>
      <c r="CG59" s="24" t="str">
        <f>IF(OR(BA59="",AK59=""),"",BA59*(IF(OR(AK59="A",AK59="a"),4,(IF(OR(#REF!="B",AK59="b"),3,(IF(OR(AK59="C",AK59="c"),2,(IF(OR(AK59="D",AK59="d"),1.5,(IF(OR(AK59="E",AK59="e"),1,(IF(OR(AK59="F",AK59="f"),0)))))))))))))</f>
        <v/>
      </c>
      <c r="CH59" s="24" t="str">
        <f t="shared" si="262"/>
        <v/>
      </c>
      <c r="CI59" s="24" t="str">
        <f t="shared" si="239"/>
        <v/>
      </c>
      <c r="CJ59" s="24" t="str">
        <f t="shared" si="240"/>
        <v/>
      </c>
      <c r="CK59" s="26" t="str">
        <f t="shared" si="241"/>
        <v/>
      </c>
      <c r="CL59" s="26" t="str">
        <f t="shared" si="84"/>
        <v/>
      </c>
      <c r="CM59" s="24" t="str">
        <f t="shared" si="85"/>
        <v/>
      </c>
      <c r="CN59" s="26" t="str">
        <f t="shared" si="242"/>
        <v/>
      </c>
      <c r="CO59" s="24" t="str">
        <f t="shared" si="243"/>
        <v/>
      </c>
      <c r="CP59" s="26" t="str">
        <f t="shared" si="244"/>
        <v/>
      </c>
      <c r="CQ59" s="26" t="str">
        <f t="shared" si="245"/>
        <v/>
      </c>
      <c r="CR59" s="26" t="str">
        <f t="shared" si="86"/>
        <v/>
      </c>
      <c r="CS59" s="24" t="str">
        <f t="shared" si="87"/>
        <v/>
      </c>
      <c r="CT59" s="27" t="str">
        <f t="shared" si="246"/>
        <v/>
      </c>
      <c r="CU59" s="24" t="str">
        <f t="shared" si="247"/>
        <v/>
      </c>
      <c r="CV59" s="27" t="str">
        <f t="shared" si="248"/>
        <v/>
      </c>
      <c r="CW59" s="26" t="str">
        <f t="shared" si="249"/>
        <v/>
      </c>
      <c r="CX59" s="26" t="str">
        <f t="shared" si="88"/>
        <v/>
      </c>
      <c r="CY59" s="27" t="str">
        <f t="shared" si="89"/>
        <v/>
      </c>
      <c r="CZ59" s="26" t="str">
        <f t="shared" si="250"/>
        <v/>
      </c>
      <c r="DA59" s="24" t="str">
        <f t="shared" si="181"/>
        <v/>
      </c>
      <c r="DB59" s="24" t="str">
        <f t="shared" si="251"/>
        <v/>
      </c>
      <c r="DC59" s="24" t="str">
        <f t="shared" si="263"/>
        <v/>
      </c>
      <c r="DD59" s="24" t="str">
        <f t="shared" si="252"/>
        <v/>
      </c>
      <c r="DE59" s="1"/>
      <c r="DF59" s="1"/>
      <c r="DG59" s="1"/>
      <c r="DH59" s="24" t="str">
        <f t="shared" si="253"/>
        <v/>
      </c>
      <c r="DI59" s="25" t="str">
        <f t="shared" si="254"/>
        <v/>
      </c>
      <c r="DJ59" t="str">
        <f t="shared" si="255"/>
        <v/>
      </c>
      <c r="DK59" s="9"/>
      <c r="DL59" s="9"/>
      <c r="DM59" s="9"/>
      <c r="DN59" s="9"/>
      <c r="DO59" s="9"/>
      <c r="DP59" s="9"/>
      <c r="DQ59" s="136" t="b">
        <f t="shared" si="256"/>
        <v>1</v>
      </c>
    </row>
    <row r="60" spans="1:121" ht="27" customHeight="1" x14ac:dyDescent="0.95">
      <c r="A60" s="24" t="str">
        <f t="shared" si="90"/>
        <v/>
      </c>
      <c r="B60" s="9"/>
      <c r="C60" s="14"/>
      <c r="D60" s="9"/>
      <c r="E60" s="9"/>
      <c r="F60" s="1"/>
      <c r="G60" s="1"/>
      <c r="H60" s="1"/>
      <c r="I60" s="1"/>
      <c r="J60" s="1"/>
      <c r="K60" s="1"/>
      <c r="L60" s="1"/>
      <c r="M60" s="1"/>
      <c r="N60" s="1"/>
      <c r="O60" s="1"/>
      <c r="P60" s="10"/>
      <c r="Q60" s="10"/>
      <c r="R60" s="10"/>
      <c r="S60" s="10"/>
      <c r="T60" s="10"/>
      <c r="U60" s="10"/>
      <c r="V60" s="10"/>
      <c r="W60" s="3" t="str">
        <f t="shared" si="182"/>
        <v/>
      </c>
      <c r="X60" s="3" t="str">
        <f t="shared" si="183"/>
        <v/>
      </c>
      <c r="Y60" s="3" t="str">
        <f t="shared" si="184"/>
        <v/>
      </c>
      <c r="Z60" s="3" t="str">
        <f t="shared" si="185"/>
        <v/>
      </c>
      <c r="AA60" s="3" t="str">
        <f t="shared" si="186"/>
        <v/>
      </c>
      <c r="AB60" s="3" t="str">
        <f t="shared" si="187"/>
        <v/>
      </c>
      <c r="AC60" s="3" t="str">
        <f t="shared" si="188"/>
        <v/>
      </c>
      <c r="AD60" s="3" t="str">
        <f t="shared" si="189"/>
        <v/>
      </c>
      <c r="AE60" s="3" t="str">
        <f t="shared" si="190"/>
        <v/>
      </c>
      <c r="AF60" s="24" t="str">
        <f t="shared" si="191"/>
        <v/>
      </c>
      <c r="AG60" s="24" t="str">
        <f t="shared" si="192"/>
        <v/>
      </c>
      <c r="AH60" s="24" t="str">
        <f t="shared" si="193"/>
        <v/>
      </c>
      <c r="AI60" s="24" t="str">
        <f t="shared" si="194"/>
        <v/>
      </c>
      <c r="AJ60" s="24" t="str">
        <f t="shared" si="195"/>
        <v/>
      </c>
      <c r="AK60" s="24" t="str">
        <f t="shared" si="196"/>
        <v/>
      </c>
      <c r="AL60" s="24" t="str">
        <f t="shared" si="197"/>
        <v/>
      </c>
      <c r="AM60" s="24" t="str">
        <f t="shared" si="198"/>
        <v/>
      </c>
      <c r="AN60" s="24" t="str">
        <f t="shared" si="199"/>
        <v/>
      </c>
      <c r="AO60" s="24" t="str">
        <f t="shared" si="200"/>
        <v/>
      </c>
      <c r="AP60" s="24" t="str">
        <f t="shared" si="201"/>
        <v/>
      </c>
      <c r="AQ60" s="24" t="str">
        <f t="shared" si="202"/>
        <v/>
      </c>
      <c r="AR60" s="24" t="str">
        <f t="shared" si="203"/>
        <v/>
      </c>
      <c r="AS60" s="24" t="str">
        <f t="shared" si="204"/>
        <v/>
      </c>
      <c r="AT60" s="24" t="str">
        <f t="shared" si="205"/>
        <v/>
      </c>
      <c r="AU60" s="24" t="str">
        <f t="shared" si="206"/>
        <v/>
      </c>
      <c r="AV60" s="24" t="str">
        <f t="shared" si="207"/>
        <v/>
      </c>
      <c r="AW60" s="24" t="str">
        <f t="shared" si="208"/>
        <v/>
      </c>
      <c r="AX60" s="24" t="str">
        <f t="shared" si="209"/>
        <v/>
      </c>
      <c r="AY60" s="24" t="str">
        <f t="shared" si="210"/>
        <v/>
      </c>
      <c r="AZ60" s="24" t="str">
        <f t="shared" si="211"/>
        <v/>
      </c>
      <c r="BA60" s="24" t="str">
        <f t="shared" si="212"/>
        <v/>
      </c>
      <c r="BB60" s="24" t="str">
        <f t="shared" si="213"/>
        <v/>
      </c>
      <c r="BC60" s="24" t="str">
        <f t="shared" si="214"/>
        <v/>
      </c>
      <c r="BD60" s="24" t="str">
        <f t="shared" si="215"/>
        <v/>
      </c>
      <c r="BE60" s="24" t="str">
        <f t="shared" si="216"/>
        <v/>
      </c>
      <c r="BF60" s="24" t="str">
        <f t="shared" si="217"/>
        <v/>
      </c>
      <c r="BG60" s="24" t="str">
        <f t="shared" si="218"/>
        <v/>
      </c>
      <c r="BH60" s="24" t="str">
        <f t="shared" si="219"/>
        <v/>
      </c>
      <c r="BI60" s="24" t="str">
        <f t="shared" si="220"/>
        <v/>
      </c>
      <c r="BJ60" s="24" t="str">
        <f t="shared" si="221"/>
        <v/>
      </c>
      <c r="BK60" s="24" t="str">
        <f t="shared" si="222"/>
        <v/>
      </c>
      <c r="BL60" s="26" t="str">
        <f t="shared" si="223"/>
        <v/>
      </c>
      <c r="BM60" s="26" t="str">
        <f t="shared" si="224"/>
        <v/>
      </c>
      <c r="BN60" s="26" t="str">
        <f t="shared" si="225"/>
        <v/>
      </c>
      <c r="BO60" s="26" t="str">
        <f t="shared" si="226"/>
        <v/>
      </c>
      <c r="BP60" s="26" t="str">
        <f t="shared" si="227"/>
        <v/>
      </c>
      <c r="BQ60" s="26" t="str">
        <f t="shared" si="228"/>
        <v/>
      </c>
      <c r="BR60" s="26" t="str">
        <f t="shared" si="229"/>
        <v/>
      </c>
      <c r="BS60" s="26" t="str">
        <f t="shared" si="230"/>
        <v/>
      </c>
      <c r="BT60" s="26" t="str">
        <f t="shared" si="231"/>
        <v/>
      </c>
      <c r="BU60" s="26" t="str">
        <f t="shared" si="232"/>
        <v/>
      </c>
      <c r="BV60" s="26" t="str">
        <f t="shared" si="233"/>
        <v/>
      </c>
      <c r="BW60" s="26" t="str">
        <f t="shared" si="234"/>
        <v/>
      </c>
      <c r="BX60" s="26" t="str">
        <f t="shared" si="235"/>
        <v/>
      </c>
      <c r="BY60" s="26" t="str">
        <f t="shared" si="236"/>
        <v/>
      </c>
      <c r="BZ60" s="26" t="str">
        <f t="shared" si="237"/>
        <v/>
      </c>
      <c r="CA60" s="26" t="str">
        <f t="shared" si="238"/>
        <v/>
      </c>
      <c r="CB60" s="24" t="str">
        <f t="shared" si="258"/>
        <v/>
      </c>
      <c r="CC60" s="24" t="str">
        <f t="shared" si="259"/>
        <v/>
      </c>
      <c r="CD60" s="24" t="str">
        <f t="shared" si="260"/>
        <v/>
      </c>
      <c r="CE60" s="24" t="str">
        <f t="shared" si="257"/>
        <v/>
      </c>
      <c r="CF60" s="24" t="str">
        <f t="shared" si="261"/>
        <v/>
      </c>
      <c r="CG60" s="24" t="str">
        <f>IF(OR(BA60="",AK60=""),"",BA60*(IF(OR(AK60="A",AK60="a"),4,(IF(OR(#REF!="B",AK60="b"),3,(IF(OR(AK60="C",AK60="c"),2,(IF(OR(AK60="D",AK60="d"),1.5,(IF(OR(AK60="E",AK60="e"),1,(IF(OR(AK60="F",AK60="f"),0)))))))))))))</f>
        <v/>
      </c>
      <c r="CH60" s="24" t="str">
        <f t="shared" si="262"/>
        <v/>
      </c>
      <c r="CI60" s="24" t="str">
        <f t="shared" si="239"/>
        <v/>
      </c>
      <c r="CJ60" s="24" t="str">
        <f t="shared" si="240"/>
        <v/>
      </c>
      <c r="CK60" s="26" t="str">
        <f t="shared" si="241"/>
        <v/>
      </c>
      <c r="CL60" s="26" t="str">
        <f t="shared" si="84"/>
        <v/>
      </c>
      <c r="CM60" s="24" t="str">
        <f t="shared" si="85"/>
        <v/>
      </c>
      <c r="CN60" s="26" t="str">
        <f t="shared" si="242"/>
        <v/>
      </c>
      <c r="CO60" s="24" t="str">
        <f t="shared" si="243"/>
        <v/>
      </c>
      <c r="CP60" s="26" t="str">
        <f t="shared" si="244"/>
        <v/>
      </c>
      <c r="CQ60" s="26" t="str">
        <f t="shared" si="245"/>
        <v/>
      </c>
      <c r="CR60" s="26" t="str">
        <f t="shared" si="86"/>
        <v/>
      </c>
      <c r="CS60" s="24" t="str">
        <f t="shared" si="87"/>
        <v/>
      </c>
      <c r="CT60" s="27" t="str">
        <f t="shared" si="246"/>
        <v/>
      </c>
      <c r="CU60" s="24" t="str">
        <f t="shared" si="247"/>
        <v/>
      </c>
      <c r="CV60" s="27" t="str">
        <f t="shared" si="248"/>
        <v/>
      </c>
      <c r="CW60" s="26" t="str">
        <f t="shared" si="249"/>
        <v/>
      </c>
      <c r="CX60" s="26" t="str">
        <f t="shared" si="88"/>
        <v/>
      </c>
      <c r="CY60" s="27" t="str">
        <f t="shared" si="89"/>
        <v/>
      </c>
      <c r="CZ60" s="26" t="str">
        <f t="shared" si="250"/>
        <v/>
      </c>
      <c r="DA60" s="24" t="str">
        <f t="shared" si="181"/>
        <v/>
      </c>
      <c r="DB60" s="24" t="str">
        <f t="shared" si="251"/>
        <v/>
      </c>
      <c r="DC60" s="24" t="str">
        <f t="shared" si="263"/>
        <v/>
      </c>
      <c r="DD60" s="24" t="str">
        <f t="shared" si="252"/>
        <v/>
      </c>
      <c r="DE60" s="1"/>
      <c r="DF60" s="1"/>
      <c r="DG60" s="1"/>
      <c r="DH60" s="24" t="str">
        <f t="shared" si="253"/>
        <v/>
      </c>
      <c r="DI60" s="25" t="str">
        <f t="shared" si="254"/>
        <v/>
      </c>
      <c r="DJ60" t="str">
        <f t="shared" si="255"/>
        <v/>
      </c>
      <c r="DK60" s="9"/>
      <c r="DL60" s="9"/>
      <c r="DM60" s="9"/>
      <c r="DN60" s="9"/>
      <c r="DO60" s="9"/>
      <c r="DP60" s="9"/>
      <c r="DQ60" s="136" t="b">
        <f t="shared" si="256"/>
        <v>1</v>
      </c>
    </row>
    <row r="61" spans="1:121" ht="27" customHeight="1" x14ac:dyDescent="0.95">
      <c r="A61" s="24" t="str">
        <f t="shared" si="90"/>
        <v/>
      </c>
      <c r="B61" s="9"/>
      <c r="C61" s="14"/>
      <c r="D61" s="9"/>
      <c r="E61" s="9"/>
      <c r="F61" s="1"/>
      <c r="G61" s="1"/>
      <c r="H61" s="1"/>
      <c r="I61" s="1"/>
      <c r="J61" s="1"/>
      <c r="K61" s="1"/>
      <c r="L61" s="1"/>
      <c r="M61" s="1"/>
      <c r="N61" s="1"/>
      <c r="O61" s="1"/>
      <c r="P61" s="10"/>
      <c r="Q61" s="10"/>
      <c r="R61" s="10"/>
      <c r="S61" s="10"/>
      <c r="T61" s="10"/>
      <c r="U61" s="10"/>
      <c r="V61" s="10"/>
      <c r="W61" s="3" t="str">
        <f t="shared" si="182"/>
        <v/>
      </c>
      <c r="X61" s="3" t="str">
        <f t="shared" si="183"/>
        <v/>
      </c>
      <c r="Y61" s="3" t="str">
        <f t="shared" si="184"/>
        <v/>
      </c>
      <c r="Z61" s="3" t="str">
        <f t="shared" si="185"/>
        <v/>
      </c>
      <c r="AA61" s="3" t="str">
        <f t="shared" si="186"/>
        <v/>
      </c>
      <c r="AB61" s="3" t="str">
        <f t="shared" si="187"/>
        <v/>
      </c>
      <c r="AC61" s="3" t="str">
        <f t="shared" si="188"/>
        <v/>
      </c>
      <c r="AD61" s="3" t="str">
        <f t="shared" si="189"/>
        <v/>
      </c>
      <c r="AE61" s="3" t="str">
        <f t="shared" si="190"/>
        <v/>
      </c>
      <c r="AF61" s="24" t="str">
        <f t="shared" si="191"/>
        <v/>
      </c>
      <c r="AG61" s="24" t="str">
        <f t="shared" si="192"/>
        <v/>
      </c>
      <c r="AH61" s="24" t="str">
        <f t="shared" si="193"/>
        <v/>
      </c>
      <c r="AI61" s="24" t="str">
        <f t="shared" si="194"/>
        <v/>
      </c>
      <c r="AJ61" s="24" t="str">
        <f t="shared" si="195"/>
        <v/>
      </c>
      <c r="AK61" s="24" t="str">
        <f t="shared" si="196"/>
        <v/>
      </c>
      <c r="AL61" s="24" t="str">
        <f t="shared" si="197"/>
        <v/>
      </c>
      <c r="AM61" s="24" t="str">
        <f t="shared" si="198"/>
        <v/>
      </c>
      <c r="AN61" s="24" t="str">
        <f t="shared" si="199"/>
        <v/>
      </c>
      <c r="AO61" s="24" t="str">
        <f t="shared" si="200"/>
        <v/>
      </c>
      <c r="AP61" s="24" t="str">
        <f t="shared" si="201"/>
        <v/>
      </c>
      <c r="AQ61" s="24" t="str">
        <f t="shared" si="202"/>
        <v/>
      </c>
      <c r="AR61" s="24" t="str">
        <f t="shared" si="203"/>
        <v/>
      </c>
      <c r="AS61" s="24" t="str">
        <f t="shared" si="204"/>
        <v/>
      </c>
      <c r="AT61" s="24" t="str">
        <f t="shared" si="205"/>
        <v/>
      </c>
      <c r="AU61" s="24" t="str">
        <f t="shared" si="206"/>
        <v/>
      </c>
      <c r="AV61" s="24" t="str">
        <f t="shared" si="207"/>
        <v/>
      </c>
      <c r="AW61" s="24" t="str">
        <f t="shared" si="208"/>
        <v/>
      </c>
      <c r="AX61" s="24" t="str">
        <f t="shared" si="209"/>
        <v/>
      </c>
      <c r="AY61" s="24" t="str">
        <f t="shared" si="210"/>
        <v/>
      </c>
      <c r="AZ61" s="24" t="str">
        <f t="shared" si="211"/>
        <v/>
      </c>
      <c r="BA61" s="24" t="str">
        <f t="shared" si="212"/>
        <v/>
      </c>
      <c r="BB61" s="24" t="str">
        <f t="shared" si="213"/>
        <v/>
      </c>
      <c r="BC61" s="24" t="str">
        <f t="shared" si="214"/>
        <v/>
      </c>
      <c r="BD61" s="24" t="str">
        <f t="shared" si="215"/>
        <v/>
      </c>
      <c r="BE61" s="24" t="str">
        <f t="shared" si="216"/>
        <v/>
      </c>
      <c r="BF61" s="24" t="str">
        <f t="shared" si="217"/>
        <v/>
      </c>
      <c r="BG61" s="24" t="str">
        <f t="shared" si="218"/>
        <v/>
      </c>
      <c r="BH61" s="24" t="str">
        <f t="shared" si="219"/>
        <v/>
      </c>
      <c r="BI61" s="24" t="str">
        <f t="shared" si="220"/>
        <v/>
      </c>
      <c r="BJ61" s="24" t="str">
        <f t="shared" si="221"/>
        <v/>
      </c>
      <c r="BK61" s="24" t="str">
        <f t="shared" si="222"/>
        <v/>
      </c>
      <c r="BL61" s="26" t="str">
        <f t="shared" si="223"/>
        <v/>
      </c>
      <c r="BM61" s="26" t="str">
        <f t="shared" si="224"/>
        <v/>
      </c>
      <c r="BN61" s="26" t="str">
        <f t="shared" si="225"/>
        <v/>
      </c>
      <c r="BO61" s="26" t="str">
        <f t="shared" si="226"/>
        <v/>
      </c>
      <c r="BP61" s="26" t="str">
        <f t="shared" si="227"/>
        <v/>
      </c>
      <c r="BQ61" s="26" t="str">
        <f t="shared" si="228"/>
        <v/>
      </c>
      <c r="BR61" s="26" t="str">
        <f t="shared" si="229"/>
        <v/>
      </c>
      <c r="BS61" s="26" t="str">
        <f t="shared" si="230"/>
        <v/>
      </c>
      <c r="BT61" s="26" t="str">
        <f t="shared" si="231"/>
        <v/>
      </c>
      <c r="BU61" s="26" t="str">
        <f t="shared" si="232"/>
        <v/>
      </c>
      <c r="BV61" s="26" t="str">
        <f t="shared" si="233"/>
        <v/>
      </c>
      <c r="BW61" s="26" t="str">
        <f t="shared" si="234"/>
        <v/>
      </c>
      <c r="BX61" s="26" t="str">
        <f t="shared" si="235"/>
        <v/>
      </c>
      <c r="BY61" s="26" t="str">
        <f t="shared" si="236"/>
        <v/>
      </c>
      <c r="BZ61" s="26" t="str">
        <f t="shared" si="237"/>
        <v/>
      </c>
      <c r="CA61" s="26" t="str">
        <f t="shared" si="238"/>
        <v/>
      </c>
      <c r="CB61" s="24" t="str">
        <f t="shared" si="258"/>
        <v/>
      </c>
      <c r="CC61" s="24" t="str">
        <f t="shared" si="259"/>
        <v/>
      </c>
      <c r="CD61" s="24" t="str">
        <f t="shared" si="260"/>
        <v/>
      </c>
      <c r="CE61" s="24" t="str">
        <f t="shared" si="257"/>
        <v/>
      </c>
      <c r="CF61" s="24" t="str">
        <f t="shared" si="261"/>
        <v/>
      </c>
      <c r="CG61" s="24" t="str">
        <f>IF(OR(BA61="",AK61=""),"",BA61*(IF(OR(AK61="A",AK61="a"),4,(IF(OR(#REF!="B",AK61="b"),3,(IF(OR(AK61="C",AK61="c"),2,(IF(OR(AK61="D",AK61="d"),1.5,(IF(OR(AK61="E",AK61="e"),1,(IF(OR(AK61="F",AK61="f"),0)))))))))))))</f>
        <v/>
      </c>
      <c r="CH61" s="24" t="str">
        <f t="shared" si="262"/>
        <v/>
      </c>
      <c r="CI61" s="24" t="str">
        <f t="shared" si="239"/>
        <v/>
      </c>
      <c r="CJ61" s="24" t="str">
        <f t="shared" si="240"/>
        <v/>
      </c>
      <c r="CK61" s="26" t="str">
        <f t="shared" si="241"/>
        <v/>
      </c>
      <c r="CL61" s="26" t="str">
        <f t="shared" si="84"/>
        <v/>
      </c>
      <c r="CM61" s="24" t="str">
        <f t="shared" si="85"/>
        <v/>
      </c>
      <c r="CN61" s="26" t="str">
        <f t="shared" si="242"/>
        <v/>
      </c>
      <c r="CO61" s="24" t="str">
        <f t="shared" si="243"/>
        <v/>
      </c>
      <c r="CP61" s="26" t="str">
        <f t="shared" si="244"/>
        <v/>
      </c>
      <c r="CQ61" s="26" t="str">
        <f t="shared" si="245"/>
        <v/>
      </c>
      <c r="CR61" s="26" t="str">
        <f t="shared" si="86"/>
        <v/>
      </c>
      <c r="CS61" s="24" t="str">
        <f t="shared" si="87"/>
        <v/>
      </c>
      <c r="CT61" s="27" t="str">
        <f t="shared" si="246"/>
        <v/>
      </c>
      <c r="CU61" s="24" t="str">
        <f t="shared" si="247"/>
        <v/>
      </c>
      <c r="CV61" s="27" t="str">
        <f t="shared" si="248"/>
        <v/>
      </c>
      <c r="CW61" s="26" t="str">
        <f t="shared" si="249"/>
        <v/>
      </c>
      <c r="CX61" s="26" t="str">
        <f t="shared" si="88"/>
        <v/>
      </c>
      <c r="CY61" s="27" t="str">
        <f t="shared" si="89"/>
        <v/>
      </c>
      <c r="CZ61" s="26" t="str">
        <f t="shared" si="250"/>
        <v/>
      </c>
      <c r="DA61" s="24" t="str">
        <f t="shared" si="181"/>
        <v/>
      </c>
      <c r="DB61" s="24" t="str">
        <f t="shared" si="251"/>
        <v/>
      </c>
      <c r="DC61" s="24" t="str">
        <f t="shared" si="263"/>
        <v/>
      </c>
      <c r="DD61" s="24" t="str">
        <f t="shared" si="252"/>
        <v/>
      </c>
      <c r="DE61" s="1"/>
      <c r="DF61" s="1"/>
      <c r="DG61" s="1"/>
      <c r="DH61" s="24" t="str">
        <f t="shared" si="253"/>
        <v/>
      </c>
      <c r="DI61" s="25" t="str">
        <f t="shared" si="254"/>
        <v/>
      </c>
      <c r="DJ61" t="str">
        <f t="shared" si="255"/>
        <v/>
      </c>
      <c r="DK61" s="9"/>
      <c r="DL61" s="9"/>
      <c r="DM61" s="9"/>
      <c r="DN61" s="9"/>
      <c r="DO61" s="9"/>
      <c r="DP61" s="9"/>
      <c r="DQ61" s="136" t="b">
        <f t="shared" si="256"/>
        <v>1</v>
      </c>
    </row>
    <row r="62" spans="1:121" ht="27" customHeight="1" x14ac:dyDescent="0.95">
      <c r="A62" s="24" t="str">
        <f t="shared" si="90"/>
        <v/>
      </c>
      <c r="B62" s="9"/>
      <c r="C62" s="14"/>
      <c r="D62" s="9"/>
      <c r="E62" s="9"/>
      <c r="F62" s="1"/>
      <c r="G62" s="1"/>
      <c r="H62" s="1"/>
      <c r="I62" s="1"/>
      <c r="J62" s="1"/>
      <c r="K62" s="1"/>
      <c r="L62" s="1"/>
      <c r="M62" s="1"/>
      <c r="N62" s="1"/>
      <c r="O62" s="1"/>
      <c r="P62" s="10"/>
      <c r="Q62" s="10"/>
      <c r="R62" s="10"/>
      <c r="S62" s="10"/>
      <c r="T62" s="10"/>
      <c r="U62" s="10"/>
      <c r="V62" s="10"/>
      <c r="W62" s="3" t="str">
        <f t="shared" si="182"/>
        <v/>
      </c>
      <c r="X62" s="3" t="str">
        <f t="shared" si="183"/>
        <v/>
      </c>
      <c r="Y62" s="3" t="str">
        <f t="shared" si="184"/>
        <v/>
      </c>
      <c r="Z62" s="3" t="str">
        <f t="shared" si="185"/>
        <v/>
      </c>
      <c r="AA62" s="3" t="str">
        <f t="shared" si="186"/>
        <v/>
      </c>
      <c r="AB62" s="3" t="str">
        <f t="shared" si="187"/>
        <v/>
      </c>
      <c r="AC62" s="3" t="str">
        <f t="shared" si="188"/>
        <v/>
      </c>
      <c r="AD62" s="3" t="str">
        <f t="shared" si="189"/>
        <v/>
      </c>
      <c r="AE62" s="3" t="str">
        <f t="shared" si="190"/>
        <v/>
      </c>
      <c r="AF62" s="24" t="str">
        <f t="shared" si="191"/>
        <v/>
      </c>
      <c r="AG62" s="24" t="str">
        <f t="shared" si="192"/>
        <v/>
      </c>
      <c r="AH62" s="24" t="str">
        <f t="shared" si="193"/>
        <v/>
      </c>
      <c r="AI62" s="24" t="str">
        <f t="shared" si="194"/>
        <v/>
      </c>
      <c r="AJ62" s="24" t="str">
        <f t="shared" si="195"/>
        <v/>
      </c>
      <c r="AK62" s="24" t="str">
        <f t="shared" si="196"/>
        <v/>
      </c>
      <c r="AL62" s="24" t="str">
        <f t="shared" si="197"/>
        <v/>
      </c>
      <c r="AM62" s="24" t="str">
        <f t="shared" si="198"/>
        <v/>
      </c>
      <c r="AN62" s="24" t="str">
        <f t="shared" si="199"/>
        <v/>
      </c>
      <c r="AO62" s="24" t="str">
        <f t="shared" si="200"/>
        <v/>
      </c>
      <c r="AP62" s="24" t="str">
        <f t="shared" si="201"/>
        <v/>
      </c>
      <c r="AQ62" s="24" t="str">
        <f t="shared" si="202"/>
        <v/>
      </c>
      <c r="AR62" s="24" t="str">
        <f t="shared" si="203"/>
        <v/>
      </c>
      <c r="AS62" s="24" t="str">
        <f t="shared" si="204"/>
        <v/>
      </c>
      <c r="AT62" s="24" t="str">
        <f t="shared" si="205"/>
        <v/>
      </c>
      <c r="AU62" s="24" t="str">
        <f t="shared" si="206"/>
        <v/>
      </c>
      <c r="AV62" s="24" t="str">
        <f t="shared" si="207"/>
        <v/>
      </c>
      <c r="AW62" s="24" t="str">
        <f t="shared" si="208"/>
        <v/>
      </c>
      <c r="AX62" s="24" t="str">
        <f t="shared" si="209"/>
        <v/>
      </c>
      <c r="AY62" s="24" t="str">
        <f t="shared" si="210"/>
        <v/>
      </c>
      <c r="AZ62" s="24" t="str">
        <f t="shared" si="211"/>
        <v/>
      </c>
      <c r="BA62" s="24" t="str">
        <f t="shared" si="212"/>
        <v/>
      </c>
      <c r="BB62" s="24" t="str">
        <f t="shared" si="213"/>
        <v/>
      </c>
      <c r="BC62" s="24" t="str">
        <f t="shared" si="214"/>
        <v/>
      </c>
      <c r="BD62" s="24" t="str">
        <f t="shared" si="215"/>
        <v/>
      </c>
      <c r="BE62" s="24" t="str">
        <f t="shared" si="216"/>
        <v/>
      </c>
      <c r="BF62" s="24" t="str">
        <f t="shared" si="217"/>
        <v/>
      </c>
      <c r="BG62" s="24" t="str">
        <f t="shared" si="218"/>
        <v/>
      </c>
      <c r="BH62" s="24" t="str">
        <f t="shared" si="219"/>
        <v/>
      </c>
      <c r="BI62" s="24" t="str">
        <f t="shared" si="220"/>
        <v/>
      </c>
      <c r="BJ62" s="24" t="str">
        <f t="shared" si="221"/>
        <v/>
      </c>
      <c r="BK62" s="24" t="str">
        <f t="shared" si="222"/>
        <v/>
      </c>
      <c r="BL62" s="26" t="str">
        <f t="shared" si="223"/>
        <v/>
      </c>
      <c r="BM62" s="26" t="str">
        <f t="shared" si="224"/>
        <v/>
      </c>
      <c r="BN62" s="26" t="str">
        <f t="shared" si="225"/>
        <v/>
      </c>
      <c r="BO62" s="26" t="str">
        <f t="shared" si="226"/>
        <v/>
      </c>
      <c r="BP62" s="26" t="str">
        <f t="shared" si="227"/>
        <v/>
      </c>
      <c r="BQ62" s="26" t="str">
        <f t="shared" si="228"/>
        <v/>
      </c>
      <c r="BR62" s="26" t="str">
        <f t="shared" si="229"/>
        <v/>
      </c>
      <c r="BS62" s="26" t="str">
        <f t="shared" si="230"/>
        <v/>
      </c>
      <c r="BT62" s="26" t="str">
        <f t="shared" si="231"/>
        <v/>
      </c>
      <c r="BU62" s="26" t="str">
        <f t="shared" si="232"/>
        <v/>
      </c>
      <c r="BV62" s="26" t="str">
        <f t="shared" si="233"/>
        <v/>
      </c>
      <c r="BW62" s="26" t="str">
        <f t="shared" si="234"/>
        <v/>
      </c>
      <c r="BX62" s="26" t="str">
        <f t="shared" si="235"/>
        <v/>
      </c>
      <c r="BY62" s="26" t="str">
        <f t="shared" si="236"/>
        <v/>
      </c>
      <c r="BZ62" s="26" t="str">
        <f t="shared" si="237"/>
        <v/>
      </c>
      <c r="CA62" s="26" t="str">
        <f t="shared" si="238"/>
        <v/>
      </c>
      <c r="CB62" s="24" t="str">
        <f t="shared" si="258"/>
        <v/>
      </c>
      <c r="CC62" s="24" t="str">
        <f t="shared" si="259"/>
        <v/>
      </c>
      <c r="CD62" s="24" t="str">
        <f t="shared" si="260"/>
        <v/>
      </c>
      <c r="CE62" s="24" t="str">
        <f t="shared" si="257"/>
        <v/>
      </c>
      <c r="CF62" s="24" t="str">
        <f t="shared" si="261"/>
        <v/>
      </c>
      <c r="CG62" s="24" t="str">
        <f>IF(OR(BA62="",AK62=""),"",BA62*(IF(OR(AK62="A",AK62="a"),4,(IF(OR(#REF!="B",AK62="b"),3,(IF(OR(AK62="C",AK62="c"),2,(IF(OR(AK62="D",AK62="d"),1.5,(IF(OR(AK62="E",AK62="e"),1,(IF(OR(AK62="F",AK62="f"),0)))))))))))))</f>
        <v/>
      </c>
      <c r="CH62" s="24" t="str">
        <f t="shared" si="262"/>
        <v/>
      </c>
      <c r="CI62" s="24" t="str">
        <f t="shared" si="239"/>
        <v/>
      </c>
      <c r="CJ62" s="24" t="str">
        <f t="shared" si="240"/>
        <v/>
      </c>
      <c r="CK62" s="26" t="str">
        <f t="shared" si="241"/>
        <v/>
      </c>
      <c r="CL62" s="26" t="str">
        <f t="shared" si="84"/>
        <v/>
      </c>
      <c r="CM62" s="24" t="str">
        <f t="shared" si="85"/>
        <v/>
      </c>
      <c r="CN62" s="26" t="str">
        <f t="shared" si="242"/>
        <v/>
      </c>
      <c r="CO62" s="24" t="str">
        <f t="shared" si="243"/>
        <v/>
      </c>
      <c r="CP62" s="26" t="str">
        <f t="shared" si="244"/>
        <v/>
      </c>
      <c r="CQ62" s="26" t="str">
        <f t="shared" si="245"/>
        <v/>
      </c>
      <c r="CR62" s="26" t="str">
        <f t="shared" ref="CR62:CR82" si="264">IF(OR(CO62="",CP62=""),"",CP62/CO62)</f>
        <v/>
      </c>
      <c r="CS62" s="24" t="str">
        <f t="shared" ref="CS62:CS82" si="265">IF(CR62="","",IF(CR62&gt;=90,"A",IF(CR62&gt;=80,"B",IF(CR62&gt;=70,"C",IF(CR62&gt;=60,"D",IF(CR62&gt;=50,"E",IF(CR62&gt;=0,"F","")))))))</f>
        <v/>
      </c>
      <c r="CT62" s="27" t="str">
        <f t="shared" si="246"/>
        <v/>
      </c>
      <c r="CU62" s="24" t="str">
        <f t="shared" si="247"/>
        <v/>
      </c>
      <c r="CV62" s="27" t="str">
        <f t="shared" si="248"/>
        <v/>
      </c>
      <c r="CW62" s="26" t="str">
        <f t="shared" si="249"/>
        <v/>
      </c>
      <c r="CX62" s="26" t="str">
        <f t="shared" si="88"/>
        <v/>
      </c>
      <c r="CY62" s="27" t="str">
        <f t="shared" si="89"/>
        <v/>
      </c>
      <c r="CZ62" s="26" t="str">
        <f t="shared" si="250"/>
        <v/>
      </c>
      <c r="DA62" s="24" t="str">
        <f t="shared" ref="DA62:DA82" si="266">IF(OR(B62="",CR62=""),"",RANK(CR62,$CR$15:$CR$82))</f>
        <v/>
      </c>
      <c r="DB62" s="24" t="str">
        <f t="shared" si="251"/>
        <v/>
      </c>
      <c r="DC62" s="24" t="str">
        <f t="shared" si="263"/>
        <v/>
      </c>
      <c r="DD62" s="24" t="str">
        <f t="shared" si="252"/>
        <v/>
      </c>
      <c r="DE62" s="1"/>
      <c r="DF62" s="1"/>
      <c r="DG62" s="1"/>
      <c r="DH62" s="24" t="str">
        <f t="shared" si="253"/>
        <v/>
      </c>
      <c r="DI62" s="25" t="str">
        <f t="shared" si="254"/>
        <v/>
      </c>
      <c r="DJ62" t="str">
        <f t="shared" si="255"/>
        <v/>
      </c>
      <c r="DK62" s="9"/>
      <c r="DL62" s="9"/>
      <c r="DM62" s="9"/>
      <c r="DN62" s="9"/>
      <c r="DO62" s="9"/>
      <c r="DP62" s="9"/>
      <c r="DQ62" s="136" t="b">
        <f t="shared" si="256"/>
        <v>1</v>
      </c>
    </row>
    <row r="63" spans="1:121" ht="27" customHeight="1" x14ac:dyDescent="0.95">
      <c r="A63" s="24" t="str">
        <f t="shared" ref="A63:A82" si="267">IF(B63="","",A62+1)</f>
        <v/>
      </c>
      <c r="B63" s="9"/>
      <c r="C63" s="14"/>
      <c r="D63" s="9"/>
      <c r="E63" s="9"/>
      <c r="F63" s="1"/>
      <c r="G63" s="1"/>
      <c r="H63" s="1"/>
      <c r="I63" s="1"/>
      <c r="J63" s="1"/>
      <c r="K63" s="1"/>
      <c r="L63" s="1"/>
      <c r="M63" s="1"/>
      <c r="N63" s="1"/>
      <c r="O63" s="1"/>
      <c r="P63" s="10"/>
      <c r="Q63" s="10"/>
      <c r="R63" s="10"/>
      <c r="S63" s="10"/>
      <c r="T63" s="10"/>
      <c r="U63" s="10"/>
      <c r="V63" s="10"/>
      <c r="W63" s="3" t="str">
        <f t="shared" ref="W63:W82" si="268">IF(G63="","",IF(G63&gt;=90,"A",IF(G63&gt;=80,"B",IF(G63&gt;=70,"C",IF(G63&gt;=60,"D",IF(G63&gt;=50,"E",IF(G63&gt;=0,"F","")))))))</f>
        <v/>
      </c>
      <c r="X63" s="3" t="str">
        <f t="shared" ref="X63:X82" si="269">IF(H63="","",IF(H63&gt;=90,"A",IF(H63&gt;=80,"B",IF(H63&gt;=70,"C",IF(H63&gt;=60,"D",IF(H63&gt;=50,"E",IF(H63&gt;=0,"F","")))))))</f>
        <v/>
      </c>
      <c r="Y63" s="3" t="str">
        <f t="shared" ref="Y63:Y82" si="270">IF(I63="","",IF(I63&gt;=90,"A",IF(I63&gt;=80,"B",IF(I63&gt;=70,"C",IF(I63&gt;=60,"D",IF(I63&gt;=50,"E",IF(I63&gt;=0,"F","")))))))</f>
        <v/>
      </c>
      <c r="Z63" s="3" t="str">
        <f t="shared" ref="Z63:Z82" si="271">IF(J63="","",IF(J63&gt;=90,"A",IF(J63&gt;=80,"B",IF(J63&gt;=70,"C",IF(J63&gt;=60,"D",IF(J63&gt;=50,"E",IF(J63&gt;=0,"F","")))))))</f>
        <v/>
      </c>
      <c r="AA63" s="3" t="str">
        <f t="shared" ref="AA63:AA82" si="272">IF(K63="","",IF(K63&gt;=90,"A",IF(K63&gt;=80,"B",IF(K63&gt;=70,"C",IF(K63&gt;=60,"D",IF(K63&gt;=50,"E",IF(K63&gt;=0,"F","")))))))</f>
        <v/>
      </c>
      <c r="AB63" s="3" t="str">
        <f t="shared" ref="AB63:AB82" si="273">IF(L63="","",IF(L63&gt;=90,"A",IF(L63&gt;=80,"B",IF(L63&gt;=70,"C",IF(L63&gt;=60,"D",IF(L63&gt;=50,"E",IF(L63&gt;=0,"F","")))))))</f>
        <v/>
      </c>
      <c r="AC63" s="3" t="str">
        <f t="shared" ref="AC63:AC82" si="274">IF(M63="","",IF(M63&gt;=90,"A",IF(M63&gt;=80,"B",IF(M63&gt;=70,"C",IF(M63&gt;=60,"D",IF(M63&gt;=50,"E",IF(M63&gt;=0,"F","")))))))</f>
        <v/>
      </c>
      <c r="AD63" s="3" t="str">
        <f t="shared" ref="AD63:AD82" si="275">IF(N63="","",IF(N63&gt;=90,"A",IF(N63&gt;=80,"B",IF(N63&gt;=70,"C",IF(N63&gt;=60,"D",IF(N63&gt;=50,"E",IF(N63&gt;=0,"F","")))))))</f>
        <v/>
      </c>
      <c r="AE63" s="3" t="str">
        <f t="shared" ref="AE63:AE82" si="276">IF(O63="","",IF(O63&gt;=90,"A",IF(O63&gt;=80,"B",IF(O63&gt;=70,"C",IF(O63&gt;=60,"D",IF(O63&gt;=50,"E",IF(O63&gt;=0,"F","")))))))</f>
        <v/>
      </c>
      <c r="AF63" s="24" t="str">
        <f t="shared" ref="AF63:AF82" si="277">IF(P63="","",IF(P63&gt;=90,"A",IF(P63&gt;=80,"B",IF(P63&gt;=70,"C",IF(P63&gt;=60,"D",IF(P63&gt;=50,"E",IF(P63&gt;=0,"F","")))))))</f>
        <v/>
      </c>
      <c r="AG63" s="24" t="str">
        <f t="shared" ref="AG63:AG82" si="278">IF(Q63="","",IF(Q63&gt;=90,"A",IF(Q63&gt;=80,"B",IF(Q63&gt;=70,"C",IF(Q63&gt;=60,"D",IF(Q63&gt;=50,"E",IF(Q63&gt;=0,"F","")))))))</f>
        <v/>
      </c>
      <c r="AH63" s="24" t="str">
        <f t="shared" ref="AH63:AH82" si="279">IF(R63="","",IF(R63&gt;=90,"A",IF(R63&gt;=80,"B",IF(R63&gt;=70,"C",IF(R63&gt;=60,"D",IF(R63&gt;=50,"E",IF(R63&gt;=0,"F","")))))))</f>
        <v/>
      </c>
      <c r="AI63" s="24" t="str">
        <f t="shared" ref="AI63:AI82" si="280">IF(S63="","",IF(S63&gt;=90,"A",IF(S63&gt;=80,"B",IF(S63&gt;=70,"C",IF(S63&gt;=60,"D",IF(S63&gt;=50,"E",IF(S63&gt;=0,"F","")))))))</f>
        <v/>
      </c>
      <c r="AJ63" s="24" t="str">
        <f t="shared" ref="AJ63:AJ82" si="281">IF(T63="","",IF(T63&gt;=90,"A",IF(T63&gt;=80,"B",IF(T63&gt;=70,"C",IF(T63&gt;=60,"D",IF(T63&gt;=50,"E",IF(T63&gt;=0,"F","")))))))</f>
        <v/>
      </c>
      <c r="AK63" s="24" t="str">
        <f t="shared" ref="AK63:AK82" si="282">IF(U63="","",IF(U63&gt;=90,"A",IF(U63&gt;=80,"B",IF(U63&gt;=70,"C",IF(U63&gt;=60,"D",IF(U63&gt;=50,"E",IF(U63&gt;=0,"F","")))))))</f>
        <v/>
      </c>
      <c r="AL63" s="24" t="str">
        <f t="shared" ref="AL63:AL82" si="283">IF(V63="","",IF(V63&gt;=90,"A",IF(V63&gt;=80,"B",IF(V63&gt;=70,"C",IF(V63&gt;=60,"D",IF(V63&gt;=50,"E",IF(V63&gt;=0,"F","")))))))</f>
        <v/>
      </c>
      <c r="AM63" s="24" t="str">
        <f t="shared" ref="AM63:AM82" si="284">IF(G63="","",$AM$14)</f>
        <v/>
      </c>
      <c r="AN63" s="24" t="str">
        <f t="shared" ref="AN63:AN82" si="285">IF(H63="","",$AN$14)</f>
        <v/>
      </c>
      <c r="AO63" s="24" t="str">
        <f t="shared" ref="AO63:AO82" si="286">IF(I63="","",$AO$14)</f>
        <v/>
      </c>
      <c r="AP63" s="24" t="str">
        <f t="shared" ref="AP63:AP82" si="287">IF(J63="","",$AP$14)</f>
        <v/>
      </c>
      <c r="AQ63" s="24" t="str">
        <f t="shared" ref="AQ63:AQ82" si="288">IF(K63="","",$AQ$14)</f>
        <v/>
      </c>
      <c r="AR63" s="24" t="str">
        <f t="shared" ref="AR63:AR82" si="289">IF(L63="","",$AR$14)</f>
        <v/>
      </c>
      <c r="AS63" s="24" t="str">
        <f t="shared" ref="AS63:AS82" si="290">IF(M63="","",$AS$14)</f>
        <v/>
      </c>
      <c r="AT63" s="24" t="str">
        <f t="shared" ref="AT63:AT82" si="291">IF(N63="","",$AT$14)</f>
        <v/>
      </c>
      <c r="AU63" s="24" t="str">
        <f t="shared" ref="AU63:AU82" si="292">IF(O63="","",$AU$14)</f>
        <v/>
      </c>
      <c r="AV63" s="24" t="str">
        <f t="shared" ref="AV63:AV82" si="293">IF(P63="","",$AV$14)</f>
        <v/>
      </c>
      <c r="AW63" s="24" t="str">
        <f t="shared" ref="AW63:AW82" si="294">IF(Q63="","",$AW$14)</f>
        <v/>
      </c>
      <c r="AX63" s="24" t="str">
        <f t="shared" ref="AX63:AX82" si="295">IF(R63="","",$AX$14)</f>
        <v/>
      </c>
      <c r="AY63" s="24" t="str">
        <f t="shared" ref="AY63:AY82" si="296">IF(S63="","",$AY$14)</f>
        <v/>
      </c>
      <c r="AZ63" s="24" t="str">
        <f t="shared" ref="AZ63:AZ82" si="297">IF(T63="","",$AZ$14)</f>
        <v/>
      </c>
      <c r="BA63" s="24" t="str">
        <f t="shared" ref="BA63:BA82" si="298">IF(U63="","",$BA$14)</f>
        <v/>
      </c>
      <c r="BB63" s="24" t="str">
        <f t="shared" ref="BB63:BB82" si="299">IF(V63="","",$BB$14)</f>
        <v/>
      </c>
      <c r="BC63" s="24" t="str">
        <f t="shared" ref="BC63:BC82" si="300">IF(OR(G63="",AM63=""),"",PRODUCT(G63,AM63))</f>
        <v/>
      </c>
      <c r="BD63" s="24" t="str">
        <f t="shared" ref="BD63:BD82" si="301">IF(OR(H63="",AN63=""),"",PRODUCT(H63,AN63))</f>
        <v/>
      </c>
      <c r="BE63" s="24" t="str">
        <f t="shared" ref="BE63:BE82" si="302">IF(OR(I63="",AO63=""),"",PRODUCT(I63,AO63))</f>
        <v/>
      </c>
      <c r="BF63" s="24" t="str">
        <f t="shared" ref="BF63:BF82" si="303">IF(OR(J63="",AP63=""),"",PRODUCT(J63,AP63))</f>
        <v/>
      </c>
      <c r="BG63" s="24" t="str">
        <f t="shared" ref="BG63:BG82" si="304">IF(OR(K63="",AQ63=""),"",PRODUCT(K63,AQ63))</f>
        <v/>
      </c>
      <c r="BH63" s="24" t="str">
        <f t="shared" ref="BH63:BH82" si="305">IF(OR(L63="",AR63=""),"",PRODUCT(L63,AR63))</f>
        <v/>
      </c>
      <c r="BI63" s="24" t="str">
        <f t="shared" ref="BI63:BI82" si="306">IF(OR(M63="",AS63=""),"",PRODUCT(M63,AS63))</f>
        <v/>
      </c>
      <c r="BJ63" s="24" t="str">
        <f t="shared" ref="BJ63:BJ82" si="307">IF(OR(N63="",AT63=""),"",PRODUCT(N63,AT63))</f>
        <v/>
      </c>
      <c r="BK63" s="24" t="str">
        <f t="shared" ref="BK63:BK82" si="308">IF(OR(O63="",AU63=""),"",PRODUCT(O63,AU63))</f>
        <v/>
      </c>
      <c r="BL63" s="26" t="str">
        <f t="shared" ref="BL63:BL82" si="309">IF(OR(P63="",AV63=""),"",PRODUCT(P63,AV63))</f>
        <v/>
      </c>
      <c r="BM63" s="26" t="str">
        <f t="shared" ref="BM63:BM82" si="310">IF(OR(Q63="",AW63=""),"",PRODUCT(Q63,AW63))</f>
        <v/>
      </c>
      <c r="BN63" s="26" t="str">
        <f t="shared" ref="BN63:BN82" si="311">IF(OR(R63="",AX63=""),"",PRODUCT(R63,AX63))</f>
        <v/>
      </c>
      <c r="BO63" s="26" t="str">
        <f t="shared" ref="BO63:BO82" si="312">IF(OR(S63="",AY63=""),"",PRODUCT(S63,AY63))</f>
        <v/>
      </c>
      <c r="BP63" s="26" t="str">
        <f t="shared" ref="BP63:BP82" si="313">IF(OR(T63="",AZ63=""),"",PRODUCT(T63,AZ63))</f>
        <v/>
      </c>
      <c r="BQ63" s="26" t="str">
        <f t="shared" ref="BQ63:BQ82" si="314">IF(OR(U63="",BA63=""),"",PRODUCT(U63,BA63))</f>
        <v/>
      </c>
      <c r="BR63" s="26" t="str">
        <f t="shared" ref="BR63:BR82" si="315">IF(OR(V63="",BB63=""),"",PRODUCT(V63,BB63))</f>
        <v/>
      </c>
      <c r="BS63" s="26" t="str">
        <f t="shared" ref="BS63:BS82" si="316">IF(OR(AM63="",W63=""),"",AM63*(IF(OR(W63="A",W63="a"),4,(IF(OR(W569="B",W63="b"),3,(IF(OR(W63="C",W63="c"),2,(IF(OR(W63="D",W63="d"),1.5,(IF(OR(W63="E",W63="e"),1,(IF(OR(W63="F",W63="f"),0)))))))))))))</f>
        <v/>
      </c>
      <c r="BT63" s="26" t="str">
        <f t="shared" ref="BT63:BT82" si="317">IF(OR(AN63="",X63=""),"",AN63*(IF(OR(X63="A",X63="a"),4,(IF(OR(X569="B",X63="b"),3,(IF(OR(X63="C",X63="c"),2,(IF(OR(X63="D",X63="d"),1.5,(IF(OR(X63="E",X63="e"),1,(IF(OR(X63="F",X63="f"),0)))))))))))))</f>
        <v/>
      </c>
      <c r="BU63" s="26" t="str">
        <f t="shared" ref="BU63:BU82" si="318">IF(OR(AO63="",Y63=""),"",AO63*(IF(OR(Y63="A",Y63="a"),4,(IF(OR(Y569="B",Y63="b"),3,(IF(OR(Y63="C",Y63="c"),2,(IF(OR(Y63="D",Y63="d"),1.5,(IF(OR(Y63="E",Y63="e"),1,(IF(OR(Y63="F",Y63="f"),0)))))))))))))</f>
        <v/>
      </c>
      <c r="BV63" s="26" t="str">
        <f t="shared" ref="BV63:BV82" si="319">IF(OR(AP63="",Z63=""),"",AP63*(IF(OR(Z63="A",Z63="a"),4,(IF(OR(Z569="B",Z63="b"),3,(IF(OR(Z63="C",Z63="c"),2,(IF(OR(Z63="D",Z63="d"),1.5,(IF(OR(Z63="E",Z63="e"),1,(IF(OR(Z63="F",Z63="f"),0)))))))))))))</f>
        <v/>
      </c>
      <c r="BW63" s="26" t="str">
        <f t="shared" ref="BW63:BW82" si="320">IF(OR(AQ63="",AA63=""),"",AQ63*(IF(OR(AA63="A",AA63="a"),4,(IF(OR(AA569="B",AA63="b"),3,(IF(OR(AA63="C",AA63="c"),2,(IF(OR(AA63="D",AA63="d"),1.5,(IF(OR(AA63="E",AA63="e"),1,(IF(OR(AA63="F",AA63="f"),0)))))))))))))</f>
        <v/>
      </c>
      <c r="BX63" s="26" t="str">
        <f t="shared" ref="BX63:BX82" si="321">IF(OR(AR63="",AB63=""),"",AR63*(IF(OR(AB63="A",AB63="a"),4,(IF(OR(AE569="B",AB63="b"),3,(IF(OR(AB63="C",AB63="c"),2,(IF(OR(AB63="D",AB63="d"),1.5,(IF(OR(AB63="E",AB63="e"),1,(IF(OR(AB63="F",AB63="f"),0)))))))))))))</f>
        <v/>
      </c>
      <c r="BY63" s="26" t="str">
        <f t="shared" ref="BY63:BY82" si="322">IF(OR(AS63="",AC63=""),"",AS63*(IF(OR(AC63="A",AC63="a"),4,(IF(OR(AM569="B",AC63="b"),3,(IF(OR(AC63="C",AC63="c"),2,(IF(OR(AC63="D",AC63="d"),1.5,(IF(OR(AC63="E",AC63="e"),1,(IF(OR(AC63="F",AC63="f"),0)))))))))))))</f>
        <v/>
      </c>
      <c r="BZ63" s="26" t="str">
        <f t="shared" ref="BZ63:BZ82" si="323">IF(OR(AT63="",AD63=""),"",AT63*(IF(OR(AD63="A",AD63="a"),4,(IF(OR(AN569="B",AD63="b"),3,(IF(OR(AD63="C",AD63="c"),2,(IF(OR(AD63="D",AD63="d"),1.5,(IF(OR(AD63="E",AD63="e"),1,(IF(OR(AD63="F",AD63="f"),0)))))))))))))</f>
        <v/>
      </c>
      <c r="CA63" s="26" t="str">
        <f t="shared" ref="CA63:CA82" si="324">IF(OR(AU63="",AE63=""),"",AU63*(IF(OR(AE63="A",AE63="a"),4,(IF(OR(AE569="B",AE63="b"),3,(IF(OR(AE63="C",AE63="c"),2,(IF(OR(AE63="D",AE63="d"),1.5,(IF(OR(AE63="E",AE63="e"),1,(IF(OR(AE63="F",AE63="f"),0)))))))))))))</f>
        <v/>
      </c>
      <c r="CB63" s="24" t="str">
        <f t="shared" si="258"/>
        <v/>
      </c>
      <c r="CC63" s="24" t="str">
        <f t="shared" si="259"/>
        <v/>
      </c>
      <c r="CD63" s="24" t="str">
        <f t="shared" si="260"/>
        <v/>
      </c>
      <c r="CE63" s="24" t="str">
        <f t="shared" si="257"/>
        <v/>
      </c>
      <c r="CF63" s="24" t="str">
        <f t="shared" si="261"/>
        <v/>
      </c>
      <c r="CG63" s="24" t="str">
        <f>IF(OR(BA63="",AK63=""),"",BA63*(IF(OR(AK63="A",AK63="a"),4,(IF(OR(#REF!="B",AK63="b"),3,(IF(OR(AK63="C",AK63="c"),2,(IF(OR(AK63="D",AK63="d"),1.5,(IF(OR(AK63="E",AK63="e"),1,(IF(OR(AK63="F",AK63="f"),0)))))))))))))</f>
        <v/>
      </c>
      <c r="CH63" s="24" t="str">
        <f t="shared" si="262"/>
        <v/>
      </c>
      <c r="CI63" s="24" t="str">
        <f t="shared" ref="CI63:CI82" si="325">IF(B63="","",SUM(AM63:AU63))</f>
        <v/>
      </c>
      <c r="CJ63" s="24" t="str">
        <f t="shared" ref="CJ63:CJ82" si="326">IF(OR(B63="",F63="I",F63="II",F63="M",F63="A"),"",IF(OR(B63="",G63=""),"",SUM(BC63:BK63)))</f>
        <v/>
      </c>
      <c r="CK63" s="26" t="str">
        <f t="shared" ref="CK63:CK82" si="327">IF(B63="","",SUM(BS63:CA63))</f>
        <v/>
      </c>
      <c r="CL63" s="26" t="str">
        <f t="shared" si="84"/>
        <v/>
      </c>
      <c r="CM63" s="24" t="str">
        <f t="shared" si="85"/>
        <v/>
      </c>
      <c r="CN63" s="26" t="str">
        <f t="shared" ref="CN63:CN82" si="328">IF(B63="","",CK63/CI63)</f>
        <v/>
      </c>
      <c r="CO63" s="24" t="str">
        <f t="shared" ref="CO63:CO82" si="329">IF(B63="","",SUM(AV63:BB63))</f>
        <v/>
      </c>
      <c r="CP63" s="26" t="str">
        <f t="shared" ref="CP63:CP82" si="330">IF(B63="","",SUM(BL63:BR63))</f>
        <v/>
      </c>
      <c r="CQ63" s="26" t="str">
        <f t="shared" ref="CQ63:CQ82" si="331">IF(B63="","",SUM(CB63:CH63))</f>
        <v/>
      </c>
      <c r="CR63" s="26" t="str">
        <f t="shared" si="264"/>
        <v/>
      </c>
      <c r="CS63" s="24" t="str">
        <f t="shared" si="265"/>
        <v/>
      </c>
      <c r="CT63" s="27" t="str">
        <f t="shared" ref="CT63:CT82" si="332">IF(B63="","",CQ63/CO63)</f>
        <v/>
      </c>
      <c r="CU63" s="24" t="str">
        <f t="shared" ref="CU63:CU73" si="333">IF(SUM(AM63:BB63)=0,"",IF(OR(B63="",F63="I",F63="II",F63="M",F63="A"),(SUM(AM63:BB63)),IF(OR(B63="",F63="III"),(SUM(CI63,CO63)))))</f>
        <v/>
      </c>
      <c r="CV63" s="27" t="str">
        <f t="shared" ref="CV63:CV73" si="334">IF(SUM(AM63:BB63)=0,"",IF(OR(B63="",F63="I",F63="II",F63="M",F63="A"),(SUM(BC63:BR63)),IF(OR(B63="",F63="III"),(SUM(CJ63,CP63)))))</f>
        <v/>
      </c>
      <c r="CW63" s="26" t="str">
        <f t="shared" ref="CW63:CW73" si="335">IF(SUM(AM63:BB63)=0,"",IF(OR(B63="",F63="I",F63="II",F63="M",F63="A"),(SUM(BS63:CH63)),IF(OR(B63="",F63="III"),(SUM(CQ63,CK63)))))</f>
        <v/>
      </c>
      <c r="CX63" s="26" t="str">
        <f t="shared" si="88"/>
        <v/>
      </c>
      <c r="CY63" s="27" t="str">
        <f t="shared" si="89"/>
        <v/>
      </c>
      <c r="CZ63" s="26" t="str">
        <f t="shared" ref="CZ63:CZ73" si="336">IF(B63="","",CW63/CU63)</f>
        <v/>
      </c>
      <c r="DA63" s="24" t="str">
        <f t="shared" si="266"/>
        <v/>
      </c>
      <c r="DB63" s="24" t="str">
        <f t="shared" ref="DB63:DB82" si="337">IF(B63="","",$C$9)</f>
        <v/>
      </c>
      <c r="DC63" s="24" t="str">
        <f t="shared" si="263"/>
        <v/>
      </c>
      <c r="DD63" s="24" t="str">
        <f t="shared" ref="DD63:DD82" si="338">IF(B63="","",$C$8)</f>
        <v/>
      </c>
      <c r="DE63" s="1"/>
      <c r="DF63" s="1"/>
      <c r="DG63" s="1"/>
      <c r="DH63" s="24" t="str">
        <f t="shared" ref="DH63:DH82" si="339">IF(B63="","",DF63+DG63)</f>
        <v/>
      </c>
      <c r="DI63" s="25" t="str">
        <f t="shared" ref="DI63:DI82" si="340">IF(B63="","",(DD63-DH63)/DD63)</f>
        <v/>
      </c>
      <c r="DJ63" t="str">
        <f t="shared" ref="DJ63:DJ82" si="341">IF(B63="","",$C$11)</f>
        <v/>
      </c>
      <c r="DK63" s="9"/>
      <c r="DL63" s="9"/>
      <c r="DM63" s="9"/>
      <c r="DN63" s="9"/>
      <c r="DO63" s="9"/>
      <c r="DP63" s="9"/>
      <c r="DQ63" s="136" t="b">
        <f t="shared" ref="DQ63:DQ82" si="342">EXACT(B63,DK63)</f>
        <v>1</v>
      </c>
    </row>
    <row r="64" spans="1:121" ht="27" customHeight="1" x14ac:dyDescent="0.95">
      <c r="A64" s="24" t="str">
        <f t="shared" si="267"/>
        <v/>
      </c>
      <c r="B64" s="9"/>
      <c r="C64" s="14"/>
      <c r="D64" s="9"/>
      <c r="E64" s="9"/>
      <c r="F64" s="1"/>
      <c r="G64" s="1"/>
      <c r="H64" s="1"/>
      <c r="I64" s="1"/>
      <c r="J64" s="1"/>
      <c r="K64" s="1"/>
      <c r="L64" s="1"/>
      <c r="M64" s="1"/>
      <c r="N64" s="1"/>
      <c r="O64" s="1"/>
      <c r="P64" s="10"/>
      <c r="Q64" s="10"/>
      <c r="R64" s="10"/>
      <c r="S64" s="10"/>
      <c r="T64" s="10"/>
      <c r="U64" s="10"/>
      <c r="V64" s="10"/>
      <c r="W64" s="3" t="str">
        <f t="shared" si="268"/>
        <v/>
      </c>
      <c r="X64" s="3" t="str">
        <f t="shared" si="269"/>
        <v/>
      </c>
      <c r="Y64" s="3" t="str">
        <f t="shared" si="270"/>
        <v/>
      </c>
      <c r="Z64" s="3" t="str">
        <f t="shared" si="271"/>
        <v/>
      </c>
      <c r="AA64" s="3" t="str">
        <f t="shared" si="272"/>
        <v/>
      </c>
      <c r="AB64" s="3" t="str">
        <f t="shared" si="273"/>
        <v/>
      </c>
      <c r="AC64" s="3" t="str">
        <f t="shared" si="274"/>
        <v/>
      </c>
      <c r="AD64" s="3" t="str">
        <f t="shared" si="275"/>
        <v/>
      </c>
      <c r="AE64" s="3" t="str">
        <f t="shared" si="276"/>
        <v/>
      </c>
      <c r="AF64" s="24" t="str">
        <f t="shared" si="277"/>
        <v/>
      </c>
      <c r="AG64" s="24" t="str">
        <f t="shared" si="278"/>
        <v/>
      </c>
      <c r="AH64" s="24" t="str">
        <f t="shared" si="279"/>
        <v/>
      </c>
      <c r="AI64" s="24" t="str">
        <f t="shared" si="280"/>
        <v/>
      </c>
      <c r="AJ64" s="24" t="str">
        <f t="shared" si="281"/>
        <v/>
      </c>
      <c r="AK64" s="24" t="str">
        <f t="shared" si="282"/>
        <v/>
      </c>
      <c r="AL64" s="24" t="str">
        <f t="shared" si="283"/>
        <v/>
      </c>
      <c r="AM64" s="24" t="str">
        <f t="shared" si="284"/>
        <v/>
      </c>
      <c r="AN64" s="24" t="str">
        <f t="shared" si="285"/>
        <v/>
      </c>
      <c r="AO64" s="24" t="str">
        <f t="shared" si="286"/>
        <v/>
      </c>
      <c r="AP64" s="24" t="str">
        <f t="shared" si="287"/>
        <v/>
      </c>
      <c r="AQ64" s="24" t="str">
        <f t="shared" si="288"/>
        <v/>
      </c>
      <c r="AR64" s="24" t="str">
        <f t="shared" si="289"/>
        <v/>
      </c>
      <c r="AS64" s="24" t="str">
        <f t="shared" si="290"/>
        <v/>
      </c>
      <c r="AT64" s="24" t="str">
        <f t="shared" si="291"/>
        <v/>
      </c>
      <c r="AU64" s="24" t="str">
        <f t="shared" si="292"/>
        <v/>
      </c>
      <c r="AV64" s="24" t="str">
        <f t="shared" si="293"/>
        <v/>
      </c>
      <c r="AW64" s="24" t="str">
        <f t="shared" si="294"/>
        <v/>
      </c>
      <c r="AX64" s="24" t="str">
        <f t="shared" si="295"/>
        <v/>
      </c>
      <c r="AY64" s="24" t="str">
        <f t="shared" si="296"/>
        <v/>
      </c>
      <c r="AZ64" s="24" t="str">
        <f t="shared" si="297"/>
        <v/>
      </c>
      <c r="BA64" s="24" t="str">
        <f t="shared" si="298"/>
        <v/>
      </c>
      <c r="BB64" s="24" t="str">
        <f t="shared" si="299"/>
        <v/>
      </c>
      <c r="BC64" s="24" t="str">
        <f t="shared" si="300"/>
        <v/>
      </c>
      <c r="BD64" s="24" t="str">
        <f t="shared" si="301"/>
        <v/>
      </c>
      <c r="BE64" s="24" t="str">
        <f t="shared" si="302"/>
        <v/>
      </c>
      <c r="BF64" s="24" t="str">
        <f t="shared" si="303"/>
        <v/>
      </c>
      <c r="BG64" s="24" t="str">
        <f t="shared" si="304"/>
        <v/>
      </c>
      <c r="BH64" s="24" t="str">
        <f t="shared" si="305"/>
        <v/>
      </c>
      <c r="BI64" s="24" t="str">
        <f t="shared" si="306"/>
        <v/>
      </c>
      <c r="BJ64" s="24" t="str">
        <f t="shared" si="307"/>
        <v/>
      </c>
      <c r="BK64" s="24" t="str">
        <f t="shared" si="308"/>
        <v/>
      </c>
      <c r="BL64" s="26" t="str">
        <f t="shared" si="309"/>
        <v/>
      </c>
      <c r="BM64" s="26" t="str">
        <f t="shared" si="310"/>
        <v/>
      </c>
      <c r="BN64" s="26" t="str">
        <f t="shared" si="311"/>
        <v/>
      </c>
      <c r="BO64" s="26" t="str">
        <f t="shared" si="312"/>
        <v/>
      </c>
      <c r="BP64" s="26" t="str">
        <f t="shared" si="313"/>
        <v/>
      </c>
      <c r="BQ64" s="26" t="str">
        <f t="shared" si="314"/>
        <v/>
      </c>
      <c r="BR64" s="26" t="str">
        <f t="shared" si="315"/>
        <v/>
      </c>
      <c r="BS64" s="26" t="str">
        <f t="shared" si="316"/>
        <v/>
      </c>
      <c r="BT64" s="26" t="str">
        <f t="shared" si="317"/>
        <v/>
      </c>
      <c r="BU64" s="26" t="str">
        <f t="shared" si="318"/>
        <v/>
      </c>
      <c r="BV64" s="26" t="str">
        <f t="shared" si="319"/>
        <v/>
      </c>
      <c r="BW64" s="26" t="str">
        <f t="shared" si="320"/>
        <v/>
      </c>
      <c r="BX64" s="26" t="str">
        <f t="shared" si="321"/>
        <v/>
      </c>
      <c r="BY64" s="26" t="str">
        <f t="shared" si="322"/>
        <v/>
      </c>
      <c r="BZ64" s="26" t="str">
        <f t="shared" si="323"/>
        <v/>
      </c>
      <c r="CA64" s="26" t="str">
        <f t="shared" si="324"/>
        <v/>
      </c>
      <c r="CB64" s="24" t="str">
        <f t="shared" si="258"/>
        <v/>
      </c>
      <c r="CC64" s="24" t="str">
        <f t="shared" si="259"/>
        <v/>
      </c>
      <c r="CD64" s="24" t="str">
        <f t="shared" si="260"/>
        <v/>
      </c>
      <c r="CE64" s="24" t="str">
        <f t="shared" si="257"/>
        <v/>
      </c>
      <c r="CF64" s="24" t="str">
        <f t="shared" si="261"/>
        <v/>
      </c>
      <c r="CG64" s="24" t="str">
        <f>IF(OR(BA64="",AK64=""),"",BA64*(IF(OR(AK64="A",AK64="a"),4,(IF(OR(#REF!="B",AK64="b"),3,(IF(OR(AK64="C",AK64="c"),2,(IF(OR(AK64="D",AK64="d"),1.5,(IF(OR(AK64="E",AK64="e"),1,(IF(OR(AK64="F",AK64="f"),0)))))))))))))</f>
        <v/>
      </c>
      <c r="CH64" s="24" t="str">
        <f t="shared" si="262"/>
        <v/>
      </c>
      <c r="CI64" s="24" t="str">
        <f t="shared" si="325"/>
        <v/>
      </c>
      <c r="CJ64" s="24" t="str">
        <f t="shared" si="326"/>
        <v/>
      </c>
      <c r="CK64" s="26" t="str">
        <f t="shared" si="327"/>
        <v/>
      </c>
      <c r="CL64" s="26" t="str">
        <f t="shared" ref="CL64:CL79" si="343">IF(OR(CI64="",CJ64=""),"",CJ64/CI64)</f>
        <v/>
      </c>
      <c r="CM64" s="24" t="str">
        <f t="shared" ref="CM64:CM79" si="344">IF(CL64="","",IF(CL64&gt;=90,"A",IF(CL64&gt;=80,"B",IF(CL64&gt;=70,"C",IF(CL64&gt;=60,"D",IF(CL64&gt;=50,"E",IF(CL64&gt;=0,"F","")))))))</f>
        <v/>
      </c>
      <c r="CN64" s="26" t="str">
        <f t="shared" si="328"/>
        <v/>
      </c>
      <c r="CO64" s="24" t="str">
        <f t="shared" si="329"/>
        <v/>
      </c>
      <c r="CP64" s="26" t="str">
        <f t="shared" si="330"/>
        <v/>
      </c>
      <c r="CQ64" s="26" t="str">
        <f t="shared" si="331"/>
        <v/>
      </c>
      <c r="CR64" s="26" t="str">
        <f t="shared" si="264"/>
        <v/>
      </c>
      <c r="CS64" s="24" t="str">
        <f t="shared" si="265"/>
        <v/>
      </c>
      <c r="CT64" s="27" t="str">
        <f t="shared" si="332"/>
        <v/>
      </c>
      <c r="CU64" s="24" t="str">
        <f t="shared" si="333"/>
        <v/>
      </c>
      <c r="CV64" s="27" t="str">
        <f t="shared" si="334"/>
        <v/>
      </c>
      <c r="CW64" s="26" t="str">
        <f t="shared" si="335"/>
        <v/>
      </c>
      <c r="CX64" s="26" t="str">
        <f t="shared" ref="CX64:CX73" si="345">IF(OR(CU64=0,CV64=0),0,IF(OR(CU64="",CV64=""),"",CV64/CU64))</f>
        <v/>
      </c>
      <c r="CY64" s="27" t="str">
        <f t="shared" ref="CY64:CY73" si="346">IF(CX64="","",IF(CX64&gt;=90,"A",IF(CX64&gt;=80,"B",IF(CX64&gt;=70,"C",IF(CX64&gt;=60,"D",IF(CX64&gt;=50,"E",IF(CX64&gt;=0,"F","")))))))</f>
        <v/>
      </c>
      <c r="CZ64" s="26" t="str">
        <f t="shared" si="336"/>
        <v/>
      </c>
      <c r="DA64" s="24" t="str">
        <f t="shared" si="266"/>
        <v/>
      </c>
      <c r="DB64" s="24" t="str">
        <f t="shared" si="337"/>
        <v/>
      </c>
      <c r="DC64" s="24" t="str">
        <f t="shared" si="263"/>
        <v/>
      </c>
      <c r="DD64" s="24" t="str">
        <f t="shared" si="338"/>
        <v/>
      </c>
      <c r="DE64" s="1"/>
      <c r="DF64" s="1"/>
      <c r="DG64" s="1"/>
      <c r="DH64" s="24" t="str">
        <f t="shared" si="339"/>
        <v/>
      </c>
      <c r="DI64" s="25" t="str">
        <f t="shared" si="340"/>
        <v/>
      </c>
      <c r="DJ64" t="str">
        <f t="shared" si="341"/>
        <v/>
      </c>
      <c r="DK64" s="9"/>
      <c r="DL64" s="9"/>
      <c r="DM64" s="9"/>
      <c r="DN64" s="9"/>
      <c r="DO64" s="9"/>
      <c r="DP64" s="9"/>
      <c r="DQ64" s="136" t="b">
        <f t="shared" si="342"/>
        <v>1</v>
      </c>
    </row>
    <row r="65" spans="1:121" ht="27" customHeight="1" x14ac:dyDescent="0.95">
      <c r="A65" s="24" t="str">
        <f t="shared" si="267"/>
        <v/>
      </c>
      <c r="B65" s="9"/>
      <c r="C65" s="14"/>
      <c r="D65" s="9"/>
      <c r="E65" s="9"/>
      <c r="F65" s="1"/>
      <c r="G65" s="1"/>
      <c r="H65" s="1"/>
      <c r="I65" s="1"/>
      <c r="J65" s="1"/>
      <c r="K65" s="1"/>
      <c r="L65" s="1"/>
      <c r="M65" s="1"/>
      <c r="N65" s="1"/>
      <c r="O65" s="1"/>
      <c r="P65" s="10"/>
      <c r="Q65" s="10"/>
      <c r="R65" s="10"/>
      <c r="S65" s="10"/>
      <c r="T65" s="10"/>
      <c r="U65" s="10"/>
      <c r="V65" s="10"/>
      <c r="W65" s="3" t="str">
        <f t="shared" si="268"/>
        <v/>
      </c>
      <c r="X65" s="3" t="str">
        <f t="shared" si="269"/>
        <v/>
      </c>
      <c r="Y65" s="3" t="str">
        <f t="shared" si="270"/>
        <v/>
      </c>
      <c r="Z65" s="3" t="str">
        <f t="shared" si="271"/>
        <v/>
      </c>
      <c r="AA65" s="3" t="str">
        <f t="shared" si="272"/>
        <v/>
      </c>
      <c r="AB65" s="3" t="str">
        <f t="shared" si="273"/>
        <v/>
      </c>
      <c r="AC65" s="3" t="str">
        <f t="shared" si="274"/>
        <v/>
      </c>
      <c r="AD65" s="3" t="str">
        <f t="shared" si="275"/>
        <v/>
      </c>
      <c r="AE65" s="3" t="str">
        <f t="shared" si="276"/>
        <v/>
      </c>
      <c r="AF65" s="24" t="str">
        <f t="shared" si="277"/>
        <v/>
      </c>
      <c r="AG65" s="24" t="str">
        <f t="shared" si="278"/>
        <v/>
      </c>
      <c r="AH65" s="24" t="str">
        <f t="shared" si="279"/>
        <v/>
      </c>
      <c r="AI65" s="24" t="str">
        <f t="shared" si="280"/>
        <v/>
      </c>
      <c r="AJ65" s="24" t="str">
        <f t="shared" si="281"/>
        <v/>
      </c>
      <c r="AK65" s="24" t="str">
        <f t="shared" si="282"/>
        <v/>
      </c>
      <c r="AL65" s="24" t="str">
        <f t="shared" si="283"/>
        <v/>
      </c>
      <c r="AM65" s="24" t="str">
        <f t="shared" si="284"/>
        <v/>
      </c>
      <c r="AN65" s="24" t="str">
        <f t="shared" si="285"/>
        <v/>
      </c>
      <c r="AO65" s="24" t="str">
        <f t="shared" si="286"/>
        <v/>
      </c>
      <c r="AP65" s="24" t="str">
        <f t="shared" si="287"/>
        <v/>
      </c>
      <c r="AQ65" s="24" t="str">
        <f t="shared" si="288"/>
        <v/>
      </c>
      <c r="AR65" s="24" t="str">
        <f t="shared" si="289"/>
        <v/>
      </c>
      <c r="AS65" s="24" t="str">
        <f t="shared" si="290"/>
        <v/>
      </c>
      <c r="AT65" s="24" t="str">
        <f t="shared" si="291"/>
        <v/>
      </c>
      <c r="AU65" s="24" t="str">
        <f t="shared" si="292"/>
        <v/>
      </c>
      <c r="AV65" s="24" t="str">
        <f t="shared" si="293"/>
        <v/>
      </c>
      <c r="AW65" s="24" t="str">
        <f t="shared" si="294"/>
        <v/>
      </c>
      <c r="AX65" s="24" t="str">
        <f t="shared" si="295"/>
        <v/>
      </c>
      <c r="AY65" s="24" t="str">
        <f t="shared" si="296"/>
        <v/>
      </c>
      <c r="AZ65" s="24" t="str">
        <f t="shared" si="297"/>
        <v/>
      </c>
      <c r="BA65" s="24" t="str">
        <f t="shared" si="298"/>
        <v/>
      </c>
      <c r="BB65" s="24" t="str">
        <f t="shared" si="299"/>
        <v/>
      </c>
      <c r="BC65" s="24" t="str">
        <f t="shared" si="300"/>
        <v/>
      </c>
      <c r="BD65" s="24" t="str">
        <f t="shared" si="301"/>
        <v/>
      </c>
      <c r="BE65" s="24" t="str">
        <f t="shared" si="302"/>
        <v/>
      </c>
      <c r="BF65" s="24" t="str">
        <f t="shared" si="303"/>
        <v/>
      </c>
      <c r="BG65" s="24" t="str">
        <f t="shared" si="304"/>
        <v/>
      </c>
      <c r="BH65" s="24" t="str">
        <f t="shared" si="305"/>
        <v/>
      </c>
      <c r="BI65" s="24" t="str">
        <f t="shared" si="306"/>
        <v/>
      </c>
      <c r="BJ65" s="24" t="str">
        <f t="shared" si="307"/>
        <v/>
      </c>
      <c r="BK65" s="24" t="str">
        <f t="shared" si="308"/>
        <v/>
      </c>
      <c r="BL65" s="26" t="str">
        <f t="shared" si="309"/>
        <v/>
      </c>
      <c r="BM65" s="26" t="str">
        <f t="shared" si="310"/>
        <v/>
      </c>
      <c r="BN65" s="26" t="str">
        <f t="shared" si="311"/>
        <v/>
      </c>
      <c r="BO65" s="26" t="str">
        <f t="shared" si="312"/>
        <v/>
      </c>
      <c r="BP65" s="26" t="str">
        <f t="shared" si="313"/>
        <v/>
      </c>
      <c r="BQ65" s="26" t="str">
        <f t="shared" si="314"/>
        <v/>
      </c>
      <c r="BR65" s="26" t="str">
        <f t="shared" si="315"/>
        <v/>
      </c>
      <c r="BS65" s="26" t="str">
        <f t="shared" si="316"/>
        <v/>
      </c>
      <c r="BT65" s="26" t="str">
        <f t="shared" si="317"/>
        <v/>
      </c>
      <c r="BU65" s="26" t="str">
        <f t="shared" si="318"/>
        <v/>
      </c>
      <c r="BV65" s="26" t="str">
        <f t="shared" si="319"/>
        <v/>
      </c>
      <c r="BW65" s="26" t="str">
        <f t="shared" si="320"/>
        <v/>
      </c>
      <c r="BX65" s="26" t="str">
        <f t="shared" si="321"/>
        <v/>
      </c>
      <c r="BY65" s="26" t="str">
        <f t="shared" si="322"/>
        <v/>
      </c>
      <c r="BZ65" s="26" t="str">
        <f t="shared" si="323"/>
        <v/>
      </c>
      <c r="CA65" s="26" t="str">
        <f t="shared" si="324"/>
        <v/>
      </c>
      <c r="CB65" s="24" t="str">
        <f t="shared" si="258"/>
        <v/>
      </c>
      <c r="CC65" s="24" t="str">
        <f t="shared" si="259"/>
        <v/>
      </c>
      <c r="CD65" s="24" t="str">
        <f t="shared" si="260"/>
        <v/>
      </c>
      <c r="CE65" s="24" t="str">
        <f t="shared" si="257"/>
        <v/>
      </c>
      <c r="CF65" s="24" t="str">
        <f t="shared" si="261"/>
        <v/>
      </c>
      <c r="CG65" s="24" t="str">
        <f>IF(OR(BA65="",AK65=""),"",BA65*(IF(OR(AK65="A",AK65="a"),4,(IF(OR(#REF!="B",AK65="b"),3,(IF(OR(AK65="C",AK65="c"),2,(IF(OR(AK65="D",AK65="d"),1.5,(IF(OR(AK65="E",AK65="e"),1,(IF(OR(AK65="F",AK65="f"),0)))))))))))))</f>
        <v/>
      </c>
      <c r="CH65" s="24" t="str">
        <f t="shared" si="262"/>
        <v/>
      </c>
      <c r="CI65" s="24" t="str">
        <f t="shared" si="325"/>
        <v/>
      </c>
      <c r="CJ65" s="24" t="str">
        <f t="shared" si="326"/>
        <v/>
      </c>
      <c r="CK65" s="26" t="str">
        <f t="shared" si="327"/>
        <v/>
      </c>
      <c r="CL65" s="24" t="str">
        <f t="shared" si="343"/>
        <v/>
      </c>
      <c r="CM65" s="24" t="str">
        <f t="shared" si="344"/>
        <v/>
      </c>
      <c r="CN65" s="26" t="str">
        <f t="shared" si="328"/>
        <v/>
      </c>
      <c r="CO65" s="24" t="str">
        <f t="shared" si="329"/>
        <v/>
      </c>
      <c r="CP65" s="26" t="str">
        <f t="shared" si="330"/>
        <v/>
      </c>
      <c r="CQ65" s="26" t="str">
        <f t="shared" si="331"/>
        <v/>
      </c>
      <c r="CR65" s="26" t="str">
        <f t="shared" si="264"/>
        <v/>
      </c>
      <c r="CS65" s="24" t="str">
        <f t="shared" si="265"/>
        <v/>
      </c>
      <c r="CT65" s="27" t="str">
        <f t="shared" si="332"/>
        <v/>
      </c>
      <c r="CU65" s="24" t="str">
        <f t="shared" si="333"/>
        <v/>
      </c>
      <c r="CV65" s="27" t="str">
        <f t="shared" si="334"/>
        <v/>
      </c>
      <c r="CW65" s="26" t="str">
        <f t="shared" si="335"/>
        <v/>
      </c>
      <c r="CX65" s="26" t="str">
        <f t="shared" si="345"/>
        <v/>
      </c>
      <c r="CY65" s="27" t="str">
        <f t="shared" si="346"/>
        <v/>
      </c>
      <c r="CZ65" s="26" t="str">
        <f t="shared" si="336"/>
        <v/>
      </c>
      <c r="DA65" s="24" t="str">
        <f t="shared" si="266"/>
        <v/>
      </c>
      <c r="DB65" s="24" t="str">
        <f t="shared" si="337"/>
        <v/>
      </c>
      <c r="DC65" s="24" t="str">
        <f t="shared" si="263"/>
        <v/>
      </c>
      <c r="DD65" s="24" t="str">
        <f t="shared" si="338"/>
        <v/>
      </c>
      <c r="DE65" s="1"/>
      <c r="DF65" s="1"/>
      <c r="DG65" s="1"/>
      <c r="DH65" s="24" t="str">
        <f t="shared" si="339"/>
        <v/>
      </c>
      <c r="DI65" s="25" t="str">
        <f t="shared" si="340"/>
        <v/>
      </c>
      <c r="DJ65" t="str">
        <f t="shared" si="341"/>
        <v/>
      </c>
      <c r="DK65" s="9"/>
      <c r="DL65" s="9"/>
      <c r="DM65" s="9"/>
      <c r="DN65" s="9"/>
      <c r="DO65" s="9"/>
      <c r="DP65" s="9"/>
      <c r="DQ65" s="136" t="b">
        <f t="shared" si="342"/>
        <v>1</v>
      </c>
    </row>
    <row r="66" spans="1:121" ht="27" customHeight="1" x14ac:dyDescent="0.95">
      <c r="A66" s="24" t="str">
        <f t="shared" si="267"/>
        <v/>
      </c>
      <c r="B66" s="9"/>
      <c r="C66" s="14"/>
      <c r="D66" s="9"/>
      <c r="E66" s="9"/>
      <c r="F66" s="1"/>
      <c r="G66" s="1"/>
      <c r="H66" s="1"/>
      <c r="I66" s="1"/>
      <c r="J66" s="1"/>
      <c r="K66" s="1"/>
      <c r="L66" s="1"/>
      <c r="M66" s="1"/>
      <c r="N66" s="1"/>
      <c r="O66" s="1"/>
      <c r="P66" s="10"/>
      <c r="Q66" s="10"/>
      <c r="R66" s="10"/>
      <c r="S66" s="10"/>
      <c r="T66" s="10"/>
      <c r="U66" s="10"/>
      <c r="V66" s="10"/>
      <c r="W66" s="3" t="str">
        <f t="shared" si="268"/>
        <v/>
      </c>
      <c r="X66" s="3" t="str">
        <f t="shared" si="269"/>
        <v/>
      </c>
      <c r="Y66" s="3" t="str">
        <f t="shared" si="270"/>
        <v/>
      </c>
      <c r="Z66" s="3" t="str">
        <f t="shared" si="271"/>
        <v/>
      </c>
      <c r="AA66" s="3" t="str">
        <f t="shared" si="272"/>
        <v/>
      </c>
      <c r="AB66" s="3" t="str">
        <f t="shared" si="273"/>
        <v/>
      </c>
      <c r="AC66" s="3" t="str">
        <f t="shared" si="274"/>
        <v/>
      </c>
      <c r="AD66" s="3" t="str">
        <f t="shared" si="275"/>
        <v/>
      </c>
      <c r="AE66" s="3" t="str">
        <f t="shared" si="276"/>
        <v/>
      </c>
      <c r="AF66" s="24" t="str">
        <f t="shared" si="277"/>
        <v/>
      </c>
      <c r="AG66" s="24" t="str">
        <f t="shared" si="278"/>
        <v/>
      </c>
      <c r="AH66" s="24" t="str">
        <f t="shared" si="279"/>
        <v/>
      </c>
      <c r="AI66" s="24" t="str">
        <f t="shared" si="280"/>
        <v/>
      </c>
      <c r="AJ66" s="24" t="str">
        <f t="shared" si="281"/>
        <v/>
      </c>
      <c r="AK66" s="24" t="str">
        <f t="shared" si="282"/>
        <v/>
      </c>
      <c r="AL66" s="24" t="str">
        <f t="shared" si="283"/>
        <v/>
      </c>
      <c r="AM66" s="24" t="str">
        <f t="shared" si="284"/>
        <v/>
      </c>
      <c r="AN66" s="24" t="str">
        <f t="shared" si="285"/>
        <v/>
      </c>
      <c r="AO66" s="24" t="str">
        <f t="shared" si="286"/>
        <v/>
      </c>
      <c r="AP66" s="24" t="str">
        <f t="shared" si="287"/>
        <v/>
      </c>
      <c r="AQ66" s="24" t="str">
        <f t="shared" si="288"/>
        <v/>
      </c>
      <c r="AR66" s="24" t="str">
        <f t="shared" si="289"/>
        <v/>
      </c>
      <c r="AS66" s="24" t="str">
        <f t="shared" si="290"/>
        <v/>
      </c>
      <c r="AT66" s="24" t="str">
        <f t="shared" si="291"/>
        <v/>
      </c>
      <c r="AU66" s="24" t="str">
        <f t="shared" si="292"/>
        <v/>
      </c>
      <c r="AV66" s="24" t="str">
        <f t="shared" si="293"/>
        <v/>
      </c>
      <c r="AW66" s="24" t="str">
        <f t="shared" si="294"/>
        <v/>
      </c>
      <c r="AX66" s="24" t="str">
        <f t="shared" si="295"/>
        <v/>
      </c>
      <c r="AY66" s="24" t="str">
        <f t="shared" si="296"/>
        <v/>
      </c>
      <c r="AZ66" s="24" t="str">
        <f t="shared" si="297"/>
        <v/>
      </c>
      <c r="BA66" s="24" t="str">
        <f t="shared" si="298"/>
        <v/>
      </c>
      <c r="BB66" s="24" t="str">
        <f t="shared" si="299"/>
        <v/>
      </c>
      <c r="BC66" s="24" t="str">
        <f t="shared" si="300"/>
        <v/>
      </c>
      <c r="BD66" s="24" t="str">
        <f t="shared" si="301"/>
        <v/>
      </c>
      <c r="BE66" s="24" t="str">
        <f t="shared" si="302"/>
        <v/>
      </c>
      <c r="BF66" s="24" t="str">
        <f t="shared" si="303"/>
        <v/>
      </c>
      <c r="BG66" s="24" t="str">
        <f t="shared" si="304"/>
        <v/>
      </c>
      <c r="BH66" s="24" t="str">
        <f t="shared" si="305"/>
        <v/>
      </c>
      <c r="BI66" s="24" t="str">
        <f t="shared" si="306"/>
        <v/>
      </c>
      <c r="BJ66" s="24" t="str">
        <f t="shared" si="307"/>
        <v/>
      </c>
      <c r="BK66" s="24" t="str">
        <f t="shared" si="308"/>
        <v/>
      </c>
      <c r="BL66" s="26" t="str">
        <f t="shared" si="309"/>
        <v/>
      </c>
      <c r="BM66" s="26" t="str">
        <f t="shared" si="310"/>
        <v/>
      </c>
      <c r="BN66" s="26" t="str">
        <f t="shared" si="311"/>
        <v/>
      </c>
      <c r="BO66" s="26" t="str">
        <f t="shared" si="312"/>
        <v/>
      </c>
      <c r="BP66" s="26" t="str">
        <f t="shared" si="313"/>
        <v/>
      </c>
      <c r="BQ66" s="26" t="str">
        <f t="shared" si="314"/>
        <v/>
      </c>
      <c r="BR66" s="26" t="str">
        <f t="shared" si="315"/>
        <v/>
      </c>
      <c r="BS66" s="26" t="str">
        <f t="shared" si="316"/>
        <v/>
      </c>
      <c r="BT66" s="26" t="str">
        <f t="shared" si="317"/>
        <v/>
      </c>
      <c r="BU66" s="26" t="str">
        <f t="shared" si="318"/>
        <v/>
      </c>
      <c r="BV66" s="26" t="str">
        <f t="shared" si="319"/>
        <v/>
      </c>
      <c r="BW66" s="26" t="str">
        <f t="shared" si="320"/>
        <v/>
      </c>
      <c r="BX66" s="26" t="str">
        <f t="shared" si="321"/>
        <v/>
      </c>
      <c r="BY66" s="26" t="str">
        <f t="shared" si="322"/>
        <v/>
      </c>
      <c r="BZ66" s="26" t="str">
        <f t="shared" si="323"/>
        <v/>
      </c>
      <c r="CA66" s="26" t="str">
        <f t="shared" si="324"/>
        <v/>
      </c>
      <c r="CB66" s="24" t="str">
        <f t="shared" si="258"/>
        <v/>
      </c>
      <c r="CC66" s="24" t="str">
        <f t="shared" si="259"/>
        <v/>
      </c>
      <c r="CD66" s="24" t="str">
        <f t="shared" si="260"/>
        <v/>
      </c>
      <c r="CE66" s="24" t="str">
        <f t="shared" si="257"/>
        <v/>
      </c>
      <c r="CF66" s="24" t="str">
        <f t="shared" si="261"/>
        <v/>
      </c>
      <c r="CG66" s="24" t="str">
        <f>IF(OR(BA66="",AK66=""),"",BA66*(IF(OR(AK66="A",AK66="a"),4,(IF(OR(#REF!="B",AK66="b"),3,(IF(OR(AK66="C",AK66="c"),2,(IF(OR(AK66="D",AK66="d"),1.5,(IF(OR(AK66="E",AK66="e"),1,(IF(OR(AK66="F",AK66="f"),0)))))))))))))</f>
        <v/>
      </c>
      <c r="CH66" s="24" t="str">
        <f t="shared" si="262"/>
        <v/>
      </c>
      <c r="CI66" s="24" t="str">
        <f t="shared" si="325"/>
        <v/>
      </c>
      <c r="CJ66" s="24" t="str">
        <f t="shared" si="326"/>
        <v/>
      </c>
      <c r="CK66" s="26" t="str">
        <f t="shared" si="327"/>
        <v/>
      </c>
      <c r="CL66" s="24" t="str">
        <f t="shared" si="343"/>
        <v/>
      </c>
      <c r="CM66" s="24" t="str">
        <f t="shared" si="344"/>
        <v/>
      </c>
      <c r="CN66" s="26" t="str">
        <f t="shared" si="328"/>
        <v/>
      </c>
      <c r="CO66" s="24" t="str">
        <f t="shared" si="329"/>
        <v/>
      </c>
      <c r="CP66" s="26" t="str">
        <f t="shared" si="330"/>
        <v/>
      </c>
      <c r="CQ66" s="26" t="str">
        <f t="shared" si="331"/>
        <v/>
      </c>
      <c r="CR66" s="26" t="str">
        <f t="shared" si="264"/>
        <v/>
      </c>
      <c r="CS66" s="24" t="str">
        <f t="shared" si="265"/>
        <v/>
      </c>
      <c r="CT66" s="27" t="str">
        <f t="shared" si="332"/>
        <v/>
      </c>
      <c r="CU66" s="24" t="str">
        <f t="shared" si="333"/>
        <v/>
      </c>
      <c r="CV66" s="27" t="str">
        <f t="shared" si="334"/>
        <v/>
      </c>
      <c r="CW66" s="26" t="str">
        <f t="shared" si="335"/>
        <v/>
      </c>
      <c r="CX66" s="26" t="str">
        <f t="shared" si="345"/>
        <v/>
      </c>
      <c r="CY66" s="27" t="str">
        <f t="shared" si="346"/>
        <v/>
      </c>
      <c r="CZ66" s="26" t="str">
        <f t="shared" si="336"/>
        <v/>
      </c>
      <c r="DA66" s="24" t="str">
        <f t="shared" si="266"/>
        <v/>
      </c>
      <c r="DB66" s="24" t="str">
        <f t="shared" si="337"/>
        <v/>
      </c>
      <c r="DC66" s="24" t="str">
        <f t="shared" si="263"/>
        <v/>
      </c>
      <c r="DD66" s="24" t="str">
        <f t="shared" si="338"/>
        <v/>
      </c>
      <c r="DE66" s="1"/>
      <c r="DF66" s="1"/>
      <c r="DG66" s="1"/>
      <c r="DH66" s="24" t="str">
        <f t="shared" si="339"/>
        <v/>
      </c>
      <c r="DI66" s="25" t="str">
        <f t="shared" si="340"/>
        <v/>
      </c>
      <c r="DJ66" t="str">
        <f t="shared" si="341"/>
        <v/>
      </c>
      <c r="DK66" s="9"/>
      <c r="DL66" s="9"/>
      <c r="DM66" s="9"/>
      <c r="DN66" s="9"/>
      <c r="DO66" s="9"/>
      <c r="DP66" s="9"/>
      <c r="DQ66" s="136" t="b">
        <f t="shared" si="342"/>
        <v>1</v>
      </c>
    </row>
    <row r="67" spans="1:121" ht="27" customHeight="1" x14ac:dyDescent="0.95">
      <c r="A67" s="24" t="str">
        <f t="shared" si="267"/>
        <v/>
      </c>
      <c r="B67" s="9"/>
      <c r="C67" s="14"/>
      <c r="D67" s="9"/>
      <c r="E67" s="9"/>
      <c r="F67" s="1"/>
      <c r="G67" s="1"/>
      <c r="H67" s="1"/>
      <c r="I67" s="1"/>
      <c r="J67" s="1"/>
      <c r="K67" s="1"/>
      <c r="L67" s="1"/>
      <c r="M67" s="1"/>
      <c r="N67" s="1"/>
      <c r="O67" s="1"/>
      <c r="P67" s="10"/>
      <c r="Q67" s="10"/>
      <c r="R67" s="10"/>
      <c r="S67" s="10"/>
      <c r="T67" s="10"/>
      <c r="U67" s="10"/>
      <c r="V67" s="10"/>
      <c r="W67" s="3" t="str">
        <f t="shared" si="268"/>
        <v/>
      </c>
      <c r="X67" s="3" t="str">
        <f t="shared" si="269"/>
        <v/>
      </c>
      <c r="Y67" s="3" t="str">
        <f t="shared" si="270"/>
        <v/>
      </c>
      <c r="Z67" s="3" t="str">
        <f t="shared" si="271"/>
        <v/>
      </c>
      <c r="AA67" s="3" t="str">
        <f t="shared" si="272"/>
        <v/>
      </c>
      <c r="AB67" s="3" t="str">
        <f t="shared" si="273"/>
        <v/>
      </c>
      <c r="AC67" s="3" t="str">
        <f t="shared" si="274"/>
        <v/>
      </c>
      <c r="AD67" s="3" t="str">
        <f t="shared" si="275"/>
        <v/>
      </c>
      <c r="AE67" s="3" t="str">
        <f t="shared" si="276"/>
        <v/>
      </c>
      <c r="AF67" s="24" t="str">
        <f t="shared" si="277"/>
        <v/>
      </c>
      <c r="AG67" s="24" t="str">
        <f t="shared" si="278"/>
        <v/>
      </c>
      <c r="AH67" s="24" t="str">
        <f t="shared" si="279"/>
        <v/>
      </c>
      <c r="AI67" s="24" t="str">
        <f t="shared" si="280"/>
        <v/>
      </c>
      <c r="AJ67" s="24" t="str">
        <f t="shared" si="281"/>
        <v/>
      </c>
      <c r="AK67" s="24" t="str">
        <f t="shared" si="282"/>
        <v/>
      </c>
      <c r="AL67" s="24" t="str">
        <f t="shared" si="283"/>
        <v/>
      </c>
      <c r="AM67" s="24" t="str">
        <f t="shared" si="284"/>
        <v/>
      </c>
      <c r="AN67" s="24" t="str">
        <f t="shared" si="285"/>
        <v/>
      </c>
      <c r="AO67" s="24" t="str">
        <f t="shared" si="286"/>
        <v/>
      </c>
      <c r="AP67" s="24" t="str">
        <f t="shared" si="287"/>
        <v/>
      </c>
      <c r="AQ67" s="24" t="str">
        <f t="shared" si="288"/>
        <v/>
      </c>
      <c r="AR67" s="24" t="str">
        <f t="shared" si="289"/>
        <v/>
      </c>
      <c r="AS67" s="24" t="str">
        <f t="shared" si="290"/>
        <v/>
      </c>
      <c r="AT67" s="24" t="str">
        <f t="shared" si="291"/>
        <v/>
      </c>
      <c r="AU67" s="24" t="str">
        <f t="shared" si="292"/>
        <v/>
      </c>
      <c r="AV67" s="24" t="str">
        <f t="shared" si="293"/>
        <v/>
      </c>
      <c r="AW67" s="24" t="str">
        <f t="shared" si="294"/>
        <v/>
      </c>
      <c r="AX67" s="24" t="str">
        <f t="shared" si="295"/>
        <v/>
      </c>
      <c r="AY67" s="24" t="str">
        <f t="shared" si="296"/>
        <v/>
      </c>
      <c r="AZ67" s="24" t="str">
        <f t="shared" si="297"/>
        <v/>
      </c>
      <c r="BA67" s="24" t="str">
        <f t="shared" si="298"/>
        <v/>
      </c>
      <c r="BB67" s="24" t="str">
        <f t="shared" si="299"/>
        <v/>
      </c>
      <c r="BC67" s="24" t="str">
        <f t="shared" si="300"/>
        <v/>
      </c>
      <c r="BD67" s="24" t="str">
        <f t="shared" si="301"/>
        <v/>
      </c>
      <c r="BE67" s="24" t="str">
        <f t="shared" si="302"/>
        <v/>
      </c>
      <c r="BF67" s="24" t="str">
        <f t="shared" si="303"/>
        <v/>
      </c>
      <c r="BG67" s="24" t="str">
        <f t="shared" si="304"/>
        <v/>
      </c>
      <c r="BH67" s="24" t="str">
        <f t="shared" si="305"/>
        <v/>
      </c>
      <c r="BI67" s="24" t="str">
        <f t="shared" si="306"/>
        <v/>
      </c>
      <c r="BJ67" s="24" t="str">
        <f t="shared" si="307"/>
        <v/>
      </c>
      <c r="BK67" s="24" t="str">
        <f t="shared" si="308"/>
        <v/>
      </c>
      <c r="BL67" s="26" t="str">
        <f t="shared" si="309"/>
        <v/>
      </c>
      <c r="BM67" s="26" t="str">
        <f t="shared" si="310"/>
        <v/>
      </c>
      <c r="BN67" s="26" t="str">
        <f t="shared" si="311"/>
        <v/>
      </c>
      <c r="BO67" s="26" t="str">
        <f t="shared" si="312"/>
        <v/>
      </c>
      <c r="BP67" s="26" t="str">
        <f t="shared" si="313"/>
        <v/>
      </c>
      <c r="BQ67" s="26" t="str">
        <f t="shared" si="314"/>
        <v/>
      </c>
      <c r="BR67" s="26" t="str">
        <f t="shared" si="315"/>
        <v/>
      </c>
      <c r="BS67" s="26" t="str">
        <f t="shared" si="316"/>
        <v/>
      </c>
      <c r="BT67" s="26" t="str">
        <f t="shared" si="317"/>
        <v/>
      </c>
      <c r="BU67" s="26" t="str">
        <f t="shared" si="318"/>
        <v/>
      </c>
      <c r="BV67" s="26" t="str">
        <f t="shared" si="319"/>
        <v/>
      </c>
      <c r="BW67" s="26" t="str">
        <f t="shared" si="320"/>
        <v/>
      </c>
      <c r="BX67" s="26" t="str">
        <f t="shared" si="321"/>
        <v/>
      </c>
      <c r="BY67" s="26" t="str">
        <f t="shared" si="322"/>
        <v/>
      </c>
      <c r="BZ67" s="26" t="str">
        <f t="shared" si="323"/>
        <v/>
      </c>
      <c r="CA67" s="26" t="str">
        <f t="shared" si="324"/>
        <v/>
      </c>
      <c r="CB67" s="24" t="str">
        <f t="shared" si="258"/>
        <v/>
      </c>
      <c r="CC67" s="24" t="str">
        <f t="shared" si="259"/>
        <v/>
      </c>
      <c r="CD67" s="24" t="str">
        <f t="shared" si="260"/>
        <v/>
      </c>
      <c r="CE67" s="24" t="str">
        <f t="shared" si="257"/>
        <v/>
      </c>
      <c r="CF67" s="24" t="str">
        <f t="shared" si="261"/>
        <v/>
      </c>
      <c r="CG67" s="24" t="str">
        <f>IF(OR(BA67="",AK67=""),"",BA67*(IF(OR(AK67="A",AK67="a"),4,(IF(OR(#REF!="B",AK67="b"),3,(IF(OR(AK67="C",AK67="c"),2,(IF(OR(AK67="D",AK67="d"),1.5,(IF(OR(AK67="E",AK67="e"),1,(IF(OR(AK67="F",AK67="f"),0)))))))))))))</f>
        <v/>
      </c>
      <c r="CH67" s="24" t="str">
        <f t="shared" si="262"/>
        <v/>
      </c>
      <c r="CI67" s="24" t="str">
        <f t="shared" si="325"/>
        <v/>
      </c>
      <c r="CJ67" s="24" t="str">
        <f t="shared" si="326"/>
        <v/>
      </c>
      <c r="CK67" s="26" t="str">
        <f t="shared" si="327"/>
        <v/>
      </c>
      <c r="CL67" s="24" t="str">
        <f t="shared" si="343"/>
        <v/>
      </c>
      <c r="CM67" s="24" t="str">
        <f t="shared" si="344"/>
        <v/>
      </c>
      <c r="CN67" s="26" t="str">
        <f t="shared" si="328"/>
        <v/>
      </c>
      <c r="CO67" s="24" t="str">
        <f t="shared" si="329"/>
        <v/>
      </c>
      <c r="CP67" s="26" t="str">
        <f t="shared" si="330"/>
        <v/>
      </c>
      <c r="CQ67" s="26" t="str">
        <f t="shared" si="331"/>
        <v/>
      </c>
      <c r="CR67" s="26" t="str">
        <f t="shared" si="264"/>
        <v/>
      </c>
      <c r="CS67" s="24" t="str">
        <f t="shared" si="265"/>
        <v/>
      </c>
      <c r="CT67" s="27" t="str">
        <f t="shared" si="332"/>
        <v/>
      </c>
      <c r="CU67" s="24" t="str">
        <f t="shared" si="333"/>
        <v/>
      </c>
      <c r="CV67" s="27" t="str">
        <f t="shared" si="334"/>
        <v/>
      </c>
      <c r="CW67" s="26" t="str">
        <f t="shared" si="335"/>
        <v/>
      </c>
      <c r="CX67" s="26" t="str">
        <f t="shared" si="345"/>
        <v/>
      </c>
      <c r="CY67" s="27" t="str">
        <f t="shared" si="346"/>
        <v/>
      </c>
      <c r="CZ67" s="26" t="str">
        <f t="shared" si="336"/>
        <v/>
      </c>
      <c r="DA67" s="24" t="str">
        <f t="shared" si="266"/>
        <v/>
      </c>
      <c r="DB67" s="24" t="str">
        <f t="shared" si="337"/>
        <v/>
      </c>
      <c r="DC67" s="24" t="str">
        <f t="shared" si="263"/>
        <v/>
      </c>
      <c r="DD67" s="24" t="str">
        <f t="shared" si="338"/>
        <v/>
      </c>
      <c r="DE67" s="1"/>
      <c r="DF67" s="1"/>
      <c r="DG67" s="1"/>
      <c r="DH67" s="24" t="str">
        <f t="shared" si="339"/>
        <v/>
      </c>
      <c r="DI67" s="25" t="str">
        <f t="shared" si="340"/>
        <v/>
      </c>
      <c r="DJ67" t="str">
        <f t="shared" si="341"/>
        <v/>
      </c>
      <c r="DK67" s="9"/>
      <c r="DL67" s="9"/>
      <c r="DM67" s="9"/>
      <c r="DN67" s="9"/>
      <c r="DO67" s="9"/>
      <c r="DP67" s="9"/>
      <c r="DQ67" s="136" t="b">
        <f t="shared" si="342"/>
        <v>1</v>
      </c>
    </row>
    <row r="68" spans="1:121" ht="27" customHeight="1" x14ac:dyDescent="0.95">
      <c r="A68" s="24" t="str">
        <f t="shared" si="267"/>
        <v/>
      </c>
      <c r="B68" s="9"/>
      <c r="C68" s="14"/>
      <c r="D68" s="9"/>
      <c r="E68" s="9"/>
      <c r="F68" s="1"/>
      <c r="G68" s="1"/>
      <c r="H68" s="1"/>
      <c r="I68" s="1"/>
      <c r="J68" s="1"/>
      <c r="K68" s="1"/>
      <c r="L68" s="1"/>
      <c r="M68" s="1"/>
      <c r="N68" s="1"/>
      <c r="O68" s="1"/>
      <c r="P68" s="10"/>
      <c r="Q68" s="10"/>
      <c r="R68" s="10"/>
      <c r="S68" s="10"/>
      <c r="T68" s="10"/>
      <c r="U68" s="10"/>
      <c r="V68" s="10"/>
      <c r="W68" s="3" t="str">
        <f t="shared" si="268"/>
        <v/>
      </c>
      <c r="X68" s="3" t="str">
        <f t="shared" si="269"/>
        <v/>
      </c>
      <c r="Y68" s="3" t="str">
        <f t="shared" si="270"/>
        <v/>
      </c>
      <c r="Z68" s="3" t="str">
        <f t="shared" si="271"/>
        <v/>
      </c>
      <c r="AA68" s="3" t="str">
        <f t="shared" si="272"/>
        <v/>
      </c>
      <c r="AB68" s="3" t="str">
        <f t="shared" si="273"/>
        <v/>
      </c>
      <c r="AC68" s="3" t="str">
        <f t="shared" si="274"/>
        <v/>
      </c>
      <c r="AD68" s="3" t="str">
        <f t="shared" si="275"/>
        <v/>
      </c>
      <c r="AE68" s="3" t="str">
        <f t="shared" si="276"/>
        <v/>
      </c>
      <c r="AF68" s="24" t="str">
        <f t="shared" si="277"/>
        <v/>
      </c>
      <c r="AG68" s="24" t="str">
        <f t="shared" si="278"/>
        <v/>
      </c>
      <c r="AH68" s="24" t="str">
        <f t="shared" si="279"/>
        <v/>
      </c>
      <c r="AI68" s="24" t="str">
        <f t="shared" si="280"/>
        <v/>
      </c>
      <c r="AJ68" s="24" t="str">
        <f t="shared" si="281"/>
        <v/>
      </c>
      <c r="AK68" s="24" t="str">
        <f t="shared" si="282"/>
        <v/>
      </c>
      <c r="AL68" s="24" t="str">
        <f t="shared" si="283"/>
        <v/>
      </c>
      <c r="AM68" s="24" t="str">
        <f t="shared" si="284"/>
        <v/>
      </c>
      <c r="AN68" s="24" t="str">
        <f t="shared" si="285"/>
        <v/>
      </c>
      <c r="AO68" s="24" t="str">
        <f t="shared" si="286"/>
        <v/>
      </c>
      <c r="AP68" s="24" t="str">
        <f t="shared" si="287"/>
        <v/>
      </c>
      <c r="AQ68" s="24" t="str">
        <f t="shared" si="288"/>
        <v/>
      </c>
      <c r="AR68" s="24" t="str">
        <f t="shared" si="289"/>
        <v/>
      </c>
      <c r="AS68" s="24" t="str">
        <f t="shared" si="290"/>
        <v/>
      </c>
      <c r="AT68" s="24" t="str">
        <f t="shared" si="291"/>
        <v/>
      </c>
      <c r="AU68" s="24" t="str">
        <f t="shared" si="292"/>
        <v/>
      </c>
      <c r="AV68" s="24" t="str">
        <f t="shared" si="293"/>
        <v/>
      </c>
      <c r="AW68" s="24" t="str">
        <f t="shared" si="294"/>
        <v/>
      </c>
      <c r="AX68" s="24" t="str">
        <f t="shared" si="295"/>
        <v/>
      </c>
      <c r="AY68" s="24" t="str">
        <f t="shared" si="296"/>
        <v/>
      </c>
      <c r="AZ68" s="24" t="str">
        <f t="shared" si="297"/>
        <v/>
      </c>
      <c r="BA68" s="24" t="str">
        <f t="shared" si="298"/>
        <v/>
      </c>
      <c r="BB68" s="24" t="str">
        <f t="shared" si="299"/>
        <v/>
      </c>
      <c r="BC68" s="24" t="str">
        <f t="shared" si="300"/>
        <v/>
      </c>
      <c r="BD68" s="24" t="str">
        <f t="shared" si="301"/>
        <v/>
      </c>
      <c r="BE68" s="24" t="str">
        <f t="shared" si="302"/>
        <v/>
      </c>
      <c r="BF68" s="24" t="str">
        <f t="shared" si="303"/>
        <v/>
      </c>
      <c r="BG68" s="24" t="str">
        <f t="shared" si="304"/>
        <v/>
      </c>
      <c r="BH68" s="24" t="str">
        <f t="shared" si="305"/>
        <v/>
      </c>
      <c r="BI68" s="24" t="str">
        <f t="shared" si="306"/>
        <v/>
      </c>
      <c r="BJ68" s="24" t="str">
        <f t="shared" si="307"/>
        <v/>
      </c>
      <c r="BK68" s="24" t="str">
        <f t="shared" si="308"/>
        <v/>
      </c>
      <c r="BL68" s="26" t="str">
        <f t="shared" si="309"/>
        <v/>
      </c>
      <c r="BM68" s="26" t="str">
        <f t="shared" si="310"/>
        <v/>
      </c>
      <c r="BN68" s="26" t="str">
        <f t="shared" si="311"/>
        <v/>
      </c>
      <c r="BO68" s="26" t="str">
        <f t="shared" si="312"/>
        <v/>
      </c>
      <c r="BP68" s="26" t="str">
        <f t="shared" si="313"/>
        <v/>
      </c>
      <c r="BQ68" s="26" t="str">
        <f t="shared" si="314"/>
        <v/>
      </c>
      <c r="BR68" s="26" t="str">
        <f t="shared" si="315"/>
        <v/>
      </c>
      <c r="BS68" s="26" t="str">
        <f t="shared" si="316"/>
        <v/>
      </c>
      <c r="BT68" s="26" t="str">
        <f t="shared" si="317"/>
        <v/>
      </c>
      <c r="BU68" s="26" t="str">
        <f t="shared" si="318"/>
        <v/>
      </c>
      <c r="BV68" s="26" t="str">
        <f t="shared" si="319"/>
        <v/>
      </c>
      <c r="BW68" s="26" t="str">
        <f t="shared" si="320"/>
        <v/>
      </c>
      <c r="BX68" s="26" t="str">
        <f t="shared" si="321"/>
        <v/>
      </c>
      <c r="BY68" s="26" t="str">
        <f t="shared" si="322"/>
        <v/>
      </c>
      <c r="BZ68" s="26" t="str">
        <f t="shared" si="323"/>
        <v/>
      </c>
      <c r="CA68" s="26" t="str">
        <f t="shared" si="324"/>
        <v/>
      </c>
      <c r="CB68" s="24" t="str">
        <f t="shared" si="258"/>
        <v/>
      </c>
      <c r="CC68" s="24" t="str">
        <f t="shared" si="259"/>
        <v/>
      </c>
      <c r="CD68" s="24" t="str">
        <f t="shared" si="260"/>
        <v/>
      </c>
      <c r="CE68" s="24" t="str">
        <f t="shared" si="257"/>
        <v/>
      </c>
      <c r="CF68" s="24" t="str">
        <f t="shared" si="261"/>
        <v/>
      </c>
      <c r="CG68" s="24" t="str">
        <f>IF(OR(BA68="",AK68=""),"",BA68*(IF(OR(AK68="A",AK68="a"),4,(IF(OR(#REF!="B",AK68="b"),3,(IF(OR(AK68="C",AK68="c"),2,(IF(OR(AK68="D",AK68="d"),1.5,(IF(OR(AK68="E",AK68="e"),1,(IF(OR(AK68="F",AK68="f"),0)))))))))))))</f>
        <v/>
      </c>
      <c r="CH68" s="24" t="str">
        <f t="shared" si="262"/>
        <v/>
      </c>
      <c r="CI68" s="24" t="str">
        <f t="shared" si="325"/>
        <v/>
      </c>
      <c r="CJ68" s="24" t="str">
        <f t="shared" si="326"/>
        <v/>
      </c>
      <c r="CK68" s="26" t="str">
        <f t="shared" si="327"/>
        <v/>
      </c>
      <c r="CL68" s="24" t="str">
        <f t="shared" si="343"/>
        <v/>
      </c>
      <c r="CM68" s="24" t="str">
        <f t="shared" si="344"/>
        <v/>
      </c>
      <c r="CN68" s="26" t="str">
        <f t="shared" si="328"/>
        <v/>
      </c>
      <c r="CO68" s="24" t="str">
        <f t="shared" si="329"/>
        <v/>
      </c>
      <c r="CP68" s="26" t="str">
        <f t="shared" si="330"/>
        <v/>
      </c>
      <c r="CQ68" s="26" t="str">
        <f t="shared" si="331"/>
        <v/>
      </c>
      <c r="CR68" s="26" t="str">
        <f t="shared" si="264"/>
        <v/>
      </c>
      <c r="CS68" s="24" t="str">
        <f t="shared" si="265"/>
        <v/>
      </c>
      <c r="CT68" s="27" t="str">
        <f t="shared" si="332"/>
        <v/>
      </c>
      <c r="CU68" s="24" t="str">
        <f t="shared" si="333"/>
        <v/>
      </c>
      <c r="CV68" s="27" t="str">
        <f t="shared" si="334"/>
        <v/>
      </c>
      <c r="CW68" s="26" t="str">
        <f t="shared" si="335"/>
        <v/>
      </c>
      <c r="CX68" s="26" t="str">
        <f t="shared" si="345"/>
        <v/>
      </c>
      <c r="CY68" s="27" t="str">
        <f t="shared" si="346"/>
        <v/>
      </c>
      <c r="CZ68" s="26" t="str">
        <f t="shared" si="336"/>
        <v/>
      </c>
      <c r="DA68" s="24" t="str">
        <f t="shared" si="266"/>
        <v/>
      </c>
      <c r="DB68" s="24" t="str">
        <f t="shared" si="337"/>
        <v/>
      </c>
      <c r="DC68" s="24" t="str">
        <f t="shared" si="263"/>
        <v/>
      </c>
      <c r="DD68" s="24" t="str">
        <f t="shared" si="338"/>
        <v/>
      </c>
      <c r="DE68" s="1"/>
      <c r="DF68" s="1"/>
      <c r="DG68" s="1"/>
      <c r="DH68" s="24" t="str">
        <f t="shared" si="339"/>
        <v/>
      </c>
      <c r="DI68" s="25" t="str">
        <f t="shared" si="340"/>
        <v/>
      </c>
      <c r="DJ68" t="str">
        <f t="shared" si="341"/>
        <v/>
      </c>
      <c r="DK68" s="9"/>
      <c r="DL68" s="9"/>
      <c r="DM68" s="9"/>
      <c r="DN68" s="9"/>
      <c r="DO68" s="9"/>
      <c r="DP68" s="9"/>
      <c r="DQ68" s="136" t="b">
        <f t="shared" si="342"/>
        <v>1</v>
      </c>
    </row>
    <row r="69" spans="1:121" ht="27" customHeight="1" x14ac:dyDescent="0.95">
      <c r="A69" s="24" t="str">
        <f t="shared" si="267"/>
        <v/>
      </c>
      <c r="B69" s="9"/>
      <c r="C69" s="14"/>
      <c r="D69" s="9"/>
      <c r="E69" s="9"/>
      <c r="F69" s="1"/>
      <c r="G69" s="1"/>
      <c r="H69" s="1"/>
      <c r="I69" s="1"/>
      <c r="J69" s="1"/>
      <c r="K69" s="1"/>
      <c r="L69" s="1"/>
      <c r="M69" s="1"/>
      <c r="N69" s="1"/>
      <c r="O69" s="1"/>
      <c r="P69" s="10"/>
      <c r="Q69" s="10"/>
      <c r="R69" s="10"/>
      <c r="S69" s="10"/>
      <c r="T69" s="10"/>
      <c r="U69" s="10"/>
      <c r="V69" s="10"/>
      <c r="W69" s="3" t="str">
        <f t="shared" si="268"/>
        <v/>
      </c>
      <c r="X69" s="3" t="str">
        <f t="shared" si="269"/>
        <v/>
      </c>
      <c r="Y69" s="3" t="str">
        <f t="shared" si="270"/>
        <v/>
      </c>
      <c r="Z69" s="3" t="str">
        <f t="shared" si="271"/>
        <v/>
      </c>
      <c r="AA69" s="3" t="str">
        <f t="shared" si="272"/>
        <v/>
      </c>
      <c r="AB69" s="3" t="str">
        <f t="shared" si="273"/>
        <v/>
      </c>
      <c r="AC69" s="3" t="str">
        <f t="shared" si="274"/>
        <v/>
      </c>
      <c r="AD69" s="3" t="str">
        <f t="shared" si="275"/>
        <v/>
      </c>
      <c r="AE69" s="3" t="str">
        <f t="shared" si="276"/>
        <v/>
      </c>
      <c r="AF69" s="24" t="str">
        <f t="shared" si="277"/>
        <v/>
      </c>
      <c r="AG69" s="24" t="str">
        <f t="shared" si="278"/>
        <v/>
      </c>
      <c r="AH69" s="24" t="str">
        <f t="shared" si="279"/>
        <v/>
      </c>
      <c r="AI69" s="24" t="str">
        <f t="shared" si="280"/>
        <v/>
      </c>
      <c r="AJ69" s="24" t="str">
        <f t="shared" si="281"/>
        <v/>
      </c>
      <c r="AK69" s="24" t="str">
        <f t="shared" si="282"/>
        <v/>
      </c>
      <c r="AL69" s="24" t="str">
        <f t="shared" si="283"/>
        <v/>
      </c>
      <c r="AM69" s="24" t="str">
        <f t="shared" si="284"/>
        <v/>
      </c>
      <c r="AN69" s="24" t="str">
        <f t="shared" si="285"/>
        <v/>
      </c>
      <c r="AO69" s="24" t="str">
        <f t="shared" si="286"/>
        <v/>
      </c>
      <c r="AP69" s="24" t="str">
        <f t="shared" si="287"/>
        <v/>
      </c>
      <c r="AQ69" s="24" t="str">
        <f t="shared" si="288"/>
        <v/>
      </c>
      <c r="AR69" s="24" t="str">
        <f t="shared" si="289"/>
        <v/>
      </c>
      <c r="AS69" s="24" t="str">
        <f t="shared" si="290"/>
        <v/>
      </c>
      <c r="AT69" s="24" t="str">
        <f t="shared" si="291"/>
        <v/>
      </c>
      <c r="AU69" s="24" t="str">
        <f t="shared" si="292"/>
        <v/>
      </c>
      <c r="AV69" s="24" t="str">
        <f t="shared" si="293"/>
        <v/>
      </c>
      <c r="AW69" s="24" t="str">
        <f t="shared" si="294"/>
        <v/>
      </c>
      <c r="AX69" s="24" t="str">
        <f t="shared" si="295"/>
        <v/>
      </c>
      <c r="AY69" s="24" t="str">
        <f t="shared" si="296"/>
        <v/>
      </c>
      <c r="AZ69" s="24" t="str">
        <f t="shared" si="297"/>
        <v/>
      </c>
      <c r="BA69" s="24" t="str">
        <f t="shared" si="298"/>
        <v/>
      </c>
      <c r="BB69" s="24" t="str">
        <f t="shared" si="299"/>
        <v/>
      </c>
      <c r="BC69" s="24" t="str">
        <f t="shared" si="300"/>
        <v/>
      </c>
      <c r="BD69" s="24" t="str">
        <f t="shared" si="301"/>
        <v/>
      </c>
      <c r="BE69" s="24" t="str">
        <f t="shared" si="302"/>
        <v/>
      </c>
      <c r="BF69" s="24" t="str">
        <f t="shared" si="303"/>
        <v/>
      </c>
      <c r="BG69" s="24" t="str">
        <f t="shared" si="304"/>
        <v/>
      </c>
      <c r="BH69" s="24" t="str">
        <f t="shared" si="305"/>
        <v/>
      </c>
      <c r="BI69" s="24" t="str">
        <f t="shared" si="306"/>
        <v/>
      </c>
      <c r="BJ69" s="24" t="str">
        <f t="shared" si="307"/>
        <v/>
      </c>
      <c r="BK69" s="24" t="str">
        <f t="shared" si="308"/>
        <v/>
      </c>
      <c r="BL69" s="26" t="str">
        <f t="shared" si="309"/>
        <v/>
      </c>
      <c r="BM69" s="26" t="str">
        <f t="shared" si="310"/>
        <v/>
      </c>
      <c r="BN69" s="26" t="str">
        <f t="shared" si="311"/>
        <v/>
      </c>
      <c r="BO69" s="26" t="str">
        <f t="shared" si="312"/>
        <v/>
      </c>
      <c r="BP69" s="26" t="str">
        <f t="shared" si="313"/>
        <v/>
      </c>
      <c r="BQ69" s="26" t="str">
        <f t="shared" si="314"/>
        <v/>
      </c>
      <c r="BR69" s="26" t="str">
        <f t="shared" si="315"/>
        <v/>
      </c>
      <c r="BS69" s="26" t="str">
        <f t="shared" si="316"/>
        <v/>
      </c>
      <c r="BT69" s="26" t="str">
        <f t="shared" si="317"/>
        <v/>
      </c>
      <c r="BU69" s="26" t="str">
        <f t="shared" si="318"/>
        <v/>
      </c>
      <c r="BV69" s="26" t="str">
        <f t="shared" si="319"/>
        <v/>
      </c>
      <c r="BW69" s="26" t="str">
        <f t="shared" si="320"/>
        <v/>
      </c>
      <c r="BX69" s="26" t="str">
        <f t="shared" si="321"/>
        <v/>
      </c>
      <c r="BY69" s="26" t="str">
        <f t="shared" si="322"/>
        <v/>
      </c>
      <c r="BZ69" s="26" t="str">
        <f t="shared" si="323"/>
        <v/>
      </c>
      <c r="CA69" s="26" t="str">
        <f t="shared" si="324"/>
        <v/>
      </c>
      <c r="CB69" s="24" t="str">
        <f t="shared" si="258"/>
        <v/>
      </c>
      <c r="CC69" s="24" t="str">
        <f t="shared" si="259"/>
        <v/>
      </c>
      <c r="CD69" s="24" t="str">
        <f t="shared" si="260"/>
        <v/>
      </c>
      <c r="CE69" s="24" t="str">
        <f t="shared" si="257"/>
        <v/>
      </c>
      <c r="CF69" s="24" t="str">
        <f t="shared" si="261"/>
        <v/>
      </c>
      <c r="CG69" s="24" t="str">
        <f>IF(OR(BA69="",AK69=""),"",BA69*(IF(OR(AK69="A",AK69="a"),4,(IF(OR(#REF!="B",AK69="b"),3,(IF(OR(AK69="C",AK69="c"),2,(IF(OR(AK69="D",AK69="d"),1.5,(IF(OR(AK69="E",AK69="e"),1,(IF(OR(AK69="F",AK69="f"),0)))))))))))))</f>
        <v/>
      </c>
      <c r="CH69" s="24" t="str">
        <f t="shared" si="262"/>
        <v/>
      </c>
      <c r="CI69" s="24" t="str">
        <f t="shared" si="325"/>
        <v/>
      </c>
      <c r="CJ69" s="24" t="str">
        <f t="shared" si="326"/>
        <v/>
      </c>
      <c r="CK69" s="26" t="str">
        <f t="shared" si="327"/>
        <v/>
      </c>
      <c r="CL69" s="24" t="str">
        <f t="shared" si="343"/>
        <v/>
      </c>
      <c r="CM69" s="24" t="str">
        <f t="shared" si="344"/>
        <v/>
      </c>
      <c r="CN69" s="24" t="str">
        <f t="shared" si="328"/>
        <v/>
      </c>
      <c r="CO69" s="24" t="str">
        <f t="shared" si="329"/>
        <v/>
      </c>
      <c r="CP69" s="26" t="str">
        <f t="shared" si="330"/>
        <v/>
      </c>
      <c r="CQ69" s="26" t="str">
        <f t="shared" si="331"/>
        <v/>
      </c>
      <c r="CR69" s="26" t="str">
        <f t="shared" si="264"/>
        <v/>
      </c>
      <c r="CS69" s="24" t="str">
        <f t="shared" si="265"/>
        <v/>
      </c>
      <c r="CT69" s="27" t="str">
        <f t="shared" si="332"/>
        <v/>
      </c>
      <c r="CU69" s="26" t="str">
        <f t="shared" si="333"/>
        <v/>
      </c>
      <c r="CV69" s="27" t="str">
        <f t="shared" si="334"/>
        <v/>
      </c>
      <c r="CW69" s="26" t="str">
        <f t="shared" si="335"/>
        <v/>
      </c>
      <c r="CX69" s="26" t="str">
        <f t="shared" si="345"/>
        <v/>
      </c>
      <c r="CY69" s="27" t="str">
        <f t="shared" si="346"/>
        <v/>
      </c>
      <c r="CZ69" s="26" t="str">
        <f t="shared" si="336"/>
        <v/>
      </c>
      <c r="DA69" s="24" t="str">
        <f t="shared" si="266"/>
        <v/>
      </c>
      <c r="DB69" s="24" t="str">
        <f t="shared" si="337"/>
        <v/>
      </c>
      <c r="DC69" s="24" t="str">
        <f t="shared" si="263"/>
        <v/>
      </c>
      <c r="DD69" s="24" t="str">
        <f t="shared" si="338"/>
        <v/>
      </c>
      <c r="DE69" s="1"/>
      <c r="DF69" s="1"/>
      <c r="DG69" s="1"/>
      <c r="DH69" s="24" t="str">
        <f t="shared" si="339"/>
        <v/>
      </c>
      <c r="DI69" s="25" t="str">
        <f t="shared" si="340"/>
        <v/>
      </c>
      <c r="DJ69" t="str">
        <f t="shared" si="341"/>
        <v/>
      </c>
      <c r="DK69" s="9"/>
      <c r="DL69" s="9"/>
      <c r="DM69" s="9"/>
      <c r="DN69" s="9"/>
      <c r="DO69" s="9"/>
      <c r="DP69" s="9"/>
      <c r="DQ69" s="136" t="b">
        <f t="shared" si="342"/>
        <v>1</v>
      </c>
    </row>
    <row r="70" spans="1:121" ht="27" customHeight="1" x14ac:dyDescent="0.95">
      <c r="A70" s="24" t="str">
        <f t="shared" si="267"/>
        <v/>
      </c>
      <c r="B70" s="9"/>
      <c r="C70" s="14"/>
      <c r="D70" s="9"/>
      <c r="E70" s="9"/>
      <c r="F70" s="1"/>
      <c r="G70" s="1"/>
      <c r="H70" s="1"/>
      <c r="I70" s="1"/>
      <c r="J70" s="1"/>
      <c r="K70" s="1"/>
      <c r="L70" s="1"/>
      <c r="M70" s="1"/>
      <c r="N70" s="1"/>
      <c r="O70" s="1"/>
      <c r="P70" s="10"/>
      <c r="Q70" s="10"/>
      <c r="R70" s="10"/>
      <c r="S70" s="10"/>
      <c r="T70" s="10"/>
      <c r="U70" s="10"/>
      <c r="V70" s="10"/>
      <c r="W70" s="3" t="str">
        <f t="shared" si="268"/>
        <v/>
      </c>
      <c r="X70" s="3" t="str">
        <f t="shared" si="269"/>
        <v/>
      </c>
      <c r="Y70" s="3" t="str">
        <f t="shared" si="270"/>
        <v/>
      </c>
      <c r="Z70" s="3" t="str">
        <f t="shared" si="271"/>
        <v/>
      </c>
      <c r="AA70" s="3" t="str">
        <f t="shared" si="272"/>
        <v/>
      </c>
      <c r="AB70" s="3" t="str">
        <f t="shared" si="273"/>
        <v/>
      </c>
      <c r="AC70" s="3" t="str">
        <f t="shared" si="274"/>
        <v/>
      </c>
      <c r="AD70" s="3" t="str">
        <f t="shared" si="275"/>
        <v/>
      </c>
      <c r="AE70" s="3" t="str">
        <f t="shared" si="276"/>
        <v/>
      </c>
      <c r="AF70" s="24" t="str">
        <f t="shared" si="277"/>
        <v/>
      </c>
      <c r="AG70" s="24" t="str">
        <f t="shared" si="278"/>
        <v/>
      </c>
      <c r="AH70" s="24" t="str">
        <f t="shared" si="279"/>
        <v/>
      </c>
      <c r="AI70" s="24" t="str">
        <f t="shared" si="280"/>
        <v/>
      </c>
      <c r="AJ70" s="24" t="str">
        <f t="shared" si="281"/>
        <v/>
      </c>
      <c r="AK70" s="24" t="str">
        <f t="shared" si="282"/>
        <v/>
      </c>
      <c r="AL70" s="24" t="str">
        <f t="shared" si="283"/>
        <v/>
      </c>
      <c r="AM70" s="24" t="str">
        <f t="shared" si="284"/>
        <v/>
      </c>
      <c r="AN70" s="24" t="str">
        <f t="shared" si="285"/>
        <v/>
      </c>
      <c r="AO70" s="24" t="str">
        <f t="shared" si="286"/>
        <v/>
      </c>
      <c r="AP70" s="24" t="str">
        <f t="shared" si="287"/>
        <v/>
      </c>
      <c r="AQ70" s="24" t="str">
        <f t="shared" si="288"/>
        <v/>
      </c>
      <c r="AR70" s="24" t="str">
        <f t="shared" si="289"/>
        <v/>
      </c>
      <c r="AS70" s="24" t="str">
        <f t="shared" si="290"/>
        <v/>
      </c>
      <c r="AT70" s="24" t="str">
        <f t="shared" si="291"/>
        <v/>
      </c>
      <c r="AU70" s="24" t="str">
        <f t="shared" si="292"/>
        <v/>
      </c>
      <c r="AV70" s="24" t="str">
        <f t="shared" si="293"/>
        <v/>
      </c>
      <c r="AW70" s="24" t="str">
        <f t="shared" si="294"/>
        <v/>
      </c>
      <c r="AX70" s="24" t="str">
        <f t="shared" si="295"/>
        <v/>
      </c>
      <c r="AY70" s="24" t="str">
        <f t="shared" si="296"/>
        <v/>
      </c>
      <c r="AZ70" s="24" t="str">
        <f t="shared" si="297"/>
        <v/>
      </c>
      <c r="BA70" s="24" t="str">
        <f t="shared" si="298"/>
        <v/>
      </c>
      <c r="BB70" s="24" t="str">
        <f t="shared" si="299"/>
        <v/>
      </c>
      <c r="BC70" s="24" t="str">
        <f t="shared" si="300"/>
        <v/>
      </c>
      <c r="BD70" s="24" t="str">
        <f t="shared" si="301"/>
        <v/>
      </c>
      <c r="BE70" s="24" t="str">
        <f t="shared" si="302"/>
        <v/>
      </c>
      <c r="BF70" s="24" t="str">
        <f t="shared" si="303"/>
        <v/>
      </c>
      <c r="BG70" s="24" t="str">
        <f t="shared" si="304"/>
        <v/>
      </c>
      <c r="BH70" s="24" t="str">
        <f t="shared" si="305"/>
        <v/>
      </c>
      <c r="BI70" s="24" t="str">
        <f t="shared" si="306"/>
        <v/>
      </c>
      <c r="BJ70" s="24" t="str">
        <f t="shared" si="307"/>
        <v/>
      </c>
      <c r="BK70" s="24" t="str">
        <f t="shared" si="308"/>
        <v/>
      </c>
      <c r="BL70" s="26" t="str">
        <f t="shared" si="309"/>
        <v/>
      </c>
      <c r="BM70" s="26" t="str">
        <f t="shared" si="310"/>
        <v/>
      </c>
      <c r="BN70" s="26" t="str">
        <f t="shared" si="311"/>
        <v/>
      </c>
      <c r="BO70" s="26" t="str">
        <f t="shared" si="312"/>
        <v/>
      </c>
      <c r="BP70" s="26" t="str">
        <f t="shared" si="313"/>
        <v/>
      </c>
      <c r="BQ70" s="26" t="str">
        <f t="shared" si="314"/>
        <v/>
      </c>
      <c r="BR70" s="26" t="str">
        <f t="shared" si="315"/>
        <v/>
      </c>
      <c r="BS70" s="26" t="str">
        <f t="shared" si="316"/>
        <v/>
      </c>
      <c r="BT70" s="26" t="str">
        <f t="shared" si="317"/>
        <v/>
      </c>
      <c r="BU70" s="26" t="str">
        <f t="shared" si="318"/>
        <v/>
      </c>
      <c r="BV70" s="26" t="str">
        <f t="shared" si="319"/>
        <v/>
      </c>
      <c r="BW70" s="26" t="str">
        <f t="shared" si="320"/>
        <v/>
      </c>
      <c r="BX70" s="26" t="str">
        <f t="shared" si="321"/>
        <v/>
      </c>
      <c r="BY70" s="26" t="str">
        <f t="shared" si="322"/>
        <v/>
      </c>
      <c r="BZ70" s="26" t="str">
        <f t="shared" si="323"/>
        <v/>
      </c>
      <c r="CA70" s="26" t="str">
        <f t="shared" si="324"/>
        <v/>
      </c>
      <c r="CB70" s="24" t="str">
        <f t="shared" si="258"/>
        <v/>
      </c>
      <c r="CC70" s="24" t="str">
        <f t="shared" si="259"/>
        <v/>
      </c>
      <c r="CD70" s="24" t="str">
        <f t="shared" si="260"/>
        <v/>
      </c>
      <c r="CE70" s="24" t="str">
        <f t="shared" si="257"/>
        <v/>
      </c>
      <c r="CF70" s="24" t="str">
        <f t="shared" si="261"/>
        <v/>
      </c>
      <c r="CG70" s="24" t="str">
        <f>IF(OR(BA70="",AK70=""),"",BA70*(IF(OR(AK70="A",AK70="a"),4,(IF(OR(#REF!="B",AK70="b"),3,(IF(OR(AK70="C",AK70="c"),2,(IF(OR(AK70="D",AK70="d"),1.5,(IF(OR(AK70="E",AK70="e"),1,(IF(OR(AK70="F",AK70="f"),0)))))))))))))</f>
        <v/>
      </c>
      <c r="CH70" s="24" t="str">
        <f t="shared" si="262"/>
        <v/>
      </c>
      <c r="CI70" s="24" t="str">
        <f t="shared" si="325"/>
        <v/>
      </c>
      <c r="CJ70" s="24" t="str">
        <f t="shared" si="326"/>
        <v/>
      </c>
      <c r="CK70" s="26" t="str">
        <f t="shared" si="327"/>
        <v/>
      </c>
      <c r="CL70" s="24" t="str">
        <f t="shared" si="343"/>
        <v/>
      </c>
      <c r="CM70" s="24" t="str">
        <f t="shared" si="344"/>
        <v/>
      </c>
      <c r="CN70" s="24" t="str">
        <f t="shared" si="328"/>
        <v/>
      </c>
      <c r="CO70" s="24" t="str">
        <f t="shared" si="329"/>
        <v/>
      </c>
      <c r="CP70" s="26" t="str">
        <f t="shared" si="330"/>
        <v/>
      </c>
      <c r="CQ70" s="26" t="str">
        <f t="shared" si="331"/>
        <v/>
      </c>
      <c r="CR70" s="26" t="str">
        <f t="shared" si="264"/>
        <v/>
      </c>
      <c r="CS70" s="24" t="str">
        <f t="shared" si="265"/>
        <v/>
      </c>
      <c r="CT70" s="27" t="str">
        <f t="shared" si="332"/>
        <v/>
      </c>
      <c r="CU70" s="26" t="str">
        <f t="shared" si="333"/>
        <v/>
      </c>
      <c r="CV70" s="27" t="str">
        <f t="shared" si="334"/>
        <v/>
      </c>
      <c r="CW70" s="26" t="str">
        <f t="shared" si="335"/>
        <v/>
      </c>
      <c r="CX70" s="26" t="str">
        <f t="shared" si="345"/>
        <v/>
      </c>
      <c r="CY70" s="27" t="str">
        <f t="shared" si="346"/>
        <v/>
      </c>
      <c r="CZ70" s="26" t="str">
        <f t="shared" si="336"/>
        <v/>
      </c>
      <c r="DA70" s="24" t="str">
        <f t="shared" si="266"/>
        <v/>
      </c>
      <c r="DB70" s="24" t="str">
        <f t="shared" si="337"/>
        <v/>
      </c>
      <c r="DC70" s="24" t="str">
        <f t="shared" si="263"/>
        <v/>
      </c>
      <c r="DD70" s="24" t="str">
        <f t="shared" si="338"/>
        <v/>
      </c>
      <c r="DE70" s="1"/>
      <c r="DF70" s="1"/>
      <c r="DG70" s="1"/>
      <c r="DH70" s="24" t="str">
        <f t="shared" si="339"/>
        <v/>
      </c>
      <c r="DI70" s="25" t="str">
        <f t="shared" si="340"/>
        <v/>
      </c>
      <c r="DJ70" t="str">
        <f t="shared" si="341"/>
        <v/>
      </c>
      <c r="DK70" s="9"/>
      <c r="DL70" s="9"/>
      <c r="DM70" s="9"/>
      <c r="DN70" s="9"/>
      <c r="DO70" s="9"/>
      <c r="DP70" s="9"/>
      <c r="DQ70" s="136" t="b">
        <f t="shared" si="342"/>
        <v>1</v>
      </c>
    </row>
    <row r="71" spans="1:121" ht="27" customHeight="1" x14ac:dyDescent="0.95">
      <c r="A71" s="24" t="str">
        <f t="shared" si="267"/>
        <v/>
      </c>
      <c r="B71" s="9"/>
      <c r="C71" s="14"/>
      <c r="D71" s="9"/>
      <c r="E71" s="9"/>
      <c r="F71" s="1"/>
      <c r="G71" s="1"/>
      <c r="H71" s="1"/>
      <c r="I71" s="1"/>
      <c r="J71" s="1"/>
      <c r="K71" s="1"/>
      <c r="L71" s="1"/>
      <c r="M71" s="1"/>
      <c r="N71" s="1"/>
      <c r="O71" s="1"/>
      <c r="P71" s="10"/>
      <c r="Q71" s="10"/>
      <c r="R71" s="10"/>
      <c r="S71" s="10"/>
      <c r="T71" s="10"/>
      <c r="U71" s="10"/>
      <c r="V71" s="10"/>
      <c r="W71" s="3" t="str">
        <f t="shared" si="268"/>
        <v/>
      </c>
      <c r="X71" s="3" t="str">
        <f t="shared" si="269"/>
        <v/>
      </c>
      <c r="Y71" s="3" t="str">
        <f t="shared" si="270"/>
        <v/>
      </c>
      <c r="Z71" s="3" t="str">
        <f t="shared" si="271"/>
        <v/>
      </c>
      <c r="AA71" s="3" t="str">
        <f t="shared" si="272"/>
        <v/>
      </c>
      <c r="AB71" s="3" t="str">
        <f t="shared" si="273"/>
        <v/>
      </c>
      <c r="AC71" s="3" t="str">
        <f t="shared" si="274"/>
        <v/>
      </c>
      <c r="AD71" s="3" t="str">
        <f t="shared" si="275"/>
        <v/>
      </c>
      <c r="AE71" s="3" t="str">
        <f t="shared" si="276"/>
        <v/>
      </c>
      <c r="AF71" s="24" t="str">
        <f t="shared" si="277"/>
        <v/>
      </c>
      <c r="AG71" s="24" t="str">
        <f t="shared" si="278"/>
        <v/>
      </c>
      <c r="AH71" s="24" t="str">
        <f t="shared" si="279"/>
        <v/>
      </c>
      <c r="AI71" s="24" t="str">
        <f t="shared" si="280"/>
        <v/>
      </c>
      <c r="AJ71" s="24" t="str">
        <f t="shared" si="281"/>
        <v/>
      </c>
      <c r="AK71" s="24" t="str">
        <f t="shared" si="282"/>
        <v/>
      </c>
      <c r="AL71" s="24" t="str">
        <f t="shared" si="283"/>
        <v/>
      </c>
      <c r="AM71" s="24" t="str">
        <f t="shared" si="284"/>
        <v/>
      </c>
      <c r="AN71" s="24" t="str">
        <f t="shared" si="285"/>
        <v/>
      </c>
      <c r="AO71" s="24" t="str">
        <f t="shared" si="286"/>
        <v/>
      </c>
      <c r="AP71" s="24" t="str">
        <f t="shared" si="287"/>
        <v/>
      </c>
      <c r="AQ71" s="24" t="str">
        <f t="shared" si="288"/>
        <v/>
      </c>
      <c r="AR71" s="24" t="str">
        <f t="shared" si="289"/>
        <v/>
      </c>
      <c r="AS71" s="24" t="str">
        <f t="shared" si="290"/>
        <v/>
      </c>
      <c r="AT71" s="24" t="str">
        <f t="shared" si="291"/>
        <v/>
      </c>
      <c r="AU71" s="24" t="str">
        <f t="shared" si="292"/>
        <v/>
      </c>
      <c r="AV71" s="24" t="str">
        <f t="shared" si="293"/>
        <v/>
      </c>
      <c r="AW71" s="24" t="str">
        <f t="shared" si="294"/>
        <v/>
      </c>
      <c r="AX71" s="24" t="str">
        <f t="shared" si="295"/>
        <v/>
      </c>
      <c r="AY71" s="24" t="str">
        <f t="shared" si="296"/>
        <v/>
      </c>
      <c r="AZ71" s="24" t="str">
        <f t="shared" si="297"/>
        <v/>
      </c>
      <c r="BA71" s="24" t="str">
        <f t="shared" si="298"/>
        <v/>
      </c>
      <c r="BB71" s="24" t="str">
        <f t="shared" si="299"/>
        <v/>
      </c>
      <c r="BC71" s="24" t="str">
        <f t="shared" si="300"/>
        <v/>
      </c>
      <c r="BD71" s="24" t="str">
        <f t="shared" si="301"/>
        <v/>
      </c>
      <c r="BE71" s="24" t="str">
        <f t="shared" si="302"/>
        <v/>
      </c>
      <c r="BF71" s="24" t="str">
        <f t="shared" si="303"/>
        <v/>
      </c>
      <c r="BG71" s="24" t="str">
        <f t="shared" si="304"/>
        <v/>
      </c>
      <c r="BH71" s="24" t="str">
        <f t="shared" si="305"/>
        <v/>
      </c>
      <c r="BI71" s="24" t="str">
        <f t="shared" si="306"/>
        <v/>
      </c>
      <c r="BJ71" s="24" t="str">
        <f t="shared" si="307"/>
        <v/>
      </c>
      <c r="BK71" s="24" t="str">
        <f t="shared" si="308"/>
        <v/>
      </c>
      <c r="BL71" s="26" t="str">
        <f t="shared" si="309"/>
        <v/>
      </c>
      <c r="BM71" s="26" t="str">
        <f t="shared" si="310"/>
        <v/>
      </c>
      <c r="BN71" s="26" t="str">
        <f t="shared" si="311"/>
        <v/>
      </c>
      <c r="BO71" s="26" t="str">
        <f t="shared" si="312"/>
        <v/>
      </c>
      <c r="BP71" s="26" t="str">
        <f t="shared" si="313"/>
        <v/>
      </c>
      <c r="BQ71" s="26" t="str">
        <f t="shared" si="314"/>
        <v/>
      </c>
      <c r="BR71" s="26" t="str">
        <f t="shared" si="315"/>
        <v/>
      </c>
      <c r="BS71" s="26" t="str">
        <f t="shared" si="316"/>
        <v/>
      </c>
      <c r="BT71" s="26" t="str">
        <f t="shared" si="317"/>
        <v/>
      </c>
      <c r="BU71" s="26" t="str">
        <f t="shared" si="318"/>
        <v/>
      </c>
      <c r="BV71" s="26" t="str">
        <f t="shared" si="319"/>
        <v/>
      </c>
      <c r="BW71" s="26" t="str">
        <f t="shared" si="320"/>
        <v/>
      </c>
      <c r="BX71" s="26" t="str">
        <f t="shared" si="321"/>
        <v/>
      </c>
      <c r="BY71" s="26" t="str">
        <f t="shared" si="322"/>
        <v/>
      </c>
      <c r="BZ71" s="26" t="str">
        <f t="shared" si="323"/>
        <v/>
      </c>
      <c r="CA71" s="26" t="str">
        <f t="shared" si="324"/>
        <v/>
      </c>
      <c r="CB71" s="24" t="str">
        <f t="shared" si="258"/>
        <v/>
      </c>
      <c r="CC71" s="24" t="str">
        <f t="shared" si="259"/>
        <v/>
      </c>
      <c r="CD71" s="24" t="str">
        <f t="shared" si="260"/>
        <v/>
      </c>
      <c r="CE71" s="24" t="str">
        <f t="shared" si="257"/>
        <v/>
      </c>
      <c r="CF71" s="24" t="str">
        <f t="shared" si="261"/>
        <v/>
      </c>
      <c r="CG71" s="24" t="str">
        <f>IF(OR(BA71="",AK71=""),"",BA71*(IF(OR(AK71="A",AK71="a"),4,(IF(OR(#REF!="B",AK71="b"),3,(IF(OR(AK71="C",AK71="c"),2,(IF(OR(AK71="D",AK71="d"),1.5,(IF(OR(AK71="E",AK71="e"),1,(IF(OR(AK71="F",AK71="f"),0)))))))))))))</f>
        <v/>
      </c>
      <c r="CH71" s="24" t="str">
        <f t="shared" si="262"/>
        <v/>
      </c>
      <c r="CI71" s="24" t="str">
        <f t="shared" si="325"/>
        <v/>
      </c>
      <c r="CJ71" s="24" t="str">
        <f t="shared" si="326"/>
        <v/>
      </c>
      <c r="CK71" s="26" t="str">
        <f t="shared" si="327"/>
        <v/>
      </c>
      <c r="CL71" s="24" t="str">
        <f t="shared" si="343"/>
        <v/>
      </c>
      <c r="CM71" s="24" t="str">
        <f t="shared" si="344"/>
        <v/>
      </c>
      <c r="CN71" s="24" t="str">
        <f t="shared" si="328"/>
        <v/>
      </c>
      <c r="CO71" s="24" t="str">
        <f t="shared" si="329"/>
        <v/>
      </c>
      <c r="CP71" s="26" t="str">
        <f t="shared" si="330"/>
        <v/>
      </c>
      <c r="CQ71" s="26" t="str">
        <f t="shared" si="331"/>
        <v/>
      </c>
      <c r="CR71" s="26" t="str">
        <f t="shared" si="264"/>
        <v/>
      </c>
      <c r="CS71" s="24" t="str">
        <f t="shared" si="265"/>
        <v/>
      </c>
      <c r="CT71" s="27" t="str">
        <f t="shared" si="332"/>
        <v/>
      </c>
      <c r="CU71" s="26" t="str">
        <f t="shared" si="333"/>
        <v/>
      </c>
      <c r="CV71" s="27" t="str">
        <f t="shared" si="334"/>
        <v/>
      </c>
      <c r="CW71" s="26" t="str">
        <f t="shared" si="335"/>
        <v/>
      </c>
      <c r="CX71" s="26" t="str">
        <f t="shared" si="345"/>
        <v/>
      </c>
      <c r="CY71" s="27" t="str">
        <f t="shared" si="346"/>
        <v/>
      </c>
      <c r="CZ71" s="26" t="str">
        <f t="shared" si="336"/>
        <v/>
      </c>
      <c r="DA71" s="24" t="str">
        <f t="shared" si="266"/>
        <v/>
      </c>
      <c r="DB71" s="24" t="str">
        <f t="shared" si="337"/>
        <v/>
      </c>
      <c r="DC71" s="24" t="str">
        <f t="shared" si="263"/>
        <v/>
      </c>
      <c r="DD71" s="24" t="str">
        <f t="shared" si="338"/>
        <v/>
      </c>
      <c r="DE71" s="1"/>
      <c r="DF71" s="1"/>
      <c r="DG71" s="1"/>
      <c r="DH71" s="24" t="str">
        <f t="shared" si="339"/>
        <v/>
      </c>
      <c r="DI71" s="25" t="str">
        <f t="shared" si="340"/>
        <v/>
      </c>
      <c r="DJ71" t="str">
        <f t="shared" si="341"/>
        <v/>
      </c>
      <c r="DK71" s="9"/>
      <c r="DL71" s="9"/>
      <c r="DM71" s="9"/>
      <c r="DN71" s="9"/>
      <c r="DO71" s="9"/>
      <c r="DP71" s="9"/>
      <c r="DQ71" s="136" t="b">
        <f t="shared" si="342"/>
        <v>1</v>
      </c>
    </row>
    <row r="72" spans="1:121" ht="27" customHeight="1" x14ac:dyDescent="0.95">
      <c r="A72" s="24" t="str">
        <f t="shared" si="267"/>
        <v/>
      </c>
      <c r="B72" s="9"/>
      <c r="C72" s="14"/>
      <c r="D72" s="9"/>
      <c r="E72" s="9"/>
      <c r="F72" s="1"/>
      <c r="G72" s="1"/>
      <c r="H72" s="1"/>
      <c r="I72" s="1"/>
      <c r="J72" s="1"/>
      <c r="K72" s="1"/>
      <c r="L72" s="1"/>
      <c r="M72" s="1"/>
      <c r="N72" s="1"/>
      <c r="O72" s="1"/>
      <c r="P72" s="10"/>
      <c r="Q72" s="10"/>
      <c r="R72" s="10"/>
      <c r="S72" s="10"/>
      <c r="T72" s="10"/>
      <c r="U72" s="10"/>
      <c r="V72" s="10"/>
      <c r="W72" s="3" t="str">
        <f t="shared" si="268"/>
        <v/>
      </c>
      <c r="X72" s="3" t="str">
        <f t="shared" si="269"/>
        <v/>
      </c>
      <c r="Y72" s="3" t="str">
        <f t="shared" si="270"/>
        <v/>
      </c>
      <c r="Z72" s="3" t="str">
        <f t="shared" si="271"/>
        <v/>
      </c>
      <c r="AA72" s="3" t="str">
        <f t="shared" si="272"/>
        <v/>
      </c>
      <c r="AB72" s="3" t="str">
        <f t="shared" si="273"/>
        <v/>
      </c>
      <c r="AC72" s="3" t="str">
        <f t="shared" si="274"/>
        <v/>
      </c>
      <c r="AD72" s="3" t="str">
        <f t="shared" si="275"/>
        <v/>
      </c>
      <c r="AE72" s="3" t="str">
        <f t="shared" si="276"/>
        <v/>
      </c>
      <c r="AF72" s="24" t="str">
        <f t="shared" si="277"/>
        <v/>
      </c>
      <c r="AG72" s="24" t="str">
        <f t="shared" si="278"/>
        <v/>
      </c>
      <c r="AH72" s="24" t="str">
        <f t="shared" si="279"/>
        <v/>
      </c>
      <c r="AI72" s="24" t="str">
        <f t="shared" si="280"/>
        <v/>
      </c>
      <c r="AJ72" s="24" t="str">
        <f t="shared" si="281"/>
        <v/>
      </c>
      <c r="AK72" s="24" t="str">
        <f t="shared" si="282"/>
        <v/>
      </c>
      <c r="AL72" s="24" t="str">
        <f t="shared" si="283"/>
        <v/>
      </c>
      <c r="AM72" s="24" t="str">
        <f t="shared" si="284"/>
        <v/>
      </c>
      <c r="AN72" s="24" t="str">
        <f t="shared" si="285"/>
        <v/>
      </c>
      <c r="AO72" s="24" t="str">
        <f t="shared" si="286"/>
        <v/>
      </c>
      <c r="AP72" s="24" t="str">
        <f t="shared" si="287"/>
        <v/>
      </c>
      <c r="AQ72" s="24" t="str">
        <f t="shared" si="288"/>
        <v/>
      </c>
      <c r="AR72" s="24" t="str">
        <f t="shared" si="289"/>
        <v/>
      </c>
      <c r="AS72" s="24" t="str">
        <f t="shared" si="290"/>
        <v/>
      </c>
      <c r="AT72" s="24" t="str">
        <f t="shared" si="291"/>
        <v/>
      </c>
      <c r="AU72" s="24" t="str">
        <f t="shared" si="292"/>
        <v/>
      </c>
      <c r="AV72" s="24" t="str">
        <f t="shared" si="293"/>
        <v/>
      </c>
      <c r="AW72" s="24" t="str">
        <f t="shared" si="294"/>
        <v/>
      </c>
      <c r="AX72" s="24" t="str">
        <f t="shared" si="295"/>
        <v/>
      </c>
      <c r="AY72" s="24" t="str">
        <f t="shared" si="296"/>
        <v/>
      </c>
      <c r="AZ72" s="24" t="str">
        <f t="shared" si="297"/>
        <v/>
      </c>
      <c r="BA72" s="24" t="str">
        <f t="shared" si="298"/>
        <v/>
      </c>
      <c r="BB72" s="24" t="str">
        <f t="shared" si="299"/>
        <v/>
      </c>
      <c r="BC72" s="24" t="str">
        <f t="shared" si="300"/>
        <v/>
      </c>
      <c r="BD72" s="24" t="str">
        <f t="shared" si="301"/>
        <v/>
      </c>
      <c r="BE72" s="24" t="str">
        <f t="shared" si="302"/>
        <v/>
      </c>
      <c r="BF72" s="24" t="str">
        <f t="shared" si="303"/>
        <v/>
      </c>
      <c r="BG72" s="24" t="str">
        <f t="shared" si="304"/>
        <v/>
      </c>
      <c r="BH72" s="24" t="str">
        <f t="shared" si="305"/>
        <v/>
      </c>
      <c r="BI72" s="24" t="str">
        <f t="shared" si="306"/>
        <v/>
      </c>
      <c r="BJ72" s="24" t="str">
        <f t="shared" si="307"/>
        <v/>
      </c>
      <c r="BK72" s="24" t="str">
        <f t="shared" si="308"/>
        <v/>
      </c>
      <c r="BL72" s="26" t="str">
        <f t="shared" si="309"/>
        <v/>
      </c>
      <c r="BM72" s="26" t="str">
        <f t="shared" si="310"/>
        <v/>
      </c>
      <c r="BN72" s="26" t="str">
        <f t="shared" si="311"/>
        <v/>
      </c>
      <c r="BO72" s="26" t="str">
        <f t="shared" si="312"/>
        <v/>
      </c>
      <c r="BP72" s="26" t="str">
        <f t="shared" si="313"/>
        <v/>
      </c>
      <c r="BQ72" s="26" t="str">
        <f t="shared" si="314"/>
        <v/>
      </c>
      <c r="BR72" s="26" t="str">
        <f t="shared" si="315"/>
        <v/>
      </c>
      <c r="BS72" s="26" t="str">
        <f t="shared" si="316"/>
        <v/>
      </c>
      <c r="BT72" s="26" t="str">
        <f t="shared" si="317"/>
        <v/>
      </c>
      <c r="BU72" s="26" t="str">
        <f t="shared" si="318"/>
        <v/>
      </c>
      <c r="BV72" s="26" t="str">
        <f t="shared" si="319"/>
        <v/>
      </c>
      <c r="BW72" s="26" t="str">
        <f t="shared" si="320"/>
        <v/>
      </c>
      <c r="BX72" s="26" t="str">
        <f t="shared" si="321"/>
        <v/>
      </c>
      <c r="BY72" s="26" t="str">
        <f t="shared" si="322"/>
        <v/>
      </c>
      <c r="BZ72" s="26" t="str">
        <f t="shared" si="323"/>
        <v/>
      </c>
      <c r="CA72" s="26" t="str">
        <f t="shared" si="324"/>
        <v/>
      </c>
      <c r="CB72" s="24" t="str">
        <f t="shared" si="258"/>
        <v/>
      </c>
      <c r="CC72" s="24" t="str">
        <f t="shared" si="259"/>
        <v/>
      </c>
      <c r="CD72" s="24" t="str">
        <f t="shared" si="260"/>
        <v/>
      </c>
      <c r="CE72" s="24" t="str">
        <f t="shared" si="257"/>
        <v/>
      </c>
      <c r="CF72" s="24" t="str">
        <f t="shared" si="261"/>
        <v/>
      </c>
      <c r="CG72" s="24" t="str">
        <f>IF(OR(BA72="",AK72=""),"",BA72*(IF(OR(AK72="A",AK72="a"),4,(IF(OR(#REF!="B",AK72="b"),3,(IF(OR(AK72="C",AK72="c"),2,(IF(OR(AK72="D",AK72="d"),1.5,(IF(OR(AK72="E",AK72="e"),1,(IF(OR(AK72="F",AK72="f"),0)))))))))))))</f>
        <v/>
      </c>
      <c r="CH72" s="24" t="str">
        <f t="shared" si="262"/>
        <v/>
      </c>
      <c r="CI72" s="24" t="str">
        <f t="shared" si="325"/>
        <v/>
      </c>
      <c r="CJ72" s="24" t="str">
        <f t="shared" si="326"/>
        <v/>
      </c>
      <c r="CK72" s="26" t="str">
        <f t="shared" si="327"/>
        <v/>
      </c>
      <c r="CL72" s="24" t="str">
        <f t="shared" si="343"/>
        <v/>
      </c>
      <c r="CM72" s="24" t="str">
        <f t="shared" si="344"/>
        <v/>
      </c>
      <c r="CN72" s="24" t="str">
        <f t="shared" si="328"/>
        <v/>
      </c>
      <c r="CO72" s="24" t="str">
        <f t="shared" si="329"/>
        <v/>
      </c>
      <c r="CP72" s="26" t="str">
        <f t="shared" si="330"/>
        <v/>
      </c>
      <c r="CQ72" s="26" t="str">
        <f t="shared" si="331"/>
        <v/>
      </c>
      <c r="CR72" s="26" t="str">
        <f t="shared" si="264"/>
        <v/>
      </c>
      <c r="CS72" s="24" t="str">
        <f t="shared" si="265"/>
        <v/>
      </c>
      <c r="CT72" s="27" t="str">
        <f t="shared" si="332"/>
        <v/>
      </c>
      <c r="CU72" s="26" t="str">
        <f t="shared" si="333"/>
        <v/>
      </c>
      <c r="CV72" s="27" t="str">
        <f t="shared" si="334"/>
        <v/>
      </c>
      <c r="CW72" s="26" t="str">
        <f t="shared" si="335"/>
        <v/>
      </c>
      <c r="CX72" s="26" t="str">
        <f t="shared" si="345"/>
        <v/>
      </c>
      <c r="CY72" s="27" t="str">
        <f t="shared" si="346"/>
        <v/>
      </c>
      <c r="CZ72" s="26" t="str">
        <f t="shared" si="336"/>
        <v/>
      </c>
      <c r="DA72" s="24" t="str">
        <f t="shared" si="266"/>
        <v/>
      </c>
      <c r="DB72" s="24" t="str">
        <f t="shared" si="337"/>
        <v/>
      </c>
      <c r="DC72" s="24" t="str">
        <f t="shared" si="263"/>
        <v/>
      </c>
      <c r="DD72" s="24" t="str">
        <f t="shared" si="338"/>
        <v/>
      </c>
      <c r="DE72" s="1"/>
      <c r="DF72" s="1"/>
      <c r="DG72" s="1"/>
      <c r="DH72" s="24" t="str">
        <f t="shared" si="339"/>
        <v/>
      </c>
      <c r="DI72" s="25" t="str">
        <f t="shared" si="340"/>
        <v/>
      </c>
      <c r="DJ72" t="str">
        <f t="shared" si="341"/>
        <v/>
      </c>
      <c r="DK72" s="9"/>
      <c r="DL72" s="9"/>
      <c r="DM72" s="9"/>
      <c r="DN72" s="9"/>
      <c r="DO72" s="9"/>
      <c r="DP72" s="9"/>
      <c r="DQ72" s="136" t="b">
        <f t="shared" si="342"/>
        <v>1</v>
      </c>
    </row>
    <row r="73" spans="1:121" ht="27" customHeight="1" x14ac:dyDescent="0.95">
      <c r="A73" s="24" t="str">
        <f t="shared" si="267"/>
        <v/>
      </c>
      <c r="B73" s="9"/>
      <c r="C73" s="14"/>
      <c r="D73" s="9"/>
      <c r="E73" s="9"/>
      <c r="F73" s="1"/>
      <c r="G73" s="1"/>
      <c r="H73" s="1"/>
      <c r="I73" s="1"/>
      <c r="J73" s="1"/>
      <c r="K73" s="1"/>
      <c r="L73" s="1"/>
      <c r="M73" s="1"/>
      <c r="N73" s="1"/>
      <c r="O73" s="1"/>
      <c r="P73" s="10"/>
      <c r="Q73" s="10"/>
      <c r="R73" s="10"/>
      <c r="S73" s="10"/>
      <c r="T73" s="10"/>
      <c r="U73" s="10"/>
      <c r="V73" s="10"/>
      <c r="W73" s="3" t="str">
        <f t="shared" si="268"/>
        <v/>
      </c>
      <c r="X73" s="3" t="str">
        <f t="shared" si="269"/>
        <v/>
      </c>
      <c r="Y73" s="3" t="str">
        <f t="shared" si="270"/>
        <v/>
      </c>
      <c r="Z73" s="3" t="str">
        <f t="shared" si="271"/>
        <v/>
      </c>
      <c r="AA73" s="3" t="str">
        <f t="shared" si="272"/>
        <v/>
      </c>
      <c r="AB73" s="3" t="str">
        <f t="shared" si="273"/>
        <v/>
      </c>
      <c r="AC73" s="3" t="str">
        <f t="shared" si="274"/>
        <v/>
      </c>
      <c r="AD73" s="3" t="str">
        <f t="shared" si="275"/>
        <v/>
      </c>
      <c r="AE73" s="3" t="str">
        <f t="shared" si="276"/>
        <v/>
      </c>
      <c r="AF73" s="24" t="str">
        <f t="shared" si="277"/>
        <v/>
      </c>
      <c r="AG73" s="24" t="str">
        <f t="shared" si="278"/>
        <v/>
      </c>
      <c r="AH73" s="24" t="str">
        <f t="shared" si="279"/>
        <v/>
      </c>
      <c r="AI73" s="24" t="str">
        <f t="shared" si="280"/>
        <v/>
      </c>
      <c r="AJ73" s="24" t="str">
        <f t="shared" si="281"/>
        <v/>
      </c>
      <c r="AK73" s="24" t="str">
        <f t="shared" si="282"/>
        <v/>
      </c>
      <c r="AL73" s="24" t="str">
        <f t="shared" si="283"/>
        <v/>
      </c>
      <c r="AM73" s="24" t="str">
        <f t="shared" si="284"/>
        <v/>
      </c>
      <c r="AN73" s="24" t="str">
        <f t="shared" si="285"/>
        <v/>
      </c>
      <c r="AO73" s="24" t="str">
        <f t="shared" si="286"/>
        <v/>
      </c>
      <c r="AP73" s="24" t="str">
        <f t="shared" si="287"/>
        <v/>
      </c>
      <c r="AQ73" s="24" t="str">
        <f t="shared" si="288"/>
        <v/>
      </c>
      <c r="AR73" s="24" t="str">
        <f t="shared" si="289"/>
        <v/>
      </c>
      <c r="AS73" s="24" t="str">
        <f t="shared" si="290"/>
        <v/>
      </c>
      <c r="AT73" s="24" t="str">
        <f t="shared" si="291"/>
        <v/>
      </c>
      <c r="AU73" s="24" t="str">
        <f t="shared" si="292"/>
        <v/>
      </c>
      <c r="AV73" s="24" t="str">
        <f t="shared" si="293"/>
        <v/>
      </c>
      <c r="AW73" s="24" t="str">
        <f t="shared" si="294"/>
        <v/>
      </c>
      <c r="AX73" s="24" t="str">
        <f t="shared" si="295"/>
        <v/>
      </c>
      <c r="AY73" s="24" t="str">
        <f t="shared" si="296"/>
        <v/>
      </c>
      <c r="AZ73" s="24" t="str">
        <f t="shared" si="297"/>
        <v/>
      </c>
      <c r="BA73" s="24" t="str">
        <f t="shared" si="298"/>
        <v/>
      </c>
      <c r="BB73" s="24" t="str">
        <f t="shared" si="299"/>
        <v/>
      </c>
      <c r="BC73" s="24" t="str">
        <f t="shared" si="300"/>
        <v/>
      </c>
      <c r="BD73" s="24" t="str">
        <f t="shared" si="301"/>
        <v/>
      </c>
      <c r="BE73" s="24" t="str">
        <f t="shared" si="302"/>
        <v/>
      </c>
      <c r="BF73" s="24" t="str">
        <f t="shared" si="303"/>
        <v/>
      </c>
      <c r="BG73" s="24" t="str">
        <f t="shared" si="304"/>
        <v/>
      </c>
      <c r="BH73" s="24" t="str">
        <f t="shared" si="305"/>
        <v/>
      </c>
      <c r="BI73" s="24" t="str">
        <f t="shared" si="306"/>
        <v/>
      </c>
      <c r="BJ73" s="24" t="str">
        <f t="shared" si="307"/>
        <v/>
      </c>
      <c r="BK73" s="24" t="str">
        <f t="shared" si="308"/>
        <v/>
      </c>
      <c r="BL73" s="26" t="str">
        <f t="shared" si="309"/>
        <v/>
      </c>
      <c r="BM73" s="26" t="str">
        <f t="shared" si="310"/>
        <v/>
      </c>
      <c r="BN73" s="26" t="str">
        <f t="shared" si="311"/>
        <v/>
      </c>
      <c r="BO73" s="26" t="str">
        <f t="shared" si="312"/>
        <v/>
      </c>
      <c r="BP73" s="26" t="str">
        <f t="shared" si="313"/>
        <v/>
      </c>
      <c r="BQ73" s="26" t="str">
        <f t="shared" si="314"/>
        <v/>
      </c>
      <c r="BR73" s="26" t="str">
        <f t="shared" si="315"/>
        <v/>
      </c>
      <c r="BS73" s="26" t="str">
        <f t="shared" si="316"/>
        <v/>
      </c>
      <c r="BT73" s="26" t="str">
        <f t="shared" si="317"/>
        <v/>
      </c>
      <c r="BU73" s="26" t="str">
        <f t="shared" si="318"/>
        <v/>
      </c>
      <c r="BV73" s="26" t="str">
        <f t="shared" si="319"/>
        <v/>
      </c>
      <c r="BW73" s="26" t="str">
        <f t="shared" si="320"/>
        <v/>
      </c>
      <c r="BX73" s="26" t="str">
        <f t="shared" si="321"/>
        <v/>
      </c>
      <c r="BY73" s="26" t="str">
        <f t="shared" si="322"/>
        <v/>
      </c>
      <c r="BZ73" s="26" t="str">
        <f t="shared" si="323"/>
        <v/>
      </c>
      <c r="CA73" s="26" t="str">
        <f t="shared" si="324"/>
        <v/>
      </c>
      <c r="CB73" s="24" t="str">
        <f t="shared" si="258"/>
        <v/>
      </c>
      <c r="CC73" s="24" t="str">
        <f t="shared" si="259"/>
        <v/>
      </c>
      <c r="CD73" s="24" t="str">
        <f t="shared" si="260"/>
        <v/>
      </c>
      <c r="CE73" s="24" t="str">
        <f t="shared" si="257"/>
        <v/>
      </c>
      <c r="CF73" s="24" t="str">
        <f t="shared" si="261"/>
        <v/>
      </c>
      <c r="CG73" s="24" t="str">
        <f>IF(OR(BA73="",AK73=""),"",BA73*(IF(OR(AK73="A",AK73="a"),4,(IF(OR(#REF!="B",AK73="b"),3,(IF(OR(AK73="C",AK73="c"),2,(IF(OR(AK73="D",AK73="d"),1.5,(IF(OR(AK73="E",AK73="e"),1,(IF(OR(AK73="F",AK73="f"),0)))))))))))))</f>
        <v/>
      </c>
      <c r="CH73" s="24" t="str">
        <f t="shared" si="262"/>
        <v/>
      </c>
      <c r="CI73" s="24" t="str">
        <f t="shared" si="325"/>
        <v/>
      </c>
      <c r="CJ73" s="24" t="str">
        <f t="shared" si="326"/>
        <v/>
      </c>
      <c r="CK73" s="26" t="str">
        <f t="shared" si="327"/>
        <v/>
      </c>
      <c r="CL73" s="24" t="str">
        <f t="shared" si="343"/>
        <v/>
      </c>
      <c r="CM73" s="24" t="str">
        <f t="shared" si="344"/>
        <v/>
      </c>
      <c r="CN73" s="24" t="str">
        <f t="shared" si="328"/>
        <v/>
      </c>
      <c r="CO73" s="24" t="str">
        <f t="shared" si="329"/>
        <v/>
      </c>
      <c r="CP73" s="26" t="str">
        <f t="shared" si="330"/>
        <v/>
      </c>
      <c r="CQ73" s="26" t="str">
        <f t="shared" si="331"/>
        <v/>
      </c>
      <c r="CR73" s="26" t="str">
        <f t="shared" si="264"/>
        <v/>
      </c>
      <c r="CS73" s="24" t="str">
        <f t="shared" si="265"/>
        <v/>
      </c>
      <c r="CT73" s="27" t="str">
        <f t="shared" si="332"/>
        <v/>
      </c>
      <c r="CU73" s="26" t="str">
        <f t="shared" si="333"/>
        <v/>
      </c>
      <c r="CV73" s="27" t="str">
        <f t="shared" si="334"/>
        <v/>
      </c>
      <c r="CW73" s="26" t="str">
        <f t="shared" si="335"/>
        <v/>
      </c>
      <c r="CX73" s="26" t="str">
        <f t="shared" si="345"/>
        <v/>
      </c>
      <c r="CY73" s="27" t="str">
        <f t="shared" si="346"/>
        <v/>
      </c>
      <c r="CZ73" s="26" t="str">
        <f t="shared" si="336"/>
        <v/>
      </c>
      <c r="DA73" s="24" t="str">
        <f t="shared" si="266"/>
        <v/>
      </c>
      <c r="DB73" s="24" t="str">
        <f t="shared" si="337"/>
        <v/>
      </c>
      <c r="DC73" s="24" t="str">
        <f t="shared" si="263"/>
        <v/>
      </c>
      <c r="DD73" s="24" t="str">
        <f t="shared" si="338"/>
        <v/>
      </c>
      <c r="DE73" s="1"/>
      <c r="DF73" s="1"/>
      <c r="DG73" s="1"/>
      <c r="DH73" s="24" t="str">
        <f t="shared" si="339"/>
        <v/>
      </c>
      <c r="DI73" s="25" t="str">
        <f t="shared" si="340"/>
        <v/>
      </c>
      <c r="DJ73" t="str">
        <f t="shared" si="341"/>
        <v/>
      </c>
      <c r="DK73" s="9"/>
      <c r="DL73" s="9"/>
      <c r="DM73" s="9"/>
      <c r="DN73" s="9"/>
      <c r="DO73" s="9"/>
      <c r="DP73" s="9"/>
      <c r="DQ73" s="136" t="b">
        <f t="shared" si="342"/>
        <v>1</v>
      </c>
    </row>
    <row r="74" spans="1:121" ht="27" customHeight="1" x14ac:dyDescent="0.95">
      <c r="A74" s="24" t="str">
        <f t="shared" si="267"/>
        <v/>
      </c>
      <c r="B74" s="9"/>
      <c r="C74" s="14"/>
      <c r="D74" s="9"/>
      <c r="E74" s="9"/>
      <c r="F74" s="1"/>
      <c r="G74" s="1"/>
      <c r="H74" s="1"/>
      <c r="I74" s="1"/>
      <c r="J74" s="1"/>
      <c r="K74" s="1"/>
      <c r="L74" s="1"/>
      <c r="M74" s="1"/>
      <c r="N74" s="1"/>
      <c r="O74" s="1"/>
      <c r="P74" s="10"/>
      <c r="Q74" s="10"/>
      <c r="R74" s="10"/>
      <c r="S74" s="10"/>
      <c r="T74" s="10"/>
      <c r="U74" s="10"/>
      <c r="V74" s="10"/>
      <c r="W74" s="3" t="str">
        <f t="shared" si="268"/>
        <v/>
      </c>
      <c r="X74" s="3" t="str">
        <f t="shared" si="269"/>
        <v/>
      </c>
      <c r="Y74" s="3" t="str">
        <f t="shared" si="270"/>
        <v/>
      </c>
      <c r="Z74" s="3" t="str">
        <f t="shared" si="271"/>
        <v/>
      </c>
      <c r="AA74" s="3" t="str">
        <f t="shared" si="272"/>
        <v/>
      </c>
      <c r="AB74" s="3" t="str">
        <f t="shared" si="273"/>
        <v/>
      </c>
      <c r="AC74" s="3" t="str">
        <f t="shared" si="274"/>
        <v/>
      </c>
      <c r="AD74" s="3" t="str">
        <f t="shared" si="275"/>
        <v/>
      </c>
      <c r="AE74" s="3" t="str">
        <f t="shared" si="276"/>
        <v/>
      </c>
      <c r="AF74" s="24" t="str">
        <f t="shared" si="277"/>
        <v/>
      </c>
      <c r="AG74" s="24" t="str">
        <f t="shared" si="278"/>
        <v/>
      </c>
      <c r="AH74" s="24" t="str">
        <f t="shared" si="279"/>
        <v/>
      </c>
      <c r="AI74" s="24" t="str">
        <f t="shared" si="280"/>
        <v/>
      </c>
      <c r="AJ74" s="24" t="str">
        <f t="shared" si="281"/>
        <v/>
      </c>
      <c r="AK74" s="24" t="str">
        <f t="shared" si="282"/>
        <v/>
      </c>
      <c r="AL74" s="24" t="str">
        <f t="shared" si="283"/>
        <v/>
      </c>
      <c r="AM74" s="24" t="str">
        <f t="shared" si="284"/>
        <v/>
      </c>
      <c r="AN74" s="24" t="str">
        <f t="shared" si="285"/>
        <v/>
      </c>
      <c r="AO74" s="24" t="str">
        <f t="shared" si="286"/>
        <v/>
      </c>
      <c r="AP74" s="24" t="str">
        <f t="shared" si="287"/>
        <v/>
      </c>
      <c r="AQ74" s="24" t="str">
        <f t="shared" si="288"/>
        <v/>
      </c>
      <c r="AR74" s="24" t="str">
        <f t="shared" si="289"/>
        <v/>
      </c>
      <c r="AS74" s="24" t="str">
        <f t="shared" si="290"/>
        <v/>
      </c>
      <c r="AT74" s="24" t="str">
        <f t="shared" si="291"/>
        <v/>
      </c>
      <c r="AU74" s="24" t="str">
        <f t="shared" si="292"/>
        <v/>
      </c>
      <c r="AV74" s="24" t="str">
        <f t="shared" si="293"/>
        <v/>
      </c>
      <c r="AW74" s="24" t="str">
        <f t="shared" si="294"/>
        <v/>
      </c>
      <c r="AX74" s="24" t="str">
        <f t="shared" si="295"/>
        <v/>
      </c>
      <c r="AY74" s="24" t="str">
        <f t="shared" si="296"/>
        <v/>
      </c>
      <c r="AZ74" s="24" t="str">
        <f t="shared" si="297"/>
        <v/>
      </c>
      <c r="BA74" s="24" t="str">
        <f t="shared" si="298"/>
        <v/>
      </c>
      <c r="BB74" s="24" t="str">
        <f t="shared" si="299"/>
        <v/>
      </c>
      <c r="BC74" s="24" t="str">
        <f t="shared" si="300"/>
        <v/>
      </c>
      <c r="BD74" s="24" t="str">
        <f t="shared" si="301"/>
        <v/>
      </c>
      <c r="BE74" s="24" t="str">
        <f t="shared" si="302"/>
        <v/>
      </c>
      <c r="BF74" s="24" t="str">
        <f t="shared" si="303"/>
        <v/>
      </c>
      <c r="BG74" s="24" t="str">
        <f t="shared" si="304"/>
        <v/>
      </c>
      <c r="BH74" s="24" t="str">
        <f t="shared" si="305"/>
        <v/>
      </c>
      <c r="BI74" s="24" t="str">
        <f t="shared" si="306"/>
        <v/>
      </c>
      <c r="BJ74" s="24" t="str">
        <f t="shared" si="307"/>
        <v/>
      </c>
      <c r="BK74" s="24" t="str">
        <f t="shared" si="308"/>
        <v/>
      </c>
      <c r="BL74" s="26" t="str">
        <f t="shared" si="309"/>
        <v/>
      </c>
      <c r="BM74" s="26" t="str">
        <f t="shared" si="310"/>
        <v/>
      </c>
      <c r="BN74" s="26" t="str">
        <f t="shared" si="311"/>
        <v/>
      </c>
      <c r="BO74" s="26" t="str">
        <f t="shared" si="312"/>
        <v/>
      </c>
      <c r="BP74" s="26" t="str">
        <f t="shared" si="313"/>
        <v/>
      </c>
      <c r="BQ74" s="26" t="str">
        <f t="shared" si="314"/>
        <v/>
      </c>
      <c r="BR74" s="26" t="str">
        <f t="shared" si="315"/>
        <v/>
      </c>
      <c r="BS74" s="26" t="str">
        <f t="shared" si="316"/>
        <v/>
      </c>
      <c r="BT74" s="26" t="str">
        <f t="shared" si="317"/>
        <v/>
      </c>
      <c r="BU74" s="26" t="str">
        <f t="shared" si="318"/>
        <v/>
      </c>
      <c r="BV74" s="26" t="str">
        <f t="shared" si="319"/>
        <v/>
      </c>
      <c r="BW74" s="26" t="str">
        <f t="shared" si="320"/>
        <v/>
      </c>
      <c r="BX74" s="26" t="str">
        <f t="shared" si="321"/>
        <v/>
      </c>
      <c r="BY74" s="26" t="str">
        <f t="shared" si="322"/>
        <v/>
      </c>
      <c r="BZ74" s="26" t="str">
        <f t="shared" si="323"/>
        <v/>
      </c>
      <c r="CA74" s="26" t="str">
        <f t="shared" si="324"/>
        <v/>
      </c>
      <c r="CB74" s="24" t="str">
        <f t="shared" si="258"/>
        <v/>
      </c>
      <c r="CC74" s="24" t="str">
        <f t="shared" si="259"/>
        <v/>
      </c>
      <c r="CD74" s="24" t="str">
        <f t="shared" si="260"/>
        <v/>
      </c>
      <c r="CE74" s="24" t="str">
        <f t="shared" si="257"/>
        <v/>
      </c>
      <c r="CF74" s="24" t="str">
        <f t="shared" si="261"/>
        <v/>
      </c>
      <c r="CG74" s="24" t="str">
        <f>IF(OR(BA74="",AK74=""),"",BA74*(IF(OR(AK74="A",AK74="a"),4,(IF(OR(#REF!="B",AK74="b"),3,(IF(OR(AK74="C",AK74="c"),2,(IF(OR(AK74="D",AK74="d"),1.5,(IF(OR(AK74="E",AK74="e"),1,(IF(OR(AK74="F",AK74="f"),0)))))))))))))</f>
        <v/>
      </c>
      <c r="CH74" s="24" t="str">
        <f t="shared" si="262"/>
        <v/>
      </c>
      <c r="CI74" s="24" t="str">
        <f t="shared" si="325"/>
        <v/>
      </c>
      <c r="CJ74" s="24" t="str">
        <f t="shared" si="326"/>
        <v/>
      </c>
      <c r="CK74" s="26" t="str">
        <f t="shared" si="327"/>
        <v/>
      </c>
      <c r="CL74" s="24" t="str">
        <f t="shared" si="343"/>
        <v/>
      </c>
      <c r="CM74" s="24" t="str">
        <f t="shared" si="344"/>
        <v/>
      </c>
      <c r="CN74" s="24" t="str">
        <f t="shared" si="328"/>
        <v/>
      </c>
      <c r="CO74" s="24" t="str">
        <f t="shared" si="329"/>
        <v/>
      </c>
      <c r="CP74" s="26" t="str">
        <f t="shared" si="330"/>
        <v/>
      </c>
      <c r="CQ74" s="26" t="str">
        <f t="shared" si="331"/>
        <v/>
      </c>
      <c r="CR74" s="26" t="str">
        <f t="shared" si="264"/>
        <v/>
      </c>
      <c r="CS74" s="24" t="str">
        <f t="shared" si="265"/>
        <v/>
      </c>
      <c r="CT74" s="27" t="str">
        <f t="shared" si="332"/>
        <v/>
      </c>
      <c r="CU74" s="26"/>
      <c r="CV74" s="27"/>
      <c r="CW74" s="27"/>
      <c r="CX74" s="26"/>
      <c r="CY74" s="27"/>
      <c r="CZ74" s="26"/>
      <c r="DA74" s="24" t="str">
        <f t="shared" si="266"/>
        <v/>
      </c>
      <c r="DB74" s="24" t="str">
        <f t="shared" si="337"/>
        <v/>
      </c>
      <c r="DC74" s="24" t="str">
        <f t="shared" si="263"/>
        <v/>
      </c>
      <c r="DD74" s="24" t="str">
        <f t="shared" si="338"/>
        <v/>
      </c>
      <c r="DE74" s="1"/>
      <c r="DF74" s="1"/>
      <c r="DG74" s="1"/>
      <c r="DH74" s="24" t="str">
        <f t="shared" si="339"/>
        <v/>
      </c>
      <c r="DI74" s="25" t="str">
        <f t="shared" si="340"/>
        <v/>
      </c>
      <c r="DJ74" t="str">
        <f t="shared" si="341"/>
        <v/>
      </c>
      <c r="DK74" s="9"/>
      <c r="DL74" s="9"/>
      <c r="DM74" s="9"/>
      <c r="DN74" s="9"/>
      <c r="DO74" s="9"/>
      <c r="DP74" s="9"/>
      <c r="DQ74" s="136" t="b">
        <f t="shared" si="342"/>
        <v>1</v>
      </c>
    </row>
    <row r="75" spans="1:121" ht="27" customHeight="1" x14ac:dyDescent="0.95">
      <c r="A75" s="24" t="str">
        <f t="shared" si="267"/>
        <v/>
      </c>
      <c r="B75" s="9"/>
      <c r="C75" s="14"/>
      <c r="D75" s="9"/>
      <c r="E75" s="9"/>
      <c r="F75" s="1"/>
      <c r="G75" s="1"/>
      <c r="H75" s="1"/>
      <c r="I75" s="1"/>
      <c r="J75" s="1"/>
      <c r="K75" s="1"/>
      <c r="L75" s="1"/>
      <c r="M75" s="1"/>
      <c r="N75" s="1"/>
      <c r="O75" s="1"/>
      <c r="P75" s="10"/>
      <c r="Q75" s="10"/>
      <c r="R75" s="10"/>
      <c r="S75" s="10"/>
      <c r="T75" s="10"/>
      <c r="U75" s="10"/>
      <c r="V75" s="10"/>
      <c r="W75" s="3" t="str">
        <f t="shared" si="268"/>
        <v/>
      </c>
      <c r="X75" s="3" t="str">
        <f t="shared" si="269"/>
        <v/>
      </c>
      <c r="Y75" s="3" t="str">
        <f t="shared" si="270"/>
        <v/>
      </c>
      <c r="Z75" s="3" t="str">
        <f t="shared" si="271"/>
        <v/>
      </c>
      <c r="AA75" s="3" t="str">
        <f t="shared" si="272"/>
        <v/>
      </c>
      <c r="AB75" s="3" t="str">
        <f t="shared" si="273"/>
        <v/>
      </c>
      <c r="AC75" s="3" t="str">
        <f t="shared" si="274"/>
        <v/>
      </c>
      <c r="AD75" s="3" t="str">
        <f t="shared" si="275"/>
        <v/>
      </c>
      <c r="AE75" s="3" t="str">
        <f t="shared" si="276"/>
        <v/>
      </c>
      <c r="AF75" s="24" t="str">
        <f t="shared" si="277"/>
        <v/>
      </c>
      <c r="AG75" s="24" t="str">
        <f t="shared" si="278"/>
        <v/>
      </c>
      <c r="AH75" s="24" t="str">
        <f t="shared" si="279"/>
        <v/>
      </c>
      <c r="AI75" s="24" t="str">
        <f t="shared" si="280"/>
        <v/>
      </c>
      <c r="AJ75" s="24" t="str">
        <f t="shared" si="281"/>
        <v/>
      </c>
      <c r="AK75" s="24" t="str">
        <f t="shared" si="282"/>
        <v/>
      </c>
      <c r="AL75" s="24" t="str">
        <f t="shared" si="283"/>
        <v/>
      </c>
      <c r="AM75" s="24" t="str">
        <f t="shared" si="284"/>
        <v/>
      </c>
      <c r="AN75" s="24" t="str">
        <f t="shared" si="285"/>
        <v/>
      </c>
      <c r="AO75" s="24" t="str">
        <f t="shared" si="286"/>
        <v/>
      </c>
      <c r="AP75" s="24" t="str">
        <f t="shared" si="287"/>
        <v/>
      </c>
      <c r="AQ75" s="24" t="str">
        <f t="shared" si="288"/>
        <v/>
      </c>
      <c r="AR75" s="24" t="str">
        <f t="shared" si="289"/>
        <v/>
      </c>
      <c r="AS75" s="24" t="str">
        <f t="shared" si="290"/>
        <v/>
      </c>
      <c r="AT75" s="24" t="str">
        <f t="shared" si="291"/>
        <v/>
      </c>
      <c r="AU75" s="24" t="str">
        <f t="shared" si="292"/>
        <v/>
      </c>
      <c r="AV75" s="24" t="str">
        <f t="shared" si="293"/>
        <v/>
      </c>
      <c r="AW75" s="24" t="str">
        <f t="shared" si="294"/>
        <v/>
      </c>
      <c r="AX75" s="24" t="str">
        <f t="shared" si="295"/>
        <v/>
      </c>
      <c r="AY75" s="24" t="str">
        <f t="shared" si="296"/>
        <v/>
      </c>
      <c r="AZ75" s="24" t="str">
        <f t="shared" si="297"/>
        <v/>
      </c>
      <c r="BA75" s="24" t="str">
        <f t="shared" si="298"/>
        <v/>
      </c>
      <c r="BB75" s="24" t="str">
        <f t="shared" si="299"/>
        <v/>
      </c>
      <c r="BC75" s="24" t="str">
        <f t="shared" si="300"/>
        <v/>
      </c>
      <c r="BD75" s="24" t="str">
        <f t="shared" si="301"/>
        <v/>
      </c>
      <c r="BE75" s="24" t="str">
        <f t="shared" si="302"/>
        <v/>
      </c>
      <c r="BF75" s="24" t="str">
        <f t="shared" si="303"/>
        <v/>
      </c>
      <c r="BG75" s="24" t="str">
        <f t="shared" si="304"/>
        <v/>
      </c>
      <c r="BH75" s="24" t="str">
        <f t="shared" si="305"/>
        <v/>
      </c>
      <c r="BI75" s="24" t="str">
        <f t="shared" si="306"/>
        <v/>
      </c>
      <c r="BJ75" s="24" t="str">
        <f t="shared" si="307"/>
        <v/>
      </c>
      <c r="BK75" s="24" t="str">
        <f t="shared" si="308"/>
        <v/>
      </c>
      <c r="BL75" s="26" t="str">
        <f t="shared" si="309"/>
        <v/>
      </c>
      <c r="BM75" s="26" t="str">
        <f t="shared" si="310"/>
        <v/>
      </c>
      <c r="BN75" s="26" t="str">
        <f t="shared" si="311"/>
        <v/>
      </c>
      <c r="BO75" s="26" t="str">
        <f t="shared" si="312"/>
        <v/>
      </c>
      <c r="BP75" s="26" t="str">
        <f t="shared" si="313"/>
        <v/>
      </c>
      <c r="BQ75" s="26" t="str">
        <f t="shared" si="314"/>
        <v/>
      </c>
      <c r="BR75" s="26" t="str">
        <f t="shared" si="315"/>
        <v/>
      </c>
      <c r="BS75" s="26" t="str">
        <f t="shared" si="316"/>
        <v/>
      </c>
      <c r="BT75" s="26" t="str">
        <f t="shared" si="317"/>
        <v/>
      </c>
      <c r="BU75" s="26" t="str">
        <f t="shared" si="318"/>
        <v/>
      </c>
      <c r="BV75" s="26" t="str">
        <f t="shared" si="319"/>
        <v/>
      </c>
      <c r="BW75" s="26" t="str">
        <f t="shared" si="320"/>
        <v/>
      </c>
      <c r="BX75" s="26" t="str">
        <f t="shared" si="321"/>
        <v/>
      </c>
      <c r="BY75" s="26" t="str">
        <f t="shared" si="322"/>
        <v/>
      </c>
      <c r="BZ75" s="26" t="str">
        <f t="shared" si="323"/>
        <v/>
      </c>
      <c r="CA75" s="26" t="str">
        <f t="shared" si="324"/>
        <v/>
      </c>
      <c r="CB75" s="24" t="str">
        <f t="shared" si="258"/>
        <v/>
      </c>
      <c r="CC75" s="24" t="str">
        <f t="shared" si="259"/>
        <v/>
      </c>
      <c r="CD75" s="24" t="str">
        <f t="shared" si="260"/>
        <v/>
      </c>
      <c r="CE75" s="24" t="str">
        <f t="shared" si="257"/>
        <v/>
      </c>
      <c r="CF75" s="24" t="str">
        <f t="shared" si="261"/>
        <v/>
      </c>
      <c r="CG75" s="24" t="str">
        <f>IF(OR(BA75="",AK75=""),"",BA75*(IF(OR(AK75="A",AK75="a"),4,(IF(OR(#REF!="B",AK75="b"),3,(IF(OR(AK75="C",AK75="c"),2,(IF(OR(AK75="D",AK75="d"),1.5,(IF(OR(AK75="E",AK75="e"),1,(IF(OR(AK75="F",AK75="f"),0)))))))))))))</f>
        <v/>
      </c>
      <c r="CH75" s="24" t="str">
        <f t="shared" si="262"/>
        <v/>
      </c>
      <c r="CI75" s="24" t="str">
        <f t="shared" si="325"/>
        <v/>
      </c>
      <c r="CJ75" s="24" t="str">
        <f t="shared" si="326"/>
        <v/>
      </c>
      <c r="CK75" s="26" t="str">
        <f t="shared" si="327"/>
        <v/>
      </c>
      <c r="CL75" s="24" t="str">
        <f t="shared" si="343"/>
        <v/>
      </c>
      <c r="CM75" s="24" t="str">
        <f t="shared" si="344"/>
        <v/>
      </c>
      <c r="CN75" s="24" t="str">
        <f t="shared" si="328"/>
        <v/>
      </c>
      <c r="CO75" s="24" t="str">
        <f t="shared" si="329"/>
        <v/>
      </c>
      <c r="CP75" s="26" t="str">
        <f t="shared" si="330"/>
        <v/>
      </c>
      <c r="CQ75" s="26" t="str">
        <f t="shared" si="331"/>
        <v/>
      </c>
      <c r="CR75" s="26" t="str">
        <f t="shared" si="264"/>
        <v/>
      </c>
      <c r="CS75" s="24" t="str">
        <f t="shared" si="265"/>
        <v/>
      </c>
      <c r="CT75" s="27" t="str">
        <f t="shared" si="332"/>
        <v/>
      </c>
      <c r="CU75" s="26"/>
      <c r="CV75" s="27"/>
      <c r="CW75" s="27"/>
      <c r="CX75" s="26"/>
      <c r="CY75" s="27"/>
      <c r="CZ75" s="26"/>
      <c r="DA75" s="24" t="str">
        <f t="shared" si="266"/>
        <v/>
      </c>
      <c r="DB75" s="24" t="str">
        <f t="shared" si="337"/>
        <v/>
      </c>
      <c r="DC75" s="24" t="str">
        <f t="shared" si="263"/>
        <v/>
      </c>
      <c r="DD75" s="24" t="str">
        <f t="shared" si="338"/>
        <v/>
      </c>
      <c r="DE75" s="1"/>
      <c r="DF75" s="1"/>
      <c r="DG75" s="1"/>
      <c r="DH75" s="24" t="str">
        <f t="shared" si="339"/>
        <v/>
      </c>
      <c r="DI75" s="25" t="str">
        <f t="shared" si="340"/>
        <v/>
      </c>
      <c r="DJ75" t="str">
        <f t="shared" si="341"/>
        <v/>
      </c>
      <c r="DK75" s="9"/>
      <c r="DL75" s="9"/>
      <c r="DM75" s="9"/>
      <c r="DN75" s="9"/>
      <c r="DO75" s="9"/>
      <c r="DP75" s="9"/>
      <c r="DQ75" s="136" t="b">
        <f t="shared" si="342"/>
        <v>1</v>
      </c>
    </row>
    <row r="76" spans="1:121" ht="27" customHeight="1" x14ac:dyDescent="0.95">
      <c r="A76" s="24" t="str">
        <f t="shared" si="267"/>
        <v/>
      </c>
      <c r="B76" s="9"/>
      <c r="C76" s="14"/>
      <c r="D76" s="9"/>
      <c r="E76" s="9"/>
      <c r="F76" s="1"/>
      <c r="G76" s="1"/>
      <c r="H76" s="1"/>
      <c r="I76" s="1"/>
      <c r="J76" s="1"/>
      <c r="K76" s="1"/>
      <c r="L76" s="1"/>
      <c r="M76" s="1"/>
      <c r="N76" s="1"/>
      <c r="O76" s="1"/>
      <c r="P76" s="10"/>
      <c r="Q76" s="10"/>
      <c r="R76" s="10"/>
      <c r="S76" s="10"/>
      <c r="T76" s="10"/>
      <c r="U76" s="10"/>
      <c r="V76" s="10"/>
      <c r="W76" s="3" t="str">
        <f t="shared" si="268"/>
        <v/>
      </c>
      <c r="X76" s="3" t="str">
        <f t="shared" si="269"/>
        <v/>
      </c>
      <c r="Y76" s="3" t="str">
        <f t="shared" si="270"/>
        <v/>
      </c>
      <c r="Z76" s="3" t="str">
        <f t="shared" si="271"/>
        <v/>
      </c>
      <c r="AA76" s="3" t="str">
        <f t="shared" si="272"/>
        <v/>
      </c>
      <c r="AB76" s="3" t="str">
        <f t="shared" si="273"/>
        <v/>
      </c>
      <c r="AC76" s="3" t="str">
        <f t="shared" si="274"/>
        <v/>
      </c>
      <c r="AD76" s="3" t="str">
        <f t="shared" si="275"/>
        <v/>
      </c>
      <c r="AE76" s="3" t="str">
        <f t="shared" si="276"/>
        <v/>
      </c>
      <c r="AF76" s="24" t="str">
        <f t="shared" si="277"/>
        <v/>
      </c>
      <c r="AG76" s="24" t="str">
        <f t="shared" si="278"/>
        <v/>
      </c>
      <c r="AH76" s="24" t="str">
        <f t="shared" si="279"/>
        <v/>
      </c>
      <c r="AI76" s="24" t="str">
        <f t="shared" si="280"/>
        <v/>
      </c>
      <c r="AJ76" s="24" t="str">
        <f t="shared" si="281"/>
        <v/>
      </c>
      <c r="AK76" s="24" t="str">
        <f t="shared" si="282"/>
        <v/>
      </c>
      <c r="AL76" s="24" t="str">
        <f t="shared" si="283"/>
        <v/>
      </c>
      <c r="AM76" s="24" t="str">
        <f t="shared" si="284"/>
        <v/>
      </c>
      <c r="AN76" s="24" t="str">
        <f t="shared" si="285"/>
        <v/>
      </c>
      <c r="AO76" s="24" t="str">
        <f t="shared" si="286"/>
        <v/>
      </c>
      <c r="AP76" s="24" t="str">
        <f t="shared" si="287"/>
        <v/>
      </c>
      <c r="AQ76" s="24" t="str">
        <f t="shared" si="288"/>
        <v/>
      </c>
      <c r="AR76" s="24" t="str">
        <f t="shared" si="289"/>
        <v/>
      </c>
      <c r="AS76" s="24" t="str">
        <f t="shared" si="290"/>
        <v/>
      </c>
      <c r="AT76" s="24" t="str">
        <f t="shared" si="291"/>
        <v/>
      </c>
      <c r="AU76" s="24" t="str">
        <f t="shared" si="292"/>
        <v/>
      </c>
      <c r="AV76" s="24" t="str">
        <f t="shared" si="293"/>
        <v/>
      </c>
      <c r="AW76" s="24" t="str">
        <f t="shared" si="294"/>
        <v/>
      </c>
      <c r="AX76" s="24" t="str">
        <f t="shared" si="295"/>
        <v/>
      </c>
      <c r="AY76" s="24" t="str">
        <f t="shared" si="296"/>
        <v/>
      </c>
      <c r="AZ76" s="24" t="str">
        <f t="shared" si="297"/>
        <v/>
      </c>
      <c r="BA76" s="24" t="str">
        <f t="shared" si="298"/>
        <v/>
      </c>
      <c r="BB76" s="24" t="str">
        <f t="shared" si="299"/>
        <v/>
      </c>
      <c r="BC76" s="24" t="str">
        <f t="shared" si="300"/>
        <v/>
      </c>
      <c r="BD76" s="24" t="str">
        <f t="shared" si="301"/>
        <v/>
      </c>
      <c r="BE76" s="24" t="str">
        <f t="shared" si="302"/>
        <v/>
      </c>
      <c r="BF76" s="24" t="str">
        <f t="shared" si="303"/>
        <v/>
      </c>
      <c r="BG76" s="24" t="str">
        <f t="shared" si="304"/>
        <v/>
      </c>
      <c r="BH76" s="24" t="str">
        <f t="shared" si="305"/>
        <v/>
      </c>
      <c r="BI76" s="24" t="str">
        <f t="shared" si="306"/>
        <v/>
      </c>
      <c r="BJ76" s="24" t="str">
        <f t="shared" si="307"/>
        <v/>
      </c>
      <c r="BK76" s="24" t="str">
        <f t="shared" si="308"/>
        <v/>
      </c>
      <c r="BL76" s="26" t="str">
        <f t="shared" si="309"/>
        <v/>
      </c>
      <c r="BM76" s="26" t="str">
        <f t="shared" si="310"/>
        <v/>
      </c>
      <c r="BN76" s="26" t="str">
        <f t="shared" si="311"/>
        <v/>
      </c>
      <c r="BO76" s="26" t="str">
        <f t="shared" si="312"/>
        <v/>
      </c>
      <c r="BP76" s="26" t="str">
        <f t="shared" si="313"/>
        <v/>
      </c>
      <c r="BQ76" s="26" t="str">
        <f t="shared" si="314"/>
        <v/>
      </c>
      <c r="BR76" s="26" t="str">
        <f t="shared" si="315"/>
        <v/>
      </c>
      <c r="BS76" s="26" t="str">
        <f t="shared" si="316"/>
        <v/>
      </c>
      <c r="BT76" s="26" t="str">
        <f t="shared" si="317"/>
        <v/>
      </c>
      <c r="BU76" s="26" t="str">
        <f t="shared" si="318"/>
        <v/>
      </c>
      <c r="BV76" s="26" t="str">
        <f t="shared" si="319"/>
        <v/>
      </c>
      <c r="BW76" s="26" t="str">
        <f t="shared" si="320"/>
        <v/>
      </c>
      <c r="BX76" s="26" t="str">
        <f t="shared" si="321"/>
        <v/>
      </c>
      <c r="BY76" s="26" t="str">
        <f t="shared" si="322"/>
        <v/>
      </c>
      <c r="BZ76" s="26" t="str">
        <f t="shared" si="323"/>
        <v/>
      </c>
      <c r="CA76" s="26" t="str">
        <f t="shared" si="324"/>
        <v/>
      </c>
      <c r="CB76" s="24" t="str">
        <f t="shared" si="258"/>
        <v/>
      </c>
      <c r="CC76" s="24" t="str">
        <f t="shared" si="259"/>
        <v/>
      </c>
      <c r="CD76" s="24" t="str">
        <f t="shared" si="260"/>
        <v/>
      </c>
      <c r="CE76" s="24" t="str">
        <f t="shared" ref="CE76:CE82" si="347">IF(OR(AY76="",AI76=""),"",AY76*(IF(OR(AI76="A",AI76="a"),4,(IF(OR(AI583="B",AI76="b"),3,(IF(OR(AI76="C",AI76="c"),2,(IF(OR(AI76="D",AI76="d"),1.5,(IF(OR(AI76="E",AI76="e"),1,(IF(OR(AI76="F",AI76="f"),0)))))))))))))</f>
        <v/>
      </c>
      <c r="CF76" s="24" t="str">
        <f t="shared" si="261"/>
        <v/>
      </c>
      <c r="CG76" s="24" t="str">
        <f>IF(OR(BA76="",AK76=""),"",BA76*(IF(OR(AK76="A",AK76="a"),4,(IF(OR(#REF!="B",AK76="b"),3,(IF(OR(AK76="C",AK76="c"),2,(IF(OR(AK76="D",AK76="d"),1.5,(IF(OR(AK76="E",AK76="e"),1,(IF(OR(AK76="F",AK76="f"),0)))))))))))))</f>
        <v/>
      </c>
      <c r="CH76" s="24" t="str">
        <f t="shared" si="262"/>
        <v/>
      </c>
      <c r="CI76" s="24" t="str">
        <f t="shared" si="325"/>
        <v/>
      </c>
      <c r="CJ76" s="24" t="str">
        <f t="shared" si="326"/>
        <v/>
      </c>
      <c r="CK76" s="26" t="str">
        <f t="shared" si="327"/>
        <v/>
      </c>
      <c r="CL76" s="24" t="str">
        <f t="shared" si="343"/>
        <v/>
      </c>
      <c r="CM76" s="24" t="str">
        <f t="shared" si="344"/>
        <v/>
      </c>
      <c r="CN76" s="24" t="str">
        <f t="shared" si="328"/>
        <v/>
      </c>
      <c r="CO76" s="24" t="str">
        <f t="shared" si="329"/>
        <v/>
      </c>
      <c r="CP76" s="26" t="str">
        <f t="shared" si="330"/>
        <v/>
      </c>
      <c r="CQ76" s="26" t="str">
        <f t="shared" si="331"/>
        <v/>
      </c>
      <c r="CR76" s="26" t="str">
        <f t="shared" si="264"/>
        <v/>
      </c>
      <c r="CS76" s="24" t="str">
        <f t="shared" si="265"/>
        <v/>
      </c>
      <c r="CT76" s="27" t="str">
        <f t="shared" si="332"/>
        <v/>
      </c>
      <c r="CU76" s="26"/>
      <c r="CV76" s="27"/>
      <c r="CW76" s="27"/>
      <c r="CX76" s="27"/>
      <c r="CY76" s="27"/>
      <c r="CZ76" s="26"/>
      <c r="DA76" s="24" t="str">
        <f t="shared" si="266"/>
        <v/>
      </c>
      <c r="DB76" s="24" t="str">
        <f t="shared" si="337"/>
        <v/>
      </c>
      <c r="DC76" s="24" t="str">
        <f t="shared" si="263"/>
        <v/>
      </c>
      <c r="DD76" s="24" t="str">
        <f t="shared" si="338"/>
        <v/>
      </c>
      <c r="DE76" s="1"/>
      <c r="DF76" s="1"/>
      <c r="DG76" s="1"/>
      <c r="DH76" s="24" t="str">
        <f t="shared" si="339"/>
        <v/>
      </c>
      <c r="DI76" s="25" t="str">
        <f t="shared" si="340"/>
        <v/>
      </c>
      <c r="DJ76" t="str">
        <f t="shared" si="341"/>
        <v/>
      </c>
      <c r="DK76" s="9"/>
      <c r="DL76" s="9"/>
      <c r="DM76" s="9"/>
      <c r="DN76" s="9"/>
      <c r="DO76" s="9"/>
      <c r="DP76" s="9"/>
      <c r="DQ76" s="136" t="b">
        <f t="shared" si="342"/>
        <v>1</v>
      </c>
    </row>
    <row r="77" spans="1:121" ht="27" customHeight="1" x14ac:dyDescent="0.95">
      <c r="A77" s="24" t="str">
        <f t="shared" si="267"/>
        <v/>
      </c>
      <c r="B77" s="9"/>
      <c r="C77" s="14"/>
      <c r="D77" s="9"/>
      <c r="E77" s="9"/>
      <c r="F77" s="1"/>
      <c r="G77" s="1"/>
      <c r="H77" s="1"/>
      <c r="I77" s="1"/>
      <c r="J77" s="1"/>
      <c r="K77" s="1"/>
      <c r="L77" s="1"/>
      <c r="M77" s="1"/>
      <c r="N77" s="1"/>
      <c r="O77" s="1"/>
      <c r="P77" s="10"/>
      <c r="Q77" s="10"/>
      <c r="R77" s="10"/>
      <c r="S77" s="10"/>
      <c r="T77" s="10"/>
      <c r="U77" s="10"/>
      <c r="V77" s="10"/>
      <c r="W77" s="3" t="str">
        <f t="shared" si="268"/>
        <v/>
      </c>
      <c r="X77" s="3" t="str">
        <f t="shared" si="269"/>
        <v/>
      </c>
      <c r="Y77" s="3" t="str">
        <f t="shared" si="270"/>
        <v/>
      </c>
      <c r="Z77" s="3" t="str">
        <f t="shared" si="271"/>
        <v/>
      </c>
      <c r="AA77" s="3" t="str">
        <f t="shared" si="272"/>
        <v/>
      </c>
      <c r="AB77" s="3" t="str">
        <f t="shared" si="273"/>
        <v/>
      </c>
      <c r="AC77" s="3" t="str">
        <f t="shared" si="274"/>
        <v/>
      </c>
      <c r="AD77" s="3" t="str">
        <f t="shared" si="275"/>
        <v/>
      </c>
      <c r="AE77" s="3" t="str">
        <f t="shared" si="276"/>
        <v/>
      </c>
      <c r="AF77" s="24" t="str">
        <f t="shared" si="277"/>
        <v/>
      </c>
      <c r="AG77" s="24" t="str">
        <f t="shared" si="278"/>
        <v/>
      </c>
      <c r="AH77" s="24" t="str">
        <f t="shared" si="279"/>
        <v/>
      </c>
      <c r="AI77" s="24" t="str">
        <f t="shared" si="280"/>
        <v/>
      </c>
      <c r="AJ77" s="24" t="str">
        <f t="shared" si="281"/>
        <v/>
      </c>
      <c r="AK77" s="24" t="str">
        <f t="shared" si="282"/>
        <v/>
      </c>
      <c r="AL77" s="24" t="str">
        <f t="shared" si="283"/>
        <v/>
      </c>
      <c r="AM77" s="24" t="str">
        <f t="shared" si="284"/>
        <v/>
      </c>
      <c r="AN77" s="24" t="str">
        <f t="shared" si="285"/>
        <v/>
      </c>
      <c r="AO77" s="24" t="str">
        <f t="shared" si="286"/>
        <v/>
      </c>
      <c r="AP77" s="24" t="str">
        <f t="shared" si="287"/>
        <v/>
      </c>
      <c r="AQ77" s="24" t="str">
        <f t="shared" si="288"/>
        <v/>
      </c>
      <c r="AR77" s="24" t="str">
        <f t="shared" si="289"/>
        <v/>
      </c>
      <c r="AS77" s="24" t="str">
        <f t="shared" si="290"/>
        <v/>
      </c>
      <c r="AT77" s="24" t="str">
        <f t="shared" si="291"/>
        <v/>
      </c>
      <c r="AU77" s="24" t="str">
        <f t="shared" si="292"/>
        <v/>
      </c>
      <c r="AV77" s="24" t="str">
        <f t="shared" si="293"/>
        <v/>
      </c>
      <c r="AW77" s="24" t="str">
        <f t="shared" si="294"/>
        <v/>
      </c>
      <c r="AX77" s="24" t="str">
        <f t="shared" si="295"/>
        <v/>
      </c>
      <c r="AY77" s="24" t="str">
        <f t="shared" si="296"/>
        <v/>
      </c>
      <c r="AZ77" s="24" t="str">
        <f t="shared" si="297"/>
        <v/>
      </c>
      <c r="BA77" s="24" t="str">
        <f t="shared" si="298"/>
        <v/>
      </c>
      <c r="BB77" s="24" t="str">
        <f t="shared" si="299"/>
        <v/>
      </c>
      <c r="BC77" s="24" t="str">
        <f t="shared" si="300"/>
        <v/>
      </c>
      <c r="BD77" s="24" t="str">
        <f t="shared" si="301"/>
        <v/>
      </c>
      <c r="BE77" s="24" t="str">
        <f t="shared" si="302"/>
        <v/>
      </c>
      <c r="BF77" s="24" t="str">
        <f t="shared" si="303"/>
        <v/>
      </c>
      <c r="BG77" s="24" t="str">
        <f t="shared" si="304"/>
        <v/>
      </c>
      <c r="BH77" s="24" t="str">
        <f t="shared" si="305"/>
        <v/>
      </c>
      <c r="BI77" s="24" t="str">
        <f t="shared" si="306"/>
        <v/>
      </c>
      <c r="BJ77" s="24" t="str">
        <f t="shared" si="307"/>
        <v/>
      </c>
      <c r="BK77" s="24" t="str">
        <f t="shared" si="308"/>
        <v/>
      </c>
      <c r="BL77" s="26" t="str">
        <f t="shared" si="309"/>
        <v/>
      </c>
      <c r="BM77" s="26" t="str">
        <f t="shared" si="310"/>
        <v/>
      </c>
      <c r="BN77" s="26" t="str">
        <f t="shared" si="311"/>
        <v/>
      </c>
      <c r="BO77" s="26" t="str">
        <f t="shared" si="312"/>
        <v/>
      </c>
      <c r="BP77" s="26" t="str">
        <f t="shared" si="313"/>
        <v/>
      </c>
      <c r="BQ77" s="26" t="str">
        <f t="shared" si="314"/>
        <v/>
      </c>
      <c r="BR77" s="26" t="str">
        <f t="shared" si="315"/>
        <v/>
      </c>
      <c r="BS77" s="26" t="str">
        <f t="shared" si="316"/>
        <v/>
      </c>
      <c r="BT77" s="26" t="str">
        <f t="shared" si="317"/>
        <v/>
      </c>
      <c r="BU77" s="26" t="str">
        <f t="shared" si="318"/>
        <v/>
      </c>
      <c r="BV77" s="26" t="str">
        <f t="shared" si="319"/>
        <v/>
      </c>
      <c r="BW77" s="26" t="str">
        <f t="shared" si="320"/>
        <v/>
      </c>
      <c r="BX77" s="26" t="str">
        <f t="shared" si="321"/>
        <v/>
      </c>
      <c r="BY77" s="26" t="str">
        <f t="shared" si="322"/>
        <v/>
      </c>
      <c r="BZ77" s="26" t="str">
        <f t="shared" si="323"/>
        <v/>
      </c>
      <c r="CA77" s="26" t="str">
        <f t="shared" si="324"/>
        <v/>
      </c>
      <c r="CB77" s="24" t="str">
        <f t="shared" si="258"/>
        <v/>
      </c>
      <c r="CC77" s="24" t="str">
        <f t="shared" si="259"/>
        <v/>
      </c>
      <c r="CD77" s="24" t="str">
        <f t="shared" si="260"/>
        <v/>
      </c>
      <c r="CE77" s="24" t="str">
        <f t="shared" si="347"/>
        <v/>
      </c>
      <c r="CF77" s="24" t="str">
        <f t="shared" si="261"/>
        <v/>
      </c>
      <c r="CG77" s="24" t="str">
        <f>IF(OR(BA77="",AK77=""),"",BA77*(IF(OR(AK77="A",AK77="a"),4,(IF(OR(#REF!="B",AK77="b"),3,(IF(OR(AK77="C",AK77="c"),2,(IF(OR(AK77="D",AK77="d"),1.5,(IF(OR(AK77="E",AK77="e"),1,(IF(OR(AK77="F",AK77="f"),0)))))))))))))</f>
        <v/>
      </c>
      <c r="CH77" s="24" t="str">
        <f t="shared" si="262"/>
        <v/>
      </c>
      <c r="CI77" s="24" t="str">
        <f t="shared" si="325"/>
        <v/>
      </c>
      <c r="CJ77" s="24" t="str">
        <f t="shared" si="326"/>
        <v/>
      </c>
      <c r="CK77" s="26" t="str">
        <f t="shared" si="327"/>
        <v/>
      </c>
      <c r="CL77" s="24" t="str">
        <f t="shared" si="343"/>
        <v/>
      </c>
      <c r="CM77" s="24" t="str">
        <f t="shared" si="344"/>
        <v/>
      </c>
      <c r="CN77" s="24" t="str">
        <f t="shared" si="328"/>
        <v/>
      </c>
      <c r="CO77" s="24" t="str">
        <f t="shared" si="329"/>
        <v/>
      </c>
      <c r="CP77" s="26" t="str">
        <f t="shared" si="330"/>
        <v/>
      </c>
      <c r="CQ77" s="26" t="str">
        <f t="shared" si="331"/>
        <v/>
      </c>
      <c r="CR77" s="26" t="str">
        <f t="shared" si="264"/>
        <v/>
      </c>
      <c r="CS77" s="24" t="str">
        <f t="shared" si="265"/>
        <v/>
      </c>
      <c r="CT77" s="27" t="str">
        <f t="shared" si="332"/>
        <v/>
      </c>
      <c r="CU77" s="26"/>
      <c r="CV77" s="27"/>
      <c r="CW77" s="27"/>
      <c r="CX77" s="27"/>
      <c r="CY77" s="27"/>
      <c r="CZ77" s="26"/>
      <c r="DA77" s="24" t="str">
        <f t="shared" si="266"/>
        <v/>
      </c>
      <c r="DB77" s="24" t="str">
        <f t="shared" si="337"/>
        <v/>
      </c>
      <c r="DC77" s="24" t="str">
        <f t="shared" si="263"/>
        <v/>
      </c>
      <c r="DD77" s="24" t="str">
        <f t="shared" si="338"/>
        <v/>
      </c>
      <c r="DE77" s="1"/>
      <c r="DF77" s="1"/>
      <c r="DG77" s="1"/>
      <c r="DH77" s="24" t="str">
        <f t="shared" si="339"/>
        <v/>
      </c>
      <c r="DI77" s="25" t="str">
        <f t="shared" si="340"/>
        <v/>
      </c>
      <c r="DJ77" t="str">
        <f t="shared" si="341"/>
        <v/>
      </c>
      <c r="DK77" s="9"/>
      <c r="DL77" s="9"/>
      <c r="DM77" s="9"/>
      <c r="DN77" s="9"/>
      <c r="DO77" s="9"/>
      <c r="DP77" s="9"/>
      <c r="DQ77" s="136" t="b">
        <f t="shared" si="342"/>
        <v>1</v>
      </c>
    </row>
    <row r="78" spans="1:121" ht="27" customHeight="1" x14ac:dyDescent="0.95">
      <c r="A78" s="24" t="str">
        <f t="shared" si="267"/>
        <v/>
      </c>
      <c r="B78" s="9"/>
      <c r="C78" s="14"/>
      <c r="D78" s="9"/>
      <c r="E78" s="9"/>
      <c r="F78" s="1"/>
      <c r="G78" s="1"/>
      <c r="H78" s="1"/>
      <c r="I78" s="1"/>
      <c r="J78" s="1"/>
      <c r="K78" s="1"/>
      <c r="L78" s="1"/>
      <c r="M78" s="1"/>
      <c r="N78" s="1"/>
      <c r="O78" s="1"/>
      <c r="P78" s="10"/>
      <c r="Q78" s="10"/>
      <c r="R78" s="10"/>
      <c r="S78" s="10"/>
      <c r="T78" s="10"/>
      <c r="U78" s="10"/>
      <c r="V78" s="10"/>
      <c r="W78" s="3" t="str">
        <f t="shared" si="268"/>
        <v/>
      </c>
      <c r="X78" s="3" t="str">
        <f t="shared" si="269"/>
        <v/>
      </c>
      <c r="Y78" s="3" t="str">
        <f t="shared" si="270"/>
        <v/>
      </c>
      <c r="Z78" s="3" t="str">
        <f t="shared" si="271"/>
        <v/>
      </c>
      <c r="AA78" s="3" t="str">
        <f t="shared" si="272"/>
        <v/>
      </c>
      <c r="AB78" s="3" t="str">
        <f t="shared" si="273"/>
        <v/>
      </c>
      <c r="AC78" s="3" t="str">
        <f t="shared" si="274"/>
        <v/>
      </c>
      <c r="AD78" s="3" t="str">
        <f t="shared" si="275"/>
        <v/>
      </c>
      <c r="AE78" s="3" t="str">
        <f t="shared" si="276"/>
        <v/>
      </c>
      <c r="AF78" s="24" t="str">
        <f t="shared" si="277"/>
        <v/>
      </c>
      <c r="AG78" s="24" t="str">
        <f t="shared" si="278"/>
        <v/>
      </c>
      <c r="AH78" s="24" t="str">
        <f t="shared" si="279"/>
        <v/>
      </c>
      <c r="AI78" s="24" t="str">
        <f t="shared" si="280"/>
        <v/>
      </c>
      <c r="AJ78" s="24" t="str">
        <f t="shared" si="281"/>
        <v/>
      </c>
      <c r="AK78" s="24" t="str">
        <f t="shared" si="282"/>
        <v/>
      </c>
      <c r="AL78" s="24" t="str">
        <f t="shared" si="283"/>
        <v/>
      </c>
      <c r="AM78" s="24" t="str">
        <f t="shared" si="284"/>
        <v/>
      </c>
      <c r="AN78" s="24" t="str">
        <f t="shared" si="285"/>
        <v/>
      </c>
      <c r="AO78" s="24" t="str">
        <f t="shared" si="286"/>
        <v/>
      </c>
      <c r="AP78" s="24" t="str">
        <f t="shared" si="287"/>
        <v/>
      </c>
      <c r="AQ78" s="24" t="str">
        <f t="shared" si="288"/>
        <v/>
      </c>
      <c r="AR78" s="24" t="str">
        <f t="shared" si="289"/>
        <v/>
      </c>
      <c r="AS78" s="24" t="str">
        <f t="shared" si="290"/>
        <v/>
      </c>
      <c r="AT78" s="24" t="str">
        <f t="shared" si="291"/>
        <v/>
      </c>
      <c r="AU78" s="24" t="str">
        <f t="shared" si="292"/>
        <v/>
      </c>
      <c r="AV78" s="24" t="str">
        <f t="shared" si="293"/>
        <v/>
      </c>
      <c r="AW78" s="24" t="str">
        <f t="shared" si="294"/>
        <v/>
      </c>
      <c r="AX78" s="24" t="str">
        <f t="shared" si="295"/>
        <v/>
      </c>
      <c r="AY78" s="24" t="str">
        <f t="shared" si="296"/>
        <v/>
      </c>
      <c r="AZ78" s="24" t="str">
        <f t="shared" si="297"/>
        <v/>
      </c>
      <c r="BA78" s="24" t="str">
        <f t="shared" si="298"/>
        <v/>
      </c>
      <c r="BB78" s="24" t="str">
        <f t="shared" si="299"/>
        <v/>
      </c>
      <c r="BC78" s="24" t="str">
        <f t="shared" si="300"/>
        <v/>
      </c>
      <c r="BD78" s="24" t="str">
        <f t="shared" si="301"/>
        <v/>
      </c>
      <c r="BE78" s="24" t="str">
        <f t="shared" si="302"/>
        <v/>
      </c>
      <c r="BF78" s="24" t="str">
        <f t="shared" si="303"/>
        <v/>
      </c>
      <c r="BG78" s="24" t="str">
        <f t="shared" si="304"/>
        <v/>
      </c>
      <c r="BH78" s="24" t="str">
        <f t="shared" si="305"/>
        <v/>
      </c>
      <c r="BI78" s="24" t="str">
        <f t="shared" si="306"/>
        <v/>
      </c>
      <c r="BJ78" s="24" t="str">
        <f t="shared" si="307"/>
        <v/>
      </c>
      <c r="BK78" s="24" t="str">
        <f t="shared" si="308"/>
        <v/>
      </c>
      <c r="BL78" s="26" t="str">
        <f t="shared" si="309"/>
        <v/>
      </c>
      <c r="BM78" s="26" t="str">
        <f t="shared" si="310"/>
        <v/>
      </c>
      <c r="BN78" s="26" t="str">
        <f t="shared" si="311"/>
        <v/>
      </c>
      <c r="BO78" s="26" t="str">
        <f t="shared" si="312"/>
        <v/>
      </c>
      <c r="BP78" s="26" t="str">
        <f t="shared" si="313"/>
        <v/>
      </c>
      <c r="BQ78" s="26" t="str">
        <f t="shared" si="314"/>
        <v/>
      </c>
      <c r="BR78" s="26" t="str">
        <f t="shared" si="315"/>
        <v/>
      </c>
      <c r="BS78" s="26" t="str">
        <f t="shared" si="316"/>
        <v/>
      </c>
      <c r="BT78" s="26" t="str">
        <f t="shared" si="317"/>
        <v/>
      </c>
      <c r="BU78" s="26" t="str">
        <f t="shared" si="318"/>
        <v/>
      </c>
      <c r="BV78" s="26" t="str">
        <f t="shared" si="319"/>
        <v/>
      </c>
      <c r="BW78" s="26" t="str">
        <f t="shared" si="320"/>
        <v/>
      </c>
      <c r="BX78" s="26" t="str">
        <f t="shared" si="321"/>
        <v/>
      </c>
      <c r="BY78" s="26" t="str">
        <f t="shared" si="322"/>
        <v/>
      </c>
      <c r="BZ78" s="26" t="str">
        <f t="shared" si="323"/>
        <v/>
      </c>
      <c r="CA78" s="26" t="str">
        <f t="shared" si="324"/>
        <v/>
      </c>
      <c r="CB78" s="24" t="str">
        <f t="shared" ref="CB78:CB82" si="348">IF(OR(AV78="",AF78=""),"",AV78*(IF(OR(AF78="A",AF78="a"),4,(IF(OR(AF587="B",AF78="b"),3,(IF(OR(AF78="C",AF78="c"),2,(IF(OR(AF78="D",AF78="d"),1.5,(IF(OR(AF78="E",AF78="e"),1,(IF(OR(AF78="F",AF78="f"),0)))))))))))))</f>
        <v/>
      </c>
      <c r="CC78" s="24" t="str">
        <f t="shared" ref="CC78:CC82" si="349">IF(OR(AW78="",AG78=""),"",AW78*(IF(OR(AG78="A",AG78="a"),4,(IF(OR(AG587="B",AG78="b"),3,(IF(OR(AG78="C",AG78="c"),2,(IF(OR(AG78="D",AG78="d"),1.5,(IF(OR(AG78="E",AG78="e"),1,(IF(OR(AG78="F",AG78="f"),0)))))))))))))</f>
        <v/>
      </c>
      <c r="CD78" s="24" t="str">
        <f t="shared" ref="CD78:CD82" si="350">IF(OR(AX78="",AH78=""),"",AX78*(IF(OR(AH78="A",AH78="a"),4,(IF(OR(AH587="B",AH78="b"),3,(IF(OR(AH78="C",AH78="c"),2,(IF(OR(AH78="D",AH78="d"),1.5,(IF(OR(AH78="E",AH78="e"),1,(IF(OR(AH78="F",AH78="f"),0)))))))))))))</f>
        <v/>
      </c>
      <c r="CE78" s="24" t="str">
        <f t="shared" si="347"/>
        <v/>
      </c>
      <c r="CF78" s="24" t="str">
        <f t="shared" ref="CF78:CF82" si="351">IF(OR(AZ78="",AJ78=""),"",AZ78*(IF(OR(AJ78="A",AJ78="a"),4,(IF(OR(AJ587="B",AJ78="b"),3,(IF(OR(AJ78="C",AJ78="c"),2,(IF(OR(AJ78="D",AJ78="d"),1.5,(IF(OR(AJ78="E",AJ78="e"),1,(IF(OR(AJ78="F",AJ78="f"),0)))))))))))))</f>
        <v/>
      </c>
      <c r="CG78" s="24" t="str">
        <f>IF(OR(BA78="",AK78=""),"",BA78*(IF(OR(AK78="A",AK78="a"),4,(IF(OR(#REF!="B",AK78="b"),3,(IF(OR(AK78="C",AK78="c"),2,(IF(OR(AK78="D",AK78="d"),1.5,(IF(OR(AK78="E",AK78="e"),1,(IF(OR(AK78="F",AK78="f"),0)))))))))))))</f>
        <v/>
      </c>
      <c r="CH78" s="24" t="str">
        <f t="shared" ref="CH78:CH82" si="352">IF(OR(BB78="",AL78=""),"",BB78*(IF(OR(AL78="A",AL78="a"),4,(IF(OR(AV587="B",AL78="b"),3,(IF(OR(AL78="C",AL78="c"),2,(IF(OR(AL78="D",AL78="d"),1.5,(IF(OR(AL78="E",AL78="e"),1,(IF(OR(AL78="F",AL78="f"),0)))))))))))))</f>
        <v/>
      </c>
      <c r="CI78" s="24" t="str">
        <f t="shared" si="325"/>
        <v/>
      </c>
      <c r="CJ78" s="24" t="str">
        <f t="shared" si="326"/>
        <v/>
      </c>
      <c r="CK78" s="26" t="str">
        <f t="shared" si="327"/>
        <v/>
      </c>
      <c r="CL78" s="24" t="str">
        <f t="shared" si="343"/>
        <v/>
      </c>
      <c r="CM78" s="24" t="str">
        <f t="shared" si="344"/>
        <v/>
      </c>
      <c r="CN78" s="24" t="str">
        <f t="shared" si="328"/>
        <v/>
      </c>
      <c r="CO78" s="24" t="str">
        <f t="shared" si="329"/>
        <v/>
      </c>
      <c r="CP78" s="26" t="str">
        <f t="shared" si="330"/>
        <v/>
      </c>
      <c r="CQ78" s="26" t="str">
        <f t="shared" si="331"/>
        <v/>
      </c>
      <c r="CR78" s="26" t="str">
        <f t="shared" si="264"/>
        <v/>
      </c>
      <c r="CS78" s="24" t="str">
        <f t="shared" si="265"/>
        <v/>
      </c>
      <c r="CT78" s="27" t="str">
        <f t="shared" si="332"/>
        <v/>
      </c>
      <c r="CU78" s="26"/>
      <c r="CV78" s="27"/>
      <c r="CW78" s="27"/>
      <c r="CX78" s="27"/>
      <c r="CY78" s="27"/>
      <c r="CZ78" s="26"/>
      <c r="DA78" s="24" t="str">
        <f t="shared" si="266"/>
        <v/>
      </c>
      <c r="DB78" s="24" t="str">
        <f t="shared" si="337"/>
        <v/>
      </c>
      <c r="DC78" s="24" t="str">
        <f t="shared" si="263"/>
        <v/>
      </c>
      <c r="DD78" s="24" t="str">
        <f t="shared" si="338"/>
        <v/>
      </c>
      <c r="DE78" s="1"/>
      <c r="DF78" s="1"/>
      <c r="DG78" s="1"/>
      <c r="DH78" s="24" t="str">
        <f t="shared" si="339"/>
        <v/>
      </c>
      <c r="DI78" s="25" t="str">
        <f t="shared" si="340"/>
        <v/>
      </c>
      <c r="DJ78" t="str">
        <f t="shared" si="341"/>
        <v/>
      </c>
      <c r="DK78" s="9"/>
      <c r="DL78" s="9"/>
      <c r="DM78" s="9"/>
      <c r="DN78" s="9"/>
      <c r="DO78" s="9"/>
      <c r="DP78" s="9"/>
      <c r="DQ78" s="136" t="b">
        <f t="shared" si="342"/>
        <v>1</v>
      </c>
    </row>
    <row r="79" spans="1:121" ht="27" customHeight="1" x14ac:dyDescent="0.95">
      <c r="A79" s="24" t="str">
        <f t="shared" si="267"/>
        <v/>
      </c>
      <c r="B79" s="9"/>
      <c r="C79" s="14"/>
      <c r="D79" s="9"/>
      <c r="E79" s="9"/>
      <c r="F79" s="1"/>
      <c r="G79" s="1"/>
      <c r="H79" s="1"/>
      <c r="I79" s="1"/>
      <c r="J79" s="1"/>
      <c r="K79" s="1"/>
      <c r="L79" s="1"/>
      <c r="M79" s="1"/>
      <c r="N79" s="1"/>
      <c r="O79" s="1"/>
      <c r="P79" s="10"/>
      <c r="Q79" s="10"/>
      <c r="R79" s="10"/>
      <c r="S79" s="10"/>
      <c r="T79" s="10"/>
      <c r="U79" s="10"/>
      <c r="V79" s="10"/>
      <c r="W79" s="3" t="str">
        <f t="shared" si="268"/>
        <v/>
      </c>
      <c r="X79" s="3" t="str">
        <f t="shared" si="269"/>
        <v/>
      </c>
      <c r="Y79" s="3" t="str">
        <f t="shared" si="270"/>
        <v/>
      </c>
      <c r="Z79" s="3" t="str">
        <f t="shared" si="271"/>
        <v/>
      </c>
      <c r="AA79" s="3" t="str">
        <f t="shared" si="272"/>
        <v/>
      </c>
      <c r="AB79" s="3" t="str">
        <f t="shared" si="273"/>
        <v/>
      </c>
      <c r="AC79" s="3" t="str">
        <f t="shared" si="274"/>
        <v/>
      </c>
      <c r="AD79" s="3" t="str">
        <f t="shared" si="275"/>
        <v/>
      </c>
      <c r="AE79" s="3" t="str">
        <f t="shared" si="276"/>
        <v/>
      </c>
      <c r="AF79" s="24" t="str">
        <f t="shared" si="277"/>
        <v/>
      </c>
      <c r="AG79" s="24" t="str">
        <f t="shared" si="278"/>
        <v/>
      </c>
      <c r="AH79" s="24" t="str">
        <f t="shared" si="279"/>
        <v/>
      </c>
      <c r="AI79" s="24" t="str">
        <f t="shared" si="280"/>
        <v/>
      </c>
      <c r="AJ79" s="24" t="str">
        <f t="shared" si="281"/>
        <v/>
      </c>
      <c r="AK79" s="24" t="str">
        <f t="shared" si="282"/>
        <v/>
      </c>
      <c r="AL79" s="24" t="str">
        <f t="shared" si="283"/>
        <v/>
      </c>
      <c r="AM79" s="24" t="str">
        <f t="shared" si="284"/>
        <v/>
      </c>
      <c r="AN79" s="24" t="str">
        <f t="shared" si="285"/>
        <v/>
      </c>
      <c r="AO79" s="24" t="str">
        <f t="shared" si="286"/>
        <v/>
      </c>
      <c r="AP79" s="24" t="str">
        <f t="shared" si="287"/>
        <v/>
      </c>
      <c r="AQ79" s="24" t="str">
        <f t="shared" si="288"/>
        <v/>
      </c>
      <c r="AR79" s="24" t="str">
        <f t="shared" si="289"/>
        <v/>
      </c>
      <c r="AS79" s="24" t="str">
        <f t="shared" si="290"/>
        <v/>
      </c>
      <c r="AT79" s="24" t="str">
        <f t="shared" si="291"/>
        <v/>
      </c>
      <c r="AU79" s="24" t="str">
        <f t="shared" si="292"/>
        <v/>
      </c>
      <c r="AV79" s="24" t="str">
        <f t="shared" si="293"/>
        <v/>
      </c>
      <c r="AW79" s="24" t="str">
        <f t="shared" si="294"/>
        <v/>
      </c>
      <c r="AX79" s="24" t="str">
        <f t="shared" si="295"/>
        <v/>
      </c>
      <c r="AY79" s="24" t="str">
        <f t="shared" si="296"/>
        <v/>
      </c>
      <c r="AZ79" s="24" t="str">
        <f t="shared" si="297"/>
        <v/>
      </c>
      <c r="BA79" s="24" t="str">
        <f t="shared" si="298"/>
        <v/>
      </c>
      <c r="BB79" s="24" t="str">
        <f t="shared" si="299"/>
        <v/>
      </c>
      <c r="BC79" s="24" t="str">
        <f t="shared" si="300"/>
        <v/>
      </c>
      <c r="BD79" s="24" t="str">
        <f t="shared" si="301"/>
        <v/>
      </c>
      <c r="BE79" s="24" t="str">
        <f t="shared" si="302"/>
        <v/>
      </c>
      <c r="BF79" s="24" t="str">
        <f t="shared" si="303"/>
        <v/>
      </c>
      <c r="BG79" s="24" t="str">
        <f t="shared" si="304"/>
        <v/>
      </c>
      <c r="BH79" s="24" t="str">
        <f t="shared" si="305"/>
        <v/>
      </c>
      <c r="BI79" s="24" t="str">
        <f t="shared" si="306"/>
        <v/>
      </c>
      <c r="BJ79" s="24" t="str">
        <f t="shared" si="307"/>
        <v/>
      </c>
      <c r="BK79" s="24" t="str">
        <f t="shared" si="308"/>
        <v/>
      </c>
      <c r="BL79" s="26" t="str">
        <f t="shared" si="309"/>
        <v/>
      </c>
      <c r="BM79" s="26" t="str">
        <f t="shared" si="310"/>
        <v/>
      </c>
      <c r="BN79" s="26" t="str">
        <f t="shared" si="311"/>
        <v/>
      </c>
      <c r="BO79" s="26" t="str">
        <f t="shared" si="312"/>
        <v/>
      </c>
      <c r="BP79" s="26" t="str">
        <f t="shared" si="313"/>
        <v/>
      </c>
      <c r="BQ79" s="26" t="str">
        <f t="shared" si="314"/>
        <v/>
      </c>
      <c r="BR79" s="26" t="str">
        <f t="shared" si="315"/>
        <v/>
      </c>
      <c r="BS79" s="26" t="str">
        <f t="shared" si="316"/>
        <v/>
      </c>
      <c r="BT79" s="26" t="str">
        <f t="shared" si="317"/>
        <v/>
      </c>
      <c r="BU79" s="26" t="str">
        <f t="shared" si="318"/>
        <v/>
      </c>
      <c r="BV79" s="26" t="str">
        <f t="shared" si="319"/>
        <v/>
      </c>
      <c r="BW79" s="26" t="str">
        <f t="shared" si="320"/>
        <v/>
      </c>
      <c r="BX79" s="26" t="str">
        <f t="shared" si="321"/>
        <v/>
      </c>
      <c r="BY79" s="26" t="str">
        <f t="shared" si="322"/>
        <v/>
      </c>
      <c r="BZ79" s="26" t="str">
        <f t="shared" si="323"/>
        <v/>
      </c>
      <c r="CA79" s="26" t="str">
        <f t="shared" si="324"/>
        <v/>
      </c>
      <c r="CB79" s="24" t="str">
        <f t="shared" si="348"/>
        <v/>
      </c>
      <c r="CC79" s="24" t="str">
        <f t="shared" si="349"/>
        <v/>
      </c>
      <c r="CD79" s="24" t="str">
        <f t="shared" si="350"/>
        <v/>
      </c>
      <c r="CE79" s="24" t="str">
        <f t="shared" si="347"/>
        <v/>
      </c>
      <c r="CF79" s="24" t="str">
        <f t="shared" si="351"/>
        <v/>
      </c>
      <c r="CG79" s="24" t="str">
        <f>IF(OR(BA79="",AK79=""),"",BA79*(IF(OR(AK79="A",AK79="a"),4,(IF(OR(#REF!="B",AK79="b"),3,(IF(OR(AK79="C",AK79="c"),2,(IF(OR(AK79="D",AK79="d"),1.5,(IF(OR(AK79="E",AK79="e"),1,(IF(OR(AK79="F",AK79="f"),0)))))))))))))</f>
        <v/>
      </c>
      <c r="CH79" s="24" t="str">
        <f t="shared" si="352"/>
        <v/>
      </c>
      <c r="CI79" s="24" t="str">
        <f t="shared" si="325"/>
        <v/>
      </c>
      <c r="CJ79" s="24" t="str">
        <f t="shared" si="326"/>
        <v/>
      </c>
      <c r="CK79" s="26" t="str">
        <f t="shared" si="327"/>
        <v/>
      </c>
      <c r="CL79" s="24" t="str">
        <f t="shared" si="343"/>
        <v/>
      </c>
      <c r="CM79" s="24" t="str">
        <f t="shared" si="344"/>
        <v/>
      </c>
      <c r="CN79" s="24" t="str">
        <f t="shared" si="328"/>
        <v/>
      </c>
      <c r="CO79" s="24" t="str">
        <f t="shared" si="329"/>
        <v/>
      </c>
      <c r="CP79" s="26" t="str">
        <f t="shared" si="330"/>
        <v/>
      </c>
      <c r="CQ79" s="26" t="str">
        <f t="shared" si="331"/>
        <v/>
      </c>
      <c r="CR79" s="26" t="str">
        <f t="shared" si="264"/>
        <v/>
      </c>
      <c r="CS79" s="24" t="str">
        <f t="shared" si="265"/>
        <v/>
      </c>
      <c r="CT79" s="27" t="str">
        <f t="shared" si="332"/>
        <v/>
      </c>
      <c r="CU79" s="26"/>
      <c r="CV79" s="27"/>
      <c r="CW79" s="27"/>
      <c r="CX79" s="27"/>
      <c r="CY79" s="27"/>
      <c r="CZ79" s="27"/>
      <c r="DA79" s="24" t="str">
        <f t="shared" si="266"/>
        <v/>
      </c>
      <c r="DB79" s="24" t="str">
        <f t="shared" si="337"/>
        <v/>
      </c>
      <c r="DC79" s="24" t="str">
        <f t="shared" si="263"/>
        <v/>
      </c>
      <c r="DD79" s="24" t="str">
        <f t="shared" si="338"/>
        <v/>
      </c>
      <c r="DE79" s="1"/>
      <c r="DF79" s="1"/>
      <c r="DG79" s="1"/>
      <c r="DH79" s="24" t="str">
        <f t="shared" si="339"/>
        <v/>
      </c>
      <c r="DI79" s="25" t="str">
        <f t="shared" si="340"/>
        <v/>
      </c>
      <c r="DJ79" t="str">
        <f t="shared" si="341"/>
        <v/>
      </c>
      <c r="DK79" s="9"/>
      <c r="DL79" s="9"/>
      <c r="DM79" s="9"/>
      <c r="DN79" s="9"/>
      <c r="DO79" s="9"/>
      <c r="DP79" s="9"/>
      <c r="DQ79" s="136" t="b">
        <f t="shared" si="342"/>
        <v>1</v>
      </c>
    </row>
    <row r="80" spans="1:121" ht="27" customHeight="1" x14ac:dyDescent="0.95">
      <c r="A80" s="24" t="str">
        <f t="shared" si="267"/>
        <v/>
      </c>
      <c r="B80" s="9"/>
      <c r="C80" s="14"/>
      <c r="D80" s="9"/>
      <c r="E80" s="9"/>
      <c r="F80" s="1"/>
      <c r="G80" s="1"/>
      <c r="H80" s="1"/>
      <c r="I80" s="1"/>
      <c r="J80" s="1"/>
      <c r="K80" s="1"/>
      <c r="L80" s="1"/>
      <c r="M80" s="1"/>
      <c r="N80" s="1"/>
      <c r="O80" s="1"/>
      <c r="P80" s="10"/>
      <c r="Q80" s="10"/>
      <c r="R80" s="10"/>
      <c r="S80" s="10"/>
      <c r="T80" s="10"/>
      <c r="U80" s="10"/>
      <c r="V80" s="10"/>
      <c r="W80" s="3" t="str">
        <f t="shared" si="268"/>
        <v/>
      </c>
      <c r="X80" s="3" t="str">
        <f t="shared" si="269"/>
        <v/>
      </c>
      <c r="Y80" s="3" t="str">
        <f t="shared" si="270"/>
        <v/>
      </c>
      <c r="Z80" s="3" t="str">
        <f t="shared" si="271"/>
        <v/>
      </c>
      <c r="AA80" s="3" t="str">
        <f t="shared" si="272"/>
        <v/>
      </c>
      <c r="AB80" s="3" t="str">
        <f t="shared" si="273"/>
        <v/>
      </c>
      <c r="AC80" s="3" t="str">
        <f t="shared" si="274"/>
        <v/>
      </c>
      <c r="AD80" s="3" t="str">
        <f t="shared" si="275"/>
        <v/>
      </c>
      <c r="AE80" s="3" t="str">
        <f t="shared" si="276"/>
        <v/>
      </c>
      <c r="AF80" s="24" t="str">
        <f t="shared" si="277"/>
        <v/>
      </c>
      <c r="AG80" s="24" t="str">
        <f t="shared" si="278"/>
        <v/>
      </c>
      <c r="AH80" s="24" t="str">
        <f t="shared" si="279"/>
        <v/>
      </c>
      <c r="AI80" s="24" t="str">
        <f t="shared" si="280"/>
        <v/>
      </c>
      <c r="AJ80" s="24" t="str">
        <f t="shared" si="281"/>
        <v/>
      </c>
      <c r="AK80" s="24" t="str">
        <f t="shared" si="282"/>
        <v/>
      </c>
      <c r="AL80" s="24" t="str">
        <f t="shared" si="283"/>
        <v/>
      </c>
      <c r="AM80" s="24" t="str">
        <f t="shared" si="284"/>
        <v/>
      </c>
      <c r="AN80" s="24" t="str">
        <f t="shared" si="285"/>
        <v/>
      </c>
      <c r="AO80" s="24" t="str">
        <f t="shared" si="286"/>
        <v/>
      </c>
      <c r="AP80" s="24" t="str">
        <f t="shared" si="287"/>
        <v/>
      </c>
      <c r="AQ80" s="24" t="str">
        <f t="shared" si="288"/>
        <v/>
      </c>
      <c r="AR80" s="24" t="str">
        <f t="shared" si="289"/>
        <v/>
      </c>
      <c r="AS80" s="24" t="str">
        <f t="shared" si="290"/>
        <v/>
      </c>
      <c r="AT80" s="24" t="str">
        <f t="shared" si="291"/>
        <v/>
      </c>
      <c r="AU80" s="24" t="str">
        <f t="shared" si="292"/>
        <v/>
      </c>
      <c r="AV80" s="24" t="str">
        <f t="shared" si="293"/>
        <v/>
      </c>
      <c r="AW80" s="24" t="str">
        <f t="shared" si="294"/>
        <v/>
      </c>
      <c r="AX80" s="24" t="str">
        <f t="shared" si="295"/>
        <v/>
      </c>
      <c r="AY80" s="24" t="str">
        <f t="shared" si="296"/>
        <v/>
      </c>
      <c r="AZ80" s="24" t="str">
        <f t="shared" si="297"/>
        <v/>
      </c>
      <c r="BA80" s="24" t="str">
        <f t="shared" si="298"/>
        <v/>
      </c>
      <c r="BB80" s="24" t="str">
        <f t="shared" si="299"/>
        <v/>
      </c>
      <c r="BC80" s="24" t="str">
        <f t="shared" si="300"/>
        <v/>
      </c>
      <c r="BD80" s="24" t="str">
        <f t="shared" si="301"/>
        <v/>
      </c>
      <c r="BE80" s="24" t="str">
        <f t="shared" si="302"/>
        <v/>
      </c>
      <c r="BF80" s="24" t="str">
        <f t="shared" si="303"/>
        <v/>
      </c>
      <c r="BG80" s="24" t="str">
        <f t="shared" si="304"/>
        <v/>
      </c>
      <c r="BH80" s="24" t="str">
        <f t="shared" si="305"/>
        <v/>
      </c>
      <c r="BI80" s="24" t="str">
        <f t="shared" si="306"/>
        <v/>
      </c>
      <c r="BJ80" s="24" t="str">
        <f t="shared" si="307"/>
        <v/>
      </c>
      <c r="BK80" s="24" t="str">
        <f t="shared" si="308"/>
        <v/>
      </c>
      <c r="BL80" s="26" t="str">
        <f t="shared" si="309"/>
        <v/>
      </c>
      <c r="BM80" s="26" t="str">
        <f t="shared" si="310"/>
        <v/>
      </c>
      <c r="BN80" s="26" t="str">
        <f t="shared" si="311"/>
        <v/>
      </c>
      <c r="BO80" s="26" t="str">
        <f t="shared" si="312"/>
        <v/>
      </c>
      <c r="BP80" s="26" t="str">
        <f t="shared" si="313"/>
        <v/>
      </c>
      <c r="BQ80" s="26" t="str">
        <f t="shared" si="314"/>
        <v/>
      </c>
      <c r="BR80" s="26" t="str">
        <f t="shared" si="315"/>
        <v/>
      </c>
      <c r="BS80" s="26" t="str">
        <f t="shared" si="316"/>
        <v/>
      </c>
      <c r="BT80" s="26" t="str">
        <f t="shared" si="317"/>
        <v/>
      </c>
      <c r="BU80" s="26" t="str">
        <f t="shared" si="318"/>
        <v/>
      </c>
      <c r="BV80" s="26" t="str">
        <f t="shared" si="319"/>
        <v/>
      </c>
      <c r="BW80" s="26" t="str">
        <f t="shared" si="320"/>
        <v/>
      </c>
      <c r="BX80" s="26" t="str">
        <f t="shared" si="321"/>
        <v/>
      </c>
      <c r="BY80" s="26" t="str">
        <f t="shared" si="322"/>
        <v/>
      </c>
      <c r="BZ80" s="26" t="str">
        <f t="shared" si="323"/>
        <v/>
      </c>
      <c r="CA80" s="26" t="str">
        <f t="shared" si="324"/>
        <v/>
      </c>
      <c r="CB80" s="24" t="str">
        <f t="shared" si="348"/>
        <v/>
      </c>
      <c r="CC80" s="24" t="str">
        <f t="shared" si="349"/>
        <v/>
      </c>
      <c r="CD80" s="24" t="str">
        <f t="shared" si="350"/>
        <v/>
      </c>
      <c r="CE80" s="24" t="str">
        <f t="shared" si="347"/>
        <v/>
      </c>
      <c r="CF80" s="24" t="str">
        <f t="shared" si="351"/>
        <v/>
      </c>
      <c r="CG80" s="24" t="str">
        <f>IF(OR(BA80="",AK80=""),"",BA80*(IF(OR(AK80="A",AK80="a"),4,(IF(OR(#REF!="B",AK80="b"),3,(IF(OR(AK80="C",AK80="c"),2,(IF(OR(AK80="D",AK80="d"),1.5,(IF(OR(AK80="E",AK80="e"),1,(IF(OR(AK80="F",AK80="f"),0)))))))))))))</f>
        <v/>
      </c>
      <c r="CH80" s="24" t="str">
        <f t="shared" si="352"/>
        <v/>
      </c>
      <c r="CI80" s="24" t="str">
        <f t="shared" si="325"/>
        <v/>
      </c>
      <c r="CJ80" s="24" t="str">
        <f t="shared" si="326"/>
        <v/>
      </c>
      <c r="CK80" s="26" t="str">
        <f t="shared" si="327"/>
        <v/>
      </c>
      <c r="CL80" s="24" t="str">
        <f t="shared" ref="CL80:CL82" si="353">IF(OR(CI80="",CJ80=""),"",CJ80/CI80)</f>
        <v/>
      </c>
      <c r="CM80" s="24" t="str">
        <f t="shared" ref="CM80:CM82" si="354">IF(CL80="","",IF(CL80&gt;=90,"A",IF(CL80&gt;=80,"B",IF(CL80&gt;=70,"C",IF(CL80&gt;=60,"D",IF(CL80&gt;=50,"E",IF(CL80&gt;=0,"F","")))))))</f>
        <v/>
      </c>
      <c r="CN80" s="24" t="str">
        <f t="shared" si="328"/>
        <v/>
      </c>
      <c r="CO80" s="24" t="str">
        <f t="shared" si="329"/>
        <v/>
      </c>
      <c r="CP80" s="26" t="str">
        <f t="shared" si="330"/>
        <v/>
      </c>
      <c r="CQ80" s="26" t="str">
        <f t="shared" si="331"/>
        <v/>
      </c>
      <c r="CR80" s="26" t="str">
        <f t="shared" si="264"/>
        <v/>
      </c>
      <c r="CS80" s="24" t="str">
        <f t="shared" si="265"/>
        <v/>
      </c>
      <c r="CT80" s="27" t="str">
        <f t="shared" si="332"/>
        <v/>
      </c>
      <c r="CU80" s="26"/>
      <c r="CV80" s="27"/>
      <c r="CW80" s="27"/>
      <c r="CX80" s="27"/>
      <c r="CY80" s="27"/>
      <c r="CZ80" s="27"/>
      <c r="DA80" s="24" t="str">
        <f t="shared" si="266"/>
        <v/>
      </c>
      <c r="DB80" s="24" t="str">
        <f t="shared" si="337"/>
        <v/>
      </c>
      <c r="DC80" s="24" t="str">
        <f t="shared" si="263"/>
        <v/>
      </c>
      <c r="DD80" s="24" t="str">
        <f t="shared" si="338"/>
        <v/>
      </c>
      <c r="DE80" s="1"/>
      <c r="DF80" s="1"/>
      <c r="DG80" s="1"/>
      <c r="DH80" s="24" t="str">
        <f t="shared" si="339"/>
        <v/>
      </c>
      <c r="DI80" s="25" t="str">
        <f t="shared" si="340"/>
        <v/>
      </c>
      <c r="DJ80" t="str">
        <f t="shared" si="341"/>
        <v/>
      </c>
      <c r="DK80" s="9"/>
      <c r="DL80" s="9"/>
      <c r="DM80" s="9"/>
      <c r="DN80" s="9"/>
      <c r="DO80" s="9"/>
      <c r="DP80" s="9"/>
      <c r="DQ80" s="136" t="b">
        <f t="shared" si="342"/>
        <v>1</v>
      </c>
    </row>
    <row r="81" spans="1:121" ht="27" customHeight="1" x14ac:dyDescent="0.95">
      <c r="A81" s="24" t="str">
        <f t="shared" si="267"/>
        <v/>
      </c>
      <c r="B81" s="9"/>
      <c r="C81" s="14"/>
      <c r="D81" s="9"/>
      <c r="E81" s="9"/>
      <c r="F81" s="1"/>
      <c r="G81" s="1"/>
      <c r="H81" s="1"/>
      <c r="I81" s="1"/>
      <c r="J81" s="1"/>
      <c r="K81" s="1"/>
      <c r="L81" s="1"/>
      <c r="M81" s="1"/>
      <c r="N81" s="1"/>
      <c r="O81" s="1"/>
      <c r="P81" s="10"/>
      <c r="Q81" s="10"/>
      <c r="R81" s="10"/>
      <c r="S81" s="10"/>
      <c r="T81" s="10"/>
      <c r="U81" s="10"/>
      <c r="V81" s="10"/>
      <c r="W81" s="3" t="str">
        <f t="shared" si="268"/>
        <v/>
      </c>
      <c r="X81" s="3" t="str">
        <f t="shared" si="269"/>
        <v/>
      </c>
      <c r="Y81" s="3" t="str">
        <f t="shared" si="270"/>
        <v/>
      </c>
      <c r="Z81" s="3" t="str">
        <f t="shared" si="271"/>
        <v/>
      </c>
      <c r="AA81" s="3" t="str">
        <f t="shared" si="272"/>
        <v/>
      </c>
      <c r="AB81" s="3" t="str">
        <f t="shared" si="273"/>
        <v/>
      </c>
      <c r="AC81" s="3" t="str">
        <f t="shared" si="274"/>
        <v/>
      </c>
      <c r="AD81" s="3" t="str">
        <f t="shared" si="275"/>
        <v/>
      </c>
      <c r="AE81" s="3" t="str">
        <f t="shared" si="276"/>
        <v/>
      </c>
      <c r="AF81" s="24" t="str">
        <f t="shared" si="277"/>
        <v/>
      </c>
      <c r="AG81" s="24" t="str">
        <f t="shared" si="278"/>
        <v/>
      </c>
      <c r="AH81" s="24" t="str">
        <f t="shared" si="279"/>
        <v/>
      </c>
      <c r="AI81" s="24" t="str">
        <f t="shared" si="280"/>
        <v/>
      </c>
      <c r="AJ81" s="24" t="str">
        <f t="shared" si="281"/>
        <v/>
      </c>
      <c r="AK81" s="24" t="str">
        <f t="shared" si="282"/>
        <v/>
      </c>
      <c r="AL81" s="24" t="str">
        <f t="shared" si="283"/>
        <v/>
      </c>
      <c r="AM81" s="24" t="str">
        <f t="shared" si="284"/>
        <v/>
      </c>
      <c r="AN81" s="24" t="str">
        <f t="shared" si="285"/>
        <v/>
      </c>
      <c r="AO81" s="24" t="str">
        <f t="shared" si="286"/>
        <v/>
      </c>
      <c r="AP81" s="24" t="str">
        <f t="shared" si="287"/>
        <v/>
      </c>
      <c r="AQ81" s="24" t="str">
        <f t="shared" si="288"/>
        <v/>
      </c>
      <c r="AR81" s="24" t="str">
        <f t="shared" si="289"/>
        <v/>
      </c>
      <c r="AS81" s="24" t="str">
        <f t="shared" si="290"/>
        <v/>
      </c>
      <c r="AT81" s="24" t="str">
        <f t="shared" si="291"/>
        <v/>
      </c>
      <c r="AU81" s="24" t="str">
        <f t="shared" si="292"/>
        <v/>
      </c>
      <c r="AV81" s="24" t="str">
        <f t="shared" si="293"/>
        <v/>
      </c>
      <c r="AW81" s="24" t="str">
        <f t="shared" si="294"/>
        <v/>
      </c>
      <c r="AX81" s="24" t="str">
        <f t="shared" si="295"/>
        <v/>
      </c>
      <c r="AY81" s="24" t="str">
        <f t="shared" si="296"/>
        <v/>
      </c>
      <c r="AZ81" s="24" t="str">
        <f t="shared" si="297"/>
        <v/>
      </c>
      <c r="BA81" s="24" t="str">
        <f t="shared" si="298"/>
        <v/>
      </c>
      <c r="BB81" s="24" t="str">
        <f t="shared" si="299"/>
        <v/>
      </c>
      <c r="BC81" s="24" t="str">
        <f t="shared" si="300"/>
        <v/>
      </c>
      <c r="BD81" s="24" t="str">
        <f t="shared" si="301"/>
        <v/>
      </c>
      <c r="BE81" s="24" t="str">
        <f t="shared" si="302"/>
        <v/>
      </c>
      <c r="BF81" s="24" t="str">
        <f t="shared" si="303"/>
        <v/>
      </c>
      <c r="BG81" s="24" t="str">
        <f t="shared" si="304"/>
        <v/>
      </c>
      <c r="BH81" s="24" t="str">
        <f t="shared" si="305"/>
        <v/>
      </c>
      <c r="BI81" s="24" t="str">
        <f t="shared" si="306"/>
        <v/>
      </c>
      <c r="BJ81" s="24" t="str">
        <f t="shared" si="307"/>
        <v/>
      </c>
      <c r="BK81" s="24" t="str">
        <f t="shared" si="308"/>
        <v/>
      </c>
      <c r="BL81" s="26" t="str">
        <f t="shared" si="309"/>
        <v/>
      </c>
      <c r="BM81" s="26" t="str">
        <f t="shared" si="310"/>
        <v/>
      </c>
      <c r="BN81" s="26" t="str">
        <f t="shared" si="311"/>
        <v/>
      </c>
      <c r="BO81" s="26" t="str">
        <f t="shared" si="312"/>
        <v/>
      </c>
      <c r="BP81" s="26" t="str">
        <f t="shared" si="313"/>
        <v/>
      </c>
      <c r="BQ81" s="26" t="str">
        <f t="shared" si="314"/>
        <v/>
      </c>
      <c r="BR81" s="26" t="str">
        <f t="shared" si="315"/>
        <v/>
      </c>
      <c r="BS81" s="26" t="str">
        <f t="shared" si="316"/>
        <v/>
      </c>
      <c r="BT81" s="26" t="str">
        <f t="shared" si="317"/>
        <v/>
      </c>
      <c r="BU81" s="26" t="str">
        <f t="shared" si="318"/>
        <v/>
      </c>
      <c r="BV81" s="26" t="str">
        <f t="shared" si="319"/>
        <v/>
      </c>
      <c r="BW81" s="26" t="str">
        <f t="shared" si="320"/>
        <v/>
      </c>
      <c r="BX81" s="26" t="str">
        <f t="shared" si="321"/>
        <v/>
      </c>
      <c r="BY81" s="26" t="str">
        <f t="shared" si="322"/>
        <v/>
      </c>
      <c r="BZ81" s="26" t="str">
        <f t="shared" si="323"/>
        <v/>
      </c>
      <c r="CA81" s="26" t="str">
        <f t="shared" si="324"/>
        <v/>
      </c>
      <c r="CB81" s="24" t="str">
        <f t="shared" si="348"/>
        <v/>
      </c>
      <c r="CC81" s="24" t="str">
        <f t="shared" si="349"/>
        <v/>
      </c>
      <c r="CD81" s="24" t="str">
        <f t="shared" si="350"/>
        <v/>
      </c>
      <c r="CE81" s="24" t="str">
        <f t="shared" si="347"/>
        <v/>
      </c>
      <c r="CF81" s="24" t="str">
        <f t="shared" si="351"/>
        <v/>
      </c>
      <c r="CG81" s="24" t="str">
        <f>IF(OR(BA81="",AK81=""),"",BA81*(IF(OR(AK81="A",AK81="a"),4,(IF(OR(#REF!="B",AK81="b"),3,(IF(OR(AK81="C",AK81="c"),2,(IF(OR(AK81="D",AK81="d"),1.5,(IF(OR(AK81="E",AK81="e"),1,(IF(OR(AK81="F",AK81="f"),0)))))))))))))</f>
        <v/>
      </c>
      <c r="CH81" s="24" t="str">
        <f t="shared" si="352"/>
        <v/>
      </c>
      <c r="CI81" s="24" t="str">
        <f t="shared" si="325"/>
        <v/>
      </c>
      <c r="CJ81" s="24" t="str">
        <f t="shared" si="326"/>
        <v/>
      </c>
      <c r="CK81" s="26" t="str">
        <f t="shared" si="327"/>
        <v/>
      </c>
      <c r="CL81" s="24" t="str">
        <f t="shared" si="353"/>
        <v/>
      </c>
      <c r="CM81" s="24" t="str">
        <f t="shared" si="354"/>
        <v/>
      </c>
      <c r="CN81" s="24" t="str">
        <f t="shared" si="328"/>
        <v/>
      </c>
      <c r="CO81" s="24" t="str">
        <f t="shared" si="329"/>
        <v/>
      </c>
      <c r="CP81" s="26" t="str">
        <f t="shared" si="330"/>
        <v/>
      </c>
      <c r="CQ81" s="26" t="str">
        <f t="shared" si="331"/>
        <v/>
      </c>
      <c r="CR81" s="26" t="str">
        <f t="shared" si="264"/>
        <v/>
      </c>
      <c r="CS81" s="24" t="str">
        <f t="shared" si="265"/>
        <v/>
      </c>
      <c r="CT81" s="27" t="str">
        <f t="shared" si="332"/>
        <v/>
      </c>
      <c r="CU81" s="26"/>
      <c r="CV81" s="27"/>
      <c r="CW81" s="27"/>
      <c r="CX81" s="27"/>
      <c r="CY81" s="27"/>
      <c r="CZ81" s="27"/>
      <c r="DA81" s="24" t="str">
        <f t="shared" si="266"/>
        <v/>
      </c>
      <c r="DB81" s="24" t="str">
        <f t="shared" si="337"/>
        <v/>
      </c>
      <c r="DC81" s="24" t="str">
        <f t="shared" si="263"/>
        <v/>
      </c>
      <c r="DD81" s="24" t="str">
        <f t="shared" si="338"/>
        <v/>
      </c>
      <c r="DE81" s="1"/>
      <c r="DF81" s="1"/>
      <c r="DG81" s="1"/>
      <c r="DH81" s="24" t="str">
        <f t="shared" si="339"/>
        <v/>
      </c>
      <c r="DI81" s="25" t="str">
        <f t="shared" si="340"/>
        <v/>
      </c>
      <c r="DJ81" t="str">
        <f t="shared" si="341"/>
        <v/>
      </c>
      <c r="DK81" s="9"/>
      <c r="DL81" s="9"/>
      <c r="DM81" s="9"/>
      <c r="DN81" s="9"/>
      <c r="DO81" s="9"/>
      <c r="DP81" s="9"/>
      <c r="DQ81" s="136" t="b">
        <f t="shared" si="342"/>
        <v>1</v>
      </c>
    </row>
    <row r="82" spans="1:121" ht="27" customHeight="1" x14ac:dyDescent="0.95">
      <c r="A82" s="24" t="str">
        <f t="shared" si="267"/>
        <v/>
      </c>
      <c r="B82" s="9"/>
      <c r="C82" s="14"/>
      <c r="D82" s="9"/>
      <c r="E82" s="9"/>
      <c r="F82" s="1"/>
      <c r="G82" s="1"/>
      <c r="H82" s="1"/>
      <c r="I82" s="1"/>
      <c r="J82" s="1"/>
      <c r="K82" s="1"/>
      <c r="L82" s="1"/>
      <c r="M82" s="1"/>
      <c r="N82" s="1"/>
      <c r="O82" s="1"/>
      <c r="P82" s="10"/>
      <c r="Q82" s="10"/>
      <c r="R82" s="10"/>
      <c r="S82" s="10"/>
      <c r="T82" s="10"/>
      <c r="U82" s="10"/>
      <c r="V82" s="10"/>
      <c r="W82" s="3" t="str">
        <f t="shared" si="268"/>
        <v/>
      </c>
      <c r="X82" s="3" t="str">
        <f t="shared" si="269"/>
        <v/>
      </c>
      <c r="Y82" s="3" t="str">
        <f t="shared" si="270"/>
        <v/>
      </c>
      <c r="Z82" s="3" t="str">
        <f t="shared" si="271"/>
        <v/>
      </c>
      <c r="AA82" s="3" t="str">
        <f t="shared" si="272"/>
        <v/>
      </c>
      <c r="AB82" s="3" t="str">
        <f t="shared" si="273"/>
        <v/>
      </c>
      <c r="AC82" s="3" t="str">
        <f t="shared" si="274"/>
        <v/>
      </c>
      <c r="AD82" s="3" t="str">
        <f t="shared" si="275"/>
        <v/>
      </c>
      <c r="AE82" s="3" t="str">
        <f t="shared" si="276"/>
        <v/>
      </c>
      <c r="AF82" s="24" t="str">
        <f t="shared" si="277"/>
        <v/>
      </c>
      <c r="AG82" s="24" t="str">
        <f t="shared" si="278"/>
        <v/>
      </c>
      <c r="AH82" s="24" t="str">
        <f t="shared" si="279"/>
        <v/>
      </c>
      <c r="AI82" s="24" t="str">
        <f t="shared" si="280"/>
        <v/>
      </c>
      <c r="AJ82" s="24" t="str">
        <f t="shared" si="281"/>
        <v/>
      </c>
      <c r="AK82" s="24" t="str">
        <f t="shared" si="282"/>
        <v/>
      </c>
      <c r="AL82" s="24" t="str">
        <f t="shared" si="283"/>
        <v/>
      </c>
      <c r="AM82" s="24" t="str">
        <f t="shared" si="284"/>
        <v/>
      </c>
      <c r="AN82" s="24" t="str">
        <f t="shared" si="285"/>
        <v/>
      </c>
      <c r="AO82" s="24" t="str">
        <f t="shared" si="286"/>
        <v/>
      </c>
      <c r="AP82" s="24" t="str">
        <f t="shared" si="287"/>
        <v/>
      </c>
      <c r="AQ82" s="24" t="str">
        <f t="shared" si="288"/>
        <v/>
      </c>
      <c r="AR82" s="24" t="str">
        <f t="shared" si="289"/>
        <v/>
      </c>
      <c r="AS82" s="24" t="str">
        <f t="shared" si="290"/>
        <v/>
      </c>
      <c r="AT82" s="24" t="str">
        <f t="shared" si="291"/>
        <v/>
      </c>
      <c r="AU82" s="24" t="str">
        <f t="shared" si="292"/>
        <v/>
      </c>
      <c r="AV82" s="24" t="str">
        <f t="shared" si="293"/>
        <v/>
      </c>
      <c r="AW82" s="24" t="str">
        <f t="shared" si="294"/>
        <v/>
      </c>
      <c r="AX82" s="24" t="str">
        <f t="shared" si="295"/>
        <v/>
      </c>
      <c r="AY82" s="24" t="str">
        <f t="shared" si="296"/>
        <v/>
      </c>
      <c r="AZ82" s="24" t="str">
        <f t="shared" si="297"/>
        <v/>
      </c>
      <c r="BA82" s="24" t="str">
        <f t="shared" si="298"/>
        <v/>
      </c>
      <c r="BB82" s="24" t="str">
        <f t="shared" si="299"/>
        <v/>
      </c>
      <c r="BC82" s="24" t="str">
        <f t="shared" si="300"/>
        <v/>
      </c>
      <c r="BD82" s="24" t="str">
        <f t="shared" si="301"/>
        <v/>
      </c>
      <c r="BE82" s="24" t="str">
        <f t="shared" si="302"/>
        <v/>
      </c>
      <c r="BF82" s="24" t="str">
        <f t="shared" si="303"/>
        <v/>
      </c>
      <c r="BG82" s="24" t="str">
        <f t="shared" si="304"/>
        <v/>
      </c>
      <c r="BH82" s="24" t="str">
        <f t="shared" si="305"/>
        <v/>
      </c>
      <c r="BI82" s="24" t="str">
        <f t="shared" si="306"/>
        <v/>
      </c>
      <c r="BJ82" s="24" t="str">
        <f t="shared" si="307"/>
        <v/>
      </c>
      <c r="BK82" s="24" t="str">
        <f t="shared" si="308"/>
        <v/>
      </c>
      <c r="BL82" s="26" t="str">
        <f t="shared" si="309"/>
        <v/>
      </c>
      <c r="BM82" s="26" t="str">
        <f t="shared" si="310"/>
        <v/>
      </c>
      <c r="BN82" s="26" t="str">
        <f t="shared" si="311"/>
        <v/>
      </c>
      <c r="BO82" s="26" t="str">
        <f t="shared" si="312"/>
        <v/>
      </c>
      <c r="BP82" s="26" t="str">
        <f t="shared" si="313"/>
        <v/>
      </c>
      <c r="BQ82" s="26" t="str">
        <f t="shared" si="314"/>
        <v/>
      </c>
      <c r="BR82" s="26" t="str">
        <f t="shared" si="315"/>
        <v/>
      </c>
      <c r="BS82" s="26" t="str">
        <f t="shared" si="316"/>
        <v/>
      </c>
      <c r="BT82" s="26" t="str">
        <f t="shared" si="317"/>
        <v/>
      </c>
      <c r="BU82" s="26" t="str">
        <f t="shared" si="318"/>
        <v/>
      </c>
      <c r="BV82" s="26" t="str">
        <f t="shared" si="319"/>
        <v/>
      </c>
      <c r="BW82" s="26" t="str">
        <f t="shared" si="320"/>
        <v/>
      </c>
      <c r="BX82" s="26" t="str">
        <f t="shared" si="321"/>
        <v/>
      </c>
      <c r="BY82" s="26" t="str">
        <f t="shared" si="322"/>
        <v/>
      </c>
      <c r="BZ82" s="26" t="str">
        <f t="shared" si="323"/>
        <v/>
      </c>
      <c r="CA82" s="26" t="str">
        <f t="shared" si="324"/>
        <v/>
      </c>
      <c r="CB82" s="24" t="str">
        <f t="shared" si="348"/>
        <v/>
      </c>
      <c r="CC82" s="24" t="str">
        <f t="shared" si="349"/>
        <v/>
      </c>
      <c r="CD82" s="24" t="str">
        <f t="shared" si="350"/>
        <v/>
      </c>
      <c r="CE82" s="24" t="str">
        <f t="shared" si="347"/>
        <v/>
      </c>
      <c r="CF82" s="24" t="str">
        <f t="shared" si="351"/>
        <v/>
      </c>
      <c r="CG82" s="24" t="str">
        <f>IF(OR(BA82="",AK82=""),"",BA82*(IF(OR(AK82="A",AK82="a"),4,(IF(OR(#REF!="B",AK82="b"),3,(IF(OR(AK82="C",AK82="c"),2,(IF(OR(AK82="D",AK82="d"),1.5,(IF(OR(AK82="E",AK82="e"),1,(IF(OR(AK82="F",AK82="f"),0)))))))))))))</f>
        <v/>
      </c>
      <c r="CH82" s="24" t="str">
        <f t="shared" si="352"/>
        <v/>
      </c>
      <c r="CI82" s="24" t="str">
        <f t="shared" si="325"/>
        <v/>
      </c>
      <c r="CJ82" s="24" t="str">
        <f t="shared" si="326"/>
        <v/>
      </c>
      <c r="CK82" s="26" t="str">
        <f t="shared" si="327"/>
        <v/>
      </c>
      <c r="CL82" s="24" t="str">
        <f t="shared" si="353"/>
        <v/>
      </c>
      <c r="CM82" s="24" t="str">
        <f t="shared" si="354"/>
        <v/>
      </c>
      <c r="CN82" s="24" t="str">
        <f t="shared" si="328"/>
        <v/>
      </c>
      <c r="CO82" s="24" t="str">
        <f t="shared" si="329"/>
        <v/>
      </c>
      <c r="CP82" s="26" t="str">
        <f t="shared" si="330"/>
        <v/>
      </c>
      <c r="CQ82" s="26" t="str">
        <f t="shared" si="331"/>
        <v/>
      </c>
      <c r="CR82" s="26" t="str">
        <f t="shared" si="264"/>
        <v/>
      </c>
      <c r="CS82" s="24" t="str">
        <f t="shared" si="265"/>
        <v/>
      </c>
      <c r="CT82" s="27" t="str">
        <f t="shared" si="332"/>
        <v/>
      </c>
      <c r="CU82" s="26"/>
      <c r="CV82" s="27"/>
      <c r="CW82" s="27"/>
      <c r="CX82" s="27"/>
      <c r="CY82" s="27"/>
      <c r="CZ82" s="27"/>
      <c r="DA82" s="24" t="str">
        <f t="shared" si="266"/>
        <v/>
      </c>
      <c r="DB82" s="24" t="str">
        <f t="shared" si="337"/>
        <v/>
      </c>
      <c r="DC82" s="24" t="str">
        <f t="shared" si="263"/>
        <v/>
      </c>
      <c r="DD82" s="24" t="str">
        <f t="shared" si="338"/>
        <v/>
      </c>
      <c r="DE82" s="1"/>
      <c r="DF82" s="1"/>
      <c r="DG82" s="1"/>
      <c r="DH82" s="24" t="str">
        <f t="shared" si="339"/>
        <v/>
      </c>
      <c r="DI82" s="25" t="str">
        <f t="shared" si="340"/>
        <v/>
      </c>
      <c r="DJ82" t="str">
        <f t="shared" si="341"/>
        <v/>
      </c>
      <c r="DK82" s="9"/>
      <c r="DL82" s="9"/>
      <c r="DM82" s="9"/>
      <c r="DN82" s="9"/>
      <c r="DO82" s="9"/>
      <c r="DP82" s="9"/>
      <c r="DQ82" s="136" t="b">
        <f t="shared" si="342"/>
        <v>1</v>
      </c>
    </row>
  </sheetData>
  <mergeCells count="120">
    <mergeCell ref="DK12:DP12"/>
    <mergeCell ref="DQ12:DQ14"/>
    <mergeCell ref="DK13:DK14"/>
    <mergeCell ref="DL13:DL14"/>
    <mergeCell ref="DM13:DM14"/>
    <mergeCell ref="DN13:DN14"/>
    <mergeCell ref="DO13:DO14"/>
    <mergeCell ref="DP13:DP14"/>
    <mergeCell ref="CO12:CT12"/>
    <mergeCell ref="CU14:CZ14"/>
    <mergeCell ref="DI13:DI14"/>
    <mergeCell ref="DE13:DE14"/>
    <mergeCell ref="DF13:DF14"/>
    <mergeCell ref="CP13:CP14"/>
    <mergeCell ref="CQ13:CQ14"/>
    <mergeCell ref="CR13:CR14"/>
    <mergeCell ref="DG13:DG14"/>
    <mergeCell ref="DH13:DH14"/>
    <mergeCell ref="CS13:CS14"/>
    <mergeCell ref="CU12:DD12"/>
    <mergeCell ref="DA13:DA14"/>
    <mergeCell ref="DB13:DB14"/>
    <mergeCell ref="DC13:DC14"/>
    <mergeCell ref="DD13:DD14"/>
    <mergeCell ref="CO13:CO14"/>
    <mergeCell ref="BG13:BG14"/>
    <mergeCell ref="BH13:BH14"/>
    <mergeCell ref="BI13:BI14"/>
    <mergeCell ref="BJ13:BJ14"/>
    <mergeCell ref="BK13:BK14"/>
    <mergeCell ref="BS13:BS14"/>
    <mergeCell ref="BT13:BT14"/>
    <mergeCell ref="BU13:BU14"/>
    <mergeCell ref="BV13:BV14"/>
    <mergeCell ref="BW13:BW14"/>
    <mergeCell ref="BX13:BX14"/>
    <mergeCell ref="BY13:BY14"/>
    <mergeCell ref="BZ13:BZ14"/>
    <mergeCell ref="CA13:CA14"/>
    <mergeCell ref="CI12:CN12"/>
    <mergeCell ref="CI13:CI14"/>
    <mergeCell ref="CJ13:CJ14"/>
    <mergeCell ref="CK13:CK14"/>
    <mergeCell ref="CL13:CL14"/>
    <mergeCell ref="CM13:CM14"/>
    <mergeCell ref="CN13:CN14"/>
    <mergeCell ref="CE13:CE14"/>
    <mergeCell ref="G12:O12"/>
    <mergeCell ref="G13:G14"/>
    <mergeCell ref="H13:H14"/>
    <mergeCell ref="I13:I14"/>
    <mergeCell ref="J13:J14"/>
    <mergeCell ref="K13:K14"/>
    <mergeCell ref="L13:L14"/>
    <mergeCell ref="M13:M14"/>
    <mergeCell ref="N13:N14"/>
    <mergeCell ref="O13:O14"/>
    <mergeCell ref="W12:AE12"/>
    <mergeCell ref="W13:W14"/>
    <mergeCell ref="X13:X14"/>
    <mergeCell ref="Y13:Y14"/>
    <mergeCell ref="Z13:Z14"/>
    <mergeCell ref="AA13:AA14"/>
    <mergeCell ref="AM12:AU12"/>
    <mergeCell ref="CD13:CD14"/>
    <mergeCell ref="BC12:BK12"/>
    <mergeCell ref="BL13:BL14"/>
    <mergeCell ref="BM13:BM14"/>
    <mergeCell ref="BN13:BN14"/>
    <mergeCell ref="BP13:BP14"/>
    <mergeCell ref="CB13:CB14"/>
    <mergeCell ref="AL13:AL14"/>
    <mergeCell ref="BO13:BO14"/>
    <mergeCell ref="BC13:BC14"/>
    <mergeCell ref="BD13:BD14"/>
    <mergeCell ref="BE13:BE14"/>
    <mergeCell ref="BF13:BF14"/>
    <mergeCell ref="CC13:CC14"/>
    <mergeCell ref="BS12:CA12"/>
    <mergeCell ref="P13:P14"/>
    <mergeCell ref="Q13:Q14"/>
    <mergeCell ref="R13:R14"/>
    <mergeCell ref="T13:T14"/>
    <mergeCell ref="AF13:AF14"/>
    <mergeCell ref="AG13:AG14"/>
    <mergeCell ref="AH13:AH14"/>
    <mergeCell ref="AJ13:AJ14"/>
    <mergeCell ref="AK13:AK14"/>
    <mergeCell ref="U13:U14"/>
    <mergeCell ref="S13:S14"/>
    <mergeCell ref="V13:V14"/>
    <mergeCell ref="AI13:AI14"/>
    <mergeCell ref="AB13:AB14"/>
    <mergeCell ref="AC13:AC14"/>
    <mergeCell ref="AD13:AD14"/>
    <mergeCell ref="AE13:AE14"/>
    <mergeCell ref="A8:B8"/>
    <mergeCell ref="A9:B9"/>
    <mergeCell ref="BL11:BR11"/>
    <mergeCell ref="A10:B10"/>
    <mergeCell ref="A11:B11"/>
    <mergeCell ref="DE12:DI12"/>
    <mergeCell ref="A13:A14"/>
    <mergeCell ref="B13:B14"/>
    <mergeCell ref="C13:C14"/>
    <mergeCell ref="D13:D14"/>
    <mergeCell ref="E13:E14"/>
    <mergeCell ref="F13:F14"/>
    <mergeCell ref="A12:F12"/>
    <mergeCell ref="P12:V12"/>
    <mergeCell ref="AF12:AL12"/>
    <mergeCell ref="AV12:BB12"/>
    <mergeCell ref="BQ13:BQ14"/>
    <mergeCell ref="BR13:BR14"/>
    <mergeCell ref="BL12:BR12"/>
    <mergeCell ref="CB12:CH12"/>
    <mergeCell ref="CG13:CG14"/>
    <mergeCell ref="CH13:CH14"/>
    <mergeCell ref="CF13:CF14"/>
    <mergeCell ref="CT13:CT14"/>
  </mergeCells>
  <conditionalFormatting sqref="CR15:CR82">
    <cfRule type="cellIs" dxfId="25" priority="7" operator="lessThan">
      <formula>50</formula>
    </cfRule>
  </conditionalFormatting>
  <conditionalFormatting sqref="CS15:CS82">
    <cfRule type="cellIs" dxfId="24" priority="6" operator="equal">
      <formula>"F"</formula>
    </cfRule>
  </conditionalFormatting>
  <conditionalFormatting sqref="DQ15:DQ82">
    <cfRule type="cellIs" dxfId="23" priority="1" stopIfTrue="1" operator="equal">
      <formula>FALSE</formula>
    </cfRule>
  </conditionalFormatting>
  <dataValidations count="1">
    <dataValidation allowBlank="1" showInputMessage="1" showErrorMessage="1" promptTitle="Creadit" prompt="Please insert credit here!" sqref="BS14:BV14 G14:J14 W14:Z14 BC14:BF14" xr:uid="{00000000-0002-0000-0200-000000000000}"/>
  </dataValidations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2060"/>
  </sheetPr>
  <dimension ref="A1:CA67"/>
  <sheetViews>
    <sheetView zoomScale="85" zoomScaleNormal="85" workbookViewId="0">
      <selection activeCell="V16" sqref="V16"/>
    </sheetView>
  </sheetViews>
  <sheetFormatPr defaultColWidth="9.1796875" defaultRowHeight="23" x14ac:dyDescent="0.95"/>
  <cols>
    <col min="1" max="1" width="8.7265625" customWidth="1"/>
    <col min="2" max="2" width="28.1796875" style="105" customWidth="1"/>
    <col min="3" max="3" width="28.81640625" style="108" customWidth="1"/>
    <col min="4" max="4" width="16.453125" style="33" customWidth="1"/>
    <col min="5" max="6" width="8.7265625"/>
    <col min="7" max="7" width="12.54296875" customWidth="1"/>
    <col min="8" max="9" width="8.7265625"/>
    <col min="10" max="10" width="12.26953125" bestFit="1" customWidth="1"/>
    <col min="11" max="31" width="8.7265625"/>
    <col min="32" max="32" width="10.7265625" bestFit="1" customWidth="1"/>
    <col min="33" max="79" width="8.7265625" customWidth="1"/>
    <col min="80" max="16384" width="9.1796875" style="137"/>
  </cols>
  <sheetData>
    <row r="1" spans="1:79" ht="23.5" thickBot="1" x14ac:dyDescent="1">
      <c r="A1" s="137"/>
      <c r="B1" s="142"/>
      <c r="C1" s="143"/>
      <c r="D1" s="139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</row>
    <row r="2" spans="1:79" ht="20.5" thickBot="1" x14ac:dyDescent="0.4">
      <c r="A2" s="277" t="s">
        <v>21</v>
      </c>
      <c r="B2" s="277"/>
      <c r="C2" s="278" t="s">
        <v>235</v>
      </c>
      <c r="D2" s="278"/>
      <c r="E2" s="138"/>
      <c r="F2" s="139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9"/>
      <c r="AN2" s="139"/>
      <c r="AO2" s="139"/>
      <c r="AP2" s="139"/>
      <c r="AQ2" s="139"/>
      <c r="AR2" s="139"/>
      <c r="AS2" s="139"/>
      <c r="AT2" s="139"/>
      <c r="AU2" s="139"/>
      <c r="AV2" s="139"/>
      <c r="AW2" s="139"/>
      <c r="AX2" s="139"/>
      <c r="AY2" s="137"/>
      <c r="AZ2" s="137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40"/>
      <c r="BV2" s="140"/>
      <c r="BW2" s="140"/>
      <c r="BX2" s="140"/>
      <c r="BY2" s="140"/>
      <c r="BZ2" s="140"/>
      <c r="CA2" s="140"/>
    </row>
    <row r="3" spans="1:79" ht="20.5" thickBot="1" x14ac:dyDescent="0.4">
      <c r="A3" s="277" t="s">
        <v>108</v>
      </c>
      <c r="B3" s="277"/>
      <c r="C3" s="278" t="s">
        <v>236</v>
      </c>
      <c r="D3" s="278"/>
      <c r="E3" s="138"/>
      <c r="F3" s="139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37"/>
      <c r="AZ3" s="137"/>
      <c r="BA3" s="139"/>
      <c r="BB3" s="139"/>
      <c r="BC3" s="139"/>
      <c r="BD3" s="139"/>
      <c r="BE3" s="139"/>
      <c r="BF3" s="139"/>
      <c r="BG3" s="139"/>
      <c r="BH3" s="139"/>
      <c r="BI3" s="139"/>
      <c r="BJ3" s="139"/>
      <c r="BK3" s="139"/>
      <c r="BL3" s="139"/>
      <c r="BM3" s="139"/>
      <c r="BN3" s="139"/>
      <c r="BO3" s="139"/>
      <c r="BP3" s="139"/>
      <c r="BQ3" s="139"/>
      <c r="BR3" s="139"/>
      <c r="BS3" s="139"/>
      <c r="BT3" s="139"/>
      <c r="BU3" s="140"/>
      <c r="BV3" s="140"/>
      <c r="BW3" s="140"/>
      <c r="BX3" s="140"/>
      <c r="BY3" s="140"/>
      <c r="BZ3" s="140"/>
      <c r="CA3" s="140"/>
    </row>
    <row r="4" spans="1:79" ht="29" thickBot="1" x14ac:dyDescent="0.4">
      <c r="A4" s="280" t="s">
        <v>86</v>
      </c>
      <c r="B4" s="280"/>
      <c r="C4" s="279" t="str">
        <f>""&amp;'Q1'!C11</f>
        <v>2025-2026</v>
      </c>
      <c r="D4" s="279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/>
      <c r="AU4" s="141"/>
      <c r="AV4" s="141"/>
      <c r="AW4" s="141"/>
      <c r="AX4" s="141"/>
      <c r="AY4" s="141"/>
      <c r="AZ4" s="141"/>
      <c r="BA4" s="141"/>
      <c r="BB4" s="141"/>
      <c r="BC4" s="141"/>
      <c r="BD4" s="141"/>
      <c r="BE4" s="141"/>
      <c r="BF4" s="141"/>
      <c r="BG4" s="141"/>
      <c r="BH4" s="141"/>
      <c r="BI4" s="141"/>
      <c r="BJ4" s="141"/>
      <c r="BK4" s="141"/>
      <c r="BL4" s="141"/>
      <c r="BM4" s="141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</row>
    <row r="5" spans="1:79" ht="34" hidden="1" thickTop="1" thickBot="1" x14ac:dyDescent="0.4">
      <c r="A5" s="87"/>
      <c r="B5" s="88"/>
      <c r="C5" s="106"/>
      <c r="D5" s="103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87"/>
      <c r="BM5" s="87"/>
      <c r="BN5" s="87"/>
      <c r="BO5" s="87"/>
      <c r="BP5" s="87"/>
      <c r="BQ5" s="87"/>
      <c r="BR5" s="87"/>
      <c r="BS5" s="87"/>
      <c r="BT5" s="87"/>
      <c r="BU5" s="87"/>
      <c r="BV5" s="87"/>
      <c r="BW5" s="87"/>
      <c r="BX5" s="87"/>
      <c r="BY5" s="87"/>
      <c r="BZ5" s="87"/>
      <c r="CA5" s="87"/>
    </row>
    <row r="6" spans="1:79" ht="27.75" customHeight="1" thickBot="1" x14ac:dyDescent="0.4">
      <c r="A6" s="158" t="s">
        <v>0</v>
      </c>
      <c r="B6" s="160" t="s">
        <v>1</v>
      </c>
      <c r="C6" s="162" t="s">
        <v>84</v>
      </c>
      <c r="D6" s="164" t="s">
        <v>3</v>
      </c>
      <c r="E6" s="166" t="s">
        <v>4</v>
      </c>
      <c r="F6" s="166" t="s">
        <v>5</v>
      </c>
      <c r="G6" s="275" t="s">
        <v>99</v>
      </c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O6" s="276"/>
      <c r="AP6" s="276"/>
      <c r="AQ6" s="299" t="s">
        <v>100</v>
      </c>
      <c r="AR6" s="300"/>
      <c r="AS6" s="300"/>
      <c r="AT6" s="300"/>
      <c r="AU6" s="300"/>
      <c r="AV6" s="300"/>
      <c r="AW6" s="300"/>
      <c r="AX6" s="300"/>
      <c r="AY6" s="300"/>
      <c r="AZ6" s="300"/>
      <c r="BA6" s="300"/>
      <c r="BB6" s="300"/>
      <c r="BC6" s="300"/>
      <c r="BD6" s="300"/>
      <c r="BE6" s="300"/>
      <c r="BF6" s="300"/>
      <c r="BG6" s="300"/>
      <c r="BH6" s="300"/>
      <c r="BI6" s="300"/>
      <c r="BJ6" s="300"/>
      <c r="BK6" s="300"/>
      <c r="BL6" s="300"/>
      <c r="BM6" s="300"/>
      <c r="BN6" s="300"/>
      <c r="BO6" s="300"/>
      <c r="BP6" s="300"/>
      <c r="BQ6" s="300"/>
      <c r="BR6" s="300"/>
      <c r="BS6" s="300"/>
      <c r="BT6" s="300"/>
      <c r="BU6" s="300"/>
      <c r="BV6" s="300"/>
      <c r="BW6" s="300"/>
      <c r="BX6" s="300"/>
      <c r="BY6" s="300"/>
      <c r="BZ6" s="301"/>
      <c r="CA6" s="130"/>
    </row>
    <row r="7" spans="1:79" ht="117.75" customHeight="1" x14ac:dyDescent="0.35">
      <c r="A7" s="159"/>
      <c r="B7" s="161"/>
      <c r="C7" s="163"/>
      <c r="D7" s="165"/>
      <c r="E7" s="167"/>
      <c r="F7" s="167"/>
      <c r="G7" s="109" t="s">
        <v>8</v>
      </c>
      <c r="H7" s="110" t="s">
        <v>9</v>
      </c>
      <c r="I7" s="111" t="s">
        <v>10</v>
      </c>
      <c r="J7" s="112" t="s">
        <v>11</v>
      </c>
      <c r="K7" s="109" t="s">
        <v>8</v>
      </c>
      <c r="L7" s="110" t="s">
        <v>9</v>
      </c>
      <c r="M7" s="111" t="s">
        <v>10</v>
      </c>
      <c r="N7" s="112" t="s">
        <v>11</v>
      </c>
      <c r="O7" s="109" t="s">
        <v>8</v>
      </c>
      <c r="P7" s="110" t="s">
        <v>9</v>
      </c>
      <c r="Q7" s="111" t="s">
        <v>10</v>
      </c>
      <c r="R7" s="112" t="s">
        <v>11</v>
      </c>
      <c r="S7" s="109" t="s">
        <v>8</v>
      </c>
      <c r="T7" s="110" t="s">
        <v>9</v>
      </c>
      <c r="U7" s="111" t="s">
        <v>10</v>
      </c>
      <c r="V7" s="112" t="s">
        <v>11</v>
      </c>
      <c r="W7" s="109" t="s">
        <v>8</v>
      </c>
      <c r="X7" s="110" t="s">
        <v>9</v>
      </c>
      <c r="Y7" s="111" t="s">
        <v>10</v>
      </c>
      <c r="Z7" s="112" t="s">
        <v>11</v>
      </c>
      <c r="AA7" s="109" t="s">
        <v>8</v>
      </c>
      <c r="AB7" s="110" t="s">
        <v>9</v>
      </c>
      <c r="AC7" s="111" t="s">
        <v>10</v>
      </c>
      <c r="AD7" s="112" t="s">
        <v>11</v>
      </c>
      <c r="AE7" s="109" t="s">
        <v>8</v>
      </c>
      <c r="AF7" s="110" t="s">
        <v>9</v>
      </c>
      <c r="AG7" s="111" t="s">
        <v>10</v>
      </c>
      <c r="AH7" s="112" t="s">
        <v>11</v>
      </c>
      <c r="AI7" s="109" t="s">
        <v>8</v>
      </c>
      <c r="AJ7" s="110" t="s">
        <v>9</v>
      </c>
      <c r="AK7" s="111" t="s">
        <v>10</v>
      </c>
      <c r="AL7" s="112" t="s">
        <v>11</v>
      </c>
      <c r="AM7" s="109" t="s">
        <v>8</v>
      </c>
      <c r="AN7" s="110" t="s">
        <v>9</v>
      </c>
      <c r="AO7" s="111" t="s">
        <v>10</v>
      </c>
      <c r="AP7" s="112" t="s">
        <v>11</v>
      </c>
      <c r="AQ7" s="131" t="s">
        <v>8</v>
      </c>
      <c r="AR7" s="132" t="s">
        <v>9</v>
      </c>
      <c r="AS7" s="133" t="s">
        <v>10</v>
      </c>
      <c r="AT7" s="134" t="s">
        <v>11</v>
      </c>
      <c r="AU7" s="131" t="s">
        <v>8</v>
      </c>
      <c r="AV7" s="132" t="s">
        <v>9</v>
      </c>
      <c r="AW7" s="133" t="s">
        <v>10</v>
      </c>
      <c r="AX7" s="134" t="s">
        <v>11</v>
      </c>
      <c r="AY7" s="131" t="s">
        <v>8</v>
      </c>
      <c r="AZ7" s="132" t="s">
        <v>9</v>
      </c>
      <c r="BA7" s="133" t="s">
        <v>10</v>
      </c>
      <c r="BB7" s="134" t="s">
        <v>11</v>
      </c>
      <c r="BC7" s="131" t="s">
        <v>8</v>
      </c>
      <c r="BD7" s="132" t="s">
        <v>9</v>
      </c>
      <c r="BE7" s="133" t="s">
        <v>10</v>
      </c>
      <c r="BF7" s="134" t="s">
        <v>11</v>
      </c>
      <c r="BG7" s="131" t="s">
        <v>8</v>
      </c>
      <c r="BH7" s="132" t="s">
        <v>9</v>
      </c>
      <c r="BI7" s="133" t="s">
        <v>10</v>
      </c>
      <c r="BJ7" s="134" t="s">
        <v>11</v>
      </c>
      <c r="BK7" s="131" t="s">
        <v>8</v>
      </c>
      <c r="BL7" s="132" t="s">
        <v>9</v>
      </c>
      <c r="BM7" s="133" t="s">
        <v>10</v>
      </c>
      <c r="BN7" s="134" t="s">
        <v>11</v>
      </c>
      <c r="BO7" s="131" t="s">
        <v>8</v>
      </c>
      <c r="BP7" s="132" t="s">
        <v>9</v>
      </c>
      <c r="BQ7" s="133" t="s">
        <v>10</v>
      </c>
      <c r="BR7" s="134" t="s">
        <v>11</v>
      </c>
      <c r="BS7" s="131" t="s">
        <v>8</v>
      </c>
      <c r="BT7" s="132" t="s">
        <v>9</v>
      </c>
      <c r="BU7" s="133" t="s">
        <v>10</v>
      </c>
      <c r="BV7" s="134" t="s">
        <v>11</v>
      </c>
      <c r="BW7" s="131" t="s">
        <v>8</v>
      </c>
      <c r="BX7" s="132" t="s">
        <v>9</v>
      </c>
      <c r="BY7" s="133" t="s">
        <v>10</v>
      </c>
      <c r="BZ7" s="134" t="s">
        <v>11</v>
      </c>
      <c r="CA7" s="266" t="s">
        <v>85</v>
      </c>
    </row>
    <row r="8" spans="1:79" ht="24" customHeight="1" thickBot="1" x14ac:dyDescent="0.4">
      <c r="A8" s="159"/>
      <c r="B8" s="161"/>
      <c r="C8" s="163"/>
      <c r="D8" s="165"/>
      <c r="E8" s="167"/>
      <c r="F8" s="168"/>
      <c r="G8" s="267" t="s">
        <v>6</v>
      </c>
      <c r="H8" s="268"/>
      <c r="I8" s="268"/>
      <c r="J8" s="269"/>
      <c r="K8" s="267" t="s">
        <v>87</v>
      </c>
      <c r="L8" s="268"/>
      <c r="M8" s="268"/>
      <c r="N8" s="269"/>
      <c r="O8" s="267" t="s">
        <v>88</v>
      </c>
      <c r="P8" s="268"/>
      <c r="Q8" s="268"/>
      <c r="R8" s="269"/>
      <c r="S8" s="267" t="s">
        <v>51</v>
      </c>
      <c r="T8" s="268"/>
      <c r="U8" s="268"/>
      <c r="V8" s="269"/>
      <c r="W8" s="267" t="s">
        <v>89</v>
      </c>
      <c r="X8" s="268"/>
      <c r="Y8" s="268"/>
      <c r="Z8" s="269"/>
      <c r="AA8" s="267" t="s">
        <v>31</v>
      </c>
      <c r="AB8" s="268"/>
      <c r="AC8" s="268"/>
      <c r="AD8" s="269"/>
      <c r="AE8" s="267" t="s">
        <v>7</v>
      </c>
      <c r="AF8" s="268"/>
      <c r="AG8" s="268"/>
      <c r="AH8" s="269"/>
      <c r="AI8" s="273" t="s">
        <v>90</v>
      </c>
      <c r="AJ8" s="271"/>
      <c r="AK8" s="271"/>
      <c r="AL8" s="274"/>
      <c r="AM8" s="273" t="s">
        <v>91</v>
      </c>
      <c r="AN8" s="271"/>
      <c r="AO8" s="271"/>
      <c r="AP8" s="274"/>
      <c r="AQ8" s="273" t="s">
        <v>92</v>
      </c>
      <c r="AR8" s="271"/>
      <c r="AS8" s="271"/>
      <c r="AT8" s="274"/>
      <c r="AU8" s="273" t="s">
        <v>101</v>
      </c>
      <c r="AV8" s="271"/>
      <c r="AW8" s="271"/>
      <c r="AX8" s="274"/>
      <c r="AY8" s="273" t="s">
        <v>93</v>
      </c>
      <c r="AZ8" s="271"/>
      <c r="BA8" s="271"/>
      <c r="BB8" s="271"/>
      <c r="BC8" s="271" t="s">
        <v>94</v>
      </c>
      <c r="BD8" s="271"/>
      <c r="BE8" s="271"/>
      <c r="BF8" s="272"/>
      <c r="BG8" s="270" t="s">
        <v>95</v>
      </c>
      <c r="BH8" s="271"/>
      <c r="BI8" s="271"/>
      <c r="BJ8" s="272"/>
      <c r="BK8" s="270" t="s">
        <v>97</v>
      </c>
      <c r="BL8" s="271"/>
      <c r="BM8" s="271"/>
      <c r="BN8" s="129"/>
      <c r="BO8" s="271" t="s">
        <v>96</v>
      </c>
      <c r="BP8" s="271"/>
      <c r="BQ8" s="271"/>
      <c r="BR8" s="272"/>
      <c r="BS8" s="270" t="s">
        <v>98</v>
      </c>
      <c r="BT8" s="271"/>
      <c r="BU8" s="271"/>
      <c r="BV8" s="272"/>
      <c r="BW8" s="273" t="s">
        <v>103</v>
      </c>
      <c r="BX8" s="271"/>
      <c r="BY8" s="271"/>
      <c r="BZ8" s="272"/>
      <c r="CA8" s="266"/>
    </row>
    <row r="9" spans="1:79" ht="21.75" customHeight="1" x14ac:dyDescent="0.35">
      <c r="A9" s="90">
        <f>IF('Q4'!A15="","",'Q4'!A15)</f>
        <v>1</v>
      </c>
      <c r="B9" s="90" t="s">
        <v>212</v>
      </c>
      <c r="C9" s="90" t="s">
        <v>211</v>
      </c>
      <c r="D9" s="90" t="s">
        <v>217</v>
      </c>
      <c r="E9" s="90" t="s">
        <v>125</v>
      </c>
      <c r="F9" s="90" t="str">
        <f>IF('Q2'!F15="","",'Q2'!F15)</f>
        <v>I</v>
      </c>
      <c r="G9" s="117" t="s">
        <v>196</v>
      </c>
      <c r="H9" s="118" t="s">
        <v>197</v>
      </c>
      <c r="I9" s="117" t="s">
        <v>195</v>
      </c>
      <c r="J9" s="118" t="s">
        <v>164</v>
      </c>
      <c r="K9" s="119" t="s">
        <v>222</v>
      </c>
      <c r="L9" s="118" t="s">
        <v>176</v>
      </c>
      <c r="M9" s="119" t="s">
        <v>223</v>
      </c>
      <c r="N9" s="118" t="s">
        <v>168</v>
      </c>
      <c r="O9" s="119" t="s">
        <v>187</v>
      </c>
      <c r="P9" s="118" t="s">
        <v>188</v>
      </c>
      <c r="Q9" s="119" t="s">
        <v>189</v>
      </c>
      <c r="R9" s="118" t="s">
        <v>190</v>
      </c>
      <c r="S9" s="119" t="s">
        <v>196</v>
      </c>
      <c r="T9" s="118" t="s">
        <v>220</v>
      </c>
      <c r="U9" s="119" t="s">
        <v>195</v>
      </c>
      <c r="V9" s="118" t="s">
        <v>162</v>
      </c>
      <c r="W9" s="119" t="s">
        <v>196</v>
      </c>
      <c r="X9" s="118" t="s">
        <v>220</v>
      </c>
      <c r="Y9" s="119" t="s">
        <v>195</v>
      </c>
      <c r="Z9" s="118" t="s">
        <v>162</v>
      </c>
      <c r="AA9" s="119" t="s">
        <v>213</v>
      </c>
      <c r="AB9" s="118" t="s">
        <v>213</v>
      </c>
      <c r="AC9" s="120" t="s">
        <v>214</v>
      </c>
      <c r="AD9" s="121" t="s">
        <v>215</v>
      </c>
      <c r="AE9" s="122" t="s">
        <v>196</v>
      </c>
      <c r="AF9" s="121" t="s">
        <v>220</v>
      </c>
      <c r="AG9" s="123" t="s">
        <v>195</v>
      </c>
      <c r="AH9" s="124" t="s">
        <v>162</v>
      </c>
      <c r="AI9" s="117" t="s">
        <v>196</v>
      </c>
      <c r="AJ9" s="118" t="s">
        <v>197</v>
      </c>
      <c r="AK9" s="119" t="s">
        <v>195</v>
      </c>
      <c r="AL9" s="118" t="s">
        <v>164</v>
      </c>
      <c r="AM9" s="119"/>
      <c r="AN9" s="118"/>
      <c r="AO9" s="119"/>
      <c r="AP9" s="118"/>
      <c r="AQ9" s="119" t="s">
        <v>145</v>
      </c>
      <c r="AR9" s="118" t="s">
        <v>146</v>
      </c>
      <c r="AS9" s="119" t="s">
        <v>147</v>
      </c>
      <c r="AT9" s="118" t="s">
        <v>234</v>
      </c>
      <c r="AU9" s="119" t="s">
        <v>145</v>
      </c>
      <c r="AV9" s="118" t="s">
        <v>146</v>
      </c>
      <c r="AW9" s="119" t="s">
        <v>147</v>
      </c>
      <c r="AX9" s="118" t="s">
        <v>234</v>
      </c>
      <c r="AY9" s="119" t="s">
        <v>145</v>
      </c>
      <c r="AZ9" s="118" t="s">
        <v>146</v>
      </c>
      <c r="BA9" s="119" t="s">
        <v>147</v>
      </c>
      <c r="BB9" s="118" t="s">
        <v>234</v>
      </c>
      <c r="BC9" s="119" t="s">
        <v>145</v>
      </c>
      <c r="BD9" s="118" t="s">
        <v>146</v>
      </c>
      <c r="BE9" s="119" t="s">
        <v>147</v>
      </c>
      <c r="BF9" s="118" t="s">
        <v>234</v>
      </c>
      <c r="BG9" s="119" t="s">
        <v>145</v>
      </c>
      <c r="BH9" s="118" t="s">
        <v>146</v>
      </c>
      <c r="BI9" s="119" t="s">
        <v>147</v>
      </c>
      <c r="BJ9" s="118" t="s">
        <v>234</v>
      </c>
      <c r="BK9" s="119" t="s">
        <v>145</v>
      </c>
      <c r="BL9" s="118" t="s">
        <v>146</v>
      </c>
      <c r="BM9" s="119" t="s">
        <v>147</v>
      </c>
      <c r="BN9" s="118" t="s">
        <v>234</v>
      </c>
      <c r="BO9" s="119" t="s">
        <v>145</v>
      </c>
      <c r="BP9" s="118" t="s">
        <v>146</v>
      </c>
      <c r="BQ9" s="119" t="s">
        <v>147</v>
      </c>
      <c r="BR9" s="118" t="s">
        <v>234</v>
      </c>
      <c r="BS9" s="119" t="s">
        <v>145</v>
      </c>
      <c r="BT9" s="118" t="s">
        <v>146</v>
      </c>
      <c r="BU9" s="119" t="s">
        <v>147</v>
      </c>
      <c r="BV9" s="118" t="s">
        <v>234</v>
      </c>
      <c r="BW9" s="119" t="s">
        <v>145</v>
      </c>
      <c r="BX9" s="118" t="s">
        <v>146</v>
      </c>
      <c r="BY9" s="119" t="s">
        <v>147</v>
      </c>
      <c r="BZ9" s="118" t="s">
        <v>234</v>
      </c>
      <c r="CA9" s="128" t="str">
        <f>IF(OR(B9="",$C$2=""),"",$C$2)</f>
        <v>6A</v>
      </c>
    </row>
    <row r="10" spans="1:79" ht="30" customHeight="1" x14ac:dyDescent="0.35">
      <c r="A10" s="90">
        <f>IF('Q4'!A16="","",'Q4'!A16)</f>
        <v>2</v>
      </c>
      <c r="B10" s="90" t="s">
        <v>127</v>
      </c>
      <c r="C10" s="107" t="s">
        <v>128</v>
      </c>
      <c r="D10" s="104" t="s">
        <v>217</v>
      </c>
      <c r="E10" s="90" t="s">
        <v>124</v>
      </c>
      <c r="F10" s="90"/>
      <c r="G10" s="117" t="s">
        <v>196</v>
      </c>
      <c r="H10" s="118" t="s">
        <v>197</v>
      </c>
      <c r="I10" s="117" t="s">
        <v>195</v>
      </c>
      <c r="J10" s="118" t="s">
        <v>164</v>
      </c>
      <c r="K10" s="119" t="s">
        <v>224</v>
      </c>
      <c r="L10" s="118" t="s">
        <v>176</v>
      </c>
      <c r="M10" s="119" t="s">
        <v>223</v>
      </c>
      <c r="N10" s="118" t="s">
        <v>168</v>
      </c>
      <c r="O10" s="119" t="s">
        <v>191</v>
      </c>
      <c r="P10" s="118" t="s">
        <v>188</v>
      </c>
      <c r="Q10" s="119" t="s">
        <v>192</v>
      </c>
      <c r="R10" s="118" t="s">
        <v>190</v>
      </c>
      <c r="S10" s="119" t="s">
        <v>196</v>
      </c>
      <c r="T10" s="118" t="s">
        <v>220</v>
      </c>
      <c r="U10" s="119" t="s">
        <v>195</v>
      </c>
      <c r="V10" s="118" t="s">
        <v>162</v>
      </c>
      <c r="W10" s="119" t="s">
        <v>196</v>
      </c>
      <c r="X10" s="118" t="s">
        <v>220</v>
      </c>
      <c r="Y10" s="119" t="s">
        <v>195</v>
      </c>
      <c r="Z10" s="118" t="s">
        <v>162</v>
      </c>
      <c r="AA10" s="119" t="s">
        <v>216</v>
      </c>
      <c r="AB10" s="118" t="s">
        <v>213</v>
      </c>
      <c r="AC10" s="120" t="s">
        <v>214</v>
      </c>
      <c r="AD10" s="121" t="s">
        <v>215</v>
      </c>
      <c r="AE10" s="122" t="s">
        <v>196</v>
      </c>
      <c r="AF10" s="121" t="s">
        <v>220</v>
      </c>
      <c r="AG10" s="123" t="s">
        <v>195</v>
      </c>
      <c r="AH10" s="124" t="s">
        <v>162</v>
      </c>
      <c r="AI10" s="117" t="s">
        <v>196</v>
      </c>
      <c r="AJ10" s="118" t="s">
        <v>197</v>
      </c>
      <c r="AK10" s="119" t="s">
        <v>195</v>
      </c>
      <c r="AL10" s="118" t="s">
        <v>164</v>
      </c>
      <c r="AM10" s="119"/>
      <c r="AN10" s="118"/>
      <c r="AO10" s="119"/>
      <c r="AP10" s="118"/>
      <c r="AQ10" s="119" t="s">
        <v>146</v>
      </c>
      <c r="AR10" s="118" t="s">
        <v>146</v>
      </c>
      <c r="AS10" s="119" t="s">
        <v>149</v>
      </c>
      <c r="AT10" s="118" t="s">
        <v>234</v>
      </c>
      <c r="AU10" s="119" t="s">
        <v>146</v>
      </c>
      <c r="AV10" s="118" t="s">
        <v>146</v>
      </c>
      <c r="AW10" s="119" t="s">
        <v>149</v>
      </c>
      <c r="AX10" s="118" t="s">
        <v>234</v>
      </c>
      <c r="AY10" s="119" t="s">
        <v>146</v>
      </c>
      <c r="AZ10" s="118" t="s">
        <v>146</v>
      </c>
      <c r="BA10" s="119" t="s">
        <v>149</v>
      </c>
      <c r="BB10" s="118" t="s">
        <v>234</v>
      </c>
      <c r="BC10" s="119" t="s">
        <v>146</v>
      </c>
      <c r="BD10" s="118" t="s">
        <v>146</v>
      </c>
      <c r="BE10" s="119" t="s">
        <v>149</v>
      </c>
      <c r="BF10" s="118" t="s">
        <v>234</v>
      </c>
      <c r="BG10" s="119" t="s">
        <v>146</v>
      </c>
      <c r="BH10" s="118" t="s">
        <v>146</v>
      </c>
      <c r="BI10" s="119" t="s">
        <v>149</v>
      </c>
      <c r="BJ10" s="118" t="s">
        <v>234</v>
      </c>
      <c r="BK10" s="119" t="s">
        <v>146</v>
      </c>
      <c r="BL10" s="118" t="s">
        <v>146</v>
      </c>
      <c r="BM10" s="119" t="s">
        <v>149</v>
      </c>
      <c r="BN10" s="118" t="s">
        <v>234</v>
      </c>
      <c r="BO10" s="119" t="s">
        <v>146</v>
      </c>
      <c r="BP10" s="118" t="s">
        <v>146</v>
      </c>
      <c r="BQ10" s="119" t="s">
        <v>149</v>
      </c>
      <c r="BR10" s="118" t="s">
        <v>234</v>
      </c>
      <c r="BS10" s="119" t="s">
        <v>146</v>
      </c>
      <c r="BT10" s="118" t="s">
        <v>146</v>
      </c>
      <c r="BU10" s="119" t="s">
        <v>149</v>
      </c>
      <c r="BV10" s="118" t="s">
        <v>234</v>
      </c>
      <c r="BW10" s="119" t="s">
        <v>146</v>
      </c>
      <c r="BX10" s="118" t="s">
        <v>146</v>
      </c>
      <c r="BY10" s="119" t="s">
        <v>149</v>
      </c>
      <c r="BZ10" s="118" t="s">
        <v>234</v>
      </c>
      <c r="CA10" s="128" t="str">
        <f t="shared" ref="CA10:CA60" si="0">IF(OR(B10="",$C$2=""),"",$C$2)</f>
        <v>6A</v>
      </c>
    </row>
    <row r="11" spans="1:79" ht="30" customHeight="1" x14ac:dyDescent="0.35">
      <c r="A11" s="90">
        <f>IF('Q4'!A17="","",'Q4'!A17)</f>
        <v>3</v>
      </c>
      <c r="B11" s="90" t="s">
        <v>129</v>
      </c>
      <c r="C11" s="107" t="s">
        <v>130</v>
      </c>
      <c r="D11" s="104" t="s">
        <v>217</v>
      </c>
      <c r="E11" s="90" t="s">
        <v>124</v>
      </c>
      <c r="F11" s="90"/>
      <c r="G11" s="117" t="s">
        <v>196</v>
      </c>
      <c r="H11" s="118" t="s">
        <v>197</v>
      </c>
      <c r="I11" s="117" t="s">
        <v>195</v>
      </c>
      <c r="J11" s="118" t="s">
        <v>164</v>
      </c>
      <c r="K11" s="119" t="s">
        <v>224</v>
      </c>
      <c r="L11" s="118" t="s">
        <v>225</v>
      </c>
      <c r="M11" s="119" t="s">
        <v>226</v>
      </c>
      <c r="N11" s="118" t="s">
        <v>168</v>
      </c>
      <c r="O11" s="119" t="s">
        <v>193</v>
      </c>
      <c r="P11" s="118" t="s">
        <v>194</v>
      </c>
      <c r="Q11" s="119" t="s">
        <v>195</v>
      </c>
      <c r="R11" s="118" t="s">
        <v>190</v>
      </c>
      <c r="S11" s="119" t="s">
        <v>196</v>
      </c>
      <c r="T11" s="118" t="s">
        <v>220</v>
      </c>
      <c r="U11" s="119" t="s">
        <v>195</v>
      </c>
      <c r="V11" s="118" t="s">
        <v>162</v>
      </c>
      <c r="W11" s="119" t="s">
        <v>196</v>
      </c>
      <c r="X11" s="118" t="s">
        <v>220</v>
      </c>
      <c r="Y11" s="119" t="s">
        <v>195</v>
      </c>
      <c r="Z11" s="118" t="s">
        <v>162</v>
      </c>
      <c r="AA11" s="119" t="s">
        <v>216</v>
      </c>
      <c r="AB11" s="118" t="s">
        <v>213</v>
      </c>
      <c r="AC11" s="120" t="s">
        <v>214</v>
      </c>
      <c r="AD11" s="121" t="s">
        <v>215</v>
      </c>
      <c r="AE11" s="122" t="s">
        <v>196</v>
      </c>
      <c r="AF11" s="121" t="s">
        <v>220</v>
      </c>
      <c r="AG11" s="123" t="s">
        <v>195</v>
      </c>
      <c r="AH11" s="124" t="s">
        <v>162</v>
      </c>
      <c r="AI11" s="117" t="s">
        <v>196</v>
      </c>
      <c r="AJ11" s="118" t="s">
        <v>197</v>
      </c>
      <c r="AK11" s="119" t="s">
        <v>195</v>
      </c>
      <c r="AL11" s="118" t="s">
        <v>164</v>
      </c>
      <c r="AM11" s="119"/>
      <c r="AN11" s="118"/>
      <c r="AO11" s="119"/>
      <c r="AP11" s="118"/>
      <c r="AQ11" s="119" t="s">
        <v>146</v>
      </c>
      <c r="AR11" s="118" t="s">
        <v>146</v>
      </c>
      <c r="AS11" s="119" t="s">
        <v>150</v>
      </c>
      <c r="AT11" s="118" t="s">
        <v>234</v>
      </c>
      <c r="AU11" s="119" t="s">
        <v>146</v>
      </c>
      <c r="AV11" s="118" t="s">
        <v>146</v>
      </c>
      <c r="AW11" s="119" t="s">
        <v>150</v>
      </c>
      <c r="AX11" s="118" t="s">
        <v>234</v>
      </c>
      <c r="AY11" s="119" t="s">
        <v>146</v>
      </c>
      <c r="AZ11" s="118" t="s">
        <v>146</v>
      </c>
      <c r="BA11" s="119" t="s">
        <v>150</v>
      </c>
      <c r="BB11" s="118" t="s">
        <v>234</v>
      </c>
      <c r="BC11" s="119" t="s">
        <v>146</v>
      </c>
      <c r="BD11" s="118" t="s">
        <v>146</v>
      </c>
      <c r="BE11" s="119" t="s">
        <v>150</v>
      </c>
      <c r="BF11" s="118" t="s">
        <v>234</v>
      </c>
      <c r="BG11" s="119" t="s">
        <v>146</v>
      </c>
      <c r="BH11" s="118" t="s">
        <v>146</v>
      </c>
      <c r="BI11" s="119" t="s">
        <v>150</v>
      </c>
      <c r="BJ11" s="118" t="s">
        <v>234</v>
      </c>
      <c r="BK11" s="119" t="s">
        <v>146</v>
      </c>
      <c r="BL11" s="118" t="s">
        <v>146</v>
      </c>
      <c r="BM11" s="119" t="s">
        <v>150</v>
      </c>
      <c r="BN11" s="118" t="s">
        <v>234</v>
      </c>
      <c r="BO11" s="119" t="s">
        <v>146</v>
      </c>
      <c r="BP11" s="118" t="s">
        <v>146</v>
      </c>
      <c r="BQ11" s="119" t="s">
        <v>150</v>
      </c>
      <c r="BR11" s="118" t="s">
        <v>234</v>
      </c>
      <c r="BS11" s="119" t="s">
        <v>146</v>
      </c>
      <c r="BT11" s="118" t="s">
        <v>146</v>
      </c>
      <c r="BU11" s="119" t="s">
        <v>150</v>
      </c>
      <c r="BV11" s="118" t="s">
        <v>234</v>
      </c>
      <c r="BW11" s="119" t="s">
        <v>146</v>
      </c>
      <c r="BX11" s="118" t="s">
        <v>146</v>
      </c>
      <c r="BY11" s="119" t="s">
        <v>150</v>
      </c>
      <c r="BZ11" s="118" t="s">
        <v>234</v>
      </c>
      <c r="CA11" s="128" t="str">
        <f t="shared" si="0"/>
        <v>6A</v>
      </c>
    </row>
    <row r="12" spans="1:79" ht="30" customHeight="1" x14ac:dyDescent="0.35">
      <c r="A12" s="90">
        <f>IF('Q4'!A18="","",'Q4'!A18)</f>
        <v>4</v>
      </c>
      <c r="B12" s="90" t="s">
        <v>131</v>
      </c>
      <c r="C12" s="107" t="s">
        <v>132</v>
      </c>
      <c r="D12" s="104" t="s">
        <v>217</v>
      </c>
      <c r="E12" s="90" t="s">
        <v>124</v>
      </c>
      <c r="F12" s="90"/>
      <c r="G12" s="117" t="s">
        <v>196</v>
      </c>
      <c r="H12" s="118" t="s">
        <v>197</v>
      </c>
      <c r="I12" s="117" t="s">
        <v>195</v>
      </c>
      <c r="J12" s="118" t="s">
        <v>164</v>
      </c>
      <c r="K12" s="119" t="s">
        <v>224</v>
      </c>
      <c r="L12" s="118" t="s">
        <v>176</v>
      </c>
      <c r="M12" s="119" t="s">
        <v>227</v>
      </c>
      <c r="N12" s="118" t="s">
        <v>168</v>
      </c>
      <c r="O12" s="119" t="s">
        <v>196</v>
      </c>
      <c r="P12" s="118" t="s">
        <v>197</v>
      </c>
      <c r="Q12" s="119" t="s">
        <v>198</v>
      </c>
      <c r="R12" s="118" t="s">
        <v>190</v>
      </c>
      <c r="S12" s="119" t="s">
        <v>196</v>
      </c>
      <c r="T12" s="118" t="s">
        <v>220</v>
      </c>
      <c r="U12" s="119" t="s">
        <v>195</v>
      </c>
      <c r="V12" s="118" t="s">
        <v>162</v>
      </c>
      <c r="W12" s="119" t="s">
        <v>196</v>
      </c>
      <c r="X12" s="118" t="s">
        <v>220</v>
      </c>
      <c r="Y12" s="119" t="s">
        <v>195</v>
      </c>
      <c r="Z12" s="118" t="s">
        <v>162</v>
      </c>
      <c r="AA12" s="119" t="s">
        <v>216</v>
      </c>
      <c r="AB12" s="118" t="s">
        <v>213</v>
      </c>
      <c r="AC12" s="120" t="s">
        <v>214</v>
      </c>
      <c r="AD12" s="121" t="s">
        <v>215</v>
      </c>
      <c r="AE12" s="122" t="s">
        <v>196</v>
      </c>
      <c r="AF12" s="121" t="s">
        <v>220</v>
      </c>
      <c r="AG12" s="123" t="s">
        <v>195</v>
      </c>
      <c r="AH12" s="124" t="s">
        <v>162</v>
      </c>
      <c r="AI12" s="117" t="s">
        <v>196</v>
      </c>
      <c r="AJ12" s="118" t="s">
        <v>197</v>
      </c>
      <c r="AK12" s="119" t="s">
        <v>195</v>
      </c>
      <c r="AL12" s="118" t="s">
        <v>164</v>
      </c>
      <c r="AM12" s="119"/>
      <c r="AN12" s="118"/>
      <c r="AO12" s="119"/>
      <c r="AP12" s="118"/>
      <c r="AQ12" s="119" t="s">
        <v>146</v>
      </c>
      <c r="AR12" s="118" t="s">
        <v>146</v>
      </c>
      <c r="AS12" s="119" t="s">
        <v>149</v>
      </c>
      <c r="AT12" s="118" t="s">
        <v>234</v>
      </c>
      <c r="AU12" s="119" t="s">
        <v>146</v>
      </c>
      <c r="AV12" s="118" t="s">
        <v>146</v>
      </c>
      <c r="AW12" s="119" t="s">
        <v>149</v>
      </c>
      <c r="AX12" s="118" t="s">
        <v>234</v>
      </c>
      <c r="AY12" s="119" t="s">
        <v>146</v>
      </c>
      <c r="AZ12" s="118" t="s">
        <v>146</v>
      </c>
      <c r="BA12" s="119" t="s">
        <v>149</v>
      </c>
      <c r="BB12" s="118" t="s">
        <v>234</v>
      </c>
      <c r="BC12" s="119" t="s">
        <v>146</v>
      </c>
      <c r="BD12" s="118" t="s">
        <v>146</v>
      </c>
      <c r="BE12" s="119" t="s">
        <v>149</v>
      </c>
      <c r="BF12" s="118" t="s">
        <v>234</v>
      </c>
      <c r="BG12" s="119" t="s">
        <v>146</v>
      </c>
      <c r="BH12" s="118" t="s">
        <v>146</v>
      </c>
      <c r="BI12" s="119" t="s">
        <v>149</v>
      </c>
      <c r="BJ12" s="118" t="s">
        <v>234</v>
      </c>
      <c r="BK12" s="119" t="s">
        <v>146</v>
      </c>
      <c r="BL12" s="118" t="s">
        <v>146</v>
      </c>
      <c r="BM12" s="119" t="s">
        <v>149</v>
      </c>
      <c r="BN12" s="118" t="s">
        <v>234</v>
      </c>
      <c r="BO12" s="119" t="s">
        <v>146</v>
      </c>
      <c r="BP12" s="118" t="s">
        <v>146</v>
      </c>
      <c r="BQ12" s="119" t="s">
        <v>149</v>
      </c>
      <c r="BR12" s="118" t="s">
        <v>234</v>
      </c>
      <c r="BS12" s="119" t="s">
        <v>146</v>
      </c>
      <c r="BT12" s="118" t="s">
        <v>146</v>
      </c>
      <c r="BU12" s="119" t="s">
        <v>149</v>
      </c>
      <c r="BV12" s="118" t="s">
        <v>234</v>
      </c>
      <c r="BW12" s="119" t="s">
        <v>146</v>
      </c>
      <c r="BX12" s="118" t="s">
        <v>146</v>
      </c>
      <c r="BY12" s="119" t="s">
        <v>149</v>
      </c>
      <c r="BZ12" s="118" t="s">
        <v>234</v>
      </c>
      <c r="CA12" s="128" t="str">
        <f t="shared" si="0"/>
        <v>6A</v>
      </c>
    </row>
    <row r="13" spans="1:79" ht="30" customHeight="1" x14ac:dyDescent="0.35">
      <c r="A13" s="90">
        <f>IF('Q4'!A19="","",'Q4'!A19)</f>
        <v>5</v>
      </c>
      <c r="B13" s="90" t="s">
        <v>133</v>
      </c>
      <c r="C13" s="107" t="s">
        <v>134</v>
      </c>
      <c r="D13" s="104" t="s">
        <v>217</v>
      </c>
      <c r="E13" s="90" t="s">
        <v>124</v>
      </c>
      <c r="F13" s="90"/>
      <c r="G13" s="117" t="s">
        <v>196</v>
      </c>
      <c r="H13" s="118" t="s">
        <v>197</v>
      </c>
      <c r="I13" s="117" t="s">
        <v>195</v>
      </c>
      <c r="J13" s="118" t="s">
        <v>164</v>
      </c>
      <c r="K13" s="119" t="s">
        <v>228</v>
      </c>
      <c r="L13" s="118" t="s">
        <v>176</v>
      </c>
      <c r="M13" s="119" t="s">
        <v>229</v>
      </c>
      <c r="N13" s="118" t="s">
        <v>168</v>
      </c>
      <c r="O13" s="119" t="s">
        <v>199</v>
      </c>
      <c r="P13" s="118" t="s">
        <v>200</v>
      </c>
      <c r="Q13" s="119" t="s">
        <v>192</v>
      </c>
      <c r="R13" s="118" t="s">
        <v>190</v>
      </c>
      <c r="S13" s="119" t="s">
        <v>196</v>
      </c>
      <c r="T13" s="118" t="s">
        <v>220</v>
      </c>
      <c r="U13" s="119" t="s">
        <v>195</v>
      </c>
      <c r="V13" s="118" t="s">
        <v>162</v>
      </c>
      <c r="W13" s="119" t="s">
        <v>196</v>
      </c>
      <c r="X13" s="118" t="s">
        <v>220</v>
      </c>
      <c r="Y13" s="119" t="s">
        <v>195</v>
      </c>
      <c r="Z13" s="118" t="s">
        <v>162</v>
      </c>
      <c r="AA13" s="119" t="s">
        <v>213</v>
      </c>
      <c r="AB13" s="118" t="s">
        <v>213</v>
      </c>
      <c r="AC13" s="120" t="s">
        <v>214</v>
      </c>
      <c r="AD13" s="121" t="s">
        <v>215</v>
      </c>
      <c r="AE13" s="122" t="s">
        <v>196</v>
      </c>
      <c r="AF13" s="121" t="s">
        <v>220</v>
      </c>
      <c r="AG13" s="123" t="s">
        <v>195</v>
      </c>
      <c r="AH13" s="124" t="s">
        <v>162</v>
      </c>
      <c r="AI13" s="117" t="s">
        <v>196</v>
      </c>
      <c r="AJ13" s="118" t="s">
        <v>197</v>
      </c>
      <c r="AK13" s="119" t="s">
        <v>195</v>
      </c>
      <c r="AL13" s="118" t="s">
        <v>164</v>
      </c>
      <c r="AM13" s="119"/>
      <c r="AN13" s="118"/>
      <c r="AO13" s="119"/>
      <c r="AP13" s="118"/>
      <c r="AQ13" s="119" t="s">
        <v>151</v>
      </c>
      <c r="AR13" s="118" t="s">
        <v>146</v>
      </c>
      <c r="AS13" s="119" t="s">
        <v>147</v>
      </c>
      <c r="AT13" s="118" t="s">
        <v>234</v>
      </c>
      <c r="AU13" s="119" t="s">
        <v>151</v>
      </c>
      <c r="AV13" s="118" t="s">
        <v>146</v>
      </c>
      <c r="AW13" s="119" t="s">
        <v>147</v>
      </c>
      <c r="AX13" s="118" t="s">
        <v>234</v>
      </c>
      <c r="AY13" s="119" t="s">
        <v>151</v>
      </c>
      <c r="AZ13" s="118" t="s">
        <v>146</v>
      </c>
      <c r="BA13" s="119" t="s">
        <v>147</v>
      </c>
      <c r="BB13" s="118" t="s">
        <v>234</v>
      </c>
      <c r="BC13" s="119" t="s">
        <v>151</v>
      </c>
      <c r="BD13" s="118" t="s">
        <v>146</v>
      </c>
      <c r="BE13" s="119" t="s">
        <v>147</v>
      </c>
      <c r="BF13" s="118" t="s">
        <v>234</v>
      </c>
      <c r="BG13" s="119" t="s">
        <v>151</v>
      </c>
      <c r="BH13" s="118" t="s">
        <v>146</v>
      </c>
      <c r="BI13" s="119" t="s">
        <v>147</v>
      </c>
      <c r="BJ13" s="118" t="s">
        <v>234</v>
      </c>
      <c r="BK13" s="119" t="s">
        <v>151</v>
      </c>
      <c r="BL13" s="118" t="s">
        <v>146</v>
      </c>
      <c r="BM13" s="119" t="s">
        <v>147</v>
      </c>
      <c r="BN13" s="118" t="s">
        <v>234</v>
      </c>
      <c r="BO13" s="119" t="s">
        <v>151</v>
      </c>
      <c r="BP13" s="118" t="s">
        <v>146</v>
      </c>
      <c r="BQ13" s="119" t="s">
        <v>147</v>
      </c>
      <c r="BR13" s="118" t="s">
        <v>234</v>
      </c>
      <c r="BS13" s="119" t="s">
        <v>151</v>
      </c>
      <c r="BT13" s="118" t="s">
        <v>146</v>
      </c>
      <c r="BU13" s="119" t="s">
        <v>147</v>
      </c>
      <c r="BV13" s="118" t="s">
        <v>234</v>
      </c>
      <c r="BW13" s="119" t="s">
        <v>151</v>
      </c>
      <c r="BX13" s="118" t="s">
        <v>146</v>
      </c>
      <c r="BY13" s="119" t="s">
        <v>147</v>
      </c>
      <c r="BZ13" s="118" t="s">
        <v>234</v>
      </c>
      <c r="CA13" s="128" t="str">
        <f t="shared" si="0"/>
        <v>6A</v>
      </c>
    </row>
    <row r="14" spans="1:79" ht="30" customHeight="1" x14ac:dyDescent="0.35">
      <c r="A14" s="90">
        <f>IF('Q4'!A20="","",'Q4'!A20)</f>
        <v>6</v>
      </c>
      <c r="B14" s="90" t="s">
        <v>135</v>
      </c>
      <c r="C14" s="107" t="s">
        <v>136</v>
      </c>
      <c r="D14" s="104" t="s">
        <v>217</v>
      </c>
      <c r="E14" s="90" t="s">
        <v>125</v>
      </c>
      <c r="F14" s="90"/>
      <c r="G14" s="117" t="s">
        <v>196</v>
      </c>
      <c r="H14" s="118" t="s">
        <v>197</v>
      </c>
      <c r="I14" s="117" t="s">
        <v>195</v>
      </c>
      <c r="J14" s="118" t="s">
        <v>164</v>
      </c>
      <c r="K14" s="119" t="s">
        <v>230</v>
      </c>
      <c r="L14" s="118" t="s">
        <v>176</v>
      </c>
      <c r="M14" s="119" t="s">
        <v>229</v>
      </c>
      <c r="N14" s="118" t="s">
        <v>168</v>
      </c>
      <c r="O14" s="119" t="s">
        <v>201</v>
      </c>
      <c r="P14" s="118" t="s">
        <v>202</v>
      </c>
      <c r="Q14" s="119" t="s">
        <v>203</v>
      </c>
      <c r="R14" s="118" t="s">
        <v>190</v>
      </c>
      <c r="S14" s="119" t="s">
        <v>196</v>
      </c>
      <c r="T14" s="118" t="s">
        <v>220</v>
      </c>
      <c r="U14" s="119" t="s">
        <v>195</v>
      </c>
      <c r="V14" s="118" t="s">
        <v>162</v>
      </c>
      <c r="W14" s="119" t="s">
        <v>196</v>
      </c>
      <c r="X14" s="118" t="s">
        <v>220</v>
      </c>
      <c r="Y14" s="119" t="s">
        <v>195</v>
      </c>
      <c r="Z14" s="118" t="s">
        <v>162</v>
      </c>
      <c r="AA14" s="119" t="s">
        <v>213</v>
      </c>
      <c r="AB14" s="118" t="s">
        <v>213</v>
      </c>
      <c r="AC14" s="120" t="s">
        <v>214</v>
      </c>
      <c r="AD14" s="121" t="s">
        <v>215</v>
      </c>
      <c r="AE14" s="122" t="s">
        <v>196</v>
      </c>
      <c r="AF14" s="121" t="s">
        <v>220</v>
      </c>
      <c r="AG14" s="123" t="s">
        <v>195</v>
      </c>
      <c r="AH14" s="124" t="s">
        <v>162</v>
      </c>
      <c r="AI14" s="117" t="s">
        <v>196</v>
      </c>
      <c r="AJ14" s="118" t="s">
        <v>197</v>
      </c>
      <c r="AK14" s="119" t="s">
        <v>195</v>
      </c>
      <c r="AL14" s="118" t="s">
        <v>164</v>
      </c>
      <c r="AM14" s="119"/>
      <c r="AN14" s="118"/>
      <c r="AO14" s="119"/>
      <c r="AP14" s="118"/>
      <c r="AQ14" s="119" t="s">
        <v>146</v>
      </c>
      <c r="AR14" s="118" t="s">
        <v>146</v>
      </c>
      <c r="AS14" s="119" t="s">
        <v>149</v>
      </c>
      <c r="AT14" s="118" t="s">
        <v>234</v>
      </c>
      <c r="AU14" s="119" t="s">
        <v>146</v>
      </c>
      <c r="AV14" s="118" t="s">
        <v>146</v>
      </c>
      <c r="AW14" s="119" t="s">
        <v>149</v>
      </c>
      <c r="AX14" s="118" t="s">
        <v>234</v>
      </c>
      <c r="AY14" s="119" t="s">
        <v>146</v>
      </c>
      <c r="AZ14" s="118" t="s">
        <v>146</v>
      </c>
      <c r="BA14" s="119" t="s">
        <v>149</v>
      </c>
      <c r="BB14" s="118" t="s">
        <v>234</v>
      </c>
      <c r="BC14" s="119" t="s">
        <v>146</v>
      </c>
      <c r="BD14" s="118" t="s">
        <v>146</v>
      </c>
      <c r="BE14" s="119" t="s">
        <v>149</v>
      </c>
      <c r="BF14" s="118" t="s">
        <v>234</v>
      </c>
      <c r="BG14" s="119" t="s">
        <v>146</v>
      </c>
      <c r="BH14" s="118" t="s">
        <v>146</v>
      </c>
      <c r="BI14" s="119" t="s">
        <v>149</v>
      </c>
      <c r="BJ14" s="118" t="s">
        <v>234</v>
      </c>
      <c r="BK14" s="119" t="s">
        <v>146</v>
      </c>
      <c r="BL14" s="118" t="s">
        <v>146</v>
      </c>
      <c r="BM14" s="119" t="s">
        <v>149</v>
      </c>
      <c r="BN14" s="118" t="s">
        <v>234</v>
      </c>
      <c r="BO14" s="119" t="s">
        <v>146</v>
      </c>
      <c r="BP14" s="118" t="s">
        <v>146</v>
      </c>
      <c r="BQ14" s="119" t="s">
        <v>149</v>
      </c>
      <c r="BR14" s="118" t="s">
        <v>234</v>
      </c>
      <c r="BS14" s="119" t="s">
        <v>146</v>
      </c>
      <c r="BT14" s="118" t="s">
        <v>146</v>
      </c>
      <c r="BU14" s="119" t="s">
        <v>149</v>
      </c>
      <c r="BV14" s="118" t="s">
        <v>234</v>
      </c>
      <c r="BW14" s="119" t="s">
        <v>146</v>
      </c>
      <c r="BX14" s="118" t="s">
        <v>146</v>
      </c>
      <c r="BY14" s="119" t="s">
        <v>149</v>
      </c>
      <c r="BZ14" s="118" t="s">
        <v>234</v>
      </c>
      <c r="CA14" s="128" t="str">
        <f t="shared" si="0"/>
        <v>6A</v>
      </c>
    </row>
    <row r="15" spans="1:79" ht="30" customHeight="1" x14ac:dyDescent="0.35">
      <c r="A15" s="90">
        <f>IF('Q4'!A21="","",'Q4'!A21)</f>
        <v>7</v>
      </c>
      <c r="B15" s="90" t="s">
        <v>137</v>
      </c>
      <c r="C15" s="107" t="s">
        <v>138</v>
      </c>
      <c r="D15" s="104" t="s">
        <v>217</v>
      </c>
      <c r="E15" s="90" t="s">
        <v>124</v>
      </c>
      <c r="F15" s="90"/>
      <c r="G15" s="117" t="s">
        <v>196</v>
      </c>
      <c r="H15" s="118" t="s">
        <v>197</v>
      </c>
      <c r="I15" s="117" t="s">
        <v>195</v>
      </c>
      <c r="J15" s="118" t="s">
        <v>164</v>
      </c>
      <c r="K15" s="119" t="s">
        <v>224</v>
      </c>
      <c r="L15" s="118" t="s">
        <v>176</v>
      </c>
      <c r="M15" s="119" t="s">
        <v>229</v>
      </c>
      <c r="N15" s="118" t="s">
        <v>168</v>
      </c>
      <c r="O15" s="119" t="s">
        <v>204</v>
      </c>
      <c r="P15" s="118" t="s">
        <v>205</v>
      </c>
      <c r="Q15" s="119" t="s">
        <v>198</v>
      </c>
      <c r="R15" s="118" t="s">
        <v>190</v>
      </c>
      <c r="S15" s="119" t="s">
        <v>196</v>
      </c>
      <c r="T15" s="118" t="s">
        <v>220</v>
      </c>
      <c r="U15" s="119" t="s">
        <v>195</v>
      </c>
      <c r="V15" s="118" t="s">
        <v>162</v>
      </c>
      <c r="W15" s="119" t="s">
        <v>196</v>
      </c>
      <c r="X15" s="118" t="s">
        <v>220</v>
      </c>
      <c r="Y15" s="119" t="s">
        <v>195</v>
      </c>
      <c r="Z15" s="118" t="s">
        <v>162</v>
      </c>
      <c r="AA15" s="119" t="s">
        <v>213</v>
      </c>
      <c r="AB15" s="118" t="s">
        <v>213</v>
      </c>
      <c r="AC15" s="120" t="s">
        <v>214</v>
      </c>
      <c r="AD15" s="121" t="s">
        <v>215</v>
      </c>
      <c r="AE15" s="122" t="s">
        <v>196</v>
      </c>
      <c r="AF15" s="121" t="s">
        <v>220</v>
      </c>
      <c r="AG15" s="123" t="s">
        <v>195</v>
      </c>
      <c r="AH15" s="124" t="s">
        <v>162</v>
      </c>
      <c r="AI15" s="117" t="s">
        <v>196</v>
      </c>
      <c r="AJ15" s="118" t="s">
        <v>197</v>
      </c>
      <c r="AK15" s="119" t="s">
        <v>195</v>
      </c>
      <c r="AL15" s="118" t="s">
        <v>164</v>
      </c>
      <c r="AM15" s="119"/>
      <c r="AN15" s="118"/>
      <c r="AO15" s="119"/>
      <c r="AP15" s="118"/>
      <c r="AQ15" s="119" t="s">
        <v>145</v>
      </c>
      <c r="AR15" s="118" t="s">
        <v>146</v>
      </c>
      <c r="AS15" s="119" t="s">
        <v>152</v>
      </c>
      <c r="AT15" s="118" t="s">
        <v>234</v>
      </c>
      <c r="AU15" s="119" t="s">
        <v>145</v>
      </c>
      <c r="AV15" s="118" t="s">
        <v>146</v>
      </c>
      <c r="AW15" s="119" t="s">
        <v>152</v>
      </c>
      <c r="AX15" s="118" t="s">
        <v>234</v>
      </c>
      <c r="AY15" s="119" t="s">
        <v>145</v>
      </c>
      <c r="AZ15" s="118" t="s">
        <v>146</v>
      </c>
      <c r="BA15" s="119" t="s">
        <v>152</v>
      </c>
      <c r="BB15" s="118" t="s">
        <v>234</v>
      </c>
      <c r="BC15" s="119" t="s">
        <v>145</v>
      </c>
      <c r="BD15" s="118" t="s">
        <v>146</v>
      </c>
      <c r="BE15" s="119" t="s">
        <v>152</v>
      </c>
      <c r="BF15" s="118" t="s">
        <v>234</v>
      </c>
      <c r="BG15" s="119" t="s">
        <v>145</v>
      </c>
      <c r="BH15" s="118" t="s">
        <v>146</v>
      </c>
      <c r="BI15" s="119" t="s">
        <v>152</v>
      </c>
      <c r="BJ15" s="118" t="s">
        <v>234</v>
      </c>
      <c r="BK15" s="119" t="s">
        <v>145</v>
      </c>
      <c r="BL15" s="118" t="s">
        <v>146</v>
      </c>
      <c r="BM15" s="119" t="s">
        <v>152</v>
      </c>
      <c r="BN15" s="118" t="s">
        <v>234</v>
      </c>
      <c r="BO15" s="119" t="s">
        <v>145</v>
      </c>
      <c r="BP15" s="118" t="s">
        <v>146</v>
      </c>
      <c r="BQ15" s="119" t="s">
        <v>152</v>
      </c>
      <c r="BR15" s="118" t="s">
        <v>234</v>
      </c>
      <c r="BS15" s="119" t="s">
        <v>145</v>
      </c>
      <c r="BT15" s="118" t="s">
        <v>146</v>
      </c>
      <c r="BU15" s="119" t="s">
        <v>152</v>
      </c>
      <c r="BV15" s="118" t="s">
        <v>234</v>
      </c>
      <c r="BW15" s="119" t="s">
        <v>145</v>
      </c>
      <c r="BX15" s="118" t="s">
        <v>146</v>
      </c>
      <c r="BY15" s="119" t="s">
        <v>152</v>
      </c>
      <c r="BZ15" s="118" t="s">
        <v>234</v>
      </c>
      <c r="CA15" s="128" t="str">
        <f t="shared" si="0"/>
        <v>6A</v>
      </c>
    </row>
    <row r="16" spans="1:79" ht="30" customHeight="1" x14ac:dyDescent="0.35">
      <c r="A16" s="90">
        <f>IF('Q4'!A22="","",'Q4'!A22)</f>
        <v>8</v>
      </c>
      <c r="B16" s="90" t="s">
        <v>139</v>
      </c>
      <c r="C16" s="107" t="s">
        <v>140</v>
      </c>
      <c r="D16" s="104" t="s">
        <v>217</v>
      </c>
      <c r="E16" s="90" t="s">
        <v>125</v>
      </c>
      <c r="F16" s="90"/>
      <c r="G16" s="117" t="s">
        <v>196</v>
      </c>
      <c r="H16" s="118" t="s">
        <v>197</v>
      </c>
      <c r="I16" s="117" t="s">
        <v>195</v>
      </c>
      <c r="J16" s="118" t="s">
        <v>164</v>
      </c>
      <c r="K16" s="119" t="s">
        <v>224</v>
      </c>
      <c r="L16" s="118" t="s">
        <v>176</v>
      </c>
      <c r="M16" s="119" t="s">
        <v>231</v>
      </c>
      <c r="N16" s="118" t="s">
        <v>168</v>
      </c>
      <c r="O16" s="119" t="s">
        <v>206</v>
      </c>
      <c r="P16" s="118" t="s">
        <v>188</v>
      </c>
      <c r="Q16" s="119" t="s">
        <v>198</v>
      </c>
      <c r="R16" s="118" t="s">
        <v>190</v>
      </c>
      <c r="S16" s="119" t="s">
        <v>196</v>
      </c>
      <c r="T16" s="118" t="s">
        <v>220</v>
      </c>
      <c r="U16" s="119" t="s">
        <v>195</v>
      </c>
      <c r="V16" s="118" t="s">
        <v>162</v>
      </c>
      <c r="W16" s="119" t="s">
        <v>196</v>
      </c>
      <c r="X16" s="118" t="s">
        <v>220</v>
      </c>
      <c r="Y16" s="119" t="s">
        <v>195</v>
      </c>
      <c r="Z16" s="118" t="s">
        <v>162</v>
      </c>
      <c r="AA16" s="119" t="s">
        <v>216</v>
      </c>
      <c r="AB16" s="118" t="s">
        <v>213</v>
      </c>
      <c r="AC16" s="120" t="s">
        <v>214</v>
      </c>
      <c r="AD16" s="121" t="s">
        <v>215</v>
      </c>
      <c r="AE16" s="122" t="s">
        <v>196</v>
      </c>
      <c r="AF16" s="121" t="s">
        <v>220</v>
      </c>
      <c r="AG16" s="123" t="s">
        <v>195</v>
      </c>
      <c r="AH16" s="124" t="s">
        <v>162</v>
      </c>
      <c r="AI16" s="117" t="s">
        <v>196</v>
      </c>
      <c r="AJ16" s="118" t="s">
        <v>197</v>
      </c>
      <c r="AK16" s="119" t="s">
        <v>195</v>
      </c>
      <c r="AL16" s="118" t="s">
        <v>164</v>
      </c>
      <c r="AM16" s="119"/>
      <c r="AN16" s="118"/>
      <c r="AO16" s="119"/>
      <c r="AP16" s="118"/>
      <c r="AQ16" s="119" t="s">
        <v>146</v>
      </c>
      <c r="AR16" s="118" t="s">
        <v>146</v>
      </c>
      <c r="AS16" s="119" t="s">
        <v>149</v>
      </c>
      <c r="AT16" s="118" t="s">
        <v>234</v>
      </c>
      <c r="AU16" s="119" t="s">
        <v>146</v>
      </c>
      <c r="AV16" s="118" t="s">
        <v>146</v>
      </c>
      <c r="AW16" s="119" t="s">
        <v>149</v>
      </c>
      <c r="AX16" s="118" t="s">
        <v>234</v>
      </c>
      <c r="AY16" s="119" t="s">
        <v>146</v>
      </c>
      <c r="AZ16" s="118" t="s">
        <v>146</v>
      </c>
      <c r="BA16" s="119" t="s">
        <v>149</v>
      </c>
      <c r="BB16" s="118" t="s">
        <v>234</v>
      </c>
      <c r="BC16" s="119" t="s">
        <v>146</v>
      </c>
      <c r="BD16" s="118" t="s">
        <v>146</v>
      </c>
      <c r="BE16" s="119" t="s">
        <v>149</v>
      </c>
      <c r="BF16" s="118" t="s">
        <v>234</v>
      </c>
      <c r="BG16" s="119" t="s">
        <v>146</v>
      </c>
      <c r="BH16" s="118" t="s">
        <v>146</v>
      </c>
      <c r="BI16" s="119" t="s">
        <v>149</v>
      </c>
      <c r="BJ16" s="118" t="s">
        <v>234</v>
      </c>
      <c r="BK16" s="119" t="s">
        <v>146</v>
      </c>
      <c r="BL16" s="118" t="s">
        <v>146</v>
      </c>
      <c r="BM16" s="119" t="s">
        <v>149</v>
      </c>
      <c r="BN16" s="118" t="s">
        <v>234</v>
      </c>
      <c r="BO16" s="119" t="s">
        <v>146</v>
      </c>
      <c r="BP16" s="118" t="s">
        <v>146</v>
      </c>
      <c r="BQ16" s="119" t="s">
        <v>149</v>
      </c>
      <c r="BR16" s="118" t="s">
        <v>234</v>
      </c>
      <c r="BS16" s="119" t="s">
        <v>146</v>
      </c>
      <c r="BT16" s="118" t="s">
        <v>146</v>
      </c>
      <c r="BU16" s="119" t="s">
        <v>149</v>
      </c>
      <c r="BV16" s="118" t="s">
        <v>234</v>
      </c>
      <c r="BW16" s="119" t="s">
        <v>146</v>
      </c>
      <c r="BX16" s="118" t="s">
        <v>146</v>
      </c>
      <c r="BY16" s="119" t="s">
        <v>149</v>
      </c>
      <c r="BZ16" s="118" t="s">
        <v>234</v>
      </c>
      <c r="CA16" s="128" t="str">
        <f t="shared" si="0"/>
        <v>6A</v>
      </c>
    </row>
    <row r="17" spans="1:79" ht="30" customHeight="1" x14ac:dyDescent="0.35">
      <c r="A17" s="90">
        <f>IF('Q4'!A23="","",'Q4'!A23)</f>
        <v>9</v>
      </c>
      <c r="B17" s="90" t="s">
        <v>141</v>
      </c>
      <c r="C17" s="107" t="s">
        <v>142</v>
      </c>
      <c r="D17" s="104" t="s">
        <v>217</v>
      </c>
      <c r="E17" s="90" t="s">
        <v>124</v>
      </c>
      <c r="F17" s="90"/>
      <c r="G17" s="117" t="s">
        <v>201</v>
      </c>
      <c r="H17" s="118" t="s">
        <v>205</v>
      </c>
      <c r="I17" s="117" t="s">
        <v>221</v>
      </c>
      <c r="J17" s="118" t="s">
        <v>164</v>
      </c>
      <c r="K17" s="119" t="s">
        <v>232</v>
      </c>
      <c r="L17" s="118" t="s">
        <v>225</v>
      </c>
      <c r="M17" s="119" t="s">
        <v>229</v>
      </c>
      <c r="N17" s="118" t="s">
        <v>168</v>
      </c>
      <c r="O17" s="119" t="s">
        <v>207</v>
      </c>
      <c r="P17" s="118" t="s">
        <v>208</v>
      </c>
      <c r="Q17" s="119" t="s">
        <v>209</v>
      </c>
      <c r="R17" s="118" t="s">
        <v>190</v>
      </c>
      <c r="S17" s="119" t="s">
        <v>196</v>
      </c>
      <c r="T17" s="118" t="s">
        <v>220</v>
      </c>
      <c r="U17" s="119" t="s">
        <v>195</v>
      </c>
      <c r="V17" s="118" t="s">
        <v>162</v>
      </c>
      <c r="W17" s="119" t="s">
        <v>196</v>
      </c>
      <c r="X17" s="118" t="s">
        <v>220</v>
      </c>
      <c r="Y17" s="119" t="s">
        <v>195</v>
      </c>
      <c r="Z17" s="118" t="s">
        <v>162</v>
      </c>
      <c r="AA17" s="119" t="s">
        <v>213</v>
      </c>
      <c r="AB17" s="118" t="s">
        <v>213</v>
      </c>
      <c r="AC17" s="120" t="s">
        <v>214</v>
      </c>
      <c r="AD17" s="121" t="s">
        <v>215</v>
      </c>
      <c r="AE17" s="122" t="s">
        <v>196</v>
      </c>
      <c r="AF17" s="121" t="s">
        <v>220</v>
      </c>
      <c r="AG17" s="123" t="s">
        <v>195</v>
      </c>
      <c r="AH17" s="124" t="s">
        <v>162</v>
      </c>
      <c r="AI17" s="117" t="s">
        <v>201</v>
      </c>
      <c r="AJ17" s="118" t="s">
        <v>205</v>
      </c>
      <c r="AK17" s="119" t="s">
        <v>221</v>
      </c>
      <c r="AL17" s="118" t="s">
        <v>164</v>
      </c>
      <c r="AM17" s="119"/>
      <c r="AN17" s="118"/>
      <c r="AO17" s="119"/>
      <c r="AP17" s="118"/>
      <c r="AQ17" s="119" t="s">
        <v>151</v>
      </c>
      <c r="AR17" s="118" t="s">
        <v>146</v>
      </c>
      <c r="AS17" s="119" t="s">
        <v>152</v>
      </c>
      <c r="AT17" s="118" t="s">
        <v>234</v>
      </c>
      <c r="AU17" s="119" t="s">
        <v>151</v>
      </c>
      <c r="AV17" s="118" t="s">
        <v>146</v>
      </c>
      <c r="AW17" s="119" t="s">
        <v>152</v>
      </c>
      <c r="AX17" s="118" t="s">
        <v>234</v>
      </c>
      <c r="AY17" s="119" t="s">
        <v>151</v>
      </c>
      <c r="AZ17" s="118" t="s">
        <v>146</v>
      </c>
      <c r="BA17" s="119" t="s">
        <v>152</v>
      </c>
      <c r="BB17" s="118" t="s">
        <v>234</v>
      </c>
      <c r="BC17" s="119" t="s">
        <v>151</v>
      </c>
      <c r="BD17" s="118" t="s">
        <v>146</v>
      </c>
      <c r="BE17" s="119" t="s">
        <v>152</v>
      </c>
      <c r="BF17" s="118" t="s">
        <v>234</v>
      </c>
      <c r="BG17" s="119" t="s">
        <v>151</v>
      </c>
      <c r="BH17" s="118" t="s">
        <v>146</v>
      </c>
      <c r="BI17" s="119" t="s">
        <v>152</v>
      </c>
      <c r="BJ17" s="118" t="s">
        <v>234</v>
      </c>
      <c r="BK17" s="119" t="s">
        <v>151</v>
      </c>
      <c r="BL17" s="118" t="s">
        <v>146</v>
      </c>
      <c r="BM17" s="119" t="s">
        <v>152</v>
      </c>
      <c r="BN17" s="118" t="s">
        <v>234</v>
      </c>
      <c r="BO17" s="119" t="s">
        <v>151</v>
      </c>
      <c r="BP17" s="118" t="s">
        <v>146</v>
      </c>
      <c r="BQ17" s="119" t="s">
        <v>152</v>
      </c>
      <c r="BR17" s="118" t="s">
        <v>234</v>
      </c>
      <c r="BS17" s="119" t="s">
        <v>151</v>
      </c>
      <c r="BT17" s="118" t="s">
        <v>146</v>
      </c>
      <c r="BU17" s="119" t="s">
        <v>152</v>
      </c>
      <c r="BV17" s="118" t="s">
        <v>234</v>
      </c>
      <c r="BW17" s="119" t="s">
        <v>151</v>
      </c>
      <c r="BX17" s="118" t="s">
        <v>146</v>
      </c>
      <c r="BY17" s="119" t="s">
        <v>152</v>
      </c>
      <c r="BZ17" s="118" t="s">
        <v>234</v>
      </c>
      <c r="CA17" s="128" t="str">
        <f t="shared" si="0"/>
        <v>6A</v>
      </c>
    </row>
    <row r="18" spans="1:79" ht="30" customHeight="1" x14ac:dyDescent="0.35">
      <c r="A18" s="90">
        <f>IF('Q4'!A24="","",'Q4'!A24)</f>
        <v>10</v>
      </c>
      <c r="B18" s="90" t="s">
        <v>143</v>
      </c>
      <c r="C18" s="107" t="s">
        <v>144</v>
      </c>
      <c r="D18" s="104" t="s">
        <v>217</v>
      </c>
      <c r="E18" s="90" t="s">
        <v>124</v>
      </c>
      <c r="F18" s="90"/>
      <c r="G18" s="117" t="s">
        <v>196</v>
      </c>
      <c r="H18" s="118" t="s">
        <v>197</v>
      </c>
      <c r="I18" s="117" t="s">
        <v>195</v>
      </c>
      <c r="J18" s="118" t="s">
        <v>164</v>
      </c>
      <c r="K18" s="119" t="s">
        <v>233</v>
      </c>
      <c r="L18" s="118" t="s">
        <v>176</v>
      </c>
      <c r="M18" s="119" t="s">
        <v>229</v>
      </c>
      <c r="N18" s="118" t="s">
        <v>168</v>
      </c>
      <c r="O18" s="119" t="s">
        <v>207</v>
      </c>
      <c r="P18" s="118" t="s">
        <v>208</v>
      </c>
      <c r="Q18" s="119" t="s">
        <v>192</v>
      </c>
      <c r="R18" s="118" t="s">
        <v>190</v>
      </c>
      <c r="S18" s="119" t="s">
        <v>196</v>
      </c>
      <c r="T18" s="118" t="s">
        <v>220</v>
      </c>
      <c r="U18" s="119" t="s">
        <v>195</v>
      </c>
      <c r="V18" s="118" t="s">
        <v>162</v>
      </c>
      <c r="W18" s="119" t="s">
        <v>196</v>
      </c>
      <c r="X18" s="118" t="s">
        <v>220</v>
      </c>
      <c r="Y18" s="119" t="s">
        <v>195</v>
      </c>
      <c r="Z18" s="118" t="s">
        <v>162</v>
      </c>
      <c r="AA18" s="119" t="s">
        <v>213</v>
      </c>
      <c r="AB18" s="118" t="s">
        <v>213</v>
      </c>
      <c r="AC18" s="120" t="s">
        <v>214</v>
      </c>
      <c r="AD18" s="121" t="s">
        <v>215</v>
      </c>
      <c r="AE18" s="122" t="s">
        <v>196</v>
      </c>
      <c r="AF18" s="121" t="s">
        <v>220</v>
      </c>
      <c r="AG18" s="123" t="s">
        <v>195</v>
      </c>
      <c r="AH18" s="124" t="s">
        <v>162</v>
      </c>
      <c r="AI18" s="117" t="s">
        <v>196</v>
      </c>
      <c r="AJ18" s="118" t="s">
        <v>197</v>
      </c>
      <c r="AK18" s="119" t="s">
        <v>195</v>
      </c>
      <c r="AL18" s="118" t="s">
        <v>164</v>
      </c>
      <c r="AM18" s="119"/>
      <c r="AN18" s="118"/>
      <c r="AO18" s="119"/>
      <c r="AP18" s="118"/>
      <c r="AQ18" s="119" t="s">
        <v>151</v>
      </c>
      <c r="AR18" s="118" t="s">
        <v>146</v>
      </c>
      <c r="AS18" s="119" t="s">
        <v>147</v>
      </c>
      <c r="AT18" s="118" t="s">
        <v>234</v>
      </c>
      <c r="AU18" s="119" t="s">
        <v>151</v>
      </c>
      <c r="AV18" s="118" t="s">
        <v>146</v>
      </c>
      <c r="AW18" s="119" t="s">
        <v>147</v>
      </c>
      <c r="AX18" s="118" t="s">
        <v>234</v>
      </c>
      <c r="AY18" s="119" t="s">
        <v>151</v>
      </c>
      <c r="AZ18" s="118" t="s">
        <v>146</v>
      </c>
      <c r="BA18" s="119" t="s">
        <v>147</v>
      </c>
      <c r="BB18" s="118" t="s">
        <v>234</v>
      </c>
      <c r="BC18" s="119" t="s">
        <v>151</v>
      </c>
      <c r="BD18" s="118" t="s">
        <v>146</v>
      </c>
      <c r="BE18" s="119" t="s">
        <v>147</v>
      </c>
      <c r="BF18" s="118" t="s">
        <v>234</v>
      </c>
      <c r="BG18" s="119" t="s">
        <v>151</v>
      </c>
      <c r="BH18" s="118" t="s">
        <v>146</v>
      </c>
      <c r="BI18" s="119" t="s">
        <v>147</v>
      </c>
      <c r="BJ18" s="118" t="s">
        <v>234</v>
      </c>
      <c r="BK18" s="119" t="s">
        <v>151</v>
      </c>
      <c r="BL18" s="118" t="s">
        <v>146</v>
      </c>
      <c r="BM18" s="119" t="s">
        <v>147</v>
      </c>
      <c r="BN18" s="118" t="s">
        <v>234</v>
      </c>
      <c r="BO18" s="119" t="s">
        <v>151</v>
      </c>
      <c r="BP18" s="118" t="s">
        <v>146</v>
      </c>
      <c r="BQ18" s="119" t="s">
        <v>147</v>
      </c>
      <c r="BR18" s="118" t="s">
        <v>234</v>
      </c>
      <c r="BS18" s="119" t="s">
        <v>151</v>
      </c>
      <c r="BT18" s="118" t="s">
        <v>146</v>
      </c>
      <c r="BU18" s="119" t="s">
        <v>147</v>
      </c>
      <c r="BV18" s="118" t="s">
        <v>234</v>
      </c>
      <c r="BW18" s="119" t="s">
        <v>151</v>
      </c>
      <c r="BX18" s="118" t="s">
        <v>146</v>
      </c>
      <c r="BY18" s="119" t="s">
        <v>147</v>
      </c>
      <c r="BZ18" s="118" t="s">
        <v>234</v>
      </c>
      <c r="CA18" s="128" t="str">
        <f t="shared" si="0"/>
        <v>6A</v>
      </c>
    </row>
    <row r="19" spans="1:79" ht="30" customHeight="1" x14ac:dyDescent="1.1499999999999999">
      <c r="A19" s="90">
        <f>IF('Q4'!A25="","",'Q4'!A25)</f>
        <v>11</v>
      </c>
      <c r="B19" s="36" t="s">
        <v>218</v>
      </c>
      <c r="C19" s="13" t="s">
        <v>219</v>
      </c>
      <c r="D19" s="104"/>
      <c r="E19" s="90" t="s">
        <v>124</v>
      </c>
      <c r="F19" s="90"/>
      <c r="G19" s="117" t="s">
        <v>196</v>
      </c>
      <c r="H19" s="118" t="s">
        <v>197</v>
      </c>
      <c r="I19" s="117" t="s">
        <v>195</v>
      </c>
      <c r="J19" s="118" t="s">
        <v>164</v>
      </c>
      <c r="K19" s="119" t="s">
        <v>233</v>
      </c>
      <c r="L19" s="118" t="s">
        <v>176</v>
      </c>
      <c r="M19" s="119" t="s">
        <v>229</v>
      </c>
      <c r="N19" s="118" t="s">
        <v>168</v>
      </c>
      <c r="O19" s="119" t="s">
        <v>207</v>
      </c>
      <c r="P19" s="118" t="s">
        <v>208</v>
      </c>
      <c r="Q19" s="119" t="s">
        <v>209</v>
      </c>
      <c r="R19" s="118" t="s">
        <v>190</v>
      </c>
      <c r="S19" s="119" t="s">
        <v>196</v>
      </c>
      <c r="T19" s="118" t="s">
        <v>220</v>
      </c>
      <c r="U19" s="119" t="s">
        <v>195</v>
      </c>
      <c r="V19" s="118" t="s">
        <v>162</v>
      </c>
      <c r="W19" s="119" t="s">
        <v>196</v>
      </c>
      <c r="X19" s="118" t="s">
        <v>220</v>
      </c>
      <c r="Y19" s="119" t="s">
        <v>195</v>
      </c>
      <c r="Z19" s="118" t="s">
        <v>162</v>
      </c>
      <c r="AA19" s="119" t="s">
        <v>213</v>
      </c>
      <c r="AB19" s="118" t="s">
        <v>213</v>
      </c>
      <c r="AC19" s="120" t="s">
        <v>214</v>
      </c>
      <c r="AD19" s="121" t="s">
        <v>215</v>
      </c>
      <c r="AE19" s="122" t="s">
        <v>196</v>
      </c>
      <c r="AF19" s="121" t="s">
        <v>220</v>
      </c>
      <c r="AG19" s="123" t="s">
        <v>195</v>
      </c>
      <c r="AH19" s="124" t="s">
        <v>162</v>
      </c>
      <c r="AI19" s="117" t="s">
        <v>196</v>
      </c>
      <c r="AJ19" s="118" t="s">
        <v>197</v>
      </c>
      <c r="AK19" s="119" t="s">
        <v>195</v>
      </c>
      <c r="AL19" s="118" t="s">
        <v>164</v>
      </c>
      <c r="AM19" s="119"/>
      <c r="AN19" s="118"/>
      <c r="AO19" s="119"/>
      <c r="AP19" s="118"/>
      <c r="AQ19" s="119" t="s">
        <v>146</v>
      </c>
      <c r="AR19" s="118" t="s">
        <v>146</v>
      </c>
      <c r="AS19" s="119" t="s">
        <v>149</v>
      </c>
      <c r="AT19" s="118" t="s">
        <v>234</v>
      </c>
      <c r="AU19" s="119" t="s">
        <v>146</v>
      </c>
      <c r="AV19" s="118" t="s">
        <v>146</v>
      </c>
      <c r="AW19" s="119" t="s">
        <v>149</v>
      </c>
      <c r="AX19" s="118" t="s">
        <v>234</v>
      </c>
      <c r="AY19" s="119" t="s">
        <v>146</v>
      </c>
      <c r="AZ19" s="118" t="s">
        <v>146</v>
      </c>
      <c r="BA19" s="119" t="s">
        <v>149</v>
      </c>
      <c r="BB19" s="118" t="s">
        <v>234</v>
      </c>
      <c r="BC19" s="119" t="s">
        <v>146</v>
      </c>
      <c r="BD19" s="118" t="s">
        <v>146</v>
      </c>
      <c r="BE19" s="119" t="s">
        <v>149</v>
      </c>
      <c r="BF19" s="118" t="s">
        <v>234</v>
      </c>
      <c r="BG19" s="119" t="s">
        <v>146</v>
      </c>
      <c r="BH19" s="118" t="s">
        <v>146</v>
      </c>
      <c r="BI19" s="119" t="s">
        <v>149</v>
      </c>
      <c r="BJ19" s="118" t="s">
        <v>234</v>
      </c>
      <c r="BK19" s="119" t="s">
        <v>146</v>
      </c>
      <c r="BL19" s="118" t="s">
        <v>146</v>
      </c>
      <c r="BM19" s="119" t="s">
        <v>149</v>
      </c>
      <c r="BN19" s="118" t="s">
        <v>234</v>
      </c>
      <c r="BO19" s="119" t="s">
        <v>146</v>
      </c>
      <c r="BP19" s="118" t="s">
        <v>146</v>
      </c>
      <c r="BQ19" s="119" t="s">
        <v>149</v>
      </c>
      <c r="BR19" s="118" t="s">
        <v>234</v>
      </c>
      <c r="BS19" s="119" t="s">
        <v>146</v>
      </c>
      <c r="BT19" s="118" t="s">
        <v>146</v>
      </c>
      <c r="BU19" s="119" t="s">
        <v>149</v>
      </c>
      <c r="BV19" s="118" t="s">
        <v>234</v>
      </c>
      <c r="BW19" s="119" t="s">
        <v>146</v>
      </c>
      <c r="BX19" s="118" t="s">
        <v>146</v>
      </c>
      <c r="BY19" s="119" t="s">
        <v>149</v>
      </c>
      <c r="BZ19" s="118" t="s">
        <v>234</v>
      </c>
      <c r="CA19" s="128" t="str">
        <f t="shared" si="0"/>
        <v>6A</v>
      </c>
    </row>
    <row r="20" spans="1:79" ht="30" customHeight="1" x14ac:dyDescent="0.35">
      <c r="A20" s="90">
        <f>IF('Q4'!A26="","",'Q4'!A26)</f>
        <v>12</v>
      </c>
      <c r="B20" s="90"/>
      <c r="C20" s="107"/>
      <c r="D20" s="104"/>
      <c r="E20" s="90"/>
      <c r="F20" s="90"/>
      <c r="G20" s="117"/>
      <c r="H20" s="118"/>
      <c r="I20" s="117"/>
      <c r="J20" s="118"/>
      <c r="K20" s="119"/>
      <c r="L20" s="118"/>
      <c r="M20" s="119"/>
      <c r="N20" s="118"/>
      <c r="O20" s="119"/>
      <c r="P20" s="118"/>
      <c r="Q20" s="119"/>
      <c r="R20" s="118"/>
      <c r="S20" s="119"/>
      <c r="T20" s="118"/>
      <c r="U20" s="119"/>
      <c r="V20" s="118"/>
      <c r="W20" s="119"/>
      <c r="X20" s="118"/>
      <c r="Y20" s="119"/>
      <c r="Z20" s="118"/>
      <c r="AA20" s="119"/>
      <c r="AB20" s="118"/>
      <c r="AC20" s="120"/>
      <c r="AD20" s="121"/>
      <c r="AE20" s="122"/>
      <c r="AF20" s="121"/>
      <c r="AG20" s="123"/>
      <c r="AH20" s="124"/>
      <c r="AI20" s="117"/>
      <c r="AJ20" s="118"/>
      <c r="AK20" s="119"/>
      <c r="AL20" s="118"/>
      <c r="AM20" s="119"/>
      <c r="AN20" s="118"/>
      <c r="AO20" s="119"/>
      <c r="AP20" s="118"/>
      <c r="AQ20" s="119"/>
      <c r="AR20" s="118"/>
      <c r="AS20" s="119"/>
      <c r="AT20" s="118"/>
      <c r="AU20" s="119"/>
      <c r="AV20" s="118"/>
      <c r="AW20" s="119"/>
      <c r="AX20" s="118"/>
      <c r="AY20" s="119"/>
      <c r="AZ20" s="118"/>
      <c r="BA20" s="119"/>
      <c r="BB20" s="118"/>
      <c r="BC20" s="119"/>
      <c r="BD20" s="118"/>
      <c r="BE20" s="120"/>
      <c r="BF20" s="121"/>
      <c r="BG20" s="122"/>
      <c r="BH20" s="121"/>
      <c r="BI20" s="123"/>
      <c r="BJ20" s="124"/>
      <c r="BK20" s="125"/>
      <c r="BL20" s="126"/>
      <c r="BM20" s="127"/>
      <c r="BN20" s="126"/>
      <c r="BO20" s="127"/>
      <c r="BP20" s="126"/>
      <c r="BQ20" s="127"/>
      <c r="BR20" s="126"/>
      <c r="BS20" s="127"/>
      <c r="BT20" s="126"/>
      <c r="BU20" s="127"/>
      <c r="BV20" s="126"/>
      <c r="BW20" s="127"/>
      <c r="BX20" s="126"/>
      <c r="BY20" s="127"/>
      <c r="BZ20" s="126"/>
      <c r="CA20" s="128" t="str">
        <f t="shared" si="0"/>
        <v/>
      </c>
    </row>
    <row r="21" spans="1:79" ht="30" customHeight="1" x14ac:dyDescent="0.35">
      <c r="A21" s="90">
        <f>IF('Q4'!A27="","",'Q4'!A27)</f>
        <v>13</v>
      </c>
      <c r="B21" s="90"/>
      <c r="C21" s="107"/>
      <c r="D21" s="104"/>
      <c r="E21" s="90"/>
      <c r="F21" s="90"/>
      <c r="G21" s="117"/>
      <c r="H21" s="118"/>
      <c r="I21" s="117"/>
      <c r="J21" s="118"/>
      <c r="K21" s="119"/>
      <c r="L21" s="118"/>
      <c r="M21" s="119"/>
      <c r="N21" s="118"/>
      <c r="O21" s="119"/>
      <c r="P21" s="118"/>
      <c r="Q21" s="119"/>
      <c r="R21" s="118"/>
      <c r="S21" s="119"/>
      <c r="T21" s="118"/>
      <c r="U21" s="119"/>
      <c r="V21" s="118"/>
      <c r="W21" s="119"/>
      <c r="X21" s="118"/>
      <c r="Y21" s="119"/>
      <c r="Z21" s="118"/>
      <c r="AA21" s="119"/>
      <c r="AB21" s="118"/>
      <c r="AC21" s="120"/>
      <c r="AD21" s="121"/>
      <c r="AE21" s="122"/>
      <c r="AF21" s="121"/>
      <c r="AG21" s="123"/>
      <c r="AH21" s="124"/>
      <c r="AI21" s="117"/>
      <c r="AJ21" s="118"/>
      <c r="AK21" s="119"/>
      <c r="AL21" s="118"/>
      <c r="AM21" s="119"/>
      <c r="AN21" s="118"/>
      <c r="AO21" s="119"/>
      <c r="AP21" s="118"/>
      <c r="AQ21" s="119"/>
      <c r="AR21" s="118"/>
      <c r="AS21" s="119"/>
      <c r="AT21" s="118"/>
      <c r="AU21" s="119"/>
      <c r="AV21" s="118"/>
      <c r="AW21" s="119"/>
      <c r="AX21" s="118"/>
      <c r="AY21" s="119"/>
      <c r="AZ21" s="118"/>
      <c r="BA21" s="119"/>
      <c r="BB21" s="118"/>
      <c r="BC21" s="119"/>
      <c r="BD21" s="118"/>
      <c r="BE21" s="120"/>
      <c r="BF21" s="121"/>
      <c r="BG21" s="122"/>
      <c r="BH21" s="121"/>
      <c r="BI21" s="123"/>
      <c r="BJ21" s="124"/>
      <c r="BK21" s="125"/>
      <c r="BL21" s="126"/>
      <c r="BM21" s="127"/>
      <c r="BN21" s="126"/>
      <c r="BO21" s="127"/>
      <c r="BP21" s="126"/>
      <c r="BQ21" s="127"/>
      <c r="BR21" s="126"/>
      <c r="BS21" s="127"/>
      <c r="BT21" s="126"/>
      <c r="BU21" s="127"/>
      <c r="BV21" s="126"/>
      <c r="BW21" s="127"/>
      <c r="BX21" s="126"/>
      <c r="BY21" s="127"/>
      <c r="BZ21" s="126"/>
      <c r="CA21" s="128" t="str">
        <f t="shared" si="0"/>
        <v/>
      </c>
    </row>
    <row r="22" spans="1:79" ht="30" customHeight="1" x14ac:dyDescent="0.35">
      <c r="A22" s="90" t="str">
        <f>IF('Q4'!A28="","",'Q4'!A28)</f>
        <v/>
      </c>
      <c r="B22" s="90"/>
      <c r="C22" s="107"/>
      <c r="D22" s="104"/>
      <c r="E22" s="90"/>
      <c r="F22" s="90"/>
      <c r="G22" s="117"/>
      <c r="H22" s="118"/>
      <c r="I22" s="117"/>
      <c r="J22" s="118"/>
      <c r="K22" s="119"/>
      <c r="L22" s="118"/>
      <c r="M22" s="119"/>
      <c r="N22" s="118"/>
      <c r="O22" s="119"/>
      <c r="P22" s="118"/>
      <c r="Q22" s="119"/>
      <c r="R22" s="118"/>
      <c r="S22" s="119"/>
      <c r="T22" s="118"/>
      <c r="U22" s="119"/>
      <c r="V22" s="118"/>
      <c r="W22" s="119"/>
      <c r="X22" s="118"/>
      <c r="Y22" s="119"/>
      <c r="Z22" s="118"/>
      <c r="AA22" s="119"/>
      <c r="AB22" s="118"/>
      <c r="AC22" s="120"/>
      <c r="AD22" s="121"/>
      <c r="AE22" s="122"/>
      <c r="AF22" s="121"/>
      <c r="AG22" s="123"/>
      <c r="AH22" s="124"/>
      <c r="AI22" s="117"/>
      <c r="AJ22" s="118"/>
      <c r="AK22" s="119"/>
      <c r="AL22" s="118"/>
      <c r="AM22" s="119"/>
      <c r="AN22" s="118"/>
      <c r="AO22" s="119"/>
      <c r="AP22" s="118"/>
      <c r="AQ22" s="119"/>
      <c r="AR22" s="118"/>
      <c r="AS22" s="119"/>
      <c r="AT22" s="118"/>
      <c r="AU22" s="119"/>
      <c r="AV22" s="118"/>
      <c r="AW22" s="119"/>
      <c r="AX22" s="118"/>
      <c r="AY22" s="119"/>
      <c r="AZ22" s="118"/>
      <c r="BA22" s="119"/>
      <c r="BB22" s="118"/>
      <c r="BC22" s="119"/>
      <c r="BD22" s="118"/>
      <c r="BE22" s="120"/>
      <c r="BF22" s="121"/>
      <c r="BG22" s="122"/>
      <c r="BH22" s="121"/>
      <c r="BI22" s="123"/>
      <c r="BJ22" s="124"/>
      <c r="BK22" s="125"/>
      <c r="BL22" s="126"/>
      <c r="BM22" s="127"/>
      <c r="BN22" s="126"/>
      <c r="BO22" s="127"/>
      <c r="BP22" s="126"/>
      <c r="BQ22" s="127"/>
      <c r="BR22" s="126"/>
      <c r="BS22" s="127"/>
      <c r="BT22" s="126"/>
      <c r="BU22" s="127"/>
      <c r="BV22" s="126"/>
      <c r="BW22" s="127"/>
      <c r="BX22" s="126"/>
      <c r="BY22" s="127"/>
      <c r="BZ22" s="126"/>
      <c r="CA22" s="128" t="str">
        <f t="shared" si="0"/>
        <v/>
      </c>
    </row>
    <row r="23" spans="1:79" ht="30" customHeight="1" x14ac:dyDescent="0.35">
      <c r="A23" s="90" t="str">
        <f>IF('Q4'!A29="","",'Q4'!A29)</f>
        <v/>
      </c>
      <c r="B23" s="90"/>
      <c r="C23" s="107"/>
      <c r="D23" s="104"/>
      <c r="E23" s="90"/>
      <c r="F23" s="90"/>
      <c r="G23" s="117"/>
      <c r="H23" s="118"/>
      <c r="I23" s="117"/>
      <c r="J23" s="118"/>
      <c r="K23" s="119"/>
      <c r="L23" s="118"/>
      <c r="M23" s="119"/>
      <c r="N23" s="118"/>
      <c r="O23" s="119"/>
      <c r="P23" s="118"/>
      <c r="Q23" s="119"/>
      <c r="R23" s="118"/>
      <c r="S23" s="119"/>
      <c r="T23" s="118"/>
      <c r="U23" s="119"/>
      <c r="V23" s="118"/>
      <c r="W23" s="119"/>
      <c r="X23" s="118"/>
      <c r="Y23" s="119"/>
      <c r="Z23" s="118"/>
      <c r="AA23" s="119"/>
      <c r="AB23" s="118"/>
      <c r="AC23" s="120"/>
      <c r="AD23" s="121"/>
      <c r="AE23" s="122"/>
      <c r="AF23" s="121"/>
      <c r="AG23" s="123"/>
      <c r="AH23" s="124"/>
      <c r="AI23" s="117"/>
      <c r="AJ23" s="118"/>
      <c r="AK23" s="119"/>
      <c r="AL23" s="118"/>
      <c r="AM23" s="119"/>
      <c r="AN23" s="118"/>
      <c r="AO23" s="119"/>
      <c r="AP23" s="118"/>
      <c r="AQ23" s="119"/>
      <c r="AR23" s="118"/>
      <c r="AS23" s="119"/>
      <c r="AT23" s="118"/>
      <c r="AU23" s="119"/>
      <c r="AV23" s="118"/>
      <c r="AW23" s="119"/>
      <c r="AX23" s="118"/>
      <c r="AY23" s="119"/>
      <c r="AZ23" s="118"/>
      <c r="BA23" s="119"/>
      <c r="BB23" s="118"/>
      <c r="BC23" s="119"/>
      <c r="BD23" s="118"/>
      <c r="BE23" s="120"/>
      <c r="BF23" s="121"/>
      <c r="BG23" s="122"/>
      <c r="BH23" s="121"/>
      <c r="BI23" s="123"/>
      <c r="BJ23" s="124"/>
      <c r="BK23" s="125"/>
      <c r="BL23" s="126"/>
      <c r="BM23" s="127"/>
      <c r="BN23" s="126"/>
      <c r="BO23" s="127"/>
      <c r="BP23" s="126"/>
      <c r="BQ23" s="127"/>
      <c r="BR23" s="126"/>
      <c r="BS23" s="127"/>
      <c r="BT23" s="126"/>
      <c r="BU23" s="127"/>
      <c r="BV23" s="126"/>
      <c r="BW23" s="127"/>
      <c r="BX23" s="126"/>
      <c r="BY23" s="127"/>
      <c r="BZ23" s="126"/>
      <c r="CA23" s="128" t="str">
        <f t="shared" si="0"/>
        <v/>
      </c>
    </row>
    <row r="24" spans="1:79" ht="30" customHeight="1" x14ac:dyDescent="0.35">
      <c r="A24" s="90" t="str">
        <f>IF('Q4'!A30="","",'Q4'!A30)</f>
        <v/>
      </c>
      <c r="B24" s="90"/>
      <c r="C24" s="107"/>
      <c r="D24" s="104"/>
      <c r="E24" s="90"/>
      <c r="F24" s="90"/>
      <c r="G24" s="117"/>
      <c r="H24" s="118"/>
      <c r="I24" s="117"/>
      <c r="J24" s="118"/>
      <c r="K24" s="119"/>
      <c r="L24" s="118"/>
      <c r="M24" s="119"/>
      <c r="N24" s="118"/>
      <c r="O24" s="119"/>
      <c r="P24" s="118"/>
      <c r="Q24" s="119"/>
      <c r="R24" s="118"/>
      <c r="S24" s="119"/>
      <c r="T24" s="118"/>
      <c r="U24" s="119"/>
      <c r="V24" s="118"/>
      <c r="W24" s="119"/>
      <c r="X24" s="118"/>
      <c r="Y24" s="119"/>
      <c r="Z24" s="118"/>
      <c r="AA24" s="119"/>
      <c r="AB24" s="118"/>
      <c r="AC24" s="120"/>
      <c r="AD24" s="121"/>
      <c r="AE24" s="122"/>
      <c r="AF24" s="121"/>
      <c r="AG24" s="123"/>
      <c r="AH24" s="124"/>
      <c r="AI24" s="117"/>
      <c r="AJ24" s="118"/>
      <c r="AK24" s="119"/>
      <c r="AL24" s="118"/>
      <c r="AM24" s="119"/>
      <c r="AN24" s="118"/>
      <c r="AO24" s="119"/>
      <c r="AP24" s="118"/>
      <c r="AQ24" s="119"/>
      <c r="AR24" s="118"/>
      <c r="AS24" s="119"/>
      <c r="AT24" s="118"/>
      <c r="AU24" s="119"/>
      <c r="AV24" s="118"/>
      <c r="AW24" s="119"/>
      <c r="AX24" s="118"/>
      <c r="AY24" s="119"/>
      <c r="AZ24" s="118"/>
      <c r="BA24" s="119"/>
      <c r="BB24" s="118"/>
      <c r="BC24" s="119"/>
      <c r="BD24" s="118"/>
      <c r="BE24" s="120"/>
      <c r="BF24" s="121"/>
      <c r="BG24" s="122"/>
      <c r="BH24" s="121"/>
      <c r="BI24" s="123"/>
      <c r="BJ24" s="124"/>
      <c r="BK24" s="125"/>
      <c r="BL24" s="126"/>
      <c r="BM24" s="127"/>
      <c r="BN24" s="126"/>
      <c r="BO24" s="127"/>
      <c r="BP24" s="126"/>
      <c r="BQ24" s="127"/>
      <c r="BR24" s="126"/>
      <c r="BS24" s="127"/>
      <c r="BT24" s="126"/>
      <c r="BU24" s="127"/>
      <c r="BV24" s="126"/>
      <c r="BW24" s="127"/>
      <c r="BX24" s="126"/>
      <c r="BY24" s="127"/>
      <c r="BZ24" s="126"/>
      <c r="CA24" s="128" t="str">
        <f t="shared" si="0"/>
        <v/>
      </c>
    </row>
    <row r="25" spans="1:79" ht="30" customHeight="1" x14ac:dyDescent="0.35">
      <c r="A25" s="90" t="str">
        <f>IF('Q4'!A31="","",'Q4'!A31)</f>
        <v/>
      </c>
      <c r="B25" s="90"/>
      <c r="C25" s="107"/>
      <c r="D25" s="104"/>
      <c r="E25" s="90"/>
      <c r="F25" s="90"/>
      <c r="G25" s="117"/>
      <c r="H25" s="118"/>
      <c r="I25" s="117"/>
      <c r="J25" s="118"/>
      <c r="K25" s="119"/>
      <c r="L25" s="118"/>
      <c r="M25" s="119"/>
      <c r="N25" s="118"/>
      <c r="O25" s="119"/>
      <c r="P25" s="118"/>
      <c r="Q25" s="119"/>
      <c r="R25" s="118"/>
      <c r="S25" s="119"/>
      <c r="T25" s="118"/>
      <c r="U25" s="119"/>
      <c r="V25" s="118"/>
      <c r="W25" s="119"/>
      <c r="X25" s="118"/>
      <c r="Y25" s="119"/>
      <c r="Z25" s="118"/>
      <c r="AA25" s="119"/>
      <c r="AB25" s="118"/>
      <c r="AC25" s="120"/>
      <c r="AD25" s="121"/>
      <c r="AE25" s="122"/>
      <c r="AF25" s="121"/>
      <c r="AG25" s="123"/>
      <c r="AH25" s="124"/>
      <c r="AI25" s="117"/>
      <c r="AJ25" s="118"/>
      <c r="AK25" s="119"/>
      <c r="AL25" s="118"/>
      <c r="AM25" s="119"/>
      <c r="AN25" s="118"/>
      <c r="AO25" s="119"/>
      <c r="AP25" s="118"/>
      <c r="AQ25" s="119"/>
      <c r="AR25" s="118"/>
      <c r="AS25" s="119"/>
      <c r="AT25" s="118"/>
      <c r="AU25" s="119"/>
      <c r="AV25" s="118"/>
      <c r="AW25" s="119"/>
      <c r="AX25" s="118"/>
      <c r="AY25" s="119"/>
      <c r="AZ25" s="118"/>
      <c r="BA25" s="119"/>
      <c r="BB25" s="118"/>
      <c r="BC25" s="119"/>
      <c r="BD25" s="118"/>
      <c r="BE25" s="120"/>
      <c r="BF25" s="121"/>
      <c r="BG25" s="122"/>
      <c r="BH25" s="121"/>
      <c r="BI25" s="123"/>
      <c r="BJ25" s="124"/>
      <c r="BK25" s="125"/>
      <c r="BL25" s="126"/>
      <c r="BM25" s="127"/>
      <c r="BN25" s="126"/>
      <c r="BO25" s="127"/>
      <c r="BP25" s="126"/>
      <c r="BQ25" s="127"/>
      <c r="BR25" s="126"/>
      <c r="BS25" s="127"/>
      <c r="BT25" s="126"/>
      <c r="BU25" s="127"/>
      <c r="BV25" s="126"/>
      <c r="BW25" s="127"/>
      <c r="BX25" s="126"/>
      <c r="BY25" s="127"/>
      <c r="BZ25" s="126"/>
      <c r="CA25" s="128" t="str">
        <f t="shared" si="0"/>
        <v/>
      </c>
    </row>
    <row r="26" spans="1:79" ht="30" customHeight="1" x14ac:dyDescent="0.35">
      <c r="A26" s="90" t="str">
        <f>IF('Q4'!A32="","",'Q4'!A32)</f>
        <v/>
      </c>
      <c r="B26" s="90"/>
      <c r="C26" s="107"/>
      <c r="D26" s="104"/>
      <c r="E26" s="90"/>
      <c r="F26" s="90"/>
      <c r="G26" s="117"/>
      <c r="H26" s="118"/>
      <c r="I26" s="117"/>
      <c r="J26" s="118"/>
      <c r="K26" s="119"/>
      <c r="L26" s="118"/>
      <c r="M26" s="119"/>
      <c r="N26" s="118"/>
      <c r="O26" s="119"/>
      <c r="P26" s="118"/>
      <c r="Q26" s="119"/>
      <c r="R26" s="118"/>
      <c r="S26" s="119"/>
      <c r="T26" s="118"/>
      <c r="U26" s="119"/>
      <c r="V26" s="118"/>
      <c r="W26" s="119"/>
      <c r="X26" s="118"/>
      <c r="Y26" s="119"/>
      <c r="Z26" s="118"/>
      <c r="AA26" s="119"/>
      <c r="AB26" s="118"/>
      <c r="AC26" s="120"/>
      <c r="AD26" s="121"/>
      <c r="AE26" s="122"/>
      <c r="AF26" s="121"/>
      <c r="AG26" s="123"/>
      <c r="AH26" s="124"/>
      <c r="AI26" s="117"/>
      <c r="AJ26" s="118"/>
      <c r="AK26" s="119"/>
      <c r="AL26" s="118"/>
      <c r="AM26" s="119"/>
      <c r="AN26" s="118"/>
      <c r="AO26" s="119"/>
      <c r="AP26" s="118"/>
      <c r="AQ26" s="119"/>
      <c r="AR26" s="118"/>
      <c r="AS26" s="119"/>
      <c r="AT26" s="118"/>
      <c r="AU26" s="119"/>
      <c r="AV26" s="118"/>
      <c r="AW26" s="119"/>
      <c r="AX26" s="118"/>
      <c r="AY26" s="119"/>
      <c r="AZ26" s="118"/>
      <c r="BA26" s="119"/>
      <c r="BB26" s="118"/>
      <c r="BC26" s="119"/>
      <c r="BD26" s="118"/>
      <c r="BE26" s="120"/>
      <c r="BF26" s="121"/>
      <c r="BG26" s="122"/>
      <c r="BH26" s="121"/>
      <c r="BI26" s="123"/>
      <c r="BJ26" s="124"/>
      <c r="BK26" s="125"/>
      <c r="BL26" s="126"/>
      <c r="BM26" s="127"/>
      <c r="BN26" s="126"/>
      <c r="BO26" s="127"/>
      <c r="BP26" s="126"/>
      <c r="BQ26" s="127"/>
      <c r="BR26" s="126"/>
      <c r="BS26" s="127"/>
      <c r="BT26" s="126"/>
      <c r="BU26" s="127"/>
      <c r="BV26" s="126"/>
      <c r="BW26" s="127"/>
      <c r="BX26" s="126"/>
      <c r="BY26" s="127"/>
      <c r="BZ26" s="126"/>
      <c r="CA26" s="128" t="str">
        <f t="shared" si="0"/>
        <v/>
      </c>
    </row>
    <row r="27" spans="1:79" ht="30" customHeight="1" x14ac:dyDescent="0.35">
      <c r="A27" s="90" t="str">
        <f>IF('Q4'!A33="","",'Q4'!A33)</f>
        <v/>
      </c>
      <c r="B27" s="90"/>
      <c r="C27" s="107"/>
      <c r="D27" s="104"/>
      <c r="E27" s="90"/>
      <c r="F27" s="90"/>
      <c r="G27" s="117"/>
      <c r="H27" s="118"/>
      <c r="I27" s="117"/>
      <c r="J27" s="118"/>
      <c r="K27" s="119"/>
      <c r="L27" s="118"/>
      <c r="M27" s="119"/>
      <c r="N27" s="118"/>
      <c r="O27" s="119"/>
      <c r="P27" s="118"/>
      <c r="Q27" s="119"/>
      <c r="R27" s="118"/>
      <c r="S27" s="119"/>
      <c r="T27" s="118"/>
      <c r="U27" s="119"/>
      <c r="V27" s="118"/>
      <c r="W27" s="119"/>
      <c r="X27" s="118"/>
      <c r="Y27" s="119"/>
      <c r="Z27" s="118"/>
      <c r="AA27" s="119"/>
      <c r="AB27" s="118"/>
      <c r="AC27" s="120"/>
      <c r="AD27" s="121"/>
      <c r="AE27" s="122"/>
      <c r="AF27" s="121"/>
      <c r="AG27" s="123"/>
      <c r="AH27" s="124"/>
      <c r="AI27" s="117"/>
      <c r="AJ27" s="118"/>
      <c r="AK27" s="119"/>
      <c r="AL27" s="118"/>
      <c r="AM27" s="119"/>
      <c r="AN27" s="118"/>
      <c r="AO27" s="119"/>
      <c r="AP27" s="118"/>
      <c r="AQ27" s="119"/>
      <c r="AR27" s="118"/>
      <c r="AS27" s="119"/>
      <c r="AT27" s="118"/>
      <c r="AU27" s="119"/>
      <c r="AV27" s="118"/>
      <c r="AW27" s="119"/>
      <c r="AX27" s="118"/>
      <c r="AY27" s="119"/>
      <c r="AZ27" s="118"/>
      <c r="BA27" s="119"/>
      <c r="BB27" s="118"/>
      <c r="BC27" s="119"/>
      <c r="BD27" s="118"/>
      <c r="BE27" s="120"/>
      <c r="BF27" s="121"/>
      <c r="BG27" s="122"/>
      <c r="BH27" s="121"/>
      <c r="BI27" s="123"/>
      <c r="BJ27" s="124"/>
      <c r="BK27" s="125"/>
      <c r="BL27" s="126"/>
      <c r="BM27" s="127"/>
      <c r="BN27" s="126"/>
      <c r="BO27" s="127"/>
      <c r="BP27" s="126"/>
      <c r="BQ27" s="127"/>
      <c r="BR27" s="126"/>
      <c r="BS27" s="127"/>
      <c r="BT27" s="126"/>
      <c r="BU27" s="127"/>
      <c r="BV27" s="126"/>
      <c r="BW27" s="127"/>
      <c r="BX27" s="126"/>
      <c r="BY27" s="127"/>
      <c r="BZ27" s="126"/>
      <c r="CA27" s="128" t="str">
        <f t="shared" si="0"/>
        <v/>
      </c>
    </row>
    <row r="28" spans="1:79" ht="30" customHeight="1" x14ac:dyDescent="0.35">
      <c r="A28" s="90" t="str">
        <f>IF('Q4'!A34="","",'Q4'!A34)</f>
        <v/>
      </c>
      <c r="B28" s="90"/>
      <c r="C28" s="107"/>
      <c r="D28" s="104"/>
      <c r="E28" s="90"/>
      <c r="F28" s="90"/>
      <c r="G28" s="117"/>
      <c r="H28" s="118"/>
      <c r="I28" s="117"/>
      <c r="J28" s="118"/>
      <c r="K28" s="119"/>
      <c r="L28" s="118"/>
      <c r="M28" s="119"/>
      <c r="N28" s="118"/>
      <c r="O28" s="119"/>
      <c r="P28" s="118"/>
      <c r="Q28" s="119"/>
      <c r="R28" s="118"/>
      <c r="S28" s="119"/>
      <c r="T28" s="118"/>
      <c r="U28" s="119"/>
      <c r="V28" s="118"/>
      <c r="W28" s="119"/>
      <c r="X28" s="118"/>
      <c r="Y28" s="119"/>
      <c r="Z28" s="118"/>
      <c r="AA28" s="119"/>
      <c r="AB28" s="118"/>
      <c r="AC28" s="120"/>
      <c r="AD28" s="121"/>
      <c r="AE28" s="122"/>
      <c r="AF28" s="121"/>
      <c r="AG28" s="123"/>
      <c r="AH28" s="124"/>
      <c r="AI28" s="117"/>
      <c r="AJ28" s="118"/>
      <c r="AK28" s="119"/>
      <c r="AL28" s="118"/>
      <c r="AM28" s="119"/>
      <c r="AN28" s="118"/>
      <c r="AO28" s="119"/>
      <c r="AP28" s="118"/>
      <c r="AQ28" s="119"/>
      <c r="AR28" s="118"/>
      <c r="AS28" s="119"/>
      <c r="AT28" s="118"/>
      <c r="AU28" s="119"/>
      <c r="AV28" s="118"/>
      <c r="AW28" s="119"/>
      <c r="AX28" s="118"/>
      <c r="AY28" s="119"/>
      <c r="AZ28" s="118"/>
      <c r="BA28" s="119"/>
      <c r="BB28" s="118"/>
      <c r="BC28" s="119"/>
      <c r="BD28" s="118"/>
      <c r="BE28" s="120"/>
      <c r="BF28" s="121"/>
      <c r="BG28" s="122"/>
      <c r="BH28" s="121"/>
      <c r="BI28" s="123"/>
      <c r="BJ28" s="124"/>
      <c r="BK28" s="125"/>
      <c r="BL28" s="126"/>
      <c r="BM28" s="127"/>
      <c r="BN28" s="126"/>
      <c r="BO28" s="127"/>
      <c r="BP28" s="126"/>
      <c r="BQ28" s="127"/>
      <c r="BR28" s="126"/>
      <c r="BS28" s="127"/>
      <c r="BT28" s="126"/>
      <c r="BU28" s="127"/>
      <c r="BV28" s="126"/>
      <c r="BW28" s="127"/>
      <c r="BX28" s="126"/>
      <c r="BY28" s="127"/>
      <c r="BZ28" s="126"/>
      <c r="CA28" s="128" t="str">
        <f t="shared" si="0"/>
        <v/>
      </c>
    </row>
    <row r="29" spans="1:79" ht="30" customHeight="1" x14ac:dyDescent="0.35">
      <c r="A29" s="90" t="str">
        <f>IF('Q4'!A35="","",'Q4'!A35)</f>
        <v/>
      </c>
      <c r="B29" s="90"/>
      <c r="C29" s="107"/>
      <c r="D29" s="104"/>
      <c r="E29" s="90"/>
      <c r="F29" s="90"/>
      <c r="G29" s="117"/>
      <c r="H29" s="118"/>
      <c r="I29" s="117"/>
      <c r="J29" s="118"/>
      <c r="K29" s="119"/>
      <c r="L29" s="118"/>
      <c r="M29" s="119"/>
      <c r="N29" s="118"/>
      <c r="O29" s="119"/>
      <c r="P29" s="118"/>
      <c r="Q29" s="119"/>
      <c r="R29" s="118"/>
      <c r="S29" s="119"/>
      <c r="T29" s="118"/>
      <c r="U29" s="119"/>
      <c r="V29" s="118"/>
      <c r="W29" s="119"/>
      <c r="X29" s="118"/>
      <c r="Y29" s="119"/>
      <c r="Z29" s="118"/>
      <c r="AA29" s="119"/>
      <c r="AB29" s="118"/>
      <c r="AC29" s="120"/>
      <c r="AD29" s="121"/>
      <c r="AE29" s="122"/>
      <c r="AF29" s="121"/>
      <c r="AG29" s="123"/>
      <c r="AH29" s="124"/>
      <c r="AI29" s="117"/>
      <c r="AJ29" s="118"/>
      <c r="AK29" s="119"/>
      <c r="AL29" s="118"/>
      <c r="AM29" s="119"/>
      <c r="AN29" s="118"/>
      <c r="AO29" s="119"/>
      <c r="AP29" s="118"/>
      <c r="AQ29" s="119"/>
      <c r="AR29" s="118"/>
      <c r="AS29" s="119"/>
      <c r="AT29" s="118"/>
      <c r="AU29" s="119"/>
      <c r="AV29" s="118"/>
      <c r="AW29" s="119"/>
      <c r="AX29" s="118"/>
      <c r="AY29" s="119"/>
      <c r="AZ29" s="118"/>
      <c r="BA29" s="119"/>
      <c r="BB29" s="118"/>
      <c r="BC29" s="119"/>
      <c r="BD29" s="118"/>
      <c r="BE29" s="120"/>
      <c r="BF29" s="121"/>
      <c r="BG29" s="122"/>
      <c r="BH29" s="121"/>
      <c r="BI29" s="123"/>
      <c r="BJ29" s="124"/>
      <c r="BK29" s="125"/>
      <c r="BL29" s="126"/>
      <c r="BM29" s="127"/>
      <c r="BN29" s="126"/>
      <c r="BO29" s="127"/>
      <c r="BP29" s="126"/>
      <c r="BQ29" s="127"/>
      <c r="BR29" s="126"/>
      <c r="BS29" s="127"/>
      <c r="BT29" s="126"/>
      <c r="BU29" s="127"/>
      <c r="BV29" s="126"/>
      <c r="BW29" s="127"/>
      <c r="BX29" s="126"/>
      <c r="BY29" s="127"/>
      <c r="BZ29" s="126"/>
      <c r="CA29" s="128" t="str">
        <f t="shared" si="0"/>
        <v/>
      </c>
    </row>
    <row r="30" spans="1:79" ht="30" customHeight="1" x14ac:dyDescent="0.35">
      <c r="A30" s="90" t="str">
        <f>IF('Q4'!A36="","",'Q4'!A36)</f>
        <v/>
      </c>
      <c r="B30" s="90"/>
      <c r="C30" s="107"/>
      <c r="D30" s="104"/>
      <c r="E30" s="90"/>
      <c r="F30" s="90"/>
      <c r="G30" s="117"/>
      <c r="H30" s="118"/>
      <c r="I30" s="117"/>
      <c r="J30" s="118"/>
      <c r="K30" s="119"/>
      <c r="L30" s="118"/>
      <c r="M30" s="119"/>
      <c r="N30" s="118"/>
      <c r="O30" s="119"/>
      <c r="P30" s="118"/>
      <c r="Q30" s="119"/>
      <c r="R30" s="118"/>
      <c r="S30" s="119"/>
      <c r="T30" s="118"/>
      <c r="U30" s="119"/>
      <c r="V30" s="118"/>
      <c r="W30" s="119"/>
      <c r="X30" s="118"/>
      <c r="Y30" s="119"/>
      <c r="Z30" s="118"/>
      <c r="AA30" s="119"/>
      <c r="AB30" s="118"/>
      <c r="AC30" s="120"/>
      <c r="AD30" s="121"/>
      <c r="AE30" s="122"/>
      <c r="AF30" s="121"/>
      <c r="AG30" s="123"/>
      <c r="AH30" s="124"/>
      <c r="AI30" s="117"/>
      <c r="AJ30" s="118"/>
      <c r="AK30" s="119"/>
      <c r="AL30" s="118"/>
      <c r="AM30" s="119"/>
      <c r="AN30" s="118"/>
      <c r="AO30" s="119"/>
      <c r="AP30" s="118"/>
      <c r="AQ30" s="119"/>
      <c r="AR30" s="118"/>
      <c r="AS30" s="119"/>
      <c r="AT30" s="118"/>
      <c r="AU30" s="119"/>
      <c r="AV30" s="118"/>
      <c r="AW30" s="119"/>
      <c r="AX30" s="118"/>
      <c r="AY30" s="119"/>
      <c r="AZ30" s="118"/>
      <c r="BA30" s="119"/>
      <c r="BB30" s="118"/>
      <c r="BC30" s="119"/>
      <c r="BD30" s="118"/>
      <c r="BE30" s="120"/>
      <c r="BF30" s="121"/>
      <c r="BG30" s="122"/>
      <c r="BH30" s="121"/>
      <c r="BI30" s="123"/>
      <c r="BJ30" s="124"/>
      <c r="BK30" s="125"/>
      <c r="BL30" s="126"/>
      <c r="BM30" s="127"/>
      <c r="BN30" s="126"/>
      <c r="BO30" s="127"/>
      <c r="BP30" s="126"/>
      <c r="BQ30" s="127"/>
      <c r="BR30" s="126"/>
      <c r="BS30" s="127"/>
      <c r="BT30" s="126"/>
      <c r="BU30" s="127"/>
      <c r="BV30" s="126"/>
      <c r="BW30" s="127"/>
      <c r="BX30" s="126"/>
      <c r="BY30" s="127"/>
      <c r="BZ30" s="126"/>
      <c r="CA30" s="128" t="str">
        <f t="shared" si="0"/>
        <v/>
      </c>
    </row>
    <row r="31" spans="1:79" ht="30" customHeight="1" x14ac:dyDescent="0.35">
      <c r="A31" s="90" t="str">
        <f>IF('Q4'!A37="","",'Q4'!A37)</f>
        <v/>
      </c>
      <c r="B31" s="90"/>
      <c r="C31" s="107"/>
      <c r="D31" s="104"/>
      <c r="E31" s="90"/>
      <c r="F31" s="90"/>
      <c r="G31" s="117"/>
      <c r="H31" s="118"/>
      <c r="I31" s="117"/>
      <c r="J31" s="118"/>
      <c r="K31" s="119"/>
      <c r="L31" s="118"/>
      <c r="M31" s="119"/>
      <c r="N31" s="118"/>
      <c r="O31" s="119"/>
      <c r="P31" s="118"/>
      <c r="Q31" s="119"/>
      <c r="R31" s="118"/>
      <c r="S31" s="119"/>
      <c r="T31" s="118"/>
      <c r="U31" s="119"/>
      <c r="V31" s="118"/>
      <c r="W31" s="119"/>
      <c r="X31" s="118"/>
      <c r="Y31" s="119"/>
      <c r="Z31" s="118"/>
      <c r="AA31" s="119"/>
      <c r="AB31" s="118"/>
      <c r="AC31" s="120"/>
      <c r="AD31" s="121"/>
      <c r="AE31" s="122"/>
      <c r="AF31" s="121"/>
      <c r="AG31" s="123"/>
      <c r="AH31" s="124"/>
      <c r="AI31" s="117"/>
      <c r="AJ31" s="118"/>
      <c r="AK31" s="119"/>
      <c r="AL31" s="118"/>
      <c r="AM31" s="119"/>
      <c r="AN31" s="118"/>
      <c r="AO31" s="119"/>
      <c r="AP31" s="118"/>
      <c r="AQ31" s="119"/>
      <c r="AR31" s="118"/>
      <c r="AS31" s="119"/>
      <c r="AT31" s="118"/>
      <c r="AU31" s="119"/>
      <c r="AV31" s="118"/>
      <c r="AW31" s="119"/>
      <c r="AX31" s="118"/>
      <c r="AY31" s="119"/>
      <c r="AZ31" s="118"/>
      <c r="BA31" s="119"/>
      <c r="BB31" s="118"/>
      <c r="BC31" s="119"/>
      <c r="BD31" s="118"/>
      <c r="BE31" s="120"/>
      <c r="BF31" s="121"/>
      <c r="BG31" s="122"/>
      <c r="BH31" s="121"/>
      <c r="BI31" s="123"/>
      <c r="BJ31" s="124"/>
      <c r="BK31" s="125"/>
      <c r="BL31" s="126"/>
      <c r="BM31" s="127"/>
      <c r="BN31" s="126"/>
      <c r="BO31" s="127"/>
      <c r="BP31" s="126"/>
      <c r="BQ31" s="127"/>
      <c r="BR31" s="126"/>
      <c r="BS31" s="127"/>
      <c r="BT31" s="126"/>
      <c r="BU31" s="127"/>
      <c r="BV31" s="126"/>
      <c r="BW31" s="127"/>
      <c r="BX31" s="126"/>
      <c r="BY31" s="127"/>
      <c r="BZ31" s="126"/>
      <c r="CA31" s="128" t="str">
        <f t="shared" si="0"/>
        <v/>
      </c>
    </row>
    <row r="32" spans="1:79" ht="30" customHeight="1" x14ac:dyDescent="0.35">
      <c r="A32" s="90" t="str">
        <f>IF('Q4'!A38="","",'Q4'!A38)</f>
        <v/>
      </c>
      <c r="B32" s="90"/>
      <c r="C32" s="107"/>
      <c r="D32" s="104"/>
      <c r="E32" s="90"/>
      <c r="F32" s="90"/>
      <c r="G32" s="117"/>
      <c r="H32" s="118"/>
      <c r="I32" s="117"/>
      <c r="J32" s="118"/>
      <c r="K32" s="119"/>
      <c r="L32" s="118"/>
      <c r="M32" s="119"/>
      <c r="N32" s="118"/>
      <c r="O32" s="119"/>
      <c r="P32" s="118"/>
      <c r="Q32" s="119"/>
      <c r="R32" s="118"/>
      <c r="S32" s="119"/>
      <c r="T32" s="118"/>
      <c r="U32" s="119"/>
      <c r="V32" s="118"/>
      <c r="W32" s="119"/>
      <c r="X32" s="118"/>
      <c r="Y32" s="119"/>
      <c r="Z32" s="118"/>
      <c r="AA32" s="119"/>
      <c r="AB32" s="118"/>
      <c r="AC32" s="120"/>
      <c r="AD32" s="121"/>
      <c r="AE32" s="122"/>
      <c r="AF32" s="121"/>
      <c r="AG32" s="123"/>
      <c r="AH32" s="124"/>
      <c r="AI32" s="117"/>
      <c r="AJ32" s="118"/>
      <c r="AK32" s="119"/>
      <c r="AL32" s="118"/>
      <c r="AM32" s="119"/>
      <c r="AN32" s="118"/>
      <c r="AO32" s="119"/>
      <c r="AP32" s="118"/>
      <c r="AQ32" s="119"/>
      <c r="AR32" s="118"/>
      <c r="AS32" s="119"/>
      <c r="AT32" s="118"/>
      <c r="AU32" s="119"/>
      <c r="AV32" s="118"/>
      <c r="AW32" s="119"/>
      <c r="AX32" s="118"/>
      <c r="AY32" s="119"/>
      <c r="AZ32" s="118"/>
      <c r="BA32" s="119"/>
      <c r="BB32" s="118"/>
      <c r="BC32" s="119"/>
      <c r="BD32" s="118"/>
      <c r="BE32" s="120"/>
      <c r="BF32" s="121"/>
      <c r="BG32" s="122"/>
      <c r="BH32" s="121"/>
      <c r="BI32" s="123"/>
      <c r="BJ32" s="124"/>
      <c r="BK32" s="125"/>
      <c r="BL32" s="126"/>
      <c r="BM32" s="127"/>
      <c r="BN32" s="126"/>
      <c r="BO32" s="127"/>
      <c r="BP32" s="126"/>
      <c r="BQ32" s="127"/>
      <c r="BR32" s="126"/>
      <c r="BS32" s="127"/>
      <c r="BT32" s="126"/>
      <c r="BU32" s="127"/>
      <c r="BV32" s="126"/>
      <c r="BW32" s="127"/>
      <c r="BX32" s="126"/>
      <c r="BY32" s="127"/>
      <c r="BZ32" s="126"/>
      <c r="CA32" s="128" t="str">
        <f t="shared" si="0"/>
        <v/>
      </c>
    </row>
    <row r="33" spans="1:79" ht="30" customHeight="1" x14ac:dyDescent="0.35">
      <c r="A33" s="90" t="str">
        <f>IF('Q4'!A39="","",'Q4'!A39)</f>
        <v/>
      </c>
      <c r="B33" s="90"/>
      <c r="C33" s="107"/>
      <c r="D33" s="104"/>
      <c r="E33" s="90"/>
      <c r="F33" s="90"/>
      <c r="G33" s="117"/>
      <c r="H33" s="118"/>
      <c r="I33" s="117"/>
      <c r="J33" s="118"/>
      <c r="K33" s="119"/>
      <c r="L33" s="118"/>
      <c r="M33" s="119"/>
      <c r="N33" s="118"/>
      <c r="O33" s="119"/>
      <c r="P33" s="118"/>
      <c r="Q33" s="119"/>
      <c r="R33" s="118"/>
      <c r="S33" s="119"/>
      <c r="T33" s="118"/>
      <c r="U33" s="119"/>
      <c r="V33" s="118"/>
      <c r="W33" s="119"/>
      <c r="X33" s="118"/>
      <c r="Y33" s="119"/>
      <c r="Z33" s="118"/>
      <c r="AA33" s="119"/>
      <c r="AB33" s="118"/>
      <c r="AC33" s="120"/>
      <c r="AD33" s="121"/>
      <c r="AE33" s="122"/>
      <c r="AF33" s="121"/>
      <c r="AG33" s="123"/>
      <c r="AH33" s="124"/>
      <c r="AI33" s="117"/>
      <c r="AJ33" s="118"/>
      <c r="AK33" s="119"/>
      <c r="AL33" s="118"/>
      <c r="AM33" s="119"/>
      <c r="AN33" s="118"/>
      <c r="AO33" s="119"/>
      <c r="AP33" s="118"/>
      <c r="AQ33" s="119"/>
      <c r="AR33" s="118"/>
      <c r="AS33" s="119"/>
      <c r="AT33" s="118"/>
      <c r="AU33" s="119"/>
      <c r="AV33" s="118"/>
      <c r="AW33" s="119"/>
      <c r="AX33" s="118"/>
      <c r="AY33" s="119"/>
      <c r="AZ33" s="118"/>
      <c r="BA33" s="119"/>
      <c r="BB33" s="118"/>
      <c r="BC33" s="119"/>
      <c r="BD33" s="118"/>
      <c r="BE33" s="120"/>
      <c r="BF33" s="121"/>
      <c r="BG33" s="122"/>
      <c r="BH33" s="121"/>
      <c r="BI33" s="123"/>
      <c r="BJ33" s="124"/>
      <c r="BK33" s="125"/>
      <c r="BL33" s="126"/>
      <c r="BM33" s="127"/>
      <c r="BN33" s="126"/>
      <c r="BO33" s="127"/>
      <c r="BP33" s="126"/>
      <c r="BQ33" s="127"/>
      <c r="BR33" s="126"/>
      <c r="BS33" s="127"/>
      <c r="BT33" s="126"/>
      <c r="BU33" s="127"/>
      <c r="BV33" s="126"/>
      <c r="BW33" s="127"/>
      <c r="BX33" s="126"/>
      <c r="BY33" s="127"/>
      <c r="BZ33" s="126"/>
      <c r="CA33" s="128" t="str">
        <f t="shared" si="0"/>
        <v/>
      </c>
    </row>
    <row r="34" spans="1:79" ht="30" customHeight="1" x14ac:dyDescent="0.35">
      <c r="A34" s="90" t="str">
        <f>IF('Q4'!A40="","",'Q4'!A40)</f>
        <v/>
      </c>
      <c r="B34" s="90"/>
      <c r="C34" s="107"/>
      <c r="D34" s="104"/>
      <c r="E34" s="90"/>
      <c r="F34" s="90"/>
      <c r="G34" s="117"/>
      <c r="H34" s="118"/>
      <c r="I34" s="117"/>
      <c r="J34" s="118"/>
      <c r="K34" s="119"/>
      <c r="L34" s="118"/>
      <c r="M34" s="119"/>
      <c r="N34" s="118"/>
      <c r="O34" s="119"/>
      <c r="P34" s="118"/>
      <c r="Q34" s="119"/>
      <c r="R34" s="118"/>
      <c r="S34" s="119"/>
      <c r="T34" s="118"/>
      <c r="U34" s="119"/>
      <c r="V34" s="118"/>
      <c r="W34" s="119"/>
      <c r="X34" s="118"/>
      <c r="Y34" s="119"/>
      <c r="Z34" s="118"/>
      <c r="AA34" s="119"/>
      <c r="AB34" s="118"/>
      <c r="AC34" s="120"/>
      <c r="AD34" s="121"/>
      <c r="AE34" s="122"/>
      <c r="AF34" s="121"/>
      <c r="AG34" s="123"/>
      <c r="AH34" s="124"/>
      <c r="AI34" s="117"/>
      <c r="AJ34" s="118"/>
      <c r="AK34" s="119"/>
      <c r="AL34" s="118"/>
      <c r="AM34" s="119"/>
      <c r="AN34" s="118"/>
      <c r="AO34" s="119"/>
      <c r="AP34" s="118"/>
      <c r="AQ34" s="119"/>
      <c r="AR34" s="118"/>
      <c r="AS34" s="119"/>
      <c r="AT34" s="118"/>
      <c r="AU34" s="119"/>
      <c r="AV34" s="118"/>
      <c r="AW34" s="119"/>
      <c r="AX34" s="118"/>
      <c r="AY34" s="119"/>
      <c r="AZ34" s="118"/>
      <c r="BA34" s="119"/>
      <c r="BB34" s="118"/>
      <c r="BC34" s="119"/>
      <c r="BD34" s="118"/>
      <c r="BE34" s="120"/>
      <c r="BF34" s="121"/>
      <c r="BG34" s="122"/>
      <c r="BH34" s="121"/>
      <c r="BI34" s="123"/>
      <c r="BJ34" s="124"/>
      <c r="BK34" s="125"/>
      <c r="BL34" s="126"/>
      <c r="BM34" s="127"/>
      <c r="BN34" s="126"/>
      <c r="BO34" s="127"/>
      <c r="BP34" s="126"/>
      <c r="BQ34" s="127"/>
      <c r="BR34" s="126"/>
      <c r="BS34" s="127"/>
      <c r="BT34" s="126"/>
      <c r="BU34" s="127"/>
      <c r="BV34" s="126"/>
      <c r="BW34" s="127"/>
      <c r="BX34" s="126"/>
      <c r="BY34" s="127"/>
      <c r="BZ34" s="126"/>
      <c r="CA34" s="128" t="str">
        <f t="shared" si="0"/>
        <v/>
      </c>
    </row>
    <row r="35" spans="1:79" ht="30" customHeight="1" x14ac:dyDescent="0.35">
      <c r="A35" s="90" t="str">
        <f>IF('Q4'!A41="","",'Q4'!A41)</f>
        <v/>
      </c>
      <c r="B35" s="90"/>
      <c r="C35" s="107"/>
      <c r="D35" s="104"/>
      <c r="E35" s="90"/>
      <c r="F35" s="90"/>
      <c r="G35" s="117"/>
      <c r="H35" s="118"/>
      <c r="I35" s="117"/>
      <c r="J35" s="118"/>
      <c r="K35" s="119"/>
      <c r="L35" s="118"/>
      <c r="M35" s="119"/>
      <c r="N35" s="118"/>
      <c r="O35" s="119"/>
      <c r="P35" s="118"/>
      <c r="Q35" s="119"/>
      <c r="R35" s="118"/>
      <c r="S35" s="119"/>
      <c r="T35" s="118"/>
      <c r="U35" s="119"/>
      <c r="V35" s="118"/>
      <c r="W35" s="119"/>
      <c r="X35" s="118"/>
      <c r="Y35" s="119"/>
      <c r="Z35" s="118"/>
      <c r="AA35" s="119"/>
      <c r="AB35" s="118"/>
      <c r="AC35" s="120"/>
      <c r="AD35" s="121"/>
      <c r="AE35" s="122"/>
      <c r="AF35" s="121"/>
      <c r="AG35" s="123"/>
      <c r="AH35" s="124"/>
      <c r="AI35" s="117"/>
      <c r="AJ35" s="118"/>
      <c r="AK35" s="119"/>
      <c r="AL35" s="118"/>
      <c r="AM35" s="119"/>
      <c r="AN35" s="118"/>
      <c r="AO35" s="119"/>
      <c r="AP35" s="118"/>
      <c r="AQ35" s="119"/>
      <c r="AR35" s="118"/>
      <c r="AS35" s="119"/>
      <c r="AT35" s="118"/>
      <c r="AU35" s="119"/>
      <c r="AV35" s="118"/>
      <c r="AW35" s="119"/>
      <c r="AX35" s="118"/>
      <c r="AY35" s="119"/>
      <c r="AZ35" s="118"/>
      <c r="BA35" s="119"/>
      <c r="BB35" s="118"/>
      <c r="BC35" s="119"/>
      <c r="BD35" s="118"/>
      <c r="BE35" s="120"/>
      <c r="BF35" s="121"/>
      <c r="BG35" s="122"/>
      <c r="BH35" s="121"/>
      <c r="BI35" s="123"/>
      <c r="BJ35" s="124"/>
      <c r="BK35" s="125"/>
      <c r="BL35" s="126"/>
      <c r="BM35" s="127"/>
      <c r="BN35" s="126"/>
      <c r="BO35" s="127"/>
      <c r="BP35" s="126"/>
      <c r="BQ35" s="127"/>
      <c r="BR35" s="126"/>
      <c r="BS35" s="127"/>
      <c r="BT35" s="126"/>
      <c r="BU35" s="127"/>
      <c r="BV35" s="126"/>
      <c r="BW35" s="127"/>
      <c r="BX35" s="126"/>
      <c r="BY35" s="127"/>
      <c r="BZ35" s="126"/>
      <c r="CA35" s="128" t="str">
        <f t="shared" si="0"/>
        <v/>
      </c>
    </row>
    <row r="36" spans="1:79" ht="30" customHeight="1" x14ac:dyDescent="0.35">
      <c r="A36" s="90" t="str">
        <f>IF('Q4'!A42="","",'Q4'!A42)</f>
        <v/>
      </c>
      <c r="B36" s="90"/>
      <c r="C36" s="107"/>
      <c r="D36" s="104"/>
      <c r="E36" s="90"/>
      <c r="F36" s="90"/>
      <c r="G36" s="117"/>
      <c r="H36" s="118"/>
      <c r="I36" s="117"/>
      <c r="J36" s="118"/>
      <c r="K36" s="119"/>
      <c r="L36" s="118"/>
      <c r="M36" s="119"/>
      <c r="N36" s="118"/>
      <c r="O36" s="119"/>
      <c r="P36" s="118"/>
      <c r="Q36" s="119"/>
      <c r="R36" s="118"/>
      <c r="S36" s="119"/>
      <c r="T36" s="118"/>
      <c r="U36" s="119"/>
      <c r="V36" s="118"/>
      <c r="W36" s="119"/>
      <c r="X36" s="118"/>
      <c r="Y36" s="119"/>
      <c r="Z36" s="118"/>
      <c r="AA36" s="119"/>
      <c r="AB36" s="118"/>
      <c r="AC36" s="120"/>
      <c r="AD36" s="121"/>
      <c r="AE36" s="122"/>
      <c r="AF36" s="121"/>
      <c r="AG36" s="123"/>
      <c r="AH36" s="124"/>
      <c r="AI36" s="117"/>
      <c r="AJ36" s="118"/>
      <c r="AK36" s="119"/>
      <c r="AL36" s="118"/>
      <c r="AM36" s="119"/>
      <c r="AN36" s="118"/>
      <c r="AO36" s="119"/>
      <c r="AP36" s="118"/>
      <c r="AQ36" s="119"/>
      <c r="AR36" s="118"/>
      <c r="AS36" s="119"/>
      <c r="AT36" s="118"/>
      <c r="AU36" s="119"/>
      <c r="AV36" s="118"/>
      <c r="AW36" s="119"/>
      <c r="AX36" s="118"/>
      <c r="AY36" s="119"/>
      <c r="AZ36" s="118"/>
      <c r="BA36" s="119"/>
      <c r="BB36" s="118"/>
      <c r="BC36" s="119"/>
      <c r="BD36" s="118"/>
      <c r="BE36" s="120"/>
      <c r="BF36" s="121"/>
      <c r="BG36" s="122"/>
      <c r="BH36" s="121"/>
      <c r="BI36" s="123"/>
      <c r="BJ36" s="124"/>
      <c r="BK36" s="125"/>
      <c r="BL36" s="126"/>
      <c r="BM36" s="127"/>
      <c r="BN36" s="126"/>
      <c r="BO36" s="127"/>
      <c r="BP36" s="126"/>
      <c r="BQ36" s="127"/>
      <c r="BR36" s="126"/>
      <c r="BS36" s="127"/>
      <c r="BT36" s="126"/>
      <c r="BU36" s="127"/>
      <c r="BV36" s="126"/>
      <c r="BW36" s="127"/>
      <c r="BX36" s="126"/>
      <c r="BY36" s="127"/>
      <c r="BZ36" s="126"/>
      <c r="CA36" s="128" t="str">
        <f t="shared" si="0"/>
        <v/>
      </c>
    </row>
    <row r="37" spans="1:79" ht="30" customHeight="1" x14ac:dyDescent="0.35">
      <c r="A37" s="90" t="str">
        <f>IF('Q4'!A43="","",'Q4'!A43)</f>
        <v/>
      </c>
      <c r="B37" s="90"/>
      <c r="C37" s="107"/>
      <c r="D37" s="104"/>
      <c r="E37" s="90"/>
      <c r="F37" s="90"/>
      <c r="G37" s="117"/>
      <c r="H37" s="118"/>
      <c r="I37" s="117"/>
      <c r="J37" s="118"/>
      <c r="K37" s="119"/>
      <c r="L37" s="118"/>
      <c r="M37" s="119"/>
      <c r="N37" s="118"/>
      <c r="O37" s="119"/>
      <c r="P37" s="118"/>
      <c r="Q37" s="119"/>
      <c r="R37" s="118"/>
      <c r="S37" s="119"/>
      <c r="T37" s="118"/>
      <c r="U37" s="119"/>
      <c r="V37" s="118"/>
      <c r="W37" s="119"/>
      <c r="X37" s="118"/>
      <c r="Y37" s="119"/>
      <c r="Z37" s="118"/>
      <c r="AA37" s="119"/>
      <c r="AB37" s="118"/>
      <c r="AC37" s="120"/>
      <c r="AD37" s="121"/>
      <c r="AE37" s="122"/>
      <c r="AF37" s="121"/>
      <c r="AG37" s="123"/>
      <c r="AH37" s="124"/>
      <c r="AI37" s="117"/>
      <c r="AJ37" s="118"/>
      <c r="AK37" s="119"/>
      <c r="AL37" s="118"/>
      <c r="AM37" s="119"/>
      <c r="AN37" s="118"/>
      <c r="AO37" s="119"/>
      <c r="AP37" s="118"/>
      <c r="AQ37" s="119"/>
      <c r="AR37" s="118"/>
      <c r="AS37" s="119"/>
      <c r="AT37" s="118"/>
      <c r="AU37" s="119"/>
      <c r="AV37" s="118"/>
      <c r="AW37" s="119"/>
      <c r="AX37" s="118"/>
      <c r="AY37" s="119"/>
      <c r="AZ37" s="118"/>
      <c r="BA37" s="119"/>
      <c r="BB37" s="118"/>
      <c r="BC37" s="119"/>
      <c r="BD37" s="118"/>
      <c r="BE37" s="120"/>
      <c r="BF37" s="121"/>
      <c r="BG37" s="122"/>
      <c r="BH37" s="121"/>
      <c r="BI37" s="123"/>
      <c r="BJ37" s="124"/>
      <c r="BK37" s="125"/>
      <c r="BL37" s="126"/>
      <c r="BM37" s="127"/>
      <c r="BN37" s="126"/>
      <c r="BO37" s="127"/>
      <c r="BP37" s="126"/>
      <c r="BQ37" s="127"/>
      <c r="BR37" s="126"/>
      <c r="BS37" s="127"/>
      <c r="BT37" s="126"/>
      <c r="BU37" s="127"/>
      <c r="BV37" s="126"/>
      <c r="BW37" s="127"/>
      <c r="BX37" s="126"/>
      <c r="BY37" s="127"/>
      <c r="BZ37" s="126"/>
      <c r="CA37" s="128" t="str">
        <f t="shared" si="0"/>
        <v/>
      </c>
    </row>
    <row r="38" spans="1:79" ht="30" customHeight="1" x14ac:dyDescent="0.35">
      <c r="A38" s="90" t="str">
        <f>IF('Q4'!A44="","",'Q4'!A44)</f>
        <v/>
      </c>
      <c r="B38" s="90"/>
      <c r="C38" s="107"/>
      <c r="D38" s="104"/>
      <c r="E38" s="90"/>
      <c r="F38" s="90"/>
      <c r="G38" s="117"/>
      <c r="H38" s="118"/>
      <c r="I38" s="117"/>
      <c r="J38" s="118"/>
      <c r="K38" s="119"/>
      <c r="L38" s="118"/>
      <c r="M38" s="119"/>
      <c r="N38" s="118"/>
      <c r="O38" s="119"/>
      <c r="P38" s="118"/>
      <c r="Q38" s="119"/>
      <c r="R38" s="118"/>
      <c r="S38" s="119"/>
      <c r="T38" s="118"/>
      <c r="U38" s="119"/>
      <c r="V38" s="118"/>
      <c r="W38" s="119"/>
      <c r="X38" s="118"/>
      <c r="Y38" s="119"/>
      <c r="Z38" s="118"/>
      <c r="AA38" s="119"/>
      <c r="AB38" s="118"/>
      <c r="AC38" s="120"/>
      <c r="AD38" s="121"/>
      <c r="AE38" s="122"/>
      <c r="AF38" s="121"/>
      <c r="AG38" s="123"/>
      <c r="AH38" s="124"/>
      <c r="AI38" s="117"/>
      <c r="AJ38" s="118"/>
      <c r="AK38" s="119"/>
      <c r="AL38" s="118"/>
      <c r="AM38" s="119"/>
      <c r="AN38" s="118"/>
      <c r="AO38" s="119"/>
      <c r="AP38" s="118"/>
      <c r="AQ38" s="119"/>
      <c r="AR38" s="118"/>
      <c r="AS38" s="119"/>
      <c r="AT38" s="118"/>
      <c r="AU38" s="119"/>
      <c r="AV38" s="118"/>
      <c r="AW38" s="119"/>
      <c r="AX38" s="118"/>
      <c r="AY38" s="119"/>
      <c r="AZ38" s="118"/>
      <c r="BA38" s="119"/>
      <c r="BB38" s="118"/>
      <c r="BC38" s="119"/>
      <c r="BD38" s="118"/>
      <c r="BE38" s="120"/>
      <c r="BF38" s="121"/>
      <c r="BG38" s="122"/>
      <c r="BH38" s="121"/>
      <c r="BI38" s="123"/>
      <c r="BJ38" s="124"/>
      <c r="BK38" s="125"/>
      <c r="BL38" s="126"/>
      <c r="BM38" s="127"/>
      <c r="BN38" s="126"/>
      <c r="BO38" s="127"/>
      <c r="BP38" s="126"/>
      <c r="BQ38" s="127"/>
      <c r="BR38" s="126"/>
      <c r="BS38" s="127"/>
      <c r="BT38" s="126"/>
      <c r="BU38" s="127"/>
      <c r="BV38" s="126"/>
      <c r="BW38" s="127"/>
      <c r="BX38" s="126"/>
      <c r="BY38" s="127"/>
      <c r="BZ38" s="126"/>
      <c r="CA38" s="128" t="str">
        <f t="shared" si="0"/>
        <v/>
      </c>
    </row>
    <row r="39" spans="1:79" ht="30" customHeight="1" x14ac:dyDescent="0.35">
      <c r="A39" s="90" t="str">
        <f>IF('Q4'!A45="","",'Q4'!A45)</f>
        <v/>
      </c>
      <c r="B39" s="90"/>
      <c r="C39" s="107"/>
      <c r="D39" s="104"/>
      <c r="E39" s="90"/>
      <c r="F39" s="90"/>
      <c r="G39" s="117"/>
      <c r="H39" s="118"/>
      <c r="I39" s="117"/>
      <c r="J39" s="118"/>
      <c r="K39" s="119"/>
      <c r="L39" s="118"/>
      <c r="M39" s="119"/>
      <c r="N39" s="118"/>
      <c r="O39" s="119"/>
      <c r="P39" s="118"/>
      <c r="Q39" s="119"/>
      <c r="R39" s="118"/>
      <c r="S39" s="119"/>
      <c r="T39" s="118"/>
      <c r="U39" s="119"/>
      <c r="V39" s="118"/>
      <c r="W39" s="119"/>
      <c r="X39" s="118"/>
      <c r="Y39" s="119"/>
      <c r="Z39" s="118"/>
      <c r="AA39" s="119"/>
      <c r="AB39" s="118"/>
      <c r="AC39" s="120"/>
      <c r="AD39" s="121"/>
      <c r="AE39" s="122"/>
      <c r="AF39" s="121"/>
      <c r="AG39" s="123"/>
      <c r="AH39" s="124"/>
      <c r="AI39" s="117"/>
      <c r="AJ39" s="118"/>
      <c r="AK39" s="119"/>
      <c r="AL39" s="118"/>
      <c r="AM39" s="119"/>
      <c r="AN39" s="118"/>
      <c r="AO39" s="119"/>
      <c r="AP39" s="118"/>
      <c r="AQ39" s="119"/>
      <c r="AR39" s="118"/>
      <c r="AS39" s="119"/>
      <c r="AT39" s="118"/>
      <c r="AU39" s="119"/>
      <c r="AV39" s="118"/>
      <c r="AW39" s="119"/>
      <c r="AX39" s="118"/>
      <c r="AY39" s="119"/>
      <c r="AZ39" s="118"/>
      <c r="BA39" s="119"/>
      <c r="BB39" s="118"/>
      <c r="BC39" s="119"/>
      <c r="BD39" s="118"/>
      <c r="BE39" s="120"/>
      <c r="BF39" s="121"/>
      <c r="BG39" s="122"/>
      <c r="BH39" s="121"/>
      <c r="BI39" s="123"/>
      <c r="BJ39" s="124"/>
      <c r="BK39" s="125"/>
      <c r="BL39" s="126"/>
      <c r="BM39" s="127"/>
      <c r="BN39" s="126"/>
      <c r="BO39" s="127"/>
      <c r="BP39" s="126"/>
      <c r="BQ39" s="127"/>
      <c r="BR39" s="126"/>
      <c r="BS39" s="127"/>
      <c r="BT39" s="126"/>
      <c r="BU39" s="127"/>
      <c r="BV39" s="126"/>
      <c r="BW39" s="127"/>
      <c r="BX39" s="126"/>
      <c r="BY39" s="127"/>
      <c r="BZ39" s="126"/>
      <c r="CA39" s="128" t="str">
        <f t="shared" si="0"/>
        <v/>
      </c>
    </row>
    <row r="40" spans="1:79" ht="30" customHeight="1" x14ac:dyDescent="0.35">
      <c r="A40" s="90" t="str">
        <f>IF('Q4'!A46="","",'Q4'!A46)</f>
        <v/>
      </c>
      <c r="B40" s="90"/>
      <c r="C40" s="107"/>
      <c r="D40" s="104"/>
      <c r="E40" s="90"/>
      <c r="F40" s="90"/>
      <c r="G40" s="117"/>
      <c r="H40" s="118"/>
      <c r="I40" s="117"/>
      <c r="J40" s="118"/>
      <c r="K40" s="119"/>
      <c r="L40" s="118"/>
      <c r="M40" s="119"/>
      <c r="N40" s="118"/>
      <c r="O40" s="119"/>
      <c r="P40" s="118"/>
      <c r="Q40" s="119"/>
      <c r="R40" s="118"/>
      <c r="S40" s="119"/>
      <c r="T40" s="118"/>
      <c r="U40" s="119"/>
      <c r="V40" s="118"/>
      <c r="W40" s="119"/>
      <c r="X40" s="118"/>
      <c r="Y40" s="119"/>
      <c r="Z40" s="118"/>
      <c r="AA40" s="119"/>
      <c r="AB40" s="118"/>
      <c r="AC40" s="120"/>
      <c r="AD40" s="121"/>
      <c r="AE40" s="122"/>
      <c r="AF40" s="121"/>
      <c r="AG40" s="123"/>
      <c r="AH40" s="124"/>
      <c r="AI40" s="117"/>
      <c r="AJ40" s="118"/>
      <c r="AK40" s="119"/>
      <c r="AL40" s="118"/>
      <c r="AM40" s="119"/>
      <c r="AN40" s="118"/>
      <c r="AO40" s="119"/>
      <c r="AP40" s="118"/>
      <c r="AQ40" s="119"/>
      <c r="AR40" s="118"/>
      <c r="AS40" s="119"/>
      <c r="AT40" s="118"/>
      <c r="AU40" s="119"/>
      <c r="AV40" s="118"/>
      <c r="AW40" s="119"/>
      <c r="AX40" s="118"/>
      <c r="AY40" s="119"/>
      <c r="AZ40" s="118"/>
      <c r="BA40" s="119"/>
      <c r="BB40" s="118"/>
      <c r="BC40" s="119"/>
      <c r="BD40" s="118"/>
      <c r="BE40" s="120"/>
      <c r="BF40" s="121"/>
      <c r="BG40" s="122"/>
      <c r="BH40" s="121"/>
      <c r="BI40" s="123"/>
      <c r="BJ40" s="124"/>
      <c r="BK40" s="125"/>
      <c r="BL40" s="126"/>
      <c r="BM40" s="127"/>
      <c r="BN40" s="126"/>
      <c r="BO40" s="127"/>
      <c r="BP40" s="126"/>
      <c r="BQ40" s="127"/>
      <c r="BR40" s="126"/>
      <c r="BS40" s="127"/>
      <c r="BT40" s="126"/>
      <c r="BU40" s="127"/>
      <c r="BV40" s="126"/>
      <c r="BW40" s="127"/>
      <c r="BX40" s="126"/>
      <c r="BY40" s="127"/>
      <c r="BZ40" s="126"/>
      <c r="CA40" s="128" t="str">
        <f t="shared" si="0"/>
        <v/>
      </c>
    </row>
    <row r="41" spans="1:79" ht="30" customHeight="1" x14ac:dyDescent="0.35">
      <c r="A41" s="90" t="str">
        <f>IF('Q4'!A47="","",'Q4'!A47)</f>
        <v/>
      </c>
      <c r="B41" s="90"/>
      <c r="C41" s="107"/>
      <c r="D41" s="104"/>
      <c r="E41" s="90"/>
      <c r="F41" s="90"/>
      <c r="G41" s="117"/>
      <c r="H41" s="118"/>
      <c r="I41" s="117"/>
      <c r="J41" s="118"/>
      <c r="K41" s="119"/>
      <c r="L41" s="118"/>
      <c r="M41" s="119"/>
      <c r="N41" s="118"/>
      <c r="O41" s="119"/>
      <c r="P41" s="118"/>
      <c r="Q41" s="119"/>
      <c r="R41" s="118"/>
      <c r="S41" s="119"/>
      <c r="T41" s="118"/>
      <c r="U41" s="119"/>
      <c r="V41" s="118"/>
      <c r="W41" s="119"/>
      <c r="X41" s="118"/>
      <c r="Y41" s="119"/>
      <c r="Z41" s="118"/>
      <c r="AA41" s="119"/>
      <c r="AB41" s="118"/>
      <c r="AC41" s="120"/>
      <c r="AD41" s="121"/>
      <c r="AE41" s="122"/>
      <c r="AF41" s="121"/>
      <c r="AG41" s="123"/>
      <c r="AH41" s="124"/>
      <c r="AI41" s="117"/>
      <c r="AJ41" s="118"/>
      <c r="AK41" s="119"/>
      <c r="AL41" s="118"/>
      <c r="AM41" s="119"/>
      <c r="AN41" s="118"/>
      <c r="AO41" s="119"/>
      <c r="AP41" s="118"/>
      <c r="AQ41" s="119"/>
      <c r="AR41" s="118"/>
      <c r="AS41" s="119"/>
      <c r="AT41" s="118"/>
      <c r="AU41" s="119"/>
      <c r="AV41" s="118"/>
      <c r="AW41" s="119"/>
      <c r="AX41" s="118"/>
      <c r="AY41" s="119"/>
      <c r="AZ41" s="118"/>
      <c r="BA41" s="119"/>
      <c r="BB41" s="118"/>
      <c r="BC41" s="119"/>
      <c r="BD41" s="118"/>
      <c r="BE41" s="120"/>
      <c r="BF41" s="121"/>
      <c r="BG41" s="122"/>
      <c r="BH41" s="121"/>
      <c r="BI41" s="123"/>
      <c r="BJ41" s="124"/>
      <c r="BK41" s="125"/>
      <c r="BL41" s="126"/>
      <c r="BM41" s="127"/>
      <c r="BN41" s="126"/>
      <c r="BO41" s="127"/>
      <c r="BP41" s="126"/>
      <c r="BQ41" s="127"/>
      <c r="BR41" s="126"/>
      <c r="BS41" s="127"/>
      <c r="BT41" s="126"/>
      <c r="BU41" s="127"/>
      <c r="BV41" s="126"/>
      <c r="BW41" s="127"/>
      <c r="BX41" s="126"/>
      <c r="BY41" s="127"/>
      <c r="BZ41" s="126"/>
      <c r="CA41" s="128" t="str">
        <f t="shared" si="0"/>
        <v/>
      </c>
    </row>
    <row r="42" spans="1:79" ht="30" customHeight="1" x14ac:dyDescent="0.35">
      <c r="A42" s="90" t="str">
        <f>IF('Q4'!A48="","",'Q4'!A48)</f>
        <v/>
      </c>
      <c r="B42" s="90"/>
      <c r="C42" s="107"/>
      <c r="D42" s="104"/>
      <c r="E42" s="90"/>
      <c r="F42" s="90"/>
      <c r="G42" s="117"/>
      <c r="H42" s="118"/>
      <c r="I42" s="117"/>
      <c r="J42" s="118"/>
      <c r="K42" s="119"/>
      <c r="L42" s="118"/>
      <c r="M42" s="119"/>
      <c r="N42" s="118"/>
      <c r="O42" s="119"/>
      <c r="P42" s="118"/>
      <c r="Q42" s="119"/>
      <c r="R42" s="118"/>
      <c r="S42" s="119"/>
      <c r="T42" s="118"/>
      <c r="U42" s="119"/>
      <c r="V42" s="118"/>
      <c r="W42" s="119"/>
      <c r="X42" s="118"/>
      <c r="Y42" s="119"/>
      <c r="Z42" s="118"/>
      <c r="AA42" s="119"/>
      <c r="AB42" s="118"/>
      <c r="AC42" s="120"/>
      <c r="AD42" s="121"/>
      <c r="AE42" s="122"/>
      <c r="AF42" s="121"/>
      <c r="AG42" s="123"/>
      <c r="AH42" s="124"/>
      <c r="AI42" s="117"/>
      <c r="AJ42" s="118"/>
      <c r="AK42" s="119"/>
      <c r="AL42" s="118"/>
      <c r="AM42" s="119"/>
      <c r="AN42" s="118"/>
      <c r="AO42" s="119"/>
      <c r="AP42" s="118"/>
      <c r="AQ42" s="119"/>
      <c r="AR42" s="118"/>
      <c r="AS42" s="119"/>
      <c r="AT42" s="118"/>
      <c r="AU42" s="119"/>
      <c r="AV42" s="118"/>
      <c r="AW42" s="119"/>
      <c r="AX42" s="118"/>
      <c r="AY42" s="119"/>
      <c r="AZ42" s="118"/>
      <c r="BA42" s="119"/>
      <c r="BB42" s="118"/>
      <c r="BC42" s="119"/>
      <c r="BD42" s="118"/>
      <c r="BE42" s="120"/>
      <c r="BF42" s="121"/>
      <c r="BG42" s="122"/>
      <c r="BH42" s="121"/>
      <c r="BI42" s="123"/>
      <c r="BJ42" s="124"/>
      <c r="BK42" s="125"/>
      <c r="BL42" s="126"/>
      <c r="BM42" s="127"/>
      <c r="BN42" s="126"/>
      <c r="BO42" s="127"/>
      <c r="BP42" s="126"/>
      <c r="BQ42" s="127"/>
      <c r="BR42" s="126"/>
      <c r="BS42" s="127"/>
      <c r="BT42" s="126"/>
      <c r="BU42" s="127"/>
      <c r="BV42" s="126"/>
      <c r="BW42" s="127"/>
      <c r="BX42" s="126"/>
      <c r="BY42" s="127"/>
      <c r="BZ42" s="126"/>
      <c r="CA42" s="128" t="str">
        <f t="shared" si="0"/>
        <v/>
      </c>
    </row>
    <row r="43" spans="1:79" ht="30" customHeight="1" x14ac:dyDescent="0.35">
      <c r="A43" s="90" t="str">
        <f>IF('Q4'!A49="","",'Q4'!A49)</f>
        <v/>
      </c>
      <c r="B43" s="90"/>
      <c r="C43" s="107"/>
      <c r="D43" s="104"/>
      <c r="E43" s="90"/>
      <c r="F43" s="90"/>
      <c r="G43" s="117"/>
      <c r="H43" s="118"/>
      <c r="I43" s="117"/>
      <c r="J43" s="118"/>
      <c r="K43" s="119"/>
      <c r="L43" s="118"/>
      <c r="M43" s="119"/>
      <c r="N43" s="118"/>
      <c r="O43" s="119"/>
      <c r="P43" s="118"/>
      <c r="Q43" s="119"/>
      <c r="R43" s="118"/>
      <c r="S43" s="119"/>
      <c r="T43" s="118"/>
      <c r="U43" s="119"/>
      <c r="V43" s="118"/>
      <c r="W43" s="119"/>
      <c r="X43" s="118"/>
      <c r="Y43" s="119"/>
      <c r="Z43" s="118"/>
      <c r="AA43" s="119"/>
      <c r="AB43" s="118"/>
      <c r="AC43" s="120"/>
      <c r="AD43" s="121"/>
      <c r="AE43" s="122"/>
      <c r="AF43" s="121"/>
      <c r="AG43" s="123"/>
      <c r="AH43" s="124"/>
      <c r="AI43" s="117"/>
      <c r="AJ43" s="118"/>
      <c r="AK43" s="119"/>
      <c r="AL43" s="118"/>
      <c r="AM43" s="119"/>
      <c r="AN43" s="118"/>
      <c r="AO43" s="119"/>
      <c r="AP43" s="118"/>
      <c r="AQ43" s="119"/>
      <c r="AR43" s="118"/>
      <c r="AS43" s="119"/>
      <c r="AT43" s="118"/>
      <c r="AU43" s="119"/>
      <c r="AV43" s="118"/>
      <c r="AW43" s="119"/>
      <c r="AX43" s="118"/>
      <c r="AY43" s="119"/>
      <c r="AZ43" s="118"/>
      <c r="BA43" s="119"/>
      <c r="BB43" s="118"/>
      <c r="BC43" s="119"/>
      <c r="BD43" s="118"/>
      <c r="BE43" s="120"/>
      <c r="BF43" s="121"/>
      <c r="BG43" s="122"/>
      <c r="BH43" s="121"/>
      <c r="BI43" s="123"/>
      <c r="BJ43" s="124"/>
      <c r="BK43" s="125"/>
      <c r="BL43" s="126"/>
      <c r="BM43" s="127"/>
      <c r="BN43" s="126"/>
      <c r="BO43" s="127"/>
      <c r="BP43" s="126"/>
      <c r="BQ43" s="127"/>
      <c r="BR43" s="126"/>
      <c r="BS43" s="127"/>
      <c r="BT43" s="126"/>
      <c r="BU43" s="127"/>
      <c r="BV43" s="126"/>
      <c r="BW43" s="127"/>
      <c r="BX43" s="126"/>
      <c r="BY43" s="127"/>
      <c r="BZ43" s="126"/>
      <c r="CA43" s="128" t="str">
        <f t="shared" si="0"/>
        <v/>
      </c>
    </row>
    <row r="44" spans="1:79" ht="30" customHeight="1" x14ac:dyDescent="0.35">
      <c r="A44" s="90" t="str">
        <f>IF('Q4'!A50="","",'Q4'!A50)</f>
        <v/>
      </c>
      <c r="B44" s="90"/>
      <c r="C44" s="107"/>
      <c r="D44" s="104"/>
      <c r="E44" s="90"/>
      <c r="F44" s="90"/>
      <c r="G44" s="117"/>
      <c r="H44" s="118"/>
      <c r="I44" s="117"/>
      <c r="J44" s="118"/>
      <c r="K44" s="119"/>
      <c r="L44" s="118"/>
      <c r="M44" s="119"/>
      <c r="N44" s="118"/>
      <c r="O44" s="119"/>
      <c r="P44" s="118"/>
      <c r="Q44" s="119"/>
      <c r="R44" s="118"/>
      <c r="S44" s="119"/>
      <c r="T44" s="118"/>
      <c r="U44" s="119"/>
      <c r="V44" s="118"/>
      <c r="W44" s="119"/>
      <c r="X44" s="118"/>
      <c r="Y44" s="119"/>
      <c r="Z44" s="118"/>
      <c r="AA44" s="119"/>
      <c r="AB44" s="118"/>
      <c r="AC44" s="120"/>
      <c r="AD44" s="121"/>
      <c r="AE44" s="122"/>
      <c r="AF44" s="121"/>
      <c r="AG44" s="123"/>
      <c r="AH44" s="124"/>
      <c r="AI44" s="117"/>
      <c r="AJ44" s="118"/>
      <c r="AK44" s="119"/>
      <c r="AL44" s="118"/>
      <c r="AM44" s="119"/>
      <c r="AN44" s="118"/>
      <c r="AO44" s="119"/>
      <c r="AP44" s="118"/>
      <c r="AQ44" s="119"/>
      <c r="AR44" s="118"/>
      <c r="AS44" s="119"/>
      <c r="AT44" s="118"/>
      <c r="AU44" s="119"/>
      <c r="AV44" s="118"/>
      <c r="AW44" s="119"/>
      <c r="AX44" s="118"/>
      <c r="AY44" s="119"/>
      <c r="AZ44" s="118"/>
      <c r="BA44" s="119"/>
      <c r="BB44" s="118"/>
      <c r="BC44" s="119"/>
      <c r="BD44" s="118"/>
      <c r="BE44" s="120"/>
      <c r="BF44" s="121"/>
      <c r="BG44" s="122"/>
      <c r="BH44" s="121"/>
      <c r="BI44" s="123"/>
      <c r="BJ44" s="124"/>
      <c r="BK44" s="125"/>
      <c r="BL44" s="126"/>
      <c r="BM44" s="127"/>
      <c r="BN44" s="126"/>
      <c r="BO44" s="127"/>
      <c r="BP44" s="126"/>
      <c r="BQ44" s="127"/>
      <c r="BR44" s="126"/>
      <c r="BS44" s="127"/>
      <c r="BT44" s="126"/>
      <c r="BU44" s="127"/>
      <c r="BV44" s="126"/>
      <c r="BW44" s="127"/>
      <c r="BX44" s="126"/>
      <c r="BY44" s="127"/>
      <c r="BZ44" s="126"/>
      <c r="CA44" s="128" t="str">
        <f t="shared" si="0"/>
        <v/>
      </c>
    </row>
    <row r="45" spans="1:79" ht="30" customHeight="1" x14ac:dyDescent="0.35">
      <c r="A45" s="90" t="str">
        <f>IF('Q4'!A51="","",'Q4'!A51)</f>
        <v/>
      </c>
      <c r="B45" s="90"/>
      <c r="C45" s="107"/>
      <c r="D45" s="104"/>
      <c r="E45" s="90"/>
      <c r="F45" s="90"/>
      <c r="G45" s="117"/>
      <c r="H45" s="118"/>
      <c r="I45" s="117"/>
      <c r="J45" s="118"/>
      <c r="K45" s="119"/>
      <c r="L45" s="118"/>
      <c r="M45" s="119"/>
      <c r="N45" s="118"/>
      <c r="O45" s="119"/>
      <c r="P45" s="118"/>
      <c r="Q45" s="119"/>
      <c r="R45" s="118"/>
      <c r="S45" s="119"/>
      <c r="T45" s="118"/>
      <c r="U45" s="119"/>
      <c r="V45" s="118"/>
      <c r="W45" s="119"/>
      <c r="X45" s="118"/>
      <c r="Y45" s="119"/>
      <c r="Z45" s="118"/>
      <c r="AA45" s="119"/>
      <c r="AB45" s="118"/>
      <c r="AC45" s="120"/>
      <c r="AD45" s="121"/>
      <c r="AE45" s="122"/>
      <c r="AF45" s="121"/>
      <c r="AG45" s="123"/>
      <c r="AH45" s="124"/>
      <c r="AI45" s="117"/>
      <c r="AJ45" s="118"/>
      <c r="AK45" s="119"/>
      <c r="AL45" s="118"/>
      <c r="AM45" s="119"/>
      <c r="AN45" s="118"/>
      <c r="AO45" s="119"/>
      <c r="AP45" s="118"/>
      <c r="AQ45" s="119"/>
      <c r="AR45" s="118"/>
      <c r="AS45" s="119"/>
      <c r="AT45" s="118"/>
      <c r="AU45" s="119"/>
      <c r="AV45" s="118"/>
      <c r="AW45" s="119"/>
      <c r="AX45" s="118"/>
      <c r="AY45" s="119"/>
      <c r="AZ45" s="118"/>
      <c r="BA45" s="119"/>
      <c r="BB45" s="118"/>
      <c r="BC45" s="119"/>
      <c r="BD45" s="118"/>
      <c r="BE45" s="120"/>
      <c r="BF45" s="121"/>
      <c r="BG45" s="122"/>
      <c r="BH45" s="121"/>
      <c r="BI45" s="123"/>
      <c r="BJ45" s="124"/>
      <c r="BK45" s="125"/>
      <c r="BL45" s="126"/>
      <c r="BM45" s="127"/>
      <c r="BN45" s="126"/>
      <c r="BO45" s="127"/>
      <c r="BP45" s="126"/>
      <c r="BQ45" s="127"/>
      <c r="BR45" s="126"/>
      <c r="BS45" s="127"/>
      <c r="BT45" s="126"/>
      <c r="BU45" s="127"/>
      <c r="BV45" s="126"/>
      <c r="BW45" s="127"/>
      <c r="BX45" s="126"/>
      <c r="BY45" s="127"/>
      <c r="BZ45" s="126"/>
      <c r="CA45" s="128" t="str">
        <f t="shared" si="0"/>
        <v/>
      </c>
    </row>
    <row r="46" spans="1:79" ht="30" customHeight="1" x14ac:dyDescent="0.35">
      <c r="A46" s="90" t="str">
        <f>IF('Q4'!A52="","",'Q4'!A52)</f>
        <v/>
      </c>
      <c r="B46" s="90"/>
      <c r="C46" s="107"/>
      <c r="D46" s="104"/>
      <c r="E46" s="90"/>
      <c r="F46" s="90"/>
      <c r="G46" s="117"/>
      <c r="H46" s="118"/>
      <c r="I46" s="117"/>
      <c r="J46" s="118"/>
      <c r="K46" s="119"/>
      <c r="L46" s="118"/>
      <c r="M46" s="119"/>
      <c r="N46" s="118"/>
      <c r="O46" s="119"/>
      <c r="P46" s="118"/>
      <c r="Q46" s="119"/>
      <c r="R46" s="118"/>
      <c r="S46" s="119"/>
      <c r="T46" s="118"/>
      <c r="U46" s="119"/>
      <c r="V46" s="118"/>
      <c r="W46" s="119"/>
      <c r="X46" s="118"/>
      <c r="Y46" s="119"/>
      <c r="Z46" s="118"/>
      <c r="AA46" s="119"/>
      <c r="AB46" s="118"/>
      <c r="AC46" s="120"/>
      <c r="AD46" s="121"/>
      <c r="AE46" s="122"/>
      <c r="AF46" s="121"/>
      <c r="AG46" s="123"/>
      <c r="AH46" s="124"/>
      <c r="AI46" s="117"/>
      <c r="AJ46" s="118"/>
      <c r="AK46" s="119"/>
      <c r="AL46" s="118"/>
      <c r="AM46" s="119"/>
      <c r="AN46" s="118"/>
      <c r="AO46" s="119"/>
      <c r="AP46" s="118"/>
      <c r="AQ46" s="119"/>
      <c r="AR46" s="118"/>
      <c r="AS46" s="119"/>
      <c r="AT46" s="118"/>
      <c r="AU46" s="119"/>
      <c r="AV46" s="118"/>
      <c r="AW46" s="119"/>
      <c r="AX46" s="118"/>
      <c r="AY46" s="119"/>
      <c r="AZ46" s="118"/>
      <c r="BA46" s="119"/>
      <c r="BB46" s="118"/>
      <c r="BC46" s="119"/>
      <c r="BD46" s="118"/>
      <c r="BE46" s="120"/>
      <c r="BF46" s="121"/>
      <c r="BG46" s="122"/>
      <c r="BH46" s="121"/>
      <c r="BI46" s="123"/>
      <c r="BJ46" s="124"/>
      <c r="BK46" s="125"/>
      <c r="BL46" s="126"/>
      <c r="BM46" s="127"/>
      <c r="BN46" s="126"/>
      <c r="BO46" s="127"/>
      <c r="BP46" s="126"/>
      <c r="BQ46" s="127"/>
      <c r="BR46" s="126"/>
      <c r="BS46" s="127"/>
      <c r="BT46" s="126"/>
      <c r="BU46" s="127"/>
      <c r="BV46" s="126"/>
      <c r="BW46" s="127"/>
      <c r="BX46" s="126"/>
      <c r="BY46" s="127"/>
      <c r="BZ46" s="126"/>
      <c r="CA46" s="128" t="str">
        <f t="shared" si="0"/>
        <v/>
      </c>
    </row>
    <row r="47" spans="1:79" ht="30" customHeight="1" x14ac:dyDescent="0.35">
      <c r="A47" s="90" t="str">
        <f>IF('Q4'!A53="","",'Q4'!A53)</f>
        <v/>
      </c>
      <c r="B47" s="90"/>
      <c r="C47" s="107"/>
      <c r="D47" s="104"/>
      <c r="E47" s="90"/>
      <c r="F47" s="90"/>
      <c r="G47" s="117"/>
      <c r="H47" s="118"/>
      <c r="I47" s="117"/>
      <c r="J47" s="118"/>
      <c r="K47" s="119"/>
      <c r="L47" s="118"/>
      <c r="M47" s="119"/>
      <c r="N47" s="118"/>
      <c r="O47" s="119"/>
      <c r="P47" s="118"/>
      <c r="Q47" s="119"/>
      <c r="R47" s="118"/>
      <c r="S47" s="119"/>
      <c r="T47" s="118"/>
      <c r="U47" s="119"/>
      <c r="V47" s="118"/>
      <c r="W47" s="119"/>
      <c r="X47" s="118"/>
      <c r="Y47" s="119"/>
      <c r="Z47" s="118"/>
      <c r="AA47" s="119"/>
      <c r="AB47" s="118"/>
      <c r="AC47" s="120"/>
      <c r="AD47" s="121"/>
      <c r="AE47" s="122"/>
      <c r="AF47" s="121"/>
      <c r="AG47" s="123"/>
      <c r="AH47" s="124"/>
      <c r="AI47" s="117"/>
      <c r="AJ47" s="118"/>
      <c r="AK47" s="119"/>
      <c r="AL47" s="118"/>
      <c r="AM47" s="119"/>
      <c r="AN47" s="118"/>
      <c r="AO47" s="119"/>
      <c r="AP47" s="118"/>
      <c r="AQ47" s="119"/>
      <c r="AR47" s="118"/>
      <c r="AS47" s="119"/>
      <c r="AT47" s="118"/>
      <c r="AU47" s="119"/>
      <c r="AV47" s="118"/>
      <c r="AW47" s="119"/>
      <c r="AX47" s="118"/>
      <c r="AY47" s="119"/>
      <c r="AZ47" s="118"/>
      <c r="BA47" s="119"/>
      <c r="BB47" s="118"/>
      <c r="BC47" s="119"/>
      <c r="BD47" s="118"/>
      <c r="BE47" s="120"/>
      <c r="BF47" s="121"/>
      <c r="BG47" s="122"/>
      <c r="BH47" s="121"/>
      <c r="BI47" s="123"/>
      <c r="BJ47" s="124"/>
      <c r="BK47" s="125"/>
      <c r="BL47" s="126"/>
      <c r="BM47" s="127"/>
      <c r="BN47" s="126"/>
      <c r="BO47" s="127"/>
      <c r="BP47" s="126"/>
      <c r="BQ47" s="127"/>
      <c r="BR47" s="126"/>
      <c r="BS47" s="127"/>
      <c r="BT47" s="126"/>
      <c r="BU47" s="127"/>
      <c r="BV47" s="126"/>
      <c r="BW47" s="127"/>
      <c r="BX47" s="126"/>
      <c r="BY47" s="127"/>
      <c r="BZ47" s="126"/>
      <c r="CA47" s="128" t="str">
        <f t="shared" si="0"/>
        <v/>
      </c>
    </row>
    <row r="48" spans="1:79" ht="30" customHeight="1" x14ac:dyDescent="0.35">
      <c r="A48" s="90" t="str">
        <f>IF('Q4'!A54="","",'Q4'!A54)</f>
        <v/>
      </c>
      <c r="B48" s="90"/>
      <c r="C48" s="107"/>
      <c r="D48" s="104"/>
      <c r="E48" s="90"/>
      <c r="F48" s="90"/>
      <c r="G48" s="117"/>
      <c r="H48" s="118"/>
      <c r="I48" s="117"/>
      <c r="J48" s="118"/>
      <c r="K48" s="119"/>
      <c r="L48" s="118"/>
      <c r="M48" s="119"/>
      <c r="N48" s="118"/>
      <c r="O48" s="119"/>
      <c r="P48" s="118"/>
      <c r="Q48" s="119"/>
      <c r="R48" s="118"/>
      <c r="S48" s="119"/>
      <c r="T48" s="118"/>
      <c r="U48" s="119"/>
      <c r="V48" s="118"/>
      <c r="W48" s="119"/>
      <c r="X48" s="118"/>
      <c r="Y48" s="119"/>
      <c r="Z48" s="118"/>
      <c r="AA48" s="119"/>
      <c r="AB48" s="118"/>
      <c r="AC48" s="120"/>
      <c r="AD48" s="121"/>
      <c r="AE48" s="122"/>
      <c r="AF48" s="121"/>
      <c r="AG48" s="123"/>
      <c r="AH48" s="124"/>
      <c r="AI48" s="117"/>
      <c r="AJ48" s="118"/>
      <c r="AK48" s="119"/>
      <c r="AL48" s="118"/>
      <c r="AM48" s="119"/>
      <c r="AN48" s="118"/>
      <c r="AO48" s="119"/>
      <c r="AP48" s="118"/>
      <c r="AQ48" s="119"/>
      <c r="AR48" s="118"/>
      <c r="AS48" s="119"/>
      <c r="AT48" s="118"/>
      <c r="AU48" s="119"/>
      <c r="AV48" s="118"/>
      <c r="AW48" s="119"/>
      <c r="AX48" s="118"/>
      <c r="AY48" s="119"/>
      <c r="AZ48" s="118"/>
      <c r="BA48" s="119"/>
      <c r="BB48" s="118"/>
      <c r="BC48" s="119"/>
      <c r="BD48" s="118"/>
      <c r="BE48" s="120"/>
      <c r="BF48" s="121"/>
      <c r="BG48" s="122"/>
      <c r="BH48" s="121"/>
      <c r="BI48" s="123"/>
      <c r="BJ48" s="124"/>
      <c r="BK48" s="125"/>
      <c r="BL48" s="126"/>
      <c r="BM48" s="127"/>
      <c r="BN48" s="126"/>
      <c r="BO48" s="127"/>
      <c r="BP48" s="126"/>
      <c r="BQ48" s="127"/>
      <c r="BR48" s="126"/>
      <c r="BS48" s="127"/>
      <c r="BT48" s="126"/>
      <c r="BU48" s="127"/>
      <c r="BV48" s="126"/>
      <c r="BW48" s="127"/>
      <c r="BX48" s="126"/>
      <c r="BY48" s="127"/>
      <c r="BZ48" s="126"/>
      <c r="CA48" s="128" t="str">
        <f t="shared" si="0"/>
        <v/>
      </c>
    </row>
    <row r="49" spans="1:79" ht="30" customHeight="1" x14ac:dyDescent="0.35">
      <c r="A49" s="90" t="str">
        <f>IF('Q4'!A55="","",'Q4'!A55)</f>
        <v/>
      </c>
      <c r="B49" s="90"/>
      <c r="C49" s="107"/>
      <c r="D49" s="104"/>
      <c r="E49" s="90"/>
      <c r="F49" s="90"/>
      <c r="G49" s="117"/>
      <c r="H49" s="118"/>
      <c r="I49" s="117"/>
      <c r="J49" s="118"/>
      <c r="K49" s="119"/>
      <c r="L49" s="118"/>
      <c r="M49" s="119"/>
      <c r="N49" s="118"/>
      <c r="O49" s="119"/>
      <c r="P49" s="118"/>
      <c r="Q49" s="119"/>
      <c r="R49" s="118"/>
      <c r="S49" s="119"/>
      <c r="T49" s="118"/>
      <c r="U49" s="119"/>
      <c r="V49" s="118"/>
      <c r="W49" s="119"/>
      <c r="X49" s="118"/>
      <c r="Y49" s="119"/>
      <c r="Z49" s="118"/>
      <c r="AA49" s="119"/>
      <c r="AB49" s="118"/>
      <c r="AC49" s="120"/>
      <c r="AD49" s="121"/>
      <c r="AE49" s="122"/>
      <c r="AF49" s="121"/>
      <c r="AG49" s="123"/>
      <c r="AH49" s="124"/>
      <c r="AI49" s="117"/>
      <c r="AJ49" s="118"/>
      <c r="AK49" s="119"/>
      <c r="AL49" s="118"/>
      <c r="AM49" s="119"/>
      <c r="AN49" s="118"/>
      <c r="AO49" s="119"/>
      <c r="AP49" s="118"/>
      <c r="AQ49" s="119"/>
      <c r="AR49" s="118"/>
      <c r="AS49" s="119"/>
      <c r="AT49" s="118"/>
      <c r="AU49" s="119"/>
      <c r="AV49" s="118"/>
      <c r="AW49" s="119"/>
      <c r="AX49" s="118"/>
      <c r="AY49" s="119"/>
      <c r="AZ49" s="118"/>
      <c r="BA49" s="119"/>
      <c r="BB49" s="118"/>
      <c r="BC49" s="119"/>
      <c r="BD49" s="118"/>
      <c r="BE49" s="120"/>
      <c r="BF49" s="121"/>
      <c r="BG49" s="122"/>
      <c r="BH49" s="121"/>
      <c r="BI49" s="123"/>
      <c r="BJ49" s="124"/>
      <c r="BK49" s="125"/>
      <c r="BL49" s="126"/>
      <c r="BM49" s="127"/>
      <c r="BN49" s="126"/>
      <c r="BO49" s="127"/>
      <c r="BP49" s="126"/>
      <c r="BQ49" s="127"/>
      <c r="BR49" s="126"/>
      <c r="BS49" s="127"/>
      <c r="BT49" s="126"/>
      <c r="BU49" s="127"/>
      <c r="BV49" s="126"/>
      <c r="BW49" s="127"/>
      <c r="BX49" s="126"/>
      <c r="BY49" s="127"/>
      <c r="BZ49" s="126"/>
      <c r="CA49" s="128" t="str">
        <f t="shared" si="0"/>
        <v/>
      </c>
    </row>
    <row r="50" spans="1:79" ht="30" customHeight="1" x14ac:dyDescent="0.35">
      <c r="A50" s="90" t="str">
        <f>IF('Q4'!A56="","",'Q4'!A56)</f>
        <v/>
      </c>
      <c r="B50" s="90"/>
      <c r="C50" s="107"/>
      <c r="D50" s="104"/>
      <c r="E50" s="90"/>
      <c r="F50" s="90"/>
      <c r="G50" s="117"/>
      <c r="H50" s="118"/>
      <c r="I50" s="117"/>
      <c r="J50" s="118"/>
      <c r="K50" s="119"/>
      <c r="L50" s="118"/>
      <c r="M50" s="119"/>
      <c r="N50" s="118"/>
      <c r="O50" s="119"/>
      <c r="P50" s="118"/>
      <c r="Q50" s="119"/>
      <c r="R50" s="118"/>
      <c r="S50" s="119"/>
      <c r="T50" s="118"/>
      <c r="U50" s="119"/>
      <c r="V50" s="118"/>
      <c r="W50" s="119"/>
      <c r="X50" s="118"/>
      <c r="Y50" s="119"/>
      <c r="Z50" s="118"/>
      <c r="AA50" s="119"/>
      <c r="AB50" s="118"/>
      <c r="AC50" s="120"/>
      <c r="AD50" s="121"/>
      <c r="AE50" s="122"/>
      <c r="AF50" s="121"/>
      <c r="AG50" s="123"/>
      <c r="AH50" s="124"/>
      <c r="AI50" s="117"/>
      <c r="AJ50" s="118"/>
      <c r="AK50" s="119"/>
      <c r="AL50" s="118"/>
      <c r="AM50" s="119"/>
      <c r="AN50" s="118"/>
      <c r="AO50" s="119"/>
      <c r="AP50" s="118"/>
      <c r="AQ50" s="119"/>
      <c r="AR50" s="118"/>
      <c r="AS50" s="119"/>
      <c r="AT50" s="118"/>
      <c r="AU50" s="119"/>
      <c r="AV50" s="118"/>
      <c r="AW50" s="119"/>
      <c r="AX50" s="118"/>
      <c r="AY50" s="119"/>
      <c r="AZ50" s="118"/>
      <c r="BA50" s="119"/>
      <c r="BB50" s="118"/>
      <c r="BC50" s="119"/>
      <c r="BD50" s="118"/>
      <c r="BE50" s="120"/>
      <c r="BF50" s="121"/>
      <c r="BG50" s="122"/>
      <c r="BH50" s="121"/>
      <c r="BI50" s="123"/>
      <c r="BJ50" s="124"/>
      <c r="BK50" s="125"/>
      <c r="BL50" s="126"/>
      <c r="BM50" s="127"/>
      <c r="BN50" s="126"/>
      <c r="BO50" s="127"/>
      <c r="BP50" s="126"/>
      <c r="BQ50" s="127"/>
      <c r="BR50" s="126"/>
      <c r="BS50" s="127"/>
      <c r="BT50" s="126"/>
      <c r="BU50" s="127"/>
      <c r="BV50" s="126"/>
      <c r="BW50" s="127"/>
      <c r="BX50" s="126"/>
      <c r="BY50" s="127"/>
      <c r="BZ50" s="126"/>
      <c r="CA50" s="128" t="str">
        <f t="shared" si="0"/>
        <v/>
      </c>
    </row>
    <row r="51" spans="1:79" ht="30" customHeight="1" x14ac:dyDescent="0.35">
      <c r="A51" s="90" t="str">
        <f>IF('Q4'!A57="","",'Q4'!A57)</f>
        <v/>
      </c>
      <c r="B51" s="90"/>
      <c r="C51" s="107"/>
      <c r="D51" s="104"/>
      <c r="E51" s="90"/>
      <c r="F51" s="90"/>
      <c r="G51" s="117"/>
      <c r="H51" s="118"/>
      <c r="I51" s="117"/>
      <c r="J51" s="118"/>
      <c r="K51" s="119"/>
      <c r="L51" s="118"/>
      <c r="M51" s="119"/>
      <c r="N51" s="118"/>
      <c r="O51" s="119"/>
      <c r="P51" s="118"/>
      <c r="Q51" s="119"/>
      <c r="R51" s="118"/>
      <c r="S51" s="119"/>
      <c r="T51" s="118"/>
      <c r="U51" s="119"/>
      <c r="V51" s="118"/>
      <c r="W51" s="119"/>
      <c r="X51" s="118"/>
      <c r="Y51" s="119"/>
      <c r="Z51" s="118"/>
      <c r="AA51" s="119"/>
      <c r="AB51" s="118"/>
      <c r="AC51" s="120"/>
      <c r="AD51" s="121"/>
      <c r="AE51" s="122"/>
      <c r="AF51" s="121"/>
      <c r="AG51" s="123"/>
      <c r="AH51" s="124"/>
      <c r="AI51" s="117"/>
      <c r="AJ51" s="118"/>
      <c r="AK51" s="119"/>
      <c r="AL51" s="118"/>
      <c r="AM51" s="119"/>
      <c r="AN51" s="118"/>
      <c r="AO51" s="119"/>
      <c r="AP51" s="118"/>
      <c r="AQ51" s="119"/>
      <c r="AR51" s="118"/>
      <c r="AS51" s="119"/>
      <c r="AT51" s="118"/>
      <c r="AU51" s="119"/>
      <c r="AV51" s="118"/>
      <c r="AW51" s="119"/>
      <c r="AX51" s="118"/>
      <c r="AY51" s="119"/>
      <c r="AZ51" s="118"/>
      <c r="BA51" s="119"/>
      <c r="BB51" s="118"/>
      <c r="BC51" s="119"/>
      <c r="BD51" s="118"/>
      <c r="BE51" s="120"/>
      <c r="BF51" s="121"/>
      <c r="BG51" s="122"/>
      <c r="BH51" s="121"/>
      <c r="BI51" s="123"/>
      <c r="BJ51" s="124"/>
      <c r="BK51" s="125"/>
      <c r="BL51" s="126"/>
      <c r="BM51" s="127"/>
      <c r="BN51" s="126"/>
      <c r="BO51" s="127"/>
      <c r="BP51" s="126"/>
      <c r="BQ51" s="127"/>
      <c r="BR51" s="126"/>
      <c r="BS51" s="127"/>
      <c r="BT51" s="126"/>
      <c r="BU51" s="127"/>
      <c r="BV51" s="126"/>
      <c r="BW51" s="127"/>
      <c r="BX51" s="126"/>
      <c r="BY51" s="127"/>
      <c r="BZ51" s="126"/>
      <c r="CA51" s="128" t="str">
        <f t="shared" si="0"/>
        <v/>
      </c>
    </row>
    <row r="52" spans="1:79" ht="30" customHeight="1" x14ac:dyDescent="0.35">
      <c r="A52" s="90" t="str">
        <f>IF('Q4'!A58="","",'Q4'!A58)</f>
        <v/>
      </c>
      <c r="B52" s="90"/>
      <c r="C52" s="107"/>
      <c r="D52" s="104"/>
      <c r="E52" s="90"/>
      <c r="F52" s="90"/>
      <c r="G52" s="117"/>
      <c r="H52" s="118"/>
      <c r="I52" s="117"/>
      <c r="J52" s="118"/>
      <c r="K52" s="119"/>
      <c r="L52" s="118"/>
      <c r="M52" s="119"/>
      <c r="N52" s="118"/>
      <c r="O52" s="119"/>
      <c r="P52" s="118"/>
      <c r="Q52" s="119"/>
      <c r="R52" s="118"/>
      <c r="S52" s="119"/>
      <c r="T52" s="118"/>
      <c r="U52" s="119"/>
      <c r="V52" s="118"/>
      <c r="W52" s="119"/>
      <c r="X52" s="118"/>
      <c r="Y52" s="119"/>
      <c r="Z52" s="118"/>
      <c r="AA52" s="119"/>
      <c r="AB52" s="118"/>
      <c r="AC52" s="120"/>
      <c r="AD52" s="121"/>
      <c r="AE52" s="122"/>
      <c r="AF52" s="121"/>
      <c r="AG52" s="123"/>
      <c r="AH52" s="124"/>
      <c r="AI52" s="117"/>
      <c r="AJ52" s="118"/>
      <c r="AK52" s="119"/>
      <c r="AL52" s="118"/>
      <c r="AM52" s="119"/>
      <c r="AN52" s="118"/>
      <c r="AO52" s="119"/>
      <c r="AP52" s="118"/>
      <c r="AQ52" s="119"/>
      <c r="AR52" s="118"/>
      <c r="AS52" s="119"/>
      <c r="AT52" s="118"/>
      <c r="AU52" s="119"/>
      <c r="AV52" s="118"/>
      <c r="AW52" s="119"/>
      <c r="AX52" s="118"/>
      <c r="AY52" s="119"/>
      <c r="AZ52" s="118"/>
      <c r="BA52" s="119"/>
      <c r="BB52" s="118"/>
      <c r="BC52" s="119"/>
      <c r="BD52" s="118"/>
      <c r="BE52" s="120"/>
      <c r="BF52" s="121"/>
      <c r="BG52" s="122"/>
      <c r="BH52" s="121"/>
      <c r="BI52" s="123"/>
      <c r="BJ52" s="124"/>
      <c r="BK52" s="125"/>
      <c r="BL52" s="126"/>
      <c r="BM52" s="127"/>
      <c r="BN52" s="126"/>
      <c r="BO52" s="127"/>
      <c r="BP52" s="126"/>
      <c r="BQ52" s="127"/>
      <c r="BR52" s="126"/>
      <c r="BS52" s="127"/>
      <c r="BT52" s="126"/>
      <c r="BU52" s="127"/>
      <c r="BV52" s="126"/>
      <c r="BW52" s="127"/>
      <c r="BX52" s="126"/>
      <c r="BY52" s="127"/>
      <c r="BZ52" s="126"/>
      <c r="CA52" s="128" t="str">
        <f t="shared" si="0"/>
        <v/>
      </c>
    </row>
    <row r="53" spans="1:79" ht="30" customHeight="1" x14ac:dyDescent="0.35">
      <c r="A53" s="90" t="str">
        <f>IF('Q4'!A59="","",'Q4'!A59)</f>
        <v/>
      </c>
      <c r="B53" s="90"/>
      <c r="C53" s="107"/>
      <c r="D53" s="104"/>
      <c r="E53" s="90"/>
      <c r="F53" s="90"/>
      <c r="G53" s="117"/>
      <c r="H53" s="118"/>
      <c r="I53" s="117"/>
      <c r="J53" s="118"/>
      <c r="K53" s="119"/>
      <c r="L53" s="118"/>
      <c r="M53" s="119"/>
      <c r="N53" s="118"/>
      <c r="O53" s="119"/>
      <c r="P53" s="118"/>
      <c r="Q53" s="119"/>
      <c r="R53" s="118"/>
      <c r="S53" s="119"/>
      <c r="T53" s="118"/>
      <c r="U53" s="119"/>
      <c r="V53" s="118"/>
      <c r="W53" s="119"/>
      <c r="X53" s="118"/>
      <c r="Y53" s="119"/>
      <c r="Z53" s="118"/>
      <c r="AA53" s="119"/>
      <c r="AB53" s="118"/>
      <c r="AC53" s="120"/>
      <c r="AD53" s="121"/>
      <c r="AE53" s="122"/>
      <c r="AF53" s="121"/>
      <c r="AG53" s="123"/>
      <c r="AH53" s="124"/>
      <c r="AI53" s="117"/>
      <c r="AJ53" s="118"/>
      <c r="AK53" s="119"/>
      <c r="AL53" s="118"/>
      <c r="AM53" s="119"/>
      <c r="AN53" s="118"/>
      <c r="AO53" s="119"/>
      <c r="AP53" s="118"/>
      <c r="AQ53" s="119"/>
      <c r="AR53" s="118"/>
      <c r="AS53" s="119"/>
      <c r="AT53" s="118"/>
      <c r="AU53" s="119"/>
      <c r="AV53" s="118"/>
      <c r="AW53" s="119"/>
      <c r="AX53" s="118"/>
      <c r="AY53" s="119"/>
      <c r="AZ53" s="118"/>
      <c r="BA53" s="119"/>
      <c r="BB53" s="118"/>
      <c r="BC53" s="119"/>
      <c r="BD53" s="118"/>
      <c r="BE53" s="120"/>
      <c r="BF53" s="121"/>
      <c r="BG53" s="122"/>
      <c r="BH53" s="121"/>
      <c r="BI53" s="123"/>
      <c r="BJ53" s="124"/>
      <c r="BK53" s="125"/>
      <c r="BL53" s="126"/>
      <c r="BM53" s="127"/>
      <c r="BN53" s="126"/>
      <c r="BO53" s="127"/>
      <c r="BP53" s="126"/>
      <c r="BQ53" s="127"/>
      <c r="BR53" s="126"/>
      <c r="BS53" s="127"/>
      <c r="BT53" s="126"/>
      <c r="BU53" s="127"/>
      <c r="BV53" s="126"/>
      <c r="BW53" s="127"/>
      <c r="BX53" s="126"/>
      <c r="BY53" s="127"/>
      <c r="BZ53" s="126"/>
      <c r="CA53" s="128" t="str">
        <f t="shared" si="0"/>
        <v/>
      </c>
    </row>
    <row r="54" spans="1:79" ht="24.5" x14ac:dyDescent="0.35">
      <c r="A54" s="90" t="str">
        <f>IF('Q4'!A60="","",'Q4'!A60)</f>
        <v/>
      </c>
      <c r="B54" s="90" t="str">
        <f>IF('Q4'!B60="","",'Q4'!B60)</f>
        <v/>
      </c>
      <c r="C54" s="107" t="str">
        <f>IF('Q4'!C60="","",'Q4'!C60)</f>
        <v/>
      </c>
      <c r="D54" s="104" t="str">
        <f>IF('Q4'!D60="","",'Q4'!D60)</f>
        <v/>
      </c>
      <c r="E54" s="90" t="str">
        <f>IF('Q4'!E60="","",'Q4'!E60)</f>
        <v/>
      </c>
      <c r="F54" s="90" t="str">
        <f>IF('Q4'!F60="","",'Q4'!F60)</f>
        <v/>
      </c>
      <c r="G54" s="91" t="str">
        <f>IF($B54="","",IF(FinalSem1!#REF!="","",FinalSem1!#REF!*0.1))</f>
        <v/>
      </c>
      <c r="H54" s="92" t="str">
        <f t="shared" ref="H54:H67" si="1">IF(G54="","",RANK(G54:G98,$G$9:$G$53))</f>
        <v/>
      </c>
      <c r="I54" s="91" t="str">
        <f>IF($B54="","",IF(FinalSem1!#REF!="","",FinalSem1!#REF!*0.1))</f>
        <v/>
      </c>
      <c r="J54" s="92" t="str">
        <f t="shared" ref="J54:J67" si="2">IF(I54="","",RANK(I54:I98,$I$9:$I$53))</f>
        <v/>
      </c>
      <c r="K54" s="93" t="str">
        <f>IF($B54="","",IF(FinalSem1!#REF!="","",FinalSem1!#REF!*0.1))</f>
        <v/>
      </c>
      <c r="L54" s="92" t="str">
        <f t="shared" ref="L54:L67" si="3">IF(K54="","",RANK(K54:K98,$K$9:$K$53))</f>
        <v/>
      </c>
      <c r="M54" s="93" t="str">
        <f>IF($B54="","",IF(FinalSem1!#REF!="","",FinalSem1!#REF!*0.1))</f>
        <v/>
      </c>
      <c r="N54" s="92" t="str">
        <f t="shared" ref="N54:N67" si="4">IF(M54="","",RANK(M54:M98,$M$9:$M$53))</f>
        <v/>
      </c>
      <c r="O54" s="93" t="str">
        <f>IF($B54="","",IF(FinalSem1!#REF!="","",FinalSem1!#REF!*0.1))</f>
        <v/>
      </c>
      <c r="P54" s="92" t="str">
        <f t="shared" ref="P54:P67" si="5">IF(O54="","",RANK(O54:O98,$O$9:$O$53))</f>
        <v/>
      </c>
      <c r="Q54" s="93" t="str">
        <f>IF($B54="","",IF(FinalSem1!#REF!="","",FinalSem1!#REF!*0.1))</f>
        <v/>
      </c>
      <c r="R54" s="92" t="str">
        <f t="shared" ref="R54:R67" si="6">IF(Q54="","",RANK(Q54:Q98,$Q$9:$Q$53))</f>
        <v/>
      </c>
      <c r="S54" s="93" t="str">
        <f>IF($B54="","",IF(FinalSem1!#REF!="","",FinalSem1!#REF!*0.1))</f>
        <v/>
      </c>
      <c r="T54" s="92" t="str">
        <f t="shared" ref="T54:T67" si="7">IF(S54="","",RANK(S54:S98,$S$9:$S$53))</f>
        <v/>
      </c>
      <c r="U54" s="93" t="str">
        <f>IF($B54="","",IF(FinalSem1!#REF!="","",FinalSem1!#REF!*0.1))</f>
        <v/>
      </c>
      <c r="V54" s="92" t="str">
        <f t="shared" ref="V54:V67" si="8">IF(U54="","",RANK(U54:U98,$U$9:$U$53))</f>
        <v/>
      </c>
      <c r="W54" s="93" t="str">
        <f>IF($B54="","",IF(FinalSem1!#REF!="","",FinalSem1!#REF!*0.1))</f>
        <v/>
      </c>
      <c r="X54" s="92" t="str">
        <f t="shared" ref="X54:X67" si="9">IF(W54="","",RANK(W54:W98,$W$9:$W$53))</f>
        <v/>
      </c>
      <c r="Y54" s="93" t="str">
        <f>IF($B54="","",IF(FinalSem1!#REF!="","",FinalSem1!#REF!*0.1))</f>
        <v/>
      </c>
      <c r="Z54" s="92" t="str">
        <f t="shared" ref="Z54:Z67" si="10">IF(Y54="","",RANK(Y54:Y98,$Y$9:$Y$53))</f>
        <v/>
      </c>
      <c r="AA54" s="93" t="str">
        <f>IF(ISERR(IF(B54="","",IF(F54="III",AVERAGE('[1]FINAL SEM1'!Y55:AA55)*0.1,IF(OR(F54="I",F54="II",F54="M",F54="A"),AVERAGE('[1]FINAL SEM1'!Y55:AA55)*0.1)))),"",IF(B54="","",IF(F54="III",AVERAGE('[1]FINAL SEM1'!Y55:AA55)*0.1,IF(OR(F54="I",F54="II",F54="M",F54="A"),AVERAGE('[1]FINAL SEM1'!Y55:AA55)*0.1))))</f>
        <v/>
      </c>
      <c r="AB54" s="92" t="str">
        <f t="shared" ref="AB54:AB67" si="11">IF(AA54="","",RANK(AA54:AA112,$AA$13:$AA$72))</f>
        <v/>
      </c>
      <c r="AC54" s="94" t="str">
        <f t="shared" ref="AC54:AC67" si="12">IF(SUM(I54,K54,M54,O54,Q54,S54,U54,W54,Y54,AA54,)=0,"",SUM(G54,I54,K54,M54,O54,Q54,S54,U54,W54,Y54,AA54,))</f>
        <v/>
      </c>
      <c r="AD54" s="95" t="str">
        <f t="shared" ref="AD54:AD67" si="13">IF(ISERR(IF(B54="","",AVERAGE(G54,I54,K54,M54,O54,Q54,S54,U54,W54,Y54,AA54,))),"",IF(B54="","",AVERAGE(G54,I54,K54,M54,O54,Q54,S54,U54,W54,Y54,AA54,)))</f>
        <v/>
      </c>
      <c r="AE54" s="96" t="str">
        <f t="shared" ref="AE54:AE67" si="14">IF(AD54="","",RANK(AD54:AD98,$AD$9:$AD$53))</f>
        <v/>
      </c>
      <c r="AF54" s="95" t="str">
        <f>IF(ISERR(IF(B54="","",AVERAGE('Q1'!#REF!,'Q2'!CX44)*0.1)),"",IF(B54="","",AVERAGE('Q1'!#REF!,'Q2'!CX44)*0.1))</f>
        <v/>
      </c>
      <c r="AG54" s="102" t="str">
        <f t="shared" ref="AG54:AG67" si="15">IF(OR(AD54="",AF54=""),"",AVERAGE(AD54,AF54))</f>
        <v/>
      </c>
      <c r="AH54" s="97" t="str">
        <f t="shared" ref="AH54:AH67" si="16">IF(AG54="","",RANK(AG54:AG98,$AG$9:$AG$53))</f>
        <v/>
      </c>
      <c r="AI54" s="91" t="str">
        <f>IF(ISERR(IF('[1]FINAL SEM2'!N55="","",'[1]FINAL SEM2'!N55*0.1)),"",IF($B54="","",IF('[1]FINAL SEM2'!N55="","",'[1]FINAL SEM2'!N55*0.1)))</f>
        <v/>
      </c>
      <c r="AJ54" s="92" t="str">
        <f t="shared" ref="AJ54:AJ67" si="17">IF(AI54="","",RANK(AI54:AI112,$AI$13:$AI$72))</f>
        <v/>
      </c>
      <c r="AK54" s="93" t="str">
        <f>IF($B54="","",IF(FinalSem2!#REF!="","",FinalSem2!#REF!*0.1))</f>
        <v/>
      </c>
      <c r="AL54" s="92" t="str">
        <f t="shared" ref="AL54:AL67" si="18">IF(AK54="","",RANK(AK54:AK98,$AK$9:$AK$53))</f>
        <v/>
      </c>
      <c r="AM54" s="93" t="str">
        <f>IF($B54="","",IF(FinalSem2!#REF!="","",FinalSem2!#REF!*0.1))</f>
        <v/>
      </c>
      <c r="AN54" s="92" t="str">
        <f t="shared" ref="AN54:AN67" si="19">IF(AM54="","",RANK(AM54:AM98,$AM$9:$AM$53))</f>
        <v/>
      </c>
      <c r="AO54" s="93" t="str">
        <f>IF($B54="","",IF(FinalSem2!#REF!="","",FinalSem2!#REF!*0.1))</f>
        <v/>
      </c>
      <c r="AP54" s="92" t="str">
        <f t="shared" ref="AP54:AP67" si="20">IF(AO54="","",RANK(AO54:AO98,$AO$9:$AO$53))</f>
        <v/>
      </c>
      <c r="AQ54" s="93" t="str">
        <f>IF($B54="","",IF(FinalSem2!#REF!="","",FinalSem2!#REF!*0.1))</f>
        <v/>
      </c>
      <c r="AR54" s="92" t="str">
        <f t="shared" ref="AR54:AR67" si="21">IF(AQ54="","",RANK(AQ54:AQ98,$AQ$9:$AQ$53))</f>
        <v/>
      </c>
      <c r="AS54" s="93" t="str">
        <f>IF($B54="","",IF(FinalSem2!#REF!="","",FinalSem2!#REF!*0.1))</f>
        <v/>
      </c>
      <c r="AT54" s="92" t="str">
        <f t="shared" ref="AT54:AT67" si="22">IF(AS54="","",RANK(AS54:AS698,$AS$9:$AS$53))</f>
        <v/>
      </c>
      <c r="AU54" s="93" t="str">
        <f>IF($B54="","",IF(FinalSem2!#REF!="","",FinalSem2!#REF!*0.1))</f>
        <v/>
      </c>
      <c r="AV54" s="92" t="str">
        <f t="shared" ref="AV54:AV67" si="23">IF(AU54="","",RANK(AU54:AU98,$AU$9:$AU$53))</f>
        <v/>
      </c>
      <c r="AW54" s="93" t="str">
        <f>IF($B54="","",IF(FinalSem2!#REF!="","",FinalSem2!#REF!*0.1))</f>
        <v/>
      </c>
      <c r="AX54" s="92" t="str">
        <f t="shared" ref="AX54:AX67" si="24">IF(AW54="","",RANK(AW54:AW98,$AW$9:$AW$53))</f>
        <v/>
      </c>
      <c r="AY54" s="93" t="str">
        <f>IF($B54="","",IF(FinalSem2!#REF!="","",FinalSem2!#REF!*0.1))</f>
        <v/>
      </c>
      <c r="AZ54" s="92" t="str">
        <f t="shared" ref="AZ54:AZ67" si="25">IF(AY54="","",RANK(AY54:AY98,$AY$9:$AY$53))</f>
        <v/>
      </c>
      <c r="BA54" s="93" t="str">
        <f>IF($B54="","",IF(FinalSem2!#REF!="","",FinalSem2!#REF!*0.1))</f>
        <v/>
      </c>
      <c r="BB54" s="92" t="str">
        <f t="shared" ref="BB54:BB67" si="26">IF(BA54="","",RANK(BA54:BA98,$BA$9:$BA$53))</f>
        <v/>
      </c>
      <c r="BC54" s="93" t="str">
        <f>IF($B54="","",IF(FinalSem2!#REF!="","",FinalSem2!#REF!*0.1))</f>
        <v/>
      </c>
      <c r="BD54" s="92" t="str">
        <f t="shared" ref="BD54:BD67" si="27">IF(BC54="","",RANK(BC54:BC98,$BC$9:$BC$53))</f>
        <v/>
      </c>
      <c r="BE54" s="94" t="str">
        <f t="shared" ref="BE54:BE67" si="28">IF(SUM(AI54,AK54,AM54,AO54,AQ54,AS54,AU54,AW54,AY54,BA54,BC54,)=0,"",SUM(AI54,AK54,AM54,AO54,AQ54,AS54,AU54,AW54,AY54,BA54,BC54,))</f>
        <v/>
      </c>
      <c r="BF54" s="95" t="str">
        <f t="shared" ref="BF54:BF67" si="29">IF(ISERR(IF(B54="","",AVERAGE(AK54,AM54,AO54,AQ54,AS54,AU54,AW54,AY54,BA54,BC54,))),"",IF(B54="","",AVERAGE(AI54,AK54,AM54,AO54,AQ54,AS54,AU54,AW54,AY54,BA54,BC54,)))</f>
        <v/>
      </c>
      <c r="BG54" s="96" t="str">
        <f t="shared" ref="BG54:BG67" si="30">IF(BF54="","",RANK(BF54:BF98,$BF$9:$BF$53))</f>
        <v/>
      </c>
      <c r="BH54" s="95" t="str">
        <f>IF(ISERR(IF(B54="","",AVERAGE('Q3'!CX60,'Q4'!CX60)*0.1)),"",IF(B54="","",AVERAGE('Q3'!CX60,'Q4'!CX60)*0.1))</f>
        <v/>
      </c>
      <c r="BI54" s="102" t="str">
        <f t="shared" ref="BI54:BI67" si="31">IF(OR(BF54="",BH54=""),"",AVERAGE(BF54,BH54))</f>
        <v/>
      </c>
      <c r="BJ54" s="97" t="str">
        <f t="shared" ref="BJ54:BJ67" si="32">IF(BI54="","",RANK(BI54:BI698,$BI$9:$BI$53))</f>
        <v/>
      </c>
      <c r="BK54" s="98" t="str">
        <f t="shared" ref="BK54:BK67" si="33">IF(OR(G54="",AI54=""),"",AVERAGE(G54,AI54))</f>
        <v/>
      </c>
      <c r="BL54" s="99" t="str">
        <f t="shared" ref="BL54:BL67" si="34">IF(BK54="","",IF(BK54="","",RANK(BK54:BK113,$BK$13:$BK$72)))</f>
        <v/>
      </c>
      <c r="BM54" s="100" t="str">
        <f t="shared" ref="BM54:BM67" si="35">IF(OR(I54="",AK54=""),"",AVERAGE(I54,AK54))</f>
        <v/>
      </c>
      <c r="BN54" s="99" t="str">
        <f t="shared" ref="BN54:BN67" si="36">IF(BM54="","",RANK(BM54:BM98,$BM$9:$BM$53))</f>
        <v/>
      </c>
      <c r="BO54" s="100" t="str">
        <f t="shared" ref="BO54:BO67" si="37">IF(OR(K54="",AM54=""),"",AVERAGE(K54,AM54))</f>
        <v/>
      </c>
      <c r="BP54" s="99" t="str">
        <f t="shared" ref="BP54:BP67" si="38">IF(BO54="","",RANK(BO54:BO98,$BO$9:$BO$53))</f>
        <v/>
      </c>
      <c r="BQ54" s="100" t="str">
        <f t="shared" ref="BQ54:BQ67" si="39">IF(OR(M54="",AO54=""),"",AVERAGE(M54,AO54))</f>
        <v/>
      </c>
      <c r="BR54" s="99" t="str">
        <f t="shared" ref="BR54:BR67" si="40">IF(BQ54="","",RANK(BQ54:BQ98,$BQ$9:$BQ$53))</f>
        <v/>
      </c>
      <c r="BS54" s="100" t="str">
        <f t="shared" ref="BS54:BS67" si="41">IF(OR(O54="",AQ54=""),"",AVERAGE(O54,AQ54))</f>
        <v/>
      </c>
      <c r="BT54" s="99" t="str">
        <f t="shared" ref="BT54:BT67" si="42">IF(BS54="","",RANK(BS54:BS98,$BS$9:$BS$53))</f>
        <v/>
      </c>
      <c r="BU54" s="100" t="str">
        <f t="shared" ref="BU54:BU67" si="43">IF(OR(Q54="",AS54=""),"",AVERAGE(Q54,AS54))</f>
        <v/>
      </c>
      <c r="BV54" s="99" t="str">
        <f t="shared" ref="BV54:BV67" si="44">IF(BU54="","",RANK(BU54:BU98,$BU$9:$BU$53))</f>
        <v/>
      </c>
      <c r="BW54" s="100" t="str">
        <f t="shared" ref="BW54:BW67" si="45">IF(OR(S54="",AU54=""),"",AVERAGE(S54,AU54))</f>
        <v/>
      </c>
      <c r="BX54" s="99" t="str">
        <f t="shared" ref="BX54:BX67" si="46">IF(BW54="","",RANK(BW54:BW98,$BW$9:$BW$53))</f>
        <v/>
      </c>
      <c r="BY54" s="100" t="str">
        <f t="shared" ref="BY54:BY67" si="47">IF(OR(U54="",AW54=""),"",AVERAGE(U54,AW54))</f>
        <v/>
      </c>
      <c r="BZ54" s="99" t="str">
        <f t="shared" ref="BZ54:BZ67" si="48">IF(BY54="","",RANK(BY54:BY98,$BY$9:$BY$53))</f>
        <v/>
      </c>
      <c r="CA54" s="128" t="str">
        <f t="shared" si="0"/>
        <v/>
      </c>
    </row>
    <row r="55" spans="1:79" ht="24.5" x14ac:dyDescent="0.35">
      <c r="A55" s="90" t="str">
        <f>IF('Q4'!A61="","",'Q4'!A61)</f>
        <v/>
      </c>
      <c r="B55" s="90" t="str">
        <f>IF('Q4'!B61="","",'Q4'!B61)</f>
        <v/>
      </c>
      <c r="C55" s="107" t="str">
        <f>IF('Q4'!C61="","",'Q4'!C61)</f>
        <v/>
      </c>
      <c r="D55" s="104" t="str">
        <f>IF('Q4'!D61="","",'Q4'!D61)</f>
        <v/>
      </c>
      <c r="E55" s="90" t="str">
        <f>IF('Q4'!E61="","",'Q4'!E61)</f>
        <v/>
      </c>
      <c r="F55" s="90" t="str">
        <f>IF('Q4'!F61="","",'Q4'!F61)</f>
        <v/>
      </c>
      <c r="G55" s="91" t="str">
        <f>IF($B55="","",IF(FinalSem1!#REF!="","",FinalSem1!#REF!*0.1))</f>
        <v/>
      </c>
      <c r="H55" s="92" t="str">
        <f t="shared" si="1"/>
        <v/>
      </c>
      <c r="I55" s="91" t="str">
        <f>IF($B55="","",IF(FinalSem1!#REF!="","",FinalSem1!#REF!*0.1))</f>
        <v/>
      </c>
      <c r="J55" s="92" t="str">
        <f t="shared" si="2"/>
        <v/>
      </c>
      <c r="K55" s="93" t="str">
        <f>IF($B55="","",IF(FinalSem1!#REF!="","",FinalSem1!#REF!*0.1))</f>
        <v/>
      </c>
      <c r="L55" s="92" t="str">
        <f t="shared" si="3"/>
        <v/>
      </c>
      <c r="M55" s="93" t="str">
        <f>IF($B55="","",IF(FinalSem1!#REF!="","",FinalSem1!#REF!*0.1))</f>
        <v/>
      </c>
      <c r="N55" s="92" t="str">
        <f t="shared" si="4"/>
        <v/>
      </c>
      <c r="O55" s="93" t="str">
        <f>IF($B55="","",IF(FinalSem1!#REF!="","",FinalSem1!#REF!*0.1))</f>
        <v/>
      </c>
      <c r="P55" s="92" t="str">
        <f t="shared" si="5"/>
        <v/>
      </c>
      <c r="Q55" s="93" t="str">
        <f>IF($B55="","",IF(FinalSem1!#REF!="","",FinalSem1!#REF!*0.1))</f>
        <v/>
      </c>
      <c r="R55" s="92" t="str">
        <f t="shared" si="6"/>
        <v/>
      </c>
      <c r="S55" s="93" t="str">
        <f>IF($B55="","",IF(FinalSem1!#REF!="","",FinalSem1!#REF!*0.1))</f>
        <v/>
      </c>
      <c r="T55" s="92" t="str">
        <f t="shared" si="7"/>
        <v/>
      </c>
      <c r="U55" s="93" t="str">
        <f>IF($B55="","",IF(FinalSem1!#REF!="","",FinalSem1!#REF!*0.1))</f>
        <v/>
      </c>
      <c r="V55" s="92" t="str">
        <f t="shared" si="8"/>
        <v/>
      </c>
      <c r="W55" s="93" t="str">
        <f>IF($B55="","",IF(FinalSem1!#REF!="","",FinalSem1!#REF!*0.1))</f>
        <v/>
      </c>
      <c r="X55" s="92" t="str">
        <f t="shared" si="9"/>
        <v/>
      </c>
      <c r="Y55" s="93" t="str">
        <f>IF($B55="","",IF(FinalSem1!#REF!="","",FinalSem1!#REF!*0.1))</f>
        <v/>
      </c>
      <c r="Z55" s="92" t="str">
        <f t="shared" si="10"/>
        <v/>
      </c>
      <c r="AA55" s="93" t="str">
        <f>IF(ISERR(IF(B55="","",IF(F55="III",AVERAGE('[1]FINAL SEM1'!Y56:AA56)*0.1,IF(OR(F55="I",F55="II",F55="M",F55="A"),AVERAGE('[1]FINAL SEM1'!Y56:AA56)*0.1)))),"",IF(B55="","",IF(F55="III",AVERAGE('[1]FINAL SEM1'!Y56:AA56)*0.1,IF(OR(F55="I",F55="II",F55="M",F55="A"),AVERAGE('[1]FINAL SEM1'!Y56:AA56)*0.1))))</f>
        <v/>
      </c>
      <c r="AB55" s="92" t="str">
        <f t="shared" si="11"/>
        <v/>
      </c>
      <c r="AC55" s="94" t="str">
        <f t="shared" si="12"/>
        <v/>
      </c>
      <c r="AD55" s="95" t="str">
        <f t="shared" si="13"/>
        <v/>
      </c>
      <c r="AE55" s="96" t="str">
        <f t="shared" si="14"/>
        <v/>
      </c>
      <c r="AF55" s="95" t="str">
        <f>IF(ISERR(IF(B55="","",AVERAGE('Q1'!#REF!,'Q2'!CX45)*0.1)),"",IF(B55="","",AVERAGE('Q1'!#REF!,'Q2'!CX45)*0.1))</f>
        <v/>
      </c>
      <c r="AG55" s="102" t="str">
        <f t="shared" si="15"/>
        <v/>
      </c>
      <c r="AH55" s="97" t="str">
        <f t="shared" si="16"/>
        <v/>
      </c>
      <c r="AI55" s="91" t="str">
        <f>IF(ISERR(IF('[1]FINAL SEM2'!N56="","",'[1]FINAL SEM2'!N56*0.1)),"",IF($B55="","",IF('[1]FINAL SEM2'!N56="","",'[1]FINAL SEM2'!N56*0.1)))</f>
        <v/>
      </c>
      <c r="AJ55" s="92" t="str">
        <f t="shared" si="17"/>
        <v/>
      </c>
      <c r="AK55" s="93" t="str">
        <f>IF($B55="","",IF(FinalSem2!#REF!="","",FinalSem2!#REF!*0.1))</f>
        <v/>
      </c>
      <c r="AL55" s="92" t="str">
        <f t="shared" si="18"/>
        <v/>
      </c>
      <c r="AM55" s="93" t="str">
        <f>IF($B55="","",IF(FinalSem2!#REF!="","",FinalSem2!#REF!*0.1))</f>
        <v/>
      </c>
      <c r="AN55" s="92" t="str">
        <f t="shared" si="19"/>
        <v/>
      </c>
      <c r="AO55" s="93" t="str">
        <f>IF($B55="","",IF(FinalSem2!#REF!="","",FinalSem2!#REF!*0.1))</f>
        <v/>
      </c>
      <c r="AP55" s="92" t="str">
        <f t="shared" si="20"/>
        <v/>
      </c>
      <c r="AQ55" s="93" t="str">
        <f>IF($B55="","",IF(FinalSem2!#REF!="","",FinalSem2!#REF!*0.1))</f>
        <v/>
      </c>
      <c r="AR55" s="92" t="str">
        <f t="shared" si="21"/>
        <v/>
      </c>
      <c r="AS55" s="93" t="str">
        <f>IF($B55="","",IF(FinalSem2!#REF!="","",FinalSem2!#REF!*0.1))</f>
        <v/>
      </c>
      <c r="AT55" s="92" t="str">
        <f t="shared" si="22"/>
        <v/>
      </c>
      <c r="AU55" s="93" t="str">
        <f>IF($B55="","",IF(FinalSem2!#REF!="","",FinalSem2!#REF!*0.1))</f>
        <v/>
      </c>
      <c r="AV55" s="92" t="str">
        <f t="shared" si="23"/>
        <v/>
      </c>
      <c r="AW55" s="93" t="str">
        <f>IF($B55="","",IF(FinalSem2!#REF!="","",FinalSem2!#REF!*0.1))</f>
        <v/>
      </c>
      <c r="AX55" s="92" t="str">
        <f t="shared" si="24"/>
        <v/>
      </c>
      <c r="AY55" s="93" t="str">
        <f>IF($B55="","",IF(FinalSem2!#REF!="","",FinalSem2!#REF!*0.1))</f>
        <v/>
      </c>
      <c r="AZ55" s="92" t="str">
        <f t="shared" si="25"/>
        <v/>
      </c>
      <c r="BA55" s="93" t="str">
        <f>IF($B55="","",IF(FinalSem2!#REF!="","",FinalSem2!#REF!*0.1))</f>
        <v/>
      </c>
      <c r="BB55" s="92" t="str">
        <f t="shared" si="26"/>
        <v/>
      </c>
      <c r="BC55" s="93" t="str">
        <f>IF($B55="","",IF(FinalSem2!#REF!="","",FinalSem2!#REF!*0.1))</f>
        <v/>
      </c>
      <c r="BD55" s="92" t="str">
        <f t="shared" si="27"/>
        <v/>
      </c>
      <c r="BE55" s="94" t="str">
        <f t="shared" si="28"/>
        <v/>
      </c>
      <c r="BF55" s="95" t="str">
        <f t="shared" si="29"/>
        <v/>
      </c>
      <c r="BG55" s="96" t="str">
        <f t="shared" si="30"/>
        <v/>
      </c>
      <c r="BH55" s="95" t="str">
        <f>IF(ISERR(IF(B55="","",AVERAGE('Q3'!CX61,'Q4'!CX61)*0.1)),"",IF(B55="","",AVERAGE('Q3'!CX61,'Q4'!CX61)*0.1))</f>
        <v/>
      </c>
      <c r="BI55" s="102" t="str">
        <f t="shared" si="31"/>
        <v/>
      </c>
      <c r="BJ55" s="97" t="str">
        <f t="shared" si="32"/>
        <v/>
      </c>
      <c r="BK55" s="98" t="str">
        <f t="shared" si="33"/>
        <v/>
      </c>
      <c r="BL55" s="99" t="str">
        <f t="shared" si="34"/>
        <v/>
      </c>
      <c r="BM55" s="100" t="str">
        <f t="shared" si="35"/>
        <v/>
      </c>
      <c r="BN55" s="99" t="str">
        <f t="shared" si="36"/>
        <v/>
      </c>
      <c r="BO55" s="100" t="str">
        <f t="shared" si="37"/>
        <v/>
      </c>
      <c r="BP55" s="99" t="str">
        <f t="shared" si="38"/>
        <v/>
      </c>
      <c r="BQ55" s="100" t="str">
        <f t="shared" si="39"/>
        <v/>
      </c>
      <c r="BR55" s="99" t="str">
        <f t="shared" si="40"/>
        <v/>
      </c>
      <c r="BS55" s="100" t="str">
        <f t="shared" si="41"/>
        <v/>
      </c>
      <c r="BT55" s="99" t="str">
        <f t="shared" si="42"/>
        <v/>
      </c>
      <c r="BU55" s="100" t="str">
        <f t="shared" si="43"/>
        <v/>
      </c>
      <c r="BV55" s="99" t="str">
        <f t="shared" si="44"/>
        <v/>
      </c>
      <c r="BW55" s="100" t="str">
        <f t="shared" si="45"/>
        <v/>
      </c>
      <c r="BX55" s="99" t="str">
        <f t="shared" si="46"/>
        <v/>
      </c>
      <c r="BY55" s="100" t="str">
        <f t="shared" si="47"/>
        <v/>
      </c>
      <c r="BZ55" s="99" t="str">
        <f t="shared" si="48"/>
        <v/>
      </c>
      <c r="CA55" s="128" t="str">
        <f t="shared" si="0"/>
        <v/>
      </c>
    </row>
    <row r="56" spans="1:79" ht="24.5" x14ac:dyDescent="0.35">
      <c r="A56" s="90" t="str">
        <f>IF('Q4'!A62="","",'Q4'!A62)</f>
        <v/>
      </c>
      <c r="B56" s="90" t="str">
        <f>IF('Q4'!B62="","",'Q4'!B62)</f>
        <v/>
      </c>
      <c r="C56" s="107" t="str">
        <f>IF('Q4'!C62="","",'Q4'!C62)</f>
        <v/>
      </c>
      <c r="D56" s="104" t="str">
        <f>IF('Q4'!D62="","",'Q4'!D62)</f>
        <v/>
      </c>
      <c r="E56" s="90" t="str">
        <f>IF('Q4'!E62="","",'Q4'!E62)</f>
        <v/>
      </c>
      <c r="F56" s="90" t="str">
        <f>IF('Q4'!F62="","",'Q4'!F62)</f>
        <v/>
      </c>
      <c r="G56" s="91" t="str">
        <f>IF($B56="","",IF(FinalSem1!#REF!="","",FinalSem1!#REF!*0.1))</f>
        <v/>
      </c>
      <c r="H56" s="92" t="str">
        <f t="shared" si="1"/>
        <v/>
      </c>
      <c r="I56" s="91" t="str">
        <f>IF($B56="","",IF(FinalSem1!#REF!="","",FinalSem1!#REF!*0.1))</f>
        <v/>
      </c>
      <c r="J56" s="92" t="str">
        <f t="shared" si="2"/>
        <v/>
      </c>
      <c r="K56" s="93" t="str">
        <f>IF($B56="","",IF(FinalSem1!#REF!="","",FinalSem1!#REF!*0.1))</f>
        <v/>
      </c>
      <c r="L56" s="92" t="str">
        <f t="shared" si="3"/>
        <v/>
      </c>
      <c r="M56" s="93" t="str">
        <f>IF($B56="","",IF(FinalSem1!#REF!="","",FinalSem1!#REF!*0.1))</f>
        <v/>
      </c>
      <c r="N56" s="92" t="str">
        <f t="shared" si="4"/>
        <v/>
      </c>
      <c r="O56" s="93" t="str">
        <f>IF($B56="","",IF(FinalSem1!#REF!="","",FinalSem1!#REF!*0.1))</f>
        <v/>
      </c>
      <c r="P56" s="92" t="str">
        <f t="shared" si="5"/>
        <v/>
      </c>
      <c r="Q56" s="93" t="str">
        <f>IF($B56="","",IF(FinalSem1!#REF!="","",FinalSem1!#REF!*0.1))</f>
        <v/>
      </c>
      <c r="R56" s="92" t="str">
        <f t="shared" si="6"/>
        <v/>
      </c>
      <c r="S56" s="93" t="str">
        <f>IF($B56="","",IF(FinalSem1!#REF!="","",FinalSem1!#REF!*0.1))</f>
        <v/>
      </c>
      <c r="T56" s="92" t="str">
        <f t="shared" si="7"/>
        <v/>
      </c>
      <c r="U56" s="93" t="str">
        <f>IF($B56="","",IF(FinalSem1!#REF!="","",FinalSem1!#REF!*0.1))</f>
        <v/>
      </c>
      <c r="V56" s="92" t="str">
        <f t="shared" si="8"/>
        <v/>
      </c>
      <c r="W56" s="93" t="str">
        <f>IF($B56="","",IF(FinalSem1!#REF!="","",FinalSem1!#REF!*0.1))</f>
        <v/>
      </c>
      <c r="X56" s="92" t="str">
        <f t="shared" si="9"/>
        <v/>
      </c>
      <c r="Y56" s="93" t="str">
        <f>IF($B56="","",IF(FinalSem1!#REF!="","",FinalSem1!#REF!*0.1))</f>
        <v/>
      </c>
      <c r="Z56" s="92" t="str">
        <f t="shared" si="10"/>
        <v/>
      </c>
      <c r="AA56" s="93" t="str">
        <f>IF(ISERR(IF(B56="","",IF(F56="III",AVERAGE('[1]FINAL SEM1'!Y57:AA57)*0.1,IF(OR(F56="I",F56="II",F56="M",F56="A"),AVERAGE('[1]FINAL SEM1'!Y57:AA57)*0.1)))),"",IF(B56="","",IF(F56="III",AVERAGE('[1]FINAL SEM1'!Y57:AA57)*0.1,IF(OR(F56="I",F56="II",F56="M",F56="A"),AVERAGE('[1]FINAL SEM1'!Y57:AA57)*0.1))))</f>
        <v/>
      </c>
      <c r="AB56" s="92" t="str">
        <f t="shared" si="11"/>
        <v/>
      </c>
      <c r="AC56" s="94" t="str">
        <f t="shared" si="12"/>
        <v/>
      </c>
      <c r="AD56" s="95" t="str">
        <f t="shared" si="13"/>
        <v/>
      </c>
      <c r="AE56" s="96" t="str">
        <f t="shared" si="14"/>
        <v/>
      </c>
      <c r="AF56" s="95" t="str">
        <f>IF(ISERR(IF(B56="","",AVERAGE('Q1'!#REF!,'Q2'!CX46)*0.1)),"",IF(B56="","",AVERAGE('Q1'!#REF!,'Q2'!CX46)*0.1))</f>
        <v/>
      </c>
      <c r="AG56" s="102" t="str">
        <f t="shared" si="15"/>
        <v/>
      </c>
      <c r="AH56" s="97" t="str">
        <f t="shared" si="16"/>
        <v/>
      </c>
      <c r="AI56" s="91" t="str">
        <f>IF(ISERR(IF('[1]FINAL SEM2'!N57="","",'[1]FINAL SEM2'!N57*0.1)),"",IF($B56="","",IF('[1]FINAL SEM2'!N57="","",'[1]FINAL SEM2'!N57*0.1)))</f>
        <v/>
      </c>
      <c r="AJ56" s="92" t="str">
        <f t="shared" si="17"/>
        <v/>
      </c>
      <c r="AK56" s="93" t="str">
        <f>IF($B56="","",IF(FinalSem2!#REF!="","",FinalSem2!#REF!*0.1))</f>
        <v/>
      </c>
      <c r="AL56" s="92" t="str">
        <f t="shared" si="18"/>
        <v/>
      </c>
      <c r="AM56" s="93" t="str">
        <f>IF($B56="","",IF(FinalSem2!#REF!="","",FinalSem2!#REF!*0.1))</f>
        <v/>
      </c>
      <c r="AN56" s="92" t="str">
        <f t="shared" si="19"/>
        <v/>
      </c>
      <c r="AO56" s="93" t="str">
        <f>IF($B56="","",IF(FinalSem2!#REF!="","",FinalSem2!#REF!*0.1))</f>
        <v/>
      </c>
      <c r="AP56" s="92" t="str">
        <f t="shared" si="20"/>
        <v/>
      </c>
      <c r="AQ56" s="93" t="str">
        <f>IF($B56="","",IF(FinalSem2!#REF!="","",FinalSem2!#REF!*0.1))</f>
        <v/>
      </c>
      <c r="AR56" s="92" t="str">
        <f t="shared" si="21"/>
        <v/>
      </c>
      <c r="AS56" s="93" t="str">
        <f>IF($B56="","",IF(FinalSem2!#REF!="","",FinalSem2!#REF!*0.1))</f>
        <v/>
      </c>
      <c r="AT56" s="92" t="str">
        <f t="shared" si="22"/>
        <v/>
      </c>
      <c r="AU56" s="93" t="str">
        <f>IF($B56="","",IF(FinalSem2!#REF!="","",FinalSem2!#REF!*0.1))</f>
        <v/>
      </c>
      <c r="AV56" s="92" t="str">
        <f t="shared" si="23"/>
        <v/>
      </c>
      <c r="AW56" s="93" t="str">
        <f>IF($B56="","",IF(FinalSem2!#REF!="","",FinalSem2!#REF!*0.1))</f>
        <v/>
      </c>
      <c r="AX56" s="92" t="str">
        <f t="shared" si="24"/>
        <v/>
      </c>
      <c r="AY56" s="93" t="str">
        <f>IF($B56="","",IF(FinalSem2!#REF!="","",FinalSem2!#REF!*0.1))</f>
        <v/>
      </c>
      <c r="AZ56" s="92" t="str">
        <f t="shared" si="25"/>
        <v/>
      </c>
      <c r="BA56" s="93" t="str">
        <f>IF($B56="","",IF(FinalSem2!#REF!="","",FinalSem2!#REF!*0.1))</f>
        <v/>
      </c>
      <c r="BB56" s="92" t="str">
        <f t="shared" si="26"/>
        <v/>
      </c>
      <c r="BC56" s="93" t="str">
        <f>IF($B56="","",IF(FinalSem2!#REF!="","",FinalSem2!#REF!*0.1))</f>
        <v/>
      </c>
      <c r="BD56" s="92" t="str">
        <f t="shared" si="27"/>
        <v/>
      </c>
      <c r="BE56" s="94" t="str">
        <f t="shared" si="28"/>
        <v/>
      </c>
      <c r="BF56" s="95" t="str">
        <f t="shared" si="29"/>
        <v/>
      </c>
      <c r="BG56" s="96" t="str">
        <f t="shared" si="30"/>
        <v/>
      </c>
      <c r="BH56" s="95" t="str">
        <f>IF(ISERR(IF(B56="","",AVERAGE('Q3'!CX62,'Q4'!CX62)*0.1)),"",IF(B56="","",AVERAGE('Q3'!CX62,'Q4'!CX62)*0.1))</f>
        <v/>
      </c>
      <c r="BI56" s="102" t="str">
        <f t="shared" si="31"/>
        <v/>
      </c>
      <c r="BJ56" s="97" t="str">
        <f t="shared" si="32"/>
        <v/>
      </c>
      <c r="BK56" s="98" t="str">
        <f t="shared" si="33"/>
        <v/>
      </c>
      <c r="BL56" s="99" t="str">
        <f t="shared" si="34"/>
        <v/>
      </c>
      <c r="BM56" s="100" t="str">
        <f t="shared" si="35"/>
        <v/>
      </c>
      <c r="BN56" s="99" t="str">
        <f t="shared" si="36"/>
        <v/>
      </c>
      <c r="BO56" s="100" t="str">
        <f t="shared" si="37"/>
        <v/>
      </c>
      <c r="BP56" s="99" t="str">
        <f t="shared" si="38"/>
        <v/>
      </c>
      <c r="BQ56" s="100" t="str">
        <f t="shared" si="39"/>
        <v/>
      </c>
      <c r="BR56" s="99" t="str">
        <f t="shared" si="40"/>
        <v/>
      </c>
      <c r="BS56" s="100" t="str">
        <f t="shared" si="41"/>
        <v/>
      </c>
      <c r="BT56" s="99" t="str">
        <f t="shared" si="42"/>
        <v/>
      </c>
      <c r="BU56" s="100" t="str">
        <f t="shared" si="43"/>
        <v/>
      </c>
      <c r="BV56" s="99" t="str">
        <f t="shared" si="44"/>
        <v/>
      </c>
      <c r="BW56" s="100" t="str">
        <f t="shared" si="45"/>
        <v/>
      </c>
      <c r="BX56" s="99" t="str">
        <f t="shared" si="46"/>
        <v/>
      </c>
      <c r="BY56" s="100" t="str">
        <f t="shared" si="47"/>
        <v/>
      </c>
      <c r="BZ56" s="99" t="str">
        <f t="shared" si="48"/>
        <v/>
      </c>
      <c r="CA56" s="128" t="str">
        <f t="shared" si="0"/>
        <v/>
      </c>
    </row>
    <row r="57" spans="1:79" ht="24.5" x14ac:dyDescent="0.35">
      <c r="A57" s="90" t="str">
        <f>IF('Q4'!A63="","",'Q4'!A63)</f>
        <v/>
      </c>
      <c r="B57" s="90" t="str">
        <f>IF('Q4'!B63="","",'Q4'!B63)</f>
        <v/>
      </c>
      <c r="C57" s="107" t="str">
        <f>IF('Q4'!C63="","",'Q4'!C63)</f>
        <v/>
      </c>
      <c r="D57" s="104" t="str">
        <f>IF('Q4'!D63="","",'Q4'!D63)</f>
        <v/>
      </c>
      <c r="E57" s="90" t="str">
        <f>IF('Q4'!E63="","",'Q4'!E63)</f>
        <v/>
      </c>
      <c r="F57" s="90" t="str">
        <f>IF('Q4'!F63="","",'Q4'!F63)</f>
        <v/>
      </c>
      <c r="G57" s="91" t="str">
        <f>IF($B57="","",IF(FinalSem1!#REF!="","",FinalSem1!#REF!*0.1))</f>
        <v/>
      </c>
      <c r="H57" s="92" t="str">
        <f t="shared" si="1"/>
        <v/>
      </c>
      <c r="I57" s="91" t="str">
        <f>IF($B57="","",IF(FinalSem1!#REF!="","",FinalSem1!#REF!*0.1))</f>
        <v/>
      </c>
      <c r="J57" s="92" t="str">
        <f t="shared" si="2"/>
        <v/>
      </c>
      <c r="K57" s="93" t="str">
        <f>IF($B57="","",IF(FinalSem1!#REF!="","",FinalSem1!#REF!*0.1))</f>
        <v/>
      </c>
      <c r="L57" s="92" t="str">
        <f t="shared" si="3"/>
        <v/>
      </c>
      <c r="M57" s="93" t="str">
        <f>IF($B57="","",IF(FinalSem1!#REF!="","",FinalSem1!#REF!*0.1))</f>
        <v/>
      </c>
      <c r="N57" s="92" t="str">
        <f t="shared" si="4"/>
        <v/>
      </c>
      <c r="O57" s="93" t="str">
        <f>IF($B57="","",IF(FinalSem1!#REF!="","",FinalSem1!#REF!*0.1))</f>
        <v/>
      </c>
      <c r="P57" s="92" t="str">
        <f t="shared" si="5"/>
        <v/>
      </c>
      <c r="Q57" s="93" t="str">
        <f>IF($B57="","",IF(FinalSem1!#REF!="","",FinalSem1!#REF!*0.1))</f>
        <v/>
      </c>
      <c r="R57" s="92" t="str">
        <f t="shared" si="6"/>
        <v/>
      </c>
      <c r="S57" s="93" t="str">
        <f>IF($B57="","",IF(FinalSem1!#REF!="","",FinalSem1!#REF!*0.1))</f>
        <v/>
      </c>
      <c r="T57" s="92" t="str">
        <f t="shared" si="7"/>
        <v/>
      </c>
      <c r="U57" s="93" t="str">
        <f>IF($B57="","",IF(FinalSem1!#REF!="","",FinalSem1!#REF!*0.1))</f>
        <v/>
      </c>
      <c r="V57" s="92" t="str">
        <f t="shared" si="8"/>
        <v/>
      </c>
      <c r="W57" s="93" t="str">
        <f>IF($B57="","",IF(FinalSem1!#REF!="","",FinalSem1!#REF!*0.1))</f>
        <v/>
      </c>
      <c r="X57" s="92" t="str">
        <f t="shared" si="9"/>
        <v/>
      </c>
      <c r="Y57" s="93" t="str">
        <f>IF($B57="","",IF(FinalSem1!#REF!="","",FinalSem1!#REF!*0.1))</f>
        <v/>
      </c>
      <c r="Z57" s="92" t="str">
        <f t="shared" si="10"/>
        <v/>
      </c>
      <c r="AA57" s="93" t="str">
        <f>IF(ISERR(IF(B57="","",IF(F57="III",AVERAGE('[1]FINAL SEM1'!Y58:AA58)*0.1,IF(OR(F57="I",F57="II",F57="M",F57="A"),AVERAGE('[1]FINAL SEM1'!Y58:AA58)*0.1)))),"",IF(B57="","",IF(F57="III",AVERAGE('[1]FINAL SEM1'!Y58:AA58)*0.1,IF(OR(F57="I",F57="II",F57="M",F57="A"),AVERAGE('[1]FINAL SEM1'!Y58:AA58)*0.1))))</f>
        <v/>
      </c>
      <c r="AB57" s="92" t="str">
        <f t="shared" si="11"/>
        <v/>
      </c>
      <c r="AC57" s="94" t="str">
        <f t="shared" si="12"/>
        <v/>
      </c>
      <c r="AD57" s="95" t="str">
        <f t="shared" si="13"/>
        <v/>
      </c>
      <c r="AE57" s="96" t="str">
        <f t="shared" si="14"/>
        <v/>
      </c>
      <c r="AF57" s="95" t="str">
        <f>IF(ISERR(IF(B57="","",AVERAGE('Q1'!#REF!,'Q2'!CX47)*0.1)),"",IF(B57="","",AVERAGE('Q1'!#REF!,'Q2'!CX47)*0.1))</f>
        <v/>
      </c>
      <c r="AG57" s="102" t="str">
        <f t="shared" si="15"/>
        <v/>
      </c>
      <c r="AH57" s="97" t="str">
        <f t="shared" si="16"/>
        <v/>
      </c>
      <c r="AI57" s="91" t="str">
        <f>IF(ISERR(IF('[1]FINAL SEM2'!N58="","",'[1]FINAL SEM2'!N58*0.1)),"",IF($B57="","",IF('[1]FINAL SEM2'!N58="","",'[1]FINAL SEM2'!N58*0.1)))</f>
        <v/>
      </c>
      <c r="AJ57" s="92" t="str">
        <f t="shared" si="17"/>
        <v/>
      </c>
      <c r="AK57" s="93" t="str">
        <f>IF($B57="","",IF(FinalSem2!#REF!="","",FinalSem2!#REF!*0.1))</f>
        <v/>
      </c>
      <c r="AL57" s="92" t="str">
        <f t="shared" si="18"/>
        <v/>
      </c>
      <c r="AM57" s="93" t="str">
        <f>IF($B57="","",IF(FinalSem2!#REF!="","",FinalSem2!#REF!*0.1))</f>
        <v/>
      </c>
      <c r="AN57" s="92" t="str">
        <f t="shared" si="19"/>
        <v/>
      </c>
      <c r="AO57" s="93" t="str">
        <f>IF($B57="","",IF(FinalSem2!#REF!="","",FinalSem2!#REF!*0.1))</f>
        <v/>
      </c>
      <c r="AP57" s="92" t="str">
        <f t="shared" si="20"/>
        <v/>
      </c>
      <c r="AQ57" s="93" t="str">
        <f>IF($B57="","",IF(FinalSem2!#REF!="","",FinalSem2!#REF!*0.1))</f>
        <v/>
      </c>
      <c r="AR57" s="92" t="str">
        <f t="shared" si="21"/>
        <v/>
      </c>
      <c r="AS57" s="93" t="str">
        <f>IF($B57="","",IF(FinalSem2!#REF!="","",FinalSem2!#REF!*0.1))</f>
        <v/>
      </c>
      <c r="AT57" s="92" t="str">
        <f t="shared" si="22"/>
        <v/>
      </c>
      <c r="AU57" s="93" t="str">
        <f>IF($B57="","",IF(FinalSem2!#REF!="","",FinalSem2!#REF!*0.1))</f>
        <v/>
      </c>
      <c r="AV57" s="92" t="str">
        <f t="shared" si="23"/>
        <v/>
      </c>
      <c r="AW57" s="93" t="str">
        <f>IF($B57="","",IF(FinalSem2!#REF!="","",FinalSem2!#REF!*0.1))</f>
        <v/>
      </c>
      <c r="AX57" s="92" t="str">
        <f t="shared" si="24"/>
        <v/>
      </c>
      <c r="AY57" s="93" t="str">
        <f>IF($B57="","",IF(FinalSem2!#REF!="","",FinalSem2!#REF!*0.1))</f>
        <v/>
      </c>
      <c r="AZ57" s="92" t="str">
        <f t="shared" si="25"/>
        <v/>
      </c>
      <c r="BA57" s="93" t="str">
        <f>IF($B57="","",IF(FinalSem2!#REF!="","",FinalSem2!#REF!*0.1))</f>
        <v/>
      </c>
      <c r="BB57" s="92" t="str">
        <f t="shared" si="26"/>
        <v/>
      </c>
      <c r="BC57" s="93" t="str">
        <f>IF($B57="","",IF(FinalSem2!#REF!="","",FinalSem2!#REF!*0.1))</f>
        <v/>
      </c>
      <c r="BD57" s="92" t="str">
        <f t="shared" si="27"/>
        <v/>
      </c>
      <c r="BE57" s="94" t="str">
        <f t="shared" si="28"/>
        <v/>
      </c>
      <c r="BF57" s="95" t="str">
        <f t="shared" si="29"/>
        <v/>
      </c>
      <c r="BG57" s="96" t="str">
        <f t="shared" si="30"/>
        <v/>
      </c>
      <c r="BH57" s="95" t="str">
        <f>IF(ISERR(IF(B57="","",AVERAGE('Q3'!CX63,'Q4'!CX63)*0.1)),"",IF(B57="","",AVERAGE('Q3'!CX63,'Q4'!CX63)*0.1))</f>
        <v/>
      </c>
      <c r="BI57" s="102" t="str">
        <f t="shared" si="31"/>
        <v/>
      </c>
      <c r="BJ57" s="97" t="str">
        <f t="shared" si="32"/>
        <v/>
      </c>
      <c r="BK57" s="98" t="str">
        <f t="shared" si="33"/>
        <v/>
      </c>
      <c r="BL57" s="99" t="str">
        <f t="shared" si="34"/>
        <v/>
      </c>
      <c r="BM57" s="100" t="str">
        <f t="shared" si="35"/>
        <v/>
      </c>
      <c r="BN57" s="99" t="str">
        <f t="shared" si="36"/>
        <v/>
      </c>
      <c r="BO57" s="100" t="str">
        <f t="shared" si="37"/>
        <v/>
      </c>
      <c r="BP57" s="99" t="str">
        <f t="shared" si="38"/>
        <v/>
      </c>
      <c r="BQ57" s="100" t="str">
        <f t="shared" si="39"/>
        <v/>
      </c>
      <c r="BR57" s="99" t="str">
        <f t="shared" si="40"/>
        <v/>
      </c>
      <c r="BS57" s="100" t="str">
        <f t="shared" si="41"/>
        <v/>
      </c>
      <c r="BT57" s="99" t="str">
        <f t="shared" si="42"/>
        <v/>
      </c>
      <c r="BU57" s="100" t="str">
        <f t="shared" si="43"/>
        <v/>
      </c>
      <c r="BV57" s="99" t="str">
        <f t="shared" si="44"/>
        <v/>
      </c>
      <c r="BW57" s="100" t="str">
        <f t="shared" si="45"/>
        <v/>
      </c>
      <c r="BX57" s="99" t="str">
        <f t="shared" si="46"/>
        <v/>
      </c>
      <c r="BY57" s="100" t="str">
        <f t="shared" si="47"/>
        <v/>
      </c>
      <c r="BZ57" s="99" t="str">
        <f t="shared" si="48"/>
        <v/>
      </c>
      <c r="CA57" s="128" t="str">
        <f t="shared" si="0"/>
        <v/>
      </c>
    </row>
    <row r="58" spans="1:79" ht="24.5" x14ac:dyDescent="0.35">
      <c r="A58" s="90" t="str">
        <f>IF('Q4'!A64="","",'Q4'!A64)</f>
        <v/>
      </c>
      <c r="B58" s="90" t="str">
        <f>IF('Q4'!B64="","",'Q4'!B64)</f>
        <v/>
      </c>
      <c r="C58" s="107" t="str">
        <f>IF('Q4'!C64="","",'Q4'!C64)</f>
        <v/>
      </c>
      <c r="D58" s="104" t="str">
        <f>IF('Q4'!D64="","",'Q4'!D64)</f>
        <v/>
      </c>
      <c r="E58" s="90" t="str">
        <f>IF('Q4'!E64="","",'Q4'!E64)</f>
        <v/>
      </c>
      <c r="F58" s="90" t="str">
        <f>IF('Q4'!F64="","",'Q4'!F64)</f>
        <v/>
      </c>
      <c r="G58" s="91" t="str">
        <f>IF($B58="","",IF(FinalSem1!#REF!="","",FinalSem1!#REF!*0.1))</f>
        <v/>
      </c>
      <c r="H58" s="92" t="str">
        <f t="shared" si="1"/>
        <v/>
      </c>
      <c r="I58" s="91" t="str">
        <f>IF($B58="","",IF(FinalSem1!#REF!="","",FinalSem1!#REF!*0.1))</f>
        <v/>
      </c>
      <c r="J58" s="92" t="str">
        <f t="shared" si="2"/>
        <v/>
      </c>
      <c r="K58" s="93" t="str">
        <f>IF($B58="","",IF(FinalSem1!#REF!="","",FinalSem1!#REF!*0.1))</f>
        <v/>
      </c>
      <c r="L58" s="92" t="str">
        <f t="shared" si="3"/>
        <v/>
      </c>
      <c r="M58" s="93" t="str">
        <f>IF($B58="","",IF(FinalSem1!#REF!="","",FinalSem1!#REF!*0.1))</f>
        <v/>
      </c>
      <c r="N58" s="92" t="str">
        <f t="shared" si="4"/>
        <v/>
      </c>
      <c r="O58" s="93" t="str">
        <f>IF($B58="","",IF(FinalSem1!#REF!="","",FinalSem1!#REF!*0.1))</f>
        <v/>
      </c>
      <c r="P58" s="92" t="str">
        <f t="shared" si="5"/>
        <v/>
      </c>
      <c r="Q58" s="93" t="str">
        <f>IF($B58="","",IF(FinalSem1!#REF!="","",FinalSem1!#REF!*0.1))</f>
        <v/>
      </c>
      <c r="R58" s="92" t="str">
        <f t="shared" si="6"/>
        <v/>
      </c>
      <c r="S58" s="93" t="str">
        <f>IF($B58="","",IF(FinalSem1!#REF!="","",FinalSem1!#REF!*0.1))</f>
        <v/>
      </c>
      <c r="T58" s="92" t="str">
        <f t="shared" si="7"/>
        <v/>
      </c>
      <c r="U58" s="93" t="str">
        <f>IF($B58="","",IF(FinalSem1!#REF!="","",FinalSem1!#REF!*0.1))</f>
        <v/>
      </c>
      <c r="V58" s="92" t="str">
        <f t="shared" si="8"/>
        <v/>
      </c>
      <c r="W58" s="93" t="str">
        <f>IF($B58="","",IF(FinalSem1!#REF!="","",FinalSem1!#REF!*0.1))</f>
        <v/>
      </c>
      <c r="X58" s="92" t="str">
        <f t="shared" si="9"/>
        <v/>
      </c>
      <c r="Y58" s="93" t="str">
        <f>IF($B58="","",IF(FinalSem1!#REF!="","",FinalSem1!#REF!*0.1))</f>
        <v/>
      </c>
      <c r="Z58" s="92" t="str">
        <f t="shared" si="10"/>
        <v/>
      </c>
      <c r="AA58" s="93" t="str">
        <f>IF(ISERR(IF(B58="","",IF(F58="III",AVERAGE('[1]FINAL SEM1'!Y59:AA59)*0.1,IF(OR(F58="I",F58="II",F58="M",F58="A"),AVERAGE('[1]FINAL SEM1'!Y59:AA59)*0.1)))),"",IF(B58="","",IF(F58="III",AVERAGE('[1]FINAL SEM1'!Y59:AA59)*0.1,IF(OR(F58="I",F58="II",F58="M",F58="A"),AVERAGE('[1]FINAL SEM1'!Y59:AA59)*0.1))))</f>
        <v/>
      </c>
      <c r="AB58" s="92" t="str">
        <f t="shared" si="11"/>
        <v/>
      </c>
      <c r="AC58" s="94" t="str">
        <f t="shared" si="12"/>
        <v/>
      </c>
      <c r="AD58" s="95" t="str">
        <f t="shared" si="13"/>
        <v/>
      </c>
      <c r="AE58" s="96" t="str">
        <f t="shared" si="14"/>
        <v/>
      </c>
      <c r="AF58" s="95" t="str">
        <f>IF(ISERR(IF(B58="","",AVERAGE('Q1'!#REF!,'Q2'!CX48)*0.1)),"",IF(B58="","",AVERAGE('Q1'!#REF!,'Q2'!CX48)*0.1))</f>
        <v/>
      </c>
      <c r="AG58" s="102" t="str">
        <f t="shared" si="15"/>
        <v/>
      </c>
      <c r="AH58" s="97" t="str">
        <f t="shared" si="16"/>
        <v/>
      </c>
      <c r="AI58" s="91" t="str">
        <f>IF(ISERR(IF('[1]FINAL SEM2'!N59="","",'[1]FINAL SEM2'!N59*0.1)),"",IF($B58="","",IF('[1]FINAL SEM2'!N59="","",'[1]FINAL SEM2'!N59*0.1)))</f>
        <v/>
      </c>
      <c r="AJ58" s="92" t="str">
        <f t="shared" si="17"/>
        <v/>
      </c>
      <c r="AK58" s="93" t="str">
        <f>IF($B58="","",IF(FinalSem2!#REF!="","",FinalSem2!#REF!*0.1))</f>
        <v/>
      </c>
      <c r="AL58" s="92" t="str">
        <f t="shared" si="18"/>
        <v/>
      </c>
      <c r="AM58" s="93" t="str">
        <f>IF($B58="","",IF(FinalSem2!#REF!="","",FinalSem2!#REF!*0.1))</f>
        <v/>
      </c>
      <c r="AN58" s="92" t="str">
        <f t="shared" si="19"/>
        <v/>
      </c>
      <c r="AO58" s="93" t="str">
        <f>IF($B58="","",IF(FinalSem2!#REF!="","",FinalSem2!#REF!*0.1))</f>
        <v/>
      </c>
      <c r="AP58" s="92" t="str">
        <f t="shared" si="20"/>
        <v/>
      </c>
      <c r="AQ58" s="93" t="str">
        <f>IF($B58="","",IF(FinalSem2!#REF!="","",FinalSem2!#REF!*0.1))</f>
        <v/>
      </c>
      <c r="AR58" s="92" t="str">
        <f t="shared" si="21"/>
        <v/>
      </c>
      <c r="AS58" s="93" t="str">
        <f>IF($B58="","",IF(FinalSem2!#REF!="","",FinalSem2!#REF!*0.1))</f>
        <v/>
      </c>
      <c r="AT58" s="92" t="str">
        <f t="shared" si="22"/>
        <v/>
      </c>
      <c r="AU58" s="93" t="str">
        <f>IF($B58="","",IF(FinalSem2!#REF!="","",FinalSem2!#REF!*0.1))</f>
        <v/>
      </c>
      <c r="AV58" s="92" t="str">
        <f t="shared" si="23"/>
        <v/>
      </c>
      <c r="AW58" s="93" t="str">
        <f>IF($B58="","",IF(FinalSem2!#REF!="","",FinalSem2!#REF!*0.1))</f>
        <v/>
      </c>
      <c r="AX58" s="92" t="str">
        <f t="shared" si="24"/>
        <v/>
      </c>
      <c r="AY58" s="93" t="str">
        <f>IF($B58="","",IF(FinalSem2!#REF!="","",FinalSem2!#REF!*0.1))</f>
        <v/>
      </c>
      <c r="AZ58" s="92" t="str">
        <f t="shared" si="25"/>
        <v/>
      </c>
      <c r="BA58" s="93" t="str">
        <f>IF($B58="","",IF(FinalSem2!#REF!="","",FinalSem2!#REF!*0.1))</f>
        <v/>
      </c>
      <c r="BB58" s="92" t="str">
        <f t="shared" si="26"/>
        <v/>
      </c>
      <c r="BC58" s="93" t="str">
        <f>IF($B58="","",IF(FinalSem2!#REF!="","",FinalSem2!#REF!*0.1))</f>
        <v/>
      </c>
      <c r="BD58" s="92" t="str">
        <f t="shared" si="27"/>
        <v/>
      </c>
      <c r="BE58" s="94" t="str">
        <f t="shared" si="28"/>
        <v/>
      </c>
      <c r="BF58" s="95" t="str">
        <f t="shared" si="29"/>
        <v/>
      </c>
      <c r="BG58" s="96" t="str">
        <f t="shared" si="30"/>
        <v/>
      </c>
      <c r="BH58" s="95" t="str">
        <f>IF(ISERR(IF(B58="","",AVERAGE('Q3'!CX64,'Q4'!CX64)*0.1)),"",IF(B58="","",AVERAGE('Q3'!CX64,'Q4'!CX64)*0.1))</f>
        <v/>
      </c>
      <c r="BI58" s="102" t="str">
        <f t="shared" si="31"/>
        <v/>
      </c>
      <c r="BJ58" s="97" t="str">
        <f t="shared" si="32"/>
        <v/>
      </c>
      <c r="BK58" s="98" t="str">
        <f t="shared" si="33"/>
        <v/>
      </c>
      <c r="BL58" s="99" t="str">
        <f t="shared" si="34"/>
        <v/>
      </c>
      <c r="BM58" s="100" t="str">
        <f t="shared" si="35"/>
        <v/>
      </c>
      <c r="BN58" s="99" t="str">
        <f t="shared" si="36"/>
        <v/>
      </c>
      <c r="BO58" s="100" t="str">
        <f t="shared" si="37"/>
        <v/>
      </c>
      <c r="BP58" s="99" t="str">
        <f t="shared" si="38"/>
        <v/>
      </c>
      <c r="BQ58" s="100" t="str">
        <f t="shared" si="39"/>
        <v/>
      </c>
      <c r="BR58" s="99" t="str">
        <f t="shared" si="40"/>
        <v/>
      </c>
      <c r="BS58" s="100" t="str">
        <f t="shared" si="41"/>
        <v/>
      </c>
      <c r="BT58" s="99" t="str">
        <f t="shared" si="42"/>
        <v/>
      </c>
      <c r="BU58" s="100" t="str">
        <f t="shared" si="43"/>
        <v/>
      </c>
      <c r="BV58" s="99" t="str">
        <f t="shared" si="44"/>
        <v/>
      </c>
      <c r="BW58" s="100" t="str">
        <f t="shared" si="45"/>
        <v/>
      </c>
      <c r="BX58" s="99" t="str">
        <f t="shared" si="46"/>
        <v/>
      </c>
      <c r="BY58" s="100" t="str">
        <f t="shared" si="47"/>
        <v/>
      </c>
      <c r="BZ58" s="99" t="str">
        <f t="shared" si="48"/>
        <v/>
      </c>
      <c r="CA58" s="128" t="str">
        <f t="shared" si="0"/>
        <v/>
      </c>
    </row>
    <row r="59" spans="1:79" ht="24.5" x14ac:dyDescent="0.35">
      <c r="A59" s="90" t="str">
        <f>IF('Q4'!A65="","",'Q4'!A65)</f>
        <v/>
      </c>
      <c r="B59" s="90" t="str">
        <f>IF('Q4'!B65="","",'Q4'!B65)</f>
        <v/>
      </c>
      <c r="C59" s="107" t="str">
        <f>IF('Q4'!C65="","",'Q4'!C65)</f>
        <v/>
      </c>
      <c r="D59" s="104" t="str">
        <f>IF('Q4'!D65="","",'Q4'!D65)</f>
        <v/>
      </c>
      <c r="E59" s="90" t="str">
        <f>IF('Q4'!E65="","",'Q4'!E65)</f>
        <v/>
      </c>
      <c r="F59" s="90" t="str">
        <f>IF('Q4'!F65="","",'Q4'!F65)</f>
        <v/>
      </c>
      <c r="G59" s="91" t="str">
        <f>IF($B59="","",IF(FinalSem1!#REF!="","",FinalSem1!#REF!*0.1))</f>
        <v/>
      </c>
      <c r="H59" s="92" t="str">
        <f t="shared" si="1"/>
        <v/>
      </c>
      <c r="I59" s="91" t="str">
        <f>IF($B59="","",IF(FinalSem1!#REF!="","",FinalSem1!#REF!*0.1))</f>
        <v/>
      </c>
      <c r="J59" s="92" t="str">
        <f t="shared" si="2"/>
        <v/>
      </c>
      <c r="K59" s="93" t="str">
        <f>IF($B59="","",IF(FinalSem1!#REF!="","",FinalSem1!#REF!*0.1))</f>
        <v/>
      </c>
      <c r="L59" s="92" t="str">
        <f t="shared" si="3"/>
        <v/>
      </c>
      <c r="M59" s="93" t="str">
        <f>IF($B59="","",IF(FinalSem1!#REF!="","",FinalSem1!#REF!*0.1))</f>
        <v/>
      </c>
      <c r="N59" s="92" t="str">
        <f t="shared" si="4"/>
        <v/>
      </c>
      <c r="O59" s="93" t="str">
        <f>IF($B59="","",IF(FinalSem1!#REF!="","",FinalSem1!#REF!*0.1))</f>
        <v/>
      </c>
      <c r="P59" s="92" t="str">
        <f t="shared" si="5"/>
        <v/>
      </c>
      <c r="Q59" s="93" t="str">
        <f>IF($B59="","",IF(FinalSem1!#REF!="","",FinalSem1!#REF!*0.1))</f>
        <v/>
      </c>
      <c r="R59" s="92" t="str">
        <f t="shared" si="6"/>
        <v/>
      </c>
      <c r="S59" s="93" t="str">
        <f>IF($B59="","",IF(FinalSem1!#REF!="","",FinalSem1!#REF!*0.1))</f>
        <v/>
      </c>
      <c r="T59" s="92" t="str">
        <f t="shared" si="7"/>
        <v/>
      </c>
      <c r="U59" s="93" t="str">
        <f>IF($B59="","",IF(FinalSem1!#REF!="","",FinalSem1!#REF!*0.1))</f>
        <v/>
      </c>
      <c r="V59" s="92" t="str">
        <f t="shared" si="8"/>
        <v/>
      </c>
      <c r="W59" s="93" t="str">
        <f>IF($B59="","",IF(FinalSem1!#REF!="","",FinalSem1!#REF!*0.1))</f>
        <v/>
      </c>
      <c r="X59" s="92" t="str">
        <f t="shared" si="9"/>
        <v/>
      </c>
      <c r="Y59" s="93" t="str">
        <f>IF($B59="","",IF(FinalSem1!#REF!="","",FinalSem1!#REF!*0.1))</f>
        <v/>
      </c>
      <c r="Z59" s="92" t="str">
        <f t="shared" si="10"/>
        <v/>
      </c>
      <c r="AA59" s="93" t="str">
        <f>IF(ISERR(IF(B59="","",IF(F59="III",AVERAGE('[1]FINAL SEM1'!Y60:AA60)*0.1,IF(OR(F59="I",F59="II",F59="M",F59="A"),AVERAGE('[1]FINAL SEM1'!Y60:AA60)*0.1)))),"",IF(B59="","",IF(F59="III",AVERAGE('[1]FINAL SEM1'!Y60:AA60)*0.1,IF(OR(F59="I",F59="II",F59="M",F59="A"),AVERAGE('[1]FINAL SEM1'!Y60:AA60)*0.1))))</f>
        <v/>
      </c>
      <c r="AB59" s="92" t="str">
        <f t="shared" si="11"/>
        <v/>
      </c>
      <c r="AC59" s="94" t="str">
        <f t="shared" si="12"/>
        <v/>
      </c>
      <c r="AD59" s="95" t="str">
        <f t="shared" si="13"/>
        <v/>
      </c>
      <c r="AE59" s="96" t="str">
        <f t="shared" si="14"/>
        <v/>
      </c>
      <c r="AF59" s="95" t="str">
        <f>IF(ISERR(IF(B59="","",AVERAGE('Q1'!#REF!,'Q2'!CX49)*0.1)),"",IF(B59="","",AVERAGE('Q1'!#REF!,'Q2'!CX49)*0.1))</f>
        <v/>
      </c>
      <c r="AG59" s="102" t="str">
        <f t="shared" si="15"/>
        <v/>
      </c>
      <c r="AH59" s="97" t="str">
        <f t="shared" si="16"/>
        <v/>
      </c>
      <c r="AI59" s="91" t="str">
        <f>IF(ISERR(IF('[1]FINAL SEM2'!N60="","",'[1]FINAL SEM2'!N60*0.1)),"",IF($B59="","",IF('[1]FINAL SEM2'!N60="","",'[1]FINAL SEM2'!N60*0.1)))</f>
        <v/>
      </c>
      <c r="AJ59" s="92" t="str">
        <f t="shared" si="17"/>
        <v/>
      </c>
      <c r="AK59" s="93" t="str">
        <f>IF($B59="","",IF(FinalSem2!#REF!="","",FinalSem2!#REF!*0.1))</f>
        <v/>
      </c>
      <c r="AL59" s="92" t="str">
        <f t="shared" si="18"/>
        <v/>
      </c>
      <c r="AM59" s="93" t="str">
        <f>IF($B59="","",IF(FinalSem2!#REF!="","",FinalSem2!#REF!*0.1))</f>
        <v/>
      </c>
      <c r="AN59" s="92" t="str">
        <f t="shared" si="19"/>
        <v/>
      </c>
      <c r="AO59" s="93" t="str">
        <f>IF($B59="","",IF(FinalSem2!#REF!="","",FinalSem2!#REF!*0.1))</f>
        <v/>
      </c>
      <c r="AP59" s="92" t="str">
        <f t="shared" si="20"/>
        <v/>
      </c>
      <c r="AQ59" s="93" t="str">
        <f>IF($B59="","",IF(FinalSem2!#REF!="","",FinalSem2!#REF!*0.1))</f>
        <v/>
      </c>
      <c r="AR59" s="92" t="str">
        <f t="shared" si="21"/>
        <v/>
      </c>
      <c r="AS59" s="93" t="str">
        <f>IF($B59="","",IF(FinalSem2!#REF!="","",FinalSem2!#REF!*0.1))</f>
        <v/>
      </c>
      <c r="AT59" s="92" t="str">
        <f t="shared" si="22"/>
        <v/>
      </c>
      <c r="AU59" s="93" t="str">
        <f>IF($B59="","",IF(FinalSem2!#REF!="","",FinalSem2!#REF!*0.1))</f>
        <v/>
      </c>
      <c r="AV59" s="92" t="str">
        <f t="shared" si="23"/>
        <v/>
      </c>
      <c r="AW59" s="93" t="str">
        <f>IF($B59="","",IF(FinalSem2!#REF!="","",FinalSem2!#REF!*0.1))</f>
        <v/>
      </c>
      <c r="AX59" s="92" t="str">
        <f t="shared" si="24"/>
        <v/>
      </c>
      <c r="AY59" s="93" t="str">
        <f>IF($B59="","",IF(FinalSem2!#REF!="","",FinalSem2!#REF!*0.1))</f>
        <v/>
      </c>
      <c r="AZ59" s="92" t="str">
        <f t="shared" si="25"/>
        <v/>
      </c>
      <c r="BA59" s="93" t="str">
        <f>IF($B59="","",IF(FinalSem2!#REF!="","",FinalSem2!#REF!*0.1))</f>
        <v/>
      </c>
      <c r="BB59" s="92" t="str">
        <f t="shared" si="26"/>
        <v/>
      </c>
      <c r="BC59" s="93" t="str">
        <f>IF($B59="","",IF(FinalSem2!#REF!="","",FinalSem2!#REF!*0.1))</f>
        <v/>
      </c>
      <c r="BD59" s="92" t="str">
        <f t="shared" si="27"/>
        <v/>
      </c>
      <c r="BE59" s="94" t="str">
        <f t="shared" si="28"/>
        <v/>
      </c>
      <c r="BF59" s="95" t="str">
        <f t="shared" si="29"/>
        <v/>
      </c>
      <c r="BG59" s="96" t="str">
        <f t="shared" si="30"/>
        <v/>
      </c>
      <c r="BH59" s="95" t="str">
        <f>IF(ISERR(IF(B59="","",AVERAGE('Q3'!CX65,'Q4'!CX65)*0.1)),"",IF(B59="","",AVERAGE('Q3'!CX65,'Q4'!CX65)*0.1))</f>
        <v/>
      </c>
      <c r="BI59" s="102" t="str">
        <f t="shared" si="31"/>
        <v/>
      </c>
      <c r="BJ59" s="97" t="str">
        <f t="shared" si="32"/>
        <v/>
      </c>
      <c r="BK59" s="98" t="str">
        <f t="shared" si="33"/>
        <v/>
      </c>
      <c r="BL59" s="99" t="str">
        <f t="shared" si="34"/>
        <v/>
      </c>
      <c r="BM59" s="100" t="str">
        <f t="shared" si="35"/>
        <v/>
      </c>
      <c r="BN59" s="99" t="str">
        <f t="shared" si="36"/>
        <v/>
      </c>
      <c r="BO59" s="100" t="str">
        <f t="shared" si="37"/>
        <v/>
      </c>
      <c r="BP59" s="99" t="str">
        <f t="shared" si="38"/>
        <v/>
      </c>
      <c r="BQ59" s="100" t="str">
        <f t="shared" si="39"/>
        <v/>
      </c>
      <c r="BR59" s="99" t="str">
        <f t="shared" si="40"/>
        <v/>
      </c>
      <c r="BS59" s="100" t="str">
        <f t="shared" si="41"/>
        <v/>
      </c>
      <c r="BT59" s="99" t="str">
        <f t="shared" si="42"/>
        <v/>
      </c>
      <c r="BU59" s="100" t="str">
        <f t="shared" si="43"/>
        <v/>
      </c>
      <c r="BV59" s="99" t="str">
        <f t="shared" si="44"/>
        <v/>
      </c>
      <c r="BW59" s="100" t="str">
        <f t="shared" si="45"/>
        <v/>
      </c>
      <c r="BX59" s="99" t="str">
        <f t="shared" si="46"/>
        <v/>
      </c>
      <c r="BY59" s="100" t="str">
        <f t="shared" si="47"/>
        <v/>
      </c>
      <c r="BZ59" s="99" t="str">
        <f t="shared" si="48"/>
        <v/>
      </c>
      <c r="CA59" s="128" t="str">
        <f t="shared" si="0"/>
        <v/>
      </c>
    </row>
    <row r="60" spans="1:79" ht="24.5" x14ac:dyDescent="0.35">
      <c r="A60" s="90" t="str">
        <f>IF('Q4'!A66="","",'Q4'!A66)</f>
        <v/>
      </c>
      <c r="B60" s="90" t="str">
        <f>IF('Q4'!B66="","",'Q4'!B66)</f>
        <v/>
      </c>
      <c r="C60" s="107" t="str">
        <f>IF('Q4'!C66="","",'Q4'!C66)</f>
        <v/>
      </c>
      <c r="D60" s="104" t="str">
        <f>IF('Q4'!D66="","",'Q4'!D66)</f>
        <v/>
      </c>
      <c r="E60" s="90" t="str">
        <f>IF('Q4'!E66="","",'Q4'!E66)</f>
        <v/>
      </c>
      <c r="F60" s="90" t="str">
        <f>IF('Q4'!F66="","",'Q4'!F66)</f>
        <v/>
      </c>
      <c r="G60" s="91" t="str">
        <f>IF($B60="","",IF(FinalSem1!#REF!="","",FinalSem1!#REF!*0.1))</f>
        <v/>
      </c>
      <c r="H60" s="92" t="str">
        <f t="shared" si="1"/>
        <v/>
      </c>
      <c r="I60" s="91" t="str">
        <f>IF($B60="","",IF(FinalSem1!#REF!="","",FinalSem1!#REF!*0.1))</f>
        <v/>
      </c>
      <c r="J60" s="92" t="str">
        <f t="shared" si="2"/>
        <v/>
      </c>
      <c r="K60" s="93" t="str">
        <f>IF($B60="","",IF(FinalSem1!#REF!="","",FinalSem1!#REF!*0.1))</f>
        <v/>
      </c>
      <c r="L60" s="92" t="str">
        <f t="shared" si="3"/>
        <v/>
      </c>
      <c r="M60" s="93" t="str">
        <f>IF($B60="","",IF(FinalSem1!#REF!="","",FinalSem1!#REF!*0.1))</f>
        <v/>
      </c>
      <c r="N60" s="92" t="str">
        <f t="shared" si="4"/>
        <v/>
      </c>
      <c r="O60" s="93" t="str">
        <f>IF($B60="","",IF(FinalSem1!#REF!="","",FinalSem1!#REF!*0.1))</f>
        <v/>
      </c>
      <c r="P60" s="92" t="str">
        <f t="shared" si="5"/>
        <v/>
      </c>
      <c r="Q60" s="93" t="str">
        <f>IF($B60="","",IF(FinalSem1!#REF!="","",FinalSem1!#REF!*0.1))</f>
        <v/>
      </c>
      <c r="R60" s="92" t="str">
        <f t="shared" si="6"/>
        <v/>
      </c>
      <c r="S60" s="93" t="str">
        <f>IF($B60="","",IF(FinalSem1!#REF!="","",FinalSem1!#REF!*0.1))</f>
        <v/>
      </c>
      <c r="T60" s="92" t="str">
        <f t="shared" si="7"/>
        <v/>
      </c>
      <c r="U60" s="93" t="str">
        <f>IF($B60="","",IF(FinalSem1!#REF!="","",FinalSem1!#REF!*0.1))</f>
        <v/>
      </c>
      <c r="V60" s="92" t="str">
        <f t="shared" si="8"/>
        <v/>
      </c>
      <c r="W60" s="93" t="str">
        <f>IF($B60="","",IF(FinalSem1!#REF!="","",FinalSem1!#REF!*0.1))</f>
        <v/>
      </c>
      <c r="X60" s="92" t="str">
        <f t="shared" si="9"/>
        <v/>
      </c>
      <c r="Y60" s="93" t="str">
        <f>IF($B60="","",IF(FinalSem1!#REF!="","",FinalSem1!#REF!*0.1))</f>
        <v/>
      </c>
      <c r="Z60" s="92" t="str">
        <f t="shared" si="10"/>
        <v/>
      </c>
      <c r="AA60" s="93" t="str">
        <f>IF(ISERR(IF(B60="","",IF(F60="III",AVERAGE('[1]FINAL SEM1'!Y61:AA61)*0.1,IF(OR(F60="I",F60="II",F60="M",F60="A"),AVERAGE('[1]FINAL SEM1'!Y61:AA61)*0.1)))),"",IF(B60="","",IF(F60="III",AVERAGE('[1]FINAL SEM1'!Y61:AA61)*0.1,IF(OR(F60="I",F60="II",F60="M",F60="A"),AVERAGE('[1]FINAL SEM1'!Y61:AA61)*0.1))))</f>
        <v/>
      </c>
      <c r="AB60" s="92" t="str">
        <f t="shared" si="11"/>
        <v/>
      </c>
      <c r="AC60" s="94" t="str">
        <f t="shared" si="12"/>
        <v/>
      </c>
      <c r="AD60" s="95" t="str">
        <f t="shared" si="13"/>
        <v/>
      </c>
      <c r="AE60" s="96" t="str">
        <f t="shared" si="14"/>
        <v/>
      </c>
      <c r="AF60" s="95" t="str">
        <f>IF(ISERR(IF(B60="","",AVERAGE('Q1'!#REF!,'Q2'!CX50)*0.1)),"",IF(B60="","",AVERAGE('Q1'!#REF!,'Q2'!CX50)*0.1))</f>
        <v/>
      </c>
      <c r="AG60" s="102" t="str">
        <f t="shared" si="15"/>
        <v/>
      </c>
      <c r="AH60" s="97" t="str">
        <f t="shared" si="16"/>
        <v/>
      </c>
      <c r="AI60" s="91" t="str">
        <f>IF(ISERR(IF('[1]FINAL SEM2'!N61="","",'[1]FINAL SEM2'!N61*0.1)),"",IF($B60="","",IF('[1]FINAL SEM2'!N61="","",'[1]FINAL SEM2'!N61*0.1)))</f>
        <v/>
      </c>
      <c r="AJ60" s="92" t="str">
        <f t="shared" si="17"/>
        <v/>
      </c>
      <c r="AK60" s="93" t="str">
        <f>IF($B60="","",IF(FinalSem2!#REF!="","",FinalSem2!#REF!*0.1))</f>
        <v/>
      </c>
      <c r="AL60" s="92" t="str">
        <f t="shared" si="18"/>
        <v/>
      </c>
      <c r="AM60" s="93" t="str">
        <f>IF($B60="","",IF(FinalSem2!#REF!="","",FinalSem2!#REF!*0.1))</f>
        <v/>
      </c>
      <c r="AN60" s="92" t="str">
        <f t="shared" si="19"/>
        <v/>
      </c>
      <c r="AO60" s="93" t="str">
        <f>IF($B60="","",IF(FinalSem2!#REF!="","",FinalSem2!#REF!*0.1))</f>
        <v/>
      </c>
      <c r="AP60" s="92" t="str">
        <f t="shared" si="20"/>
        <v/>
      </c>
      <c r="AQ60" s="93" t="str">
        <f>IF($B60="","",IF(FinalSem2!#REF!="","",FinalSem2!#REF!*0.1))</f>
        <v/>
      </c>
      <c r="AR60" s="92" t="str">
        <f t="shared" si="21"/>
        <v/>
      </c>
      <c r="AS60" s="93" t="str">
        <f>IF($B60="","",IF(FinalSem2!#REF!="","",FinalSem2!#REF!*0.1))</f>
        <v/>
      </c>
      <c r="AT60" s="92" t="str">
        <f t="shared" si="22"/>
        <v/>
      </c>
      <c r="AU60" s="93" t="str">
        <f>IF($B60="","",IF(FinalSem2!#REF!="","",FinalSem2!#REF!*0.1))</f>
        <v/>
      </c>
      <c r="AV60" s="92" t="str">
        <f t="shared" si="23"/>
        <v/>
      </c>
      <c r="AW60" s="93" t="str">
        <f>IF($B60="","",IF(FinalSem2!#REF!="","",FinalSem2!#REF!*0.1))</f>
        <v/>
      </c>
      <c r="AX60" s="92" t="str">
        <f t="shared" si="24"/>
        <v/>
      </c>
      <c r="AY60" s="93" t="str">
        <f>IF($B60="","",IF(FinalSem2!#REF!="","",FinalSem2!#REF!*0.1))</f>
        <v/>
      </c>
      <c r="AZ60" s="92" t="str">
        <f t="shared" si="25"/>
        <v/>
      </c>
      <c r="BA60" s="93" t="str">
        <f>IF($B60="","",IF(FinalSem2!#REF!="","",FinalSem2!#REF!*0.1))</f>
        <v/>
      </c>
      <c r="BB60" s="92" t="str">
        <f t="shared" si="26"/>
        <v/>
      </c>
      <c r="BC60" s="93" t="str">
        <f>IF($B60="","",IF(FinalSem2!#REF!="","",FinalSem2!#REF!*0.1))</f>
        <v/>
      </c>
      <c r="BD60" s="92" t="str">
        <f t="shared" si="27"/>
        <v/>
      </c>
      <c r="BE60" s="94" t="str">
        <f t="shared" si="28"/>
        <v/>
      </c>
      <c r="BF60" s="95" t="str">
        <f t="shared" si="29"/>
        <v/>
      </c>
      <c r="BG60" s="96" t="str">
        <f t="shared" si="30"/>
        <v/>
      </c>
      <c r="BH60" s="95" t="str">
        <f>IF(ISERR(IF(B60="","",AVERAGE('Q3'!CX66,'Q4'!CX66)*0.1)),"",IF(B60="","",AVERAGE('Q3'!CX66,'Q4'!CX66)*0.1))</f>
        <v/>
      </c>
      <c r="BI60" s="102" t="str">
        <f t="shared" si="31"/>
        <v/>
      </c>
      <c r="BJ60" s="97" t="str">
        <f t="shared" si="32"/>
        <v/>
      </c>
      <c r="BK60" s="98" t="str">
        <f t="shared" si="33"/>
        <v/>
      </c>
      <c r="BL60" s="99" t="str">
        <f t="shared" si="34"/>
        <v/>
      </c>
      <c r="BM60" s="100" t="str">
        <f t="shared" si="35"/>
        <v/>
      </c>
      <c r="BN60" s="99" t="str">
        <f t="shared" si="36"/>
        <v/>
      </c>
      <c r="BO60" s="100" t="str">
        <f t="shared" si="37"/>
        <v/>
      </c>
      <c r="BP60" s="99" t="str">
        <f t="shared" si="38"/>
        <v/>
      </c>
      <c r="BQ60" s="100" t="str">
        <f t="shared" si="39"/>
        <v/>
      </c>
      <c r="BR60" s="99" t="str">
        <f t="shared" si="40"/>
        <v/>
      </c>
      <c r="BS60" s="100" t="str">
        <f t="shared" si="41"/>
        <v/>
      </c>
      <c r="BT60" s="99" t="str">
        <f t="shared" si="42"/>
        <v/>
      </c>
      <c r="BU60" s="100" t="str">
        <f t="shared" si="43"/>
        <v/>
      </c>
      <c r="BV60" s="99" t="str">
        <f t="shared" si="44"/>
        <v/>
      </c>
      <c r="BW60" s="100" t="str">
        <f t="shared" si="45"/>
        <v/>
      </c>
      <c r="BX60" s="99" t="str">
        <f t="shared" si="46"/>
        <v/>
      </c>
      <c r="BY60" s="100" t="str">
        <f t="shared" si="47"/>
        <v/>
      </c>
      <c r="BZ60" s="99" t="str">
        <f t="shared" si="48"/>
        <v/>
      </c>
      <c r="CA60" s="128" t="str">
        <f t="shared" si="0"/>
        <v/>
      </c>
    </row>
    <row r="61" spans="1:79" ht="24.5" x14ac:dyDescent="0.35">
      <c r="A61" s="90" t="str">
        <f>IF('Q4'!A67="","",'Q4'!A67)</f>
        <v/>
      </c>
      <c r="B61" s="90" t="str">
        <f>IF('Q4'!B67="","",'Q4'!B67)</f>
        <v/>
      </c>
      <c r="C61" s="107" t="str">
        <f>IF('Q4'!C67="","",'Q4'!C67)</f>
        <v/>
      </c>
      <c r="D61" s="104" t="str">
        <f>IF('Q4'!D67="","",'Q4'!D67)</f>
        <v/>
      </c>
      <c r="E61" s="90" t="str">
        <f>IF('Q4'!E67="","",'Q4'!E67)</f>
        <v/>
      </c>
      <c r="F61" s="90" t="str">
        <f>IF('Q4'!F67="","",'Q4'!F67)</f>
        <v/>
      </c>
      <c r="G61" s="91" t="str">
        <f>IF($B61="","",IF(FinalSem1!#REF!="","",FinalSem1!#REF!*0.1))</f>
        <v/>
      </c>
      <c r="H61" s="92" t="str">
        <f t="shared" si="1"/>
        <v/>
      </c>
      <c r="I61" s="91" t="str">
        <f>IF($B61="","",IF(FinalSem1!#REF!="","",FinalSem1!#REF!*0.1))</f>
        <v/>
      </c>
      <c r="J61" s="92" t="str">
        <f t="shared" si="2"/>
        <v/>
      </c>
      <c r="K61" s="93" t="str">
        <f>IF($B61="","",IF(FinalSem1!#REF!="","",FinalSem1!#REF!*0.1))</f>
        <v/>
      </c>
      <c r="L61" s="92" t="str">
        <f t="shared" si="3"/>
        <v/>
      </c>
      <c r="M61" s="93" t="str">
        <f>IF($B61="","",IF(FinalSem1!#REF!="","",FinalSem1!#REF!*0.1))</f>
        <v/>
      </c>
      <c r="N61" s="92" t="str">
        <f t="shared" si="4"/>
        <v/>
      </c>
      <c r="O61" s="93" t="str">
        <f>IF($B61="","",IF(FinalSem1!#REF!="","",FinalSem1!#REF!*0.1))</f>
        <v/>
      </c>
      <c r="P61" s="92" t="str">
        <f t="shared" si="5"/>
        <v/>
      </c>
      <c r="Q61" s="93" t="str">
        <f>IF($B61="","",IF(FinalSem1!#REF!="","",FinalSem1!#REF!*0.1))</f>
        <v/>
      </c>
      <c r="R61" s="92" t="str">
        <f t="shared" si="6"/>
        <v/>
      </c>
      <c r="S61" s="93" t="str">
        <f>IF($B61="","",IF(FinalSem1!#REF!="","",FinalSem1!#REF!*0.1))</f>
        <v/>
      </c>
      <c r="T61" s="92" t="str">
        <f t="shared" si="7"/>
        <v/>
      </c>
      <c r="U61" s="93" t="str">
        <f>IF($B61="","",IF(FinalSem1!#REF!="","",FinalSem1!#REF!*0.1))</f>
        <v/>
      </c>
      <c r="V61" s="92" t="str">
        <f t="shared" si="8"/>
        <v/>
      </c>
      <c r="W61" s="93" t="str">
        <f>IF($B61="","",IF(FinalSem1!#REF!="","",FinalSem1!#REF!*0.1))</f>
        <v/>
      </c>
      <c r="X61" s="92" t="str">
        <f t="shared" si="9"/>
        <v/>
      </c>
      <c r="Y61" s="93" t="str">
        <f>IF($B61="","",IF(FinalSem1!#REF!="","",FinalSem1!#REF!*0.1))</f>
        <v/>
      </c>
      <c r="Z61" s="92" t="str">
        <f t="shared" si="10"/>
        <v/>
      </c>
      <c r="AA61" s="93" t="str">
        <f>IF(ISERR(IF(B61="","",IF(F61="III",AVERAGE('[1]FINAL SEM1'!Y62:AA62)*0.1,IF(OR(F61="I",F61="II",F61="M",F61="A"),AVERAGE('[1]FINAL SEM1'!Y62:AA62)*0.1)))),"",IF(B61="","",IF(F61="III",AVERAGE('[1]FINAL SEM1'!Y62:AA62)*0.1,IF(OR(F61="I",F61="II",F61="M",F61="A"),AVERAGE('[1]FINAL SEM1'!Y62:AA62)*0.1))))</f>
        <v/>
      </c>
      <c r="AB61" s="92" t="str">
        <f t="shared" si="11"/>
        <v/>
      </c>
      <c r="AC61" s="94" t="str">
        <f t="shared" si="12"/>
        <v/>
      </c>
      <c r="AD61" s="95" t="str">
        <f t="shared" si="13"/>
        <v/>
      </c>
      <c r="AE61" s="96" t="str">
        <f t="shared" si="14"/>
        <v/>
      </c>
      <c r="AF61" s="95" t="str">
        <f>IF(ISERR(IF(B61="","",AVERAGE('Q1'!#REF!,'Q2'!CX51)*0.1)),"",IF(B61="","",AVERAGE('Q1'!#REF!,'Q2'!CX51)*0.1))</f>
        <v/>
      </c>
      <c r="AG61" s="102" t="str">
        <f t="shared" si="15"/>
        <v/>
      </c>
      <c r="AH61" s="97" t="str">
        <f t="shared" si="16"/>
        <v/>
      </c>
      <c r="AI61" s="91" t="str">
        <f>IF(ISERR(IF('[1]FINAL SEM2'!N62="","",'[1]FINAL SEM2'!N62*0.1)),"",IF($B61="","",IF('[1]FINAL SEM2'!N62="","",'[1]FINAL SEM2'!N62*0.1)))</f>
        <v/>
      </c>
      <c r="AJ61" s="92" t="str">
        <f t="shared" si="17"/>
        <v/>
      </c>
      <c r="AK61" s="93" t="str">
        <f>IF($B61="","",IF(FinalSem2!#REF!="","",FinalSem2!#REF!*0.1))</f>
        <v/>
      </c>
      <c r="AL61" s="92" t="str">
        <f t="shared" si="18"/>
        <v/>
      </c>
      <c r="AM61" s="93" t="str">
        <f>IF($B61="","",IF(FinalSem2!#REF!="","",FinalSem2!#REF!*0.1))</f>
        <v/>
      </c>
      <c r="AN61" s="92" t="str">
        <f t="shared" si="19"/>
        <v/>
      </c>
      <c r="AO61" s="93" t="str">
        <f>IF($B61="","",IF(FinalSem2!#REF!="","",FinalSem2!#REF!*0.1))</f>
        <v/>
      </c>
      <c r="AP61" s="92" t="str">
        <f t="shared" si="20"/>
        <v/>
      </c>
      <c r="AQ61" s="93" t="str">
        <f>IF($B61="","",IF(FinalSem2!#REF!="","",FinalSem2!#REF!*0.1))</f>
        <v/>
      </c>
      <c r="AR61" s="92" t="str">
        <f t="shared" si="21"/>
        <v/>
      </c>
      <c r="AS61" s="93" t="str">
        <f>IF($B61="","",IF(FinalSem2!#REF!="","",FinalSem2!#REF!*0.1))</f>
        <v/>
      </c>
      <c r="AT61" s="92" t="str">
        <f t="shared" si="22"/>
        <v/>
      </c>
      <c r="AU61" s="93" t="str">
        <f>IF($B61="","",IF(FinalSem2!#REF!="","",FinalSem2!#REF!*0.1))</f>
        <v/>
      </c>
      <c r="AV61" s="92" t="str">
        <f t="shared" si="23"/>
        <v/>
      </c>
      <c r="AW61" s="93" t="str">
        <f>IF($B61="","",IF(FinalSem2!#REF!="","",FinalSem2!#REF!*0.1))</f>
        <v/>
      </c>
      <c r="AX61" s="92" t="str">
        <f t="shared" si="24"/>
        <v/>
      </c>
      <c r="AY61" s="93" t="str">
        <f>IF($B61="","",IF(FinalSem2!#REF!="","",FinalSem2!#REF!*0.1))</f>
        <v/>
      </c>
      <c r="AZ61" s="92" t="str">
        <f t="shared" si="25"/>
        <v/>
      </c>
      <c r="BA61" s="93" t="str">
        <f>IF($B61="","",IF(FinalSem2!#REF!="","",FinalSem2!#REF!*0.1))</f>
        <v/>
      </c>
      <c r="BB61" s="92" t="str">
        <f t="shared" si="26"/>
        <v/>
      </c>
      <c r="BC61" s="93" t="str">
        <f>IF($B61="","",IF(FinalSem2!#REF!="","",FinalSem2!#REF!*0.1))</f>
        <v/>
      </c>
      <c r="BD61" s="92" t="str">
        <f t="shared" si="27"/>
        <v/>
      </c>
      <c r="BE61" s="94" t="str">
        <f t="shared" si="28"/>
        <v/>
      </c>
      <c r="BF61" s="95" t="str">
        <f t="shared" si="29"/>
        <v/>
      </c>
      <c r="BG61" s="96" t="str">
        <f t="shared" si="30"/>
        <v/>
      </c>
      <c r="BH61" s="95" t="str">
        <f>IF(ISERR(IF(B61="","",AVERAGE('Q3'!CX67,'Q4'!CX67)*0.1)),"",IF(B61="","",AVERAGE('Q3'!CX67,'Q4'!CX67)*0.1))</f>
        <v/>
      </c>
      <c r="BI61" s="102" t="str">
        <f t="shared" si="31"/>
        <v/>
      </c>
      <c r="BJ61" s="97" t="str">
        <f t="shared" si="32"/>
        <v/>
      </c>
      <c r="BK61" s="98" t="str">
        <f t="shared" si="33"/>
        <v/>
      </c>
      <c r="BL61" s="99" t="str">
        <f t="shared" si="34"/>
        <v/>
      </c>
      <c r="BM61" s="100" t="str">
        <f t="shared" si="35"/>
        <v/>
      </c>
      <c r="BN61" s="99" t="str">
        <f t="shared" si="36"/>
        <v/>
      </c>
      <c r="BO61" s="100" t="str">
        <f t="shared" si="37"/>
        <v/>
      </c>
      <c r="BP61" s="99" t="str">
        <f t="shared" si="38"/>
        <v/>
      </c>
      <c r="BQ61" s="100" t="str">
        <f t="shared" si="39"/>
        <v/>
      </c>
      <c r="BR61" s="99" t="str">
        <f t="shared" si="40"/>
        <v/>
      </c>
      <c r="BS61" s="100" t="str">
        <f t="shared" si="41"/>
        <v/>
      </c>
      <c r="BT61" s="99" t="str">
        <f t="shared" si="42"/>
        <v/>
      </c>
      <c r="BU61" s="100" t="str">
        <f t="shared" si="43"/>
        <v/>
      </c>
      <c r="BV61" s="99" t="str">
        <f t="shared" si="44"/>
        <v/>
      </c>
      <c r="BW61" s="100" t="str">
        <f t="shared" si="45"/>
        <v/>
      </c>
      <c r="BX61" s="99" t="str">
        <f t="shared" si="46"/>
        <v/>
      </c>
      <c r="BY61" s="100" t="str">
        <f t="shared" si="47"/>
        <v/>
      </c>
      <c r="BZ61" s="99" t="str">
        <f t="shared" si="48"/>
        <v/>
      </c>
      <c r="CA61" s="101" t="str">
        <f>IF(B61="","",SUM(#REF!))</f>
        <v/>
      </c>
    </row>
    <row r="62" spans="1:79" ht="24.5" x14ac:dyDescent="0.35">
      <c r="A62" s="90" t="str">
        <f>IF('Q4'!A68="","",'Q4'!A68)</f>
        <v/>
      </c>
      <c r="B62" s="90" t="str">
        <f>IF('Q4'!B68="","",'Q4'!B68)</f>
        <v/>
      </c>
      <c r="C62" s="107" t="str">
        <f>IF('Q4'!C68="","",'Q4'!C68)</f>
        <v/>
      </c>
      <c r="D62" s="104" t="str">
        <f>IF('Q4'!D68="","",'Q4'!D68)</f>
        <v/>
      </c>
      <c r="E62" s="90" t="str">
        <f>IF('Q4'!E68="","",'Q4'!E68)</f>
        <v/>
      </c>
      <c r="F62" s="90" t="str">
        <f>IF('Q4'!F68="","",'Q4'!F68)</f>
        <v/>
      </c>
      <c r="G62" s="91" t="str">
        <f>IF($B62="","",IF(FinalSem1!#REF!="","",FinalSem1!#REF!*0.1))</f>
        <v/>
      </c>
      <c r="H62" s="92" t="str">
        <f t="shared" si="1"/>
        <v/>
      </c>
      <c r="I62" s="91" t="str">
        <f>IF($B62="","",IF(FinalSem1!#REF!="","",FinalSem1!#REF!*0.1))</f>
        <v/>
      </c>
      <c r="J62" s="92" t="str">
        <f t="shared" si="2"/>
        <v/>
      </c>
      <c r="K62" s="93" t="str">
        <f>IF($B62="","",IF(FinalSem1!#REF!="","",FinalSem1!#REF!*0.1))</f>
        <v/>
      </c>
      <c r="L62" s="92" t="str">
        <f t="shared" si="3"/>
        <v/>
      </c>
      <c r="M62" s="93" t="str">
        <f>IF($B62="","",IF(FinalSem1!#REF!="","",FinalSem1!#REF!*0.1))</f>
        <v/>
      </c>
      <c r="N62" s="92" t="str">
        <f t="shared" si="4"/>
        <v/>
      </c>
      <c r="O62" s="93" t="str">
        <f>IF($B62="","",IF(FinalSem1!#REF!="","",FinalSem1!#REF!*0.1))</f>
        <v/>
      </c>
      <c r="P62" s="92" t="str">
        <f t="shared" si="5"/>
        <v/>
      </c>
      <c r="Q62" s="93" t="str">
        <f>IF($B62="","",IF(FinalSem1!#REF!="","",FinalSem1!#REF!*0.1))</f>
        <v/>
      </c>
      <c r="R62" s="92" t="str">
        <f t="shared" si="6"/>
        <v/>
      </c>
      <c r="S62" s="93" t="str">
        <f>IF($B62="","",IF(FinalSem1!#REF!="","",FinalSem1!#REF!*0.1))</f>
        <v/>
      </c>
      <c r="T62" s="92" t="str">
        <f t="shared" si="7"/>
        <v/>
      </c>
      <c r="U62" s="93" t="str">
        <f>IF($B62="","",IF(FinalSem1!#REF!="","",FinalSem1!#REF!*0.1))</f>
        <v/>
      </c>
      <c r="V62" s="92" t="str">
        <f t="shared" si="8"/>
        <v/>
      </c>
      <c r="W62" s="93" t="str">
        <f>IF($B62="","",IF(FinalSem1!#REF!="","",FinalSem1!#REF!*0.1))</f>
        <v/>
      </c>
      <c r="X62" s="92" t="str">
        <f t="shared" si="9"/>
        <v/>
      </c>
      <c r="Y62" s="93" t="str">
        <f>IF($B62="","",IF(FinalSem1!#REF!="","",FinalSem1!#REF!*0.1))</f>
        <v/>
      </c>
      <c r="Z62" s="92" t="str">
        <f t="shared" si="10"/>
        <v/>
      </c>
      <c r="AA62" s="93" t="str">
        <f>IF(ISERR(IF(B62="","",IF(F62="III",AVERAGE('[1]FINAL SEM1'!Y63:AA63)*0.1,IF(OR(F62="I",F62="II",F62="M",F62="A"),AVERAGE('[1]FINAL SEM1'!Y63:AA63)*0.1)))),"",IF(B62="","",IF(F62="III",AVERAGE('[1]FINAL SEM1'!Y63:AA63)*0.1,IF(OR(F62="I",F62="II",F62="M",F62="A"),AVERAGE('[1]FINAL SEM1'!Y63:AA63)*0.1))))</f>
        <v/>
      </c>
      <c r="AB62" s="92" t="str">
        <f t="shared" si="11"/>
        <v/>
      </c>
      <c r="AC62" s="94" t="str">
        <f t="shared" si="12"/>
        <v/>
      </c>
      <c r="AD62" s="95" t="str">
        <f t="shared" si="13"/>
        <v/>
      </c>
      <c r="AE62" s="96" t="str">
        <f t="shared" si="14"/>
        <v/>
      </c>
      <c r="AF62" s="95" t="str">
        <f>IF(ISERR(IF(B62="","",AVERAGE('Q1'!#REF!,'Q2'!CX52)*0.1)),"",IF(B62="","",AVERAGE('Q1'!#REF!,'Q2'!CX52)*0.1))</f>
        <v/>
      </c>
      <c r="AG62" s="102" t="str">
        <f t="shared" si="15"/>
        <v/>
      </c>
      <c r="AH62" s="97" t="str">
        <f t="shared" si="16"/>
        <v/>
      </c>
      <c r="AI62" s="91" t="str">
        <f>IF(ISERR(IF('[1]FINAL SEM2'!N63="","",'[1]FINAL SEM2'!N63*0.1)),"",IF($B62="","",IF('[1]FINAL SEM2'!N63="","",'[1]FINAL SEM2'!N63*0.1)))</f>
        <v/>
      </c>
      <c r="AJ62" s="92" t="str">
        <f t="shared" si="17"/>
        <v/>
      </c>
      <c r="AK62" s="93" t="str">
        <f>IF($B62="","",IF(FinalSem2!#REF!="","",FinalSem2!#REF!*0.1))</f>
        <v/>
      </c>
      <c r="AL62" s="92" t="str">
        <f t="shared" si="18"/>
        <v/>
      </c>
      <c r="AM62" s="93" t="str">
        <f>IF($B62="","",IF(FinalSem2!#REF!="","",FinalSem2!#REF!*0.1))</f>
        <v/>
      </c>
      <c r="AN62" s="92" t="str">
        <f t="shared" si="19"/>
        <v/>
      </c>
      <c r="AO62" s="93" t="str">
        <f>IF($B62="","",IF(FinalSem2!#REF!="","",FinalSem2!#REF!*0.1))</f>
        <v/>
      </c>
      <c r="AP62" s="92" t="str">
        <f t="shared" si="20"/>
        <v/>
      </c>
      <c r="AQ62" s="93" t="str">
        <f>IF($B62="","",IF(FinalSem2!#REF!="","",FinalSem2!#REF!*0.1))</f>
        <v/>
      </c>
      <c r="AR62" s="92" t="str">
        <f t="shared" si="21"/>
        <v/>
      </c>
      <c r="AS62" s="93" t="str">
        <f>IF($B62="","",IF(FinalSem2!#REF!="","",FinalSem2!#REF!*0.1))</f>
        <v/>
      </c>
      <c r="AT62" s="92" t="str">
        <f t="shared" si="22"/>
        <v/>
      </c>
      <c r="AU62" s="93" t="str">
        <f>IF($B62="","",IF(FinalSem2!#REF!="","",FinalSem2!#REF!*0.1))</f>
        <v/>
      </c>
      <c r="AV62" s="92" t="str">
        <f t="shared" si="23"/>
        <v/>
      </c>
      <c r="AW62" s="93" t="str">
        <f>IF($B62="","",IF(FinalSem2!#REF!="","",FinalSem2!#REF!*0.1))</f>
        <v/>
      </c>
      <c r="AX62" s="92" t="str">
        <f t="shared" si="24"/>
        <v/>
      </c>
      <c r="AY62" s="93" t="str">
        <f>IF($B62="","",IF(FinalSem2!#REF!="","",FinalSem2!#REF!*0.1))</f>
        <v/>
      </c>
      <c r="AZ62" s="92" t="str">
        <f t="shared" si="25"/>
        <v/>
      </c>
      <c r="BA62" s="93" t="str">
        <f>IF($B62="","",IF(FinalSem2!#REF!="","",FinalSem2!#REF!*0.1))</f>
        <v/>
      </c>
      <c r="BB62" s="92" t="str">
        <f t="shared" si="26"/>
        <v/>
      </c>
      <c r="BC62" s="93" t="str">
        <f>IF($B62="","",IF(FinalSem2!#REF!="","",FinalSem2!#REF!*0.1))</f>
        <v/>
      </c>
      <c r="BD62" s="92" t="str">
        <f t="shared" si="27"/>
        <v/>
      </c>
      <c r="BE62" s="94" t="str">
        <f t="shared" si="28"/>
        <v/>
      </c>
      <c r="BF62" s="95" t="str">
        <f t="shared" si="29"/>
        <v/>
      </c>
      <c r="BG62" s="96" t="str">
        <f t="shared" si="30"/>
        <v/>
      </c>
      <c r="BH62" s="95" t="str">
        <f>IF(ISERR(IF(B62="","",AVERAGE('Q3'!CX68,'Q4'!CX68)*0.1)),"",IF(B62="","",AVERAGE('Q3'!CX68,'Q4'!CX68)*0.1))</f>
        <v/>
      </c>
      <c r="BI62" s="102" t="str">
        <f t="shared" si="31"/>
        <v/>
      </c>
      <c r="BJ62" s="97" t="str">
        <f t="shared" si="32"/>
        <v/>
      </c>
      <c r="BK62" s="98" t="str">
        <f t="shared" si="33"/>
        <v/>
      </c>
      <c r="BL62" s="99" t="str">
        <f t="shared" si="34"/>
        <v/>
      </c>
      <c r="BM62" s="100" t="str">
        <f t="shared" si="35"/>
        <v/>
      </c>
      <c r="BN62" s="99" t="str">
        <f t="shared" si="36"/>
        <v/>
      </c>
      <c r="BO62" s="100" t="str">
        <f t="shared" si="37"/>
        <v/>
      </c>
      <c r="BP62" s="99" t="str">
        <f t="shared" si="38"/>
        <v/>
      </c>
      <c r="BQ62" s="100" t="str">
        <f t="shared" si="39"/>
        <v/>
      </c>
      <c r="BR62" s="99" t="str">
        <f t="shared" si="40"/>
        <v/>
      </c>
      <c r="BS62" s="100" t="str">
        <f t="shared" si="41"/>
        <v/>
      </c>
      <c r="BT62" s="99" t="str">
        <f t="shared" si="42"/>
        <v/>
      </c>
      <c r="BU62" s="100" t="str">
        <f t="shared" si="43"/>
        <v/>
      </c>
      <c r="BV62" s="99" t="str">
        <f t="shared" si="44"/>
        <v/>
      </c>
      <c r="BW62" s="100" t="str">
        <f t="shared" si="45"/>
        <v/>
      </c>
      <c r="BX62" s="99" t="str">
        <f t="shared" si="46"/>
        <v/>
      </c>
      <c r="BY62" s="100" t="str">
        <f t="shared" si="47"/>
        <v/>
      </c>
      <c r="BZ62" s="99" t="str">
        <f t="shared" si="48"/>
        <v/>
      </c>
      <c r="CA62" s="101" t="str">
        <f>IF(B62="","",SUM(#REF!))</f>
        <v/>
      </c>
    </row>
    <row r="63" spans="1:79" ht="24.5" x14ac:dyDescent="0.35">
      <c r="A63" s="90" t="str">
        <f>IF('Q4'!A69="","",'Q4'!A69)</f>
        <v/>
      </c>
      <c r="B63" s="90" t="str">
        <f>IF('Q4'!B69="","",'Q4'!B69)</f>
        <v/>
      </c>
      <c r="C63" s="107" t="str">
        <f>IF('Q4'!C69="","",'Q4'!C69)</f>
        <v/>
      </c>
      <c r="D63" s="104" t="str">
        <f>IF('Q4'!D69="","",'Q4'!D69)</f>
        <v/>
      </c>
      <c r="E63" s="90" t="str">
        <f>IF('Q4'!E69="","",'Q4'!E69)</f>
        <v/>
      </c>
      <c r="F63" s="90" t="str">
        <f>IF('Q4'!F69="","",'Q4'!F69)</f>
        <v/>
      </c>
      <c r="G63" s="91" t="str">
        <f>IF($B63="","",IF(FinalSem1!#REF!="","",FinalSem1!#REF!*0.1))</f>
        <v/>
      </c>
      <c r="H63" s="92" t="str">
        <f t="shared" si="1"/>
        <v/>
      </c>
      <c r="I63" s="91" t="str">
        <f>IF($B63="","",IF(FinalSem1!#REF!="","",FinalSem1!#REF!*0.1))</f>
        <v/>
      </c>
      <c r="J63" s="92" t="str">
        <f t="shared" si="2"/>
        <v/>
      </c>
      <c r="K63" s="93" t="str">
        <f>IF($B63="","",IF(FinalSem1!#REF!="","",FinalSem1!#REF!*0.1))</f>
        <v/>
      </c>
      <c r="L63" s="92" t="str">
        <f t="shared" si="3"/>
        <v/>
      </c>
      <c r="M63" s="93" t="str">
        <f>IF($B63="","",IF(FinalSem1!#REF!="","",FinalSem1!#REF!*0.1))</f>
        <v/>
      </c>
      <c r="N63" s="92" t="str">
        <f t="shared" si="4"/>
        <v/>
      </c>
      <c r="O63" s="93" t="str">
        <f>IF($B63="","",IF(FinalSem1!#REF!="","",FinalSem1!#REF!*0.1))</f>
        <v/>
      </c>
      <c r="P63" s="92" t="str">
        <f t="shared" si="5"/>
        <v/>
      </c>
      <c r="Q63" s="93" t="str">
        <f>IF($B63="","",IF(FinalSem1!#REF!="","",FinalSem1!#REF!*0.1))</f>
        <v/>
      </c>
      <c r="R63" s="92" t="str">
        <f t="shared" si="6"/>
        <v/>
      </c>
      <c r="S63" s="93" t="str">
        <f>IF($B63="","",IF(FinalSem1!#REF!="","",FinalSem1!#REF!*0.1))</f>
        <v/>
      </c>
      <c r="T63" s="92" t="str">
        <f t="shared" si="7"/>
        <v/>
      </c>
      <c r="U63" s="93" t="str">
        <f>IF($B63="","",IF(FinalSem1!#REF!="","",FinalSem1!#REF!*0.1))</f>
        <v/>
      </c>
      <c r="V63" s="92" t="str">
        <f t="shared" si="8"/>
        <v/>
      </c>
      <c r="W63" s="93" t="str">
        <f>IF($B63="","",IF(FinalSem1!#REF!="","",FinalSem1!#REF!*0.1))</f>
        <v/>
      </c>
      <c r="X63" s="92" t="str">
        <f t="shared" si="9"/>
        <v/>
      </c>
      <c r="Y63" s="93" t="str">
        <f>IF($B63="","",IF(FinalSem1!#REF!="","",FinalSem1!#REF!*0.1))</f>
        <v/>
      </c>
      <c r="Z63" s="92" t="str">
        <f t="shared" si="10"/>
        <v/>
      </c>
      <c r="AA63" s="93" t="str">
        <f>IF(ISERR(IF(B63="","",IF(F63="III",AVERAGE('[1]FINAL SEM1'!Y64:AA64)*0.1,IF(OR(F63="I",F63="II",F63="M",F63="A"),AVERAGE('[1]FINAL SEM1'!Y64:AA64)*0.1)))),"",IF(B63="","",IF(F63="III",AVERAGE('[1]FINAL SEM1'!Y64:AA64)*0.1,IF(OR(F63="I",F63="II",F63="M",F63="A"),AVERAGE('[1]FINAL SEM1'!Y64:AA64)*0.1))))</f>
        <v/>
      </c>
      <c r="AB63" s="92" t="str">
        <f t="shared" si="11"/>
        <v/>
      </c>
      <c r="AC63" s="94" t="str">
        <f t="shared" si="12"/>
        <v/>
      </c>
      <c r="AD63" s="95" t="str">
        <f t="shared" si="13"/>
        <v/>
      </c>
      <c r="AE63" s="96" t="str">
        <f t="shared" si="14"/>
        <v/>
      </c>
      <c r="AF63" s="95" t="str">
        <f>IF(ISERR(IF(B63="","",AVERAGE('Q1'!#REF!,'Q2'!CX53)*0.1)),"",IF(B63="","",AVERAGE('Q1'!#REF!,'Q2'!CX53)*0.1))</f>
        <v/>
      </c>
      <c r="AG63" s="102" t="str">
        <f t="shared" si="15"/>
        <v/>
      </c>
      <c r="AH63" s="97" t="str">
        <f t="shared" si="16"/>
        <v/>
      </c>
      <c r="AI63" s="91" t="str">
        <f>IF(ISERR(IF('[1]FINAL SEM2'!N64="","",'[1]FINAL SEM2'!N64*0.1)),"",IF($B63="","",IF('[1]FINAL SEM2'!N64="","",'[1]FINAL SEM2'!N64*0.1)))</f>
        <v/>
      </c>
      <c r="AJ63" s="92" t="str">
        <f t="shared" si="17"/>
        <v/>
      </c>
      <c r="AK63" s="93" t="str">
        <f>IF($B63="","",IF(FinalSem2!#REF!="","",FinalSem2!#REF!*0.1))</f>
        <v/>
      </c>
      <c r="AL63" s="92" t="str">
        <f t="shared" si="18"/>
        <v/>
      </c>
      <c r="AM63" s="93" t="str">
        <f>IF($B63="","",IF(FinalSem2!#REF!="","",FinalSem2!#REF!*0.1))</f>
        <v/>
      </c>
      <c r="AN63" s="92" t="str">
        <f t="shared" si="19"/>
        <v/>
      </c>
      <c r="AO63" s="93" t="str">
        <f>IF($B63="","",IF(FinalSem2!#REF!="","",FinalSem2!#REF!*0.1))</f>
        <v/>
      </c>
      <c r="AP63" s="92" t="str">
        <f t="shared" si="20"/>
        <v/>
      </c>
      <c r="AQ63" s="93" t="str">
        <f>IF($B63="","",IF(FinalSem2!#REF!="","",FinalSem2!#REF!*0.1))</f>
        <v/>
      </c>
      <c r="AR63" s="92" t="str">
        <f t="shared" si="21"/>
        <v/>
      </c>
      <c r="AS63" s="93" t="str">
        <f>IF($B63="","",IF(FinalSem2!#REF!="","",FinalSem2!#REF!*0.1))</f>
        <v/>
      </c>
      <c r="AT63" s="92" t="str">
        <f t="shared" si="22"/>
        <v/>
      </c>
      <c r="AU63" s="93" t="str">
        <f>IF($B63="","",IF(FinalSem2!#REF!="","",FinalSem2!#REF!*0.1))</f>
        <v/>
      </c>
      <c r="AV63" s="92" t="str">
        <f t="shared" si="23"/>
        <v/>
      </c>
      <c r="AW63" s="93" t="str">
        <f>IF($B63="","",IF(FinalSem2!#REF!="","",FinalSem2!#REF!*0.1))</f>
        <v/>
      </c>
      <c r="AX63" s="92" t="str">
        <f t="shared" si="24"/>
        <v/>
      </c>
      <c r="AY63" s="93" t="str">
        <f>IF($B63="","",IF(FinalSem2!#REF!="","",FinalSem2!#REF!*0.1))</f>
        <v/>
      </c>
      <c r="AZ63" s="92" t="str">
        <f t="shared" si="25"/>
        <v/>
      </c>
      <c r="BA63" s="93" t="str">
        <f>IF($B63="","",IF(FinalSem2!#REF!="","",FinalSem2!#REF!*0.1))</f>
        <v/>
      </c>
      <c r="BB63" s="92" t="str">
        <f t="shared" si="26"/>
        <v/>
      </c>
      <c r="BC63" s="93" t="str">
        <f>IF($B63="","",IF(FinalSem2!#REF!="","",FinalSem2!#REF!*0.1))</f>
        <v/>
      </c>
      <c r="BD63" s="92" t="str">
        <f t="shared" si="27"/>
        <v/>
      </c>
      <c r="BE63" s="94" t="str">
        <f t="shared" si="28"/>
        <v/>
      </c>
      <c r="BF63" s="95" t="str">
        <f t="shared" si="29"/>
        <v/>
      </c>
      <c r="BG63" s="96" t="str">
        <f t="shared" si="30"/>
        <v/>
      </c>
      <c r="BH63" s="95" t="str">
        <f>IF(ISERR(IF(B63="","",AVERAGE('Q3'!CX69,'Q4'!CX69)*0.1)),"",IF(B63="","",AVERAGE('Q3'!CX69,'Q4'!CX69)*0.1))</f>
        <v/>
      </c>
      <c r="BI63" s="102" t="str">
        <f t="shared" si="31"/>
        <v/>
      </c>
      <c r="BJ63" s="97" t="str">
        <f t="shared" si="32"/>
        <v/>
      </c>
      <c r="BK63" s="98" t="str">
        <f t="shared" si="33"/>
        <v/>
      </c>
      <c r="BL63" s="99" t="str">
        <f t="shared" si="34"/>
        <v/>
      </c>
      <c r="BM63" s="100" t="str">
        <f t="shared" si="35"/>
        <v/>
      </c>
      <c r="BN63" s="99" t="str">
        <f t="shared" si="36"/>
        <v/>
      </c>
      <c r="BO63" s="100" t="str">
        <f t="shared" si="37"/>
        <v/>
      </c>
      <c r="BP63" s="99" t="str">
        <f t="shared" si="38"/>
        <v/>
      </c>
      <c r="BQ63" s="100" t="str">
        <f t="shared" si="39"/>
        <v/>
      </c>
      <c r="BR63" s="99" t="str">
        <f t="shared" si="40"/>
        <v/>
      </c>
      <c r="BS63" s="100" t="str">
        <f t="shared" si="41"/>
        <v/>
      </c>
      <c r="BT63" s="99" t="str">
        <f t="shared" si="42"/>
        <v/>
      </c>
      <c r="BU63" s="100" t="str">
        <f t="shared" si="43"/>
        <v/>
      </c>
      <c r="BV63" s="99" t="str">
        <f t="shared" si="44"/>
        <v/>
      </c>
      <c r="BW63" s="100" t="str">
        <f t="shared" si="45"/>
        <v/>
      </c>
      <c r="BX63" s="99" t="str">
        <f t="shared" si="46"/>
        <v/>
      </c>
      <c r="BY63" s="100" t="str">
        <f t="shared" si="47"/>
        <v/>
      </c>
      <c r="BZ63" s="99" t="str">
        <f t="shared" si="48"/>
        <v/>
      </c>
      <c r="CA63" s="101" t="str">
        <f>IF(B63="","",SUM(#REF!))</f>
        <v/>
      </c>
    </row>
    <row r="64" spans="1:79" ht="24.5" x14ac:dyDescent="0.35">
      <c r="A64" s="90" t="str">
        <f>IF('Q4'!A70="","",'Q4'!A70)</f>
        <v/>
      </c>
      <c r="B64" s="90" t="str">
        <f>IF('Q4'!B70="","",'Q4'!B70)</f>
        <v/>
      </c>
      <c r="C64" s="107" t="str">
        <f>IF('Q4'!C70="","",'Q4'!C70)</f>
        <v/>
      </c>
      <c r="D64" s="104" t="str">
        <f>IF('Q4'!D70="","",'Q4'!D70)</f>
        <v/>
      </c>
      <c r="E64" s="90" t="str">
        <f>IF('Q4'!E70="","",'Q4'!E70)</f>
        <v/>
      </c>
      <c r="F64" s="90" t="str">
        <f>IF('Q4'!F70="","",'Q4'!F70)</f>
        <v/>
      </c>
      <c r="G64" s="91" t="str">
        <f>IF($B64="","",IF(FinalSem1!#REF!="","",FinalSem1!#REF!*0.1))</f>
        <v/>
      </c>
      <c r="H64" s="92" t="str">
        <f t="shared" si="1"/>
        <v/>
      </c>
      <c r="I64" s="91" t="str">
        <f>IF($B64="","",IF(FinalSem1!#REF!="","",FinalSem1!#REF!*0.1))</f>
        <v/>
      </c>
      <c r="J64" s="92" t="str">
        <f t="shared" si="2"/>
        <v/>
      </c>
      <c r="K64" s="93" t="str">
        <f>IF($B64="","",IF(FinalSem1!#REF!="","",FinalSem1!#REF!*0.1))</f>
        <v/>
      </c>
      <c r="L64" s="92" t="str">
        <f t="shared" si="3"/>
        <v/>
      </c>
      <c r="M64" s="93" t="str">
        <f>IF($B64="","",IF(FinalSem1!#REF!="","",FinalSem1!#REF!*0.1))</f>
        <v/>
      </c>
      <c r="N64" s="92" t="str">
        <f t="shared" si="4"/>
        <v/>
      </c>
      <c r="O64" s="93" t="str">
        <f>IF($B64="","",IF(FinalSem1!#REF!="","",FinalSem1!#REF!*0.1))</f>
        <v/>
      </c>
      <c r="P64" s="92" t="str">
        <f t="shared" si="5"/>
        <v/>
      </c>
      <c r="Q64" s="93" t="str">
        <f>IF($B64="","",IF(FinalSem1!#REF!="","",FinalSem1!#REF!*0.1))</f>
        <v/>
      </c>
      <c r="R64" s="92" t="str">
        <f t="shared" si="6"/>
        <v/>
      </c>
      <c r="S64" s="93" t="str">
        <f>IF($B64="","",IF(FinalSem1!#REF!="","",FinalSem1!#REF!*0.1))</f>
        <v/>
      </c>
      <c r="T64" s="92" t="str">
        <f t="shared" si="7"/>
        <v/>
      </c>
      <c r="U64" s="93" t="str">
        <f>IF($B64="","",IF(FinalSem1!#REF!="","",FinalSem1!#REF!*0.1))</f>
        <v/>
      </c>
      <c r="V64" s="92" t="str">
        <f t="shared" si="8"/>
        <v/>
      </c>
      <c r="W64" s="93" t="str">
        <f>IF($B64="","",IF(FinalSem1!#REF!="","",FinalSem1!#REF!*0.1))</f>
        <v/>
      </c>
      <c r="X64" s="92" t="str">
        <f t="shared" si="9"/>
        <v/>
      </c>
      <c r="Y64" s="93" t="str">
        <f>IF($B64="","",IF(FinalSem1!#REF!="","",FinalSem1!#REF!*0.1))</f>
        <v/>
      </c>
      <c r="Z64" s="92" t="str">
        <f t="shared" si="10"/>
        <v/>
      </c>
      <c r="AA64" s="93" t="str">
        <f>IF(ISERR(IF(B64="","",IF(F64="III",AVERAGE('[1]FINAL SEM1'!Y65:AA65)*0.1,IF(OR(F64="I",F64="II",F64="M",F64="A"),AVERAGE('[1]FINAL SEM1'!Y65:AA65)*0.1)))),"",IF(B64="","",IF(F64="III",AVERAGE('[1]FINAL SEM1'!Y65:AA65)*0.1,IF(OR(F64="I",F64="II",F64="M",F64="A"),AVERAGE('[1]FINAL SEM1'!Y65:AA65)*0.1))))</f>
        <v/>
      </c>
      <c r="AB64" s="92" t="str">
        <f t="shared" si="11"/>
        <v/>
      </c>
      <c r="AC64" s="94" t="str">
        <f t="shared" si="12"/>
        <v/>
      </c>
      <c r="AD64" s="95" t="str">
        <f t="shared" si="13"/>
        <v/>
      </c>
      <c r="AE64" s="96" t="str">
        <f t="shared" si="14"/>
        <v/>
      </c>
      <c r="AF64" s="95" t="str">
        <f>IF(ISERR(IF(B64="","",AVERAGE('Q1'!#REF!,'Q2'!CX54)*0.1)),"",IF(B64="","",AVERAGE('Q1'!#REF!,'Q2'!CX54)*0.1))</f>
        <v/>
      </c>
      <c r="AG64" s="102" t="str">
        <f t="shared" si="15"/>
        <v/>
      </c>
      <c r="AH64" s="97" t="str">
        <f t="shared" si="16"/>
        <v/>
      </c>
      <c r="AI64" s="91" t="str">
        <f>IF(ISERR(IF('[1]FINAL SEM2'!N65="","",'[1]FINAL SEM2'!N65*0.1)),"",IF($B64="","",IF('[1]FINAL SEM2'!N65="","",'[1]FINAL SEM2'!N65*0.1)))</f>
        <v/>
      </c>
      <c r="AJ64" s="92" t="str">
        <f t="shared" si="17"/>
        <v/>
      </c>
      <c r="AK64" s="93" t="str">
        <f>IF($B64="","",IF(FinalSem2!#REF!="","",FinalSem2!#REF!*0.1))</f>
        <v/>
      </c>
      <c r="AL64" s="92" t="str">
        <f t="shared" si="18"/>
        <v/>
      </c>
      <c r="AM64" s="93" t="str">
        <f>IF($B64="","",IF(FinalSem2!#REF!="","",FinalSem2!#REF!*0.1))</f>
        <v/>
      </c>
      <c r="AN64" s="92" t="str">
        <f t="shared" si="19"/>
        <v/>
      </c>
      <c r="AO64" s="93" t="str">
        <f>IF($B64="","",IF(FinalSem2!#REF!="","",FinalSem2!#REF!*0.1))</f>
        <v/>
      </c>
      <c r="AP64" s="92" t="str">
        <f t="shared" si="20"/>
        <v/>
      </c>
      <c r="AQ64" s="93" t="str">
        <f>IF($B64="","",IF(FinalSem2!#REF!="","",FinalSem2!#REF!*0.1))</f>
        <v/>
      </c>
      <c r="AR64" s="92" t="str">
        <f t="shared" si="21"/>
        <v/>
      </c>
      <c r="AS64" s="93" t="str">
        <f>IF($B64="","",IF(FinalSem2!#REF!="","",FinalSem2!#REF!*0.1))</f>
        <v/>
      </c>
      <c r="AT64" s="92" t="str">
        <f t="shared" si="22"/>
        <v/>
      </c>
      <c r="AU64" s="93" t="str">
        <f>IF($B64="","",IF(FinalSem2!#REF!="","",FinalSem2!#REF!*0.1))</f>
        <v/>
      </c>
      <c r="AV64" s="92" t="str">
        <f t="shared" si="23"/>
        <v/>
      </c>
      <c r="AW64" s="93" t="str">
        <f>IF($B64="","",IF(FinalSem2!#REF!="","",FinalSem2!#REF!*0.1))</f>
        <v/>
      </c>
      <c r="AX64" s="92" t="str">
        <f t="shared" si="24"/>
        <v/>
      </c>
      <c r="AY64" s="93" t="str">
        <f>IF($B64="","",IF(FinalSem2!#REF!="","",FinalSem2!#REF!*0.1))</f>
        <v/>
      </c>
      <c r="AZ64" s="92" t="str">
        <f t="shared" si="25"/>
        <v/>
      </c>
      <c r="BA64" s="93" t="str">
        <f>IF($B64="","",IF(FinalSem2!#REF!="","",FinalSem2!#REF!*0.1))</f>
        <v/>
      </c>
      <c r="BB64" s="92" t="str">
        <f t="shared" si="26"/>
        <v/>
      </c>
      <c r="BC64" s="93" t="str">
        <f>IF($B64="","",IF(FinalSem2!#REF!="","",FinalSem2!#REF!*0.1))</f>
        <v/>
      </c>
      <c r="BD64" s="92" t="str">
        <f t="shared" si="27"/>
        <v/>
      </c>
      <c r="BE64" s="94" t="str">
        <f t="shared" si="28"/>
        <v/>
      </c>
      <c r="BF64" s="95" t="str">
        <f t="shared" si="29"/>
        <v/>
      </c>
      <c r="BG64" s="96" t="str">
        <f t="shared" si="30"/>
        <v/>
      </c>
      <c r="BH64" s="95" t="str">
        <f>IF(ISERR(IF(B64="","",AVERAGE('Q3'!CX70,'Q4'!CX70)*0.1)),"",IF(B64="","",AVERAGE('Q3'!CX70,'Q4'!CX70)*0.1))</f>
        <v/>
      </c>
      <c r="BI64" s="102" t="str">
        <f t="shared" si="31"/>
        <v/>
      </c>
      <c r="BJ64" s="97" t="str">
        <f t="shared" si="32"/>
        <v/>
      </c>
      <c r="BK64" s="98" t="str">
        <f t="shared" si="33"/>
        <v/>
      </c>
      <c r="BL64" s="99" t="str">
        <f t="shared" si="34"/>
        <v/>
      </c>
      <c r="BM64" s="100" t="str">
        <f t="shared" si="35"/>
        <v/>
      </c>
      <c r="BN64" s="99" t="str">
        <f t="shared" si="36"/>
        <v/>
      </c>
      <c r="BO64" s="100" t="str">
        <f t="shared" si="37"/>
        <v/>
      </c>
      <c r="BP64" s="99" t="str">
        <f t="shared" si="38"/>
        <v/>
      </c>
      <c r="BQ64" s="100" t="str">
        <f t="shared" si="39"/>
        <v/>
      </c>
      <c r="BR64" s="99" t="str">
        <f t="shared" si="40"/>
        <v/>
      </c>
      <c r="BS64" s="100" t="str">
        <f t="shared" si="41"/>
        <v/>
      </c>
      <c r="BT64" s="99" t="str">
        <f t="shared" si="42"/>
        <v/>
      </c>
      <c r="BU64" s="100" t="str">
        <f t="shared" si="43"/>
        <v/>
      </c>
      <c r="BV64" s="99" t="str">
        <f t="shared" si="44"/>
        <v/>
      </c>
      <c r="BW64" s="100" t="str">
        <f t="shared" si="45"/>
        <v/>
      </c>
      <c r="BX64" s="99" t="str">
        <f t="shared" si="46"/>
        <v/>
      </c>
      <c r="BY64" s="100" t="str">
        <f t="shared" si="47"/>
        <v/>
      </c>
      <c r="BZ64" s="99" t="str">
        <f t="shared" si="48"/>
        <v/>
      </c>
      <c r="CA64" s="101" t="str">
        <f>IF(B64="","",SUM(#REF!))</f>
        <v/>
      </c>
    </row>
    <row r="65" spans="1:79" ht="24.5" x14ac:dyDescent="0.35">
      <c r="A65" s="90" t="str">
        <f>IF('Q4'!A71="","",'Q4'!A71)</f>
        <v/>
      </c>
      <c r="B65" s="90" t="str">
        <f>IF('Q4'!B71="","",'Q4'!B71)</f>
        <v/>
      </c>
      <c r="C65" s="107" t="str">
        <f>IF('Q4'!C71="","",'Q4'!C71)</f>
        <v/>
      </c>
      <c r="D65" s="104" t="str">
        <f>IF('Q4'!D71="","",'Q4'!D71)</f>
        <v/>
      </c>
      <c r="E65" s="90" t="str">
        <f>IF('Q4'!E71="","",'Q4'!E71)</f>
        <v/>
      </c>
      <c r="F65" s="90" t="str">
        <f>IF('Q4'!F71="","",'Q4'!F71)</f>
        <v/>
      </c>
      <c r="G65" s="91" t="str">
        <f>IF($B65="","",IF(FinalSem1!#REF!="","",FinalSem1!#REF!*0.1))</f>
        <v/>
      </c>
      <c r="H65" s="92" t="str">
        <f t="shared" si="1"/>
        <v/>
      </c>
      <c r="I65" s="91" t="str">
        <f>IF($B65="","",IF(FinalSem1!#REF!="","",FinalSem1!#REF!*0.1))</f>
        <v/>
      </c>
      <c r="J65" s="92" t="str">
        <f t="shared" si="2"/>
        <v/>
      </c>
      <c r="K65" s="93" t="str">
        <f>IF($B65="","",IF(FinalSem1!#REF!="","",FinalSem1!#REF!*0.1))</f>
        <v/>
      </c>
      <c r="L65" s="92" t="str">
        <f t="shared" si="3"/>
        <v/>
      </c>
      <c r="M65" s="93" t="str">
        <f>IF($B65="","",IF(FinalSem1!#REF!="","",FinalSem1!#REF!*0.1))</f>
        <v/>
      </c>
      <c r="N65" s="92" t="str">
        <f t="shared" si="4"/>
        <v/>
      </c>
      <c r="O65" s="93" t="str">
        <f>IF($B65="","",IF(FinalSem1!#REF!="","",FinalSem1!#REF!*0.1))</f>
        <v/>
      </c>
      <c r="P65" s="92" t="str">
        <f t="shared" si="5"/>
        <v/>
      </c>
      <c r="Q65" s="93" t="str">
        <f>IF($B65="","",IF(FinalSem1!#REF!="","",FinalSem1!#REF!*0.1))</f>
        <v/>
      </c>
      <c r="R65" s="92" t="str">
        <f t="shared" si="6"/>
        <v/>
      </c>
      <c r="S65" s="93" t="str">
        <f>IF($B65="","",IF(FinalSem1!#REF!="","",FinalSem1!#REF!*0.1))</f>
        <v/>
      </c>
      <c r="T65" s="92" t="str">
        <f t="shared" si="7"/>
        <v/>
      </c>
      <c r="U65" s="93" t="str">
        <f>IF($B65="","",IF(FinalSem1!#REF!="","",FinalSem1!#REF!*0.1))</f>
        <v/>
      </c>
      <c r="V65" s="92" t="str">
        <f t="shared" si="8"/>
        <v/>
      </c>
      <c r="W65" s="93" t="str">
        <f>IF($B65="","",IF(FinalSem1!#REF!="","",FinalSem1!#REF!*0.1))</f>
        <v/>
      </c>
      <c r="X65" s="92" t="str">
        <f t="shared" si="9"/>
        <v/>
      </c>
      <c r="Y65" s="93" t="str">
        <f>IF($B65="","",IF(FinalSem1!#REF!="","",FinalSem1!#REF!*0.1))</f>
        <v/>
      </c>
      <c r="Z65" s="92" t="str">
        <f t="shared" si="10"/>
        <v/>
      </c>
      <c r="AA65" s="93" t="str">
        <f>IF(ISERR(IF(B65="","",IF(F65="III",AVERAGE('[1]FINAL SEM1'!Y66:AA66)*0.1,IF(OR(F65="I",F65="II",F65="M",F65="A"),AVERAGE('[1]FINAL SEM1'!Y66:AA66)*0.1)))),"",IF(B65="","",IF(F65="III",AVERAGE('[1]FINAL SEM1'!Y66:AA66)*0.1,IF(OR(F65="I",F65="II",F65="M",F65="A"),AVERAGE('[1]FINAL SEM1'!Y66:AA66)*0.1))))</f>
        <v/>
      </c>
      <c r="AB65" s="92" t="str">
        <f t="shared" si="11"/>
        <v/>
      </c>
      <c r="AC65" s="94" t="str">
        <f t="shared" si="12"/>
        <v/>
      </c>
      <c r="AD65" s="95" t="str">
        <f t="shared" si="13"/>
        <v/>
      </c>
      <c r="AE65" s="96" t="str">
        <f t="shared" si="14"/>
        <v/>
      </c>
      <c r="AF65" s="95" t="str">
        <f>IF(ISERR(IF(B65="","",AVERAGE('Q1'!#REF!,'Q2'!CX55)*0.1)),"",IF(B65="","",AVERAGE('Q1'!#REF!,'Q2'!CX55)*0.1))</f>
        <v/>
      </c>
      <c r="AG65" s="102" t="str">
        <f t="shared" si="15"/>
        <v/>
      </c>
      <c r="AH65" s="97" t="str">
        <f t="shared" si="16"/>
        <v/>
      </c>
      <c r="AI65" s="91" t="str">
        <f>IF(ISERR(IF('[1]FINAL SEM2'!N66="","",'[1]FINAL SEM2'!N66*0.1)),"",IF($B65="","",IF('[1]FINAL SEM2'!N66="","",'[1]FINAL SEM2'!N66*0.1)))</f>
        <v/>
      </c>
      <c r="AJ65" s="92" t="str">
        <f t="shared" si="17"/>
        <v/>
      </c>
      <c r="AK65" s="93" t="str">
        <f>IF($B65="","",IF(FinalSem2!#REF!="","",FinalSem2!#REF!*0.1))</f>
        <v/>
      </c>
      <c r="AL65" s="92" t="str">
        <f t="shared" si="18"/>
        <v/>
      </c>
      <c r="AM65" s="93" t="str">
        <f>IF($B65="","",IF(FinalSem2!#REF!="","",FinalSem2!#REF!*0.1))</f>
        <v/>
      </c>
      <c r="AN65" s="92" t="str">
        <f t="shared" si="19"/>
        <v/>
      </c>
      <c r="AO65" s="93" t="str">
        <f>IF($B65="","",IF(FinalSem2!#REF!="","",FinalSem2!#REF!*0.1))</f>
        <v/>
      </c>
      <c r="AP65" s="92" t="str">
        <f t="shared" si="20"/>
        <v/>
      </c>
      <c r="AQ65" s="93" t="str">
        <f>IF($B65="","",IF(FinalSem2!#REF!="","",FinalSem2!#REF!*0.1))</f>
        <v/>
      </c>
      <c r="AR65" s="92" t="str">
        <f t="shared" si="21"/>
        <v/>
      </c>
      <c r="AS65" s="93" t="str">
        <f>IF($B65="","",IF(FinalSem2!#REF!="","",FinalSem2!#REF!*0.1))</f>
        <v/>
      </c>
      <c r="AT65" s="92" t="str">
        <f t="shared" si="22"/>
        <v/>
      </c>
      <c r="AU65" s="93" t="str">
        <f>IF($B65="","",IF(FinalSem2!#REF!="","",FinalSem2!#REF!*0.1))</f>
        <v/>
      </c>
      <c r="AV65" s="92" t="str">
        <f t="shared" si="23"/>
        <v/>
      </c>
      <c r="AW65" s="93" t="str">
        <f>IF($B65="","",IF(FinalSem2!#REF!="","",FinalSem2!#REF!*0.1))</f>
        <v/>
      </c>
      <c r="AX65" s="92" t="str">
        <f t="shared" si="24"/>
        <v/>
      </c>
      <c r="AY65" s="93" t="str">
        <f>IF($B65="","",IF(FinalSem2!#REF!="","",FinalSem2!#REF!*0.1))</f>
        <v/>
      </c>
      <c r="AZ65" s="92" t="str">
        <f t="shared" si="25"/>
        <v/>
      </c>
      <c r="BA65" s="93" t="str">
        <f>IF($B65="","",IF(FinalSem2!#REF!="","",FinalSem2!#REF!*0.1))</f>
        <v/>
      </c>
      <c r="BB65" s="92" t="str">
        <f t="shared" si="26"/>
        <v/>
      </c>
      <c r="BC65" s="93" t="str">
        <f>IF($B65="","",IF(FinalSem2!#REF!="","",FinalSem2!#REF!*0.1))</f>
        <v/>
      </c>
      <c r="BD65" s="92" t="str">
        <f t="shared" si="27"/>
        <v/>
      </c>
      <c r="BE65" s="94" t="str">
        <f t="shared" si="28"/>
        <v/>
      </c>
      <c r="BF65" s="95" t="str">
        <f t="shared" si="29"/>
        <v/>
      </c>
      <c r="BG65" s="96" t="str">
        <f t="shared" si="30"/>
        <v/>
      </c>
      <c r="BH65" s="95" t="str">
        <f>IF(ISERR(IF(B65="","",AVERAGE('Q3'!CX71,'Q4'!CX71)*0.1)),"",IF(B65="","",AVERAGE('Q3'!CX71,'Q4'!CX71)*0.1))</f>
        <v/>
      </c>
      <c r="BI65" s="102" t="str">
        <f t="shared" si="31"/>
        <v/>
      </c>
      <c r="BJ65" s="97" t="str">
        <f t="shared" si="32"/>
        <v/>
      </c>
      <c r="BK65" s="98" t="str">
        <f t="shared" si="33"/>
        <v/>
      </c>
      <c r="BL65" s="99" t="str">
        <f t="shared" si="34"/>
        <v/>
      </c>
      <c r="BM65" s="100" t="str">
        <f t="shared" si="35"/>
        <v/>
      </c>
      <c r="BN65" s="99" t="str">
        <f t="shared" si="36"/>
        <v/>
      </c>
      <c r="BO65" s="100" t="str">
        <f t="shared" si="37"/>
        <v/>
      </c>
      <c r="BP65" s="99" t="str">
        <f t="shared" si="38"/>
        <v/>
      </c>
      <c r="BQ65" s="100" t="str">
        <f t="shared" si="39"/>
        <v/>
      </c>
      <c r="BR65" s="99" t="str">
        <f t="shared" si="40"/>
        <v/>
      </c>
      <c r="BS65" s="100" t="str">
        <f t="shared" si="41"/>
        <v/>
      </c>
      <c r="BT65" s="99" t="str">
        <f t="shared" si="42"/>
        <v/>
      </c>
      <c r="BU65" s="100" t="str">
        <f t="shared" si="43"/>
        <v/>
      </c>
      <c r="BV65" s="99" t="str">
        <f t="shared" si="44"/>
        <v/>
      </c>
      <c r="BW65" s="100" t="str">
        <f t="shared" si="45"/>
        <v/>
      </c>
      <c r="BX65" s="99" t="str">
        <f t="shared" si="46"/>
        <v/>
      </c>
      <c r="BY65" s="100" t="str">
        <f t="shared" si="47"/>
        <v/>
      </c>
      <c r="BZ65" s="99" t="str">
        <f t="shared" si="48"/>
        <v/>
      </c>
      <c r="CA65" s="101" t="str">
        <f>IF(B65="","",SUM(#REF!))</f>
        <v/>
      </c>
    </row>
    <row r="66" spans="1:79" ht="24.5" x14ac:dyDescent="0.35">
      <c r="A66" s="90" t="str">
        <f>IF('Q4'!A72="","",'Q4'!A72)</f>
        <v/>
      </c>
      <c r="B66" s="90" t="str">
        <f>IF('Q4'!B72="","",'Q4'!B72)</f>
        <v/>
      </c>
      <c r="C66" s="107" t="str">
        <f>IF('Q4'!C72="","",'Q4'!C72)</f>
        <v/>
      </c>
      <c r="D66" s="104" t="str">
        <f>IF('Q4'!D72="","",'Q4'!D72)</f>
        <v/>
      </c>
      <c r="E66" s="90" t="str">
        <f>IF('Q4'!E72="","",'Q4'!E72)</f>
        <v/>
      </c>
      <c r="F66" s="90" t="str">
        <f>IF('Q4'!F72="","",'Q4'!F72)</f>
        <v/>
      </c>
      <c r="G66" s="91" t="str">
        <f>IF($B66="","",IF(FinalSem1!#REF!="","",FinalSem1!#REF!*0.1))</f>
        <v/>
      </c>
      <c r="H66" s="92" t="str">
        <f t="shared" si="1"/>
        <v/>
      </c>
      <c r="I66" s="91" t="str">
        <f>IF($B66="","",IF(FinalSem1!#REF!="","",FinalSem1!#REF!*0.1))</f>
        <v/>
      </c>
      <c r="J66" s="92" t="str">
        <f t="shared" si="2"/>
        <v/>
      </c>
      <c r="K66" s="93" t="str">
        <f>IF($B66="","",IF(FinalSem1!#REF!="","",FinalSem1!#REF!*0.1))</f>
        <v/>
      </c>
      <c r="L66" s="92" t="str">
        <f t="shared" si="3"/>
        <v/>
      </c>
      <c r="M66" s="93" t="str">
        <f>IF($B66="","",IF(FinalSem1!#REF!="","",FinalSem1!#REF!*0.1))</f>
        <v/>
      </c>
      <c r="N66" s="92" t="str">
        <f t="shared" si="4"/>
        <v/>
      </c>
      <c r="O66" s="93" t="str">
        <f>IF($B66="","",IF(FinalSem1!#REF!="","",FinalSem1!#REF!*0.1))</f>
        <v/>
      </c>
      <c r="P66" s="92" t="str">
        <f t="shared" si="5"/>
        <v/>
      </c>
      <c r="Q66" s="93" t="str">
        <f>IF($B66="","",IF(FinalSem1!#REF!="","",FinalSem1!#REF!*0.1))</f>
        <v/>
      </c>
      <c r="R66" s="92" t="str">
        <f t="shared" si="6"/>
        <v/>
      </c>
      <c r="S66" s="93" t="str">
        <f>IF($B66="","",IF(FinalSem1!#REF!="","",FinalSem1!#REF!*0.1))</f>
        <v/>
      </c>
      <c r="T66" s="92" t="str">
        <f t="shared" si="7"/>
        <v/>
      </c>
      <c r="U66" s="93" t="str">
        <f>IF($B66="","",IF(FinalSem1!#REF!="","",FinalSem1!#REF!*0.1))</f>
        <v/>
      </c>
      <c r="V66" s="92" t="str">
        <f t="shared" si="8"/>
        <v/>
      </c>
      <c r="W66" s="93" t="str">
        <f>IF($B66="","",IF(FinalSem1!#REF!="","",FinalSem1!#REF!*0.1))</f>
        <v/>
      </c>
      <c r="X66" s="92" t="str">
        <f t="shared" si="9"/>
        <v/>
      </c>
      <c r="Y66" s="93" t="str">
        <f>IF($B66="","",IF(FinalSem1!#REF!="","",FinalSem1!#REF!*0.1))</f>
        <v/>
      </c>
      <c r="Z66" s="92" t="str">
        <f t="shared" si="10"/>
        <v/>
      </c>
      <c r="AA66" s="93" t="str">
        <f>IF(ISERR(IF(B66="","",IF(F66="III",AVERAGE('[1]FINAL SEM1'!Y67:AA67)*0.1,IF(OR(F66="I",F66="II",F66="M",F66="A"),AVERAGE('[1]FINAL SEM1'!Y67:AA67)*0.1)))),"",IF(B66="","",IF(F66="III",AVERAGE('[1]FINAL SEM1'!Y67:AA67)*0.1,IF(OR(F66="I",F66="II",F66="M",F66="A"),AVERAGE('[1]FINAL SEM1'!Y67:AA67)*0.1))))</f>
        <v/>
      </c>
      <c r="AB66" s="92" t="str">
        <f t="shared" si="11"/>
        <v/>
      </c>
      <c r="AC66" s="94" t="str">
        <f t="shared" si="12"/>
        <v/>
      </c>
      <c r="AD66" s="95" t="str">
        <f t="shared" si="13"/>
        <v/>
      </c>
      <c r="AE66" s="96" t="str">
        <f t="shared" si="14"/>
        <v/>
      </c>
      <c r="AF66" s="95" t="str">
        <f>IF(ISERR(IF(B66="","",AVERAGE('Q1'!#REF!,'Q2'!CX56)*0.1)),"",IF(B66="","",AVERAGE('Q1'!#REF!,'Q2'!CX56)*0.1))</f>
        <v/>
      </c>
      <c r="AG66" s="102" t="str">
        <f t="shared" si="15"/>
        <v/>
      </c>
      <c r="AH66" s="97" t="str">
        <f t="shared" si="16"/>
        <v/>
      </c>
      <c r="AI66" s="91" t="str">
        <f>IF(ISERR(IF('[1]FINAL SEM2'!N67="","",'[1]FINAL SEM2'!N67*0.1)),"",IF($B66="","",IF('[1]FINAL SEM2'!N67="","",'[1]FINAL SEM2'!N67*0.1)))</f>
        <v/>
      </c>
      <c r="AJ66" s="92" t="str">
        <f t="shared" si="17"/>
        <v/>
      </c>
      <c r="AK66" s="93" t="str">
        <f>IF($B66="","",IF(FinalSem2!#REF!="","",FinalSem2!#REF!*0.1))</f>
        <v/>
      </c>
      <c r="AL66" s="92" t="str">
        <f t="shared" si="18"/>
        <v/>
      </c>
      <c r="AM66" s="93" t="str">
        <f>IF($B66="","",IF(FinalSem2!#REF!="","",FinalSem2!#REF!*0.1))</f>
        <v/>
      </c>
      <c r="AN66" s="92" t="str">
        <f t="shared" si="19"/>
        <v/>
      </c>
      <c r="AO66" s="93" t="str">
        <f>IF($B66="","",IF(FinalSem2!#REF!="","",FinalSem2!#REF!*0.1))</f>
        <v/>
      </c>
      <c r="AP66" s="92" t="str">
        <f t="shared" si="20"/>
        <v/>
      </c>
      <c r="AQ66" s="93" t="str">
        <f>IF($B66="","",IF(FinalSem2!#REF!="","",FinalSem2!#REF!*0.1))</f>
        <v/>
      </c>
      <c r="AR66" s="92" t="str">
        <f t="shared" si="21"/>
        <v/>
      </c>
      <c r="AS66" s="93" t="str">
        <f>IF($B66="","",IF(FinalSem2!#REF!="","",FinalSem2!#REF!*0.1))</f>
        <v/>
      </c>
      <c r="AT66" s="92" t="str">
        <f t="shared" si="22"/>
        <v/>
      </c>
      <c r="AU66" s="93" t="str">
        <f>IF($B66="","",IF(FinalSem2!#REF!="","",FinalSem2!#REF!*0.1))</f>
        <v/>
      </c>
      <c r="AV66" s="92" t="str">
        <f t="shared" si="23"/>
        <v/>
      </c>
      <c r="AW66" s="93" t="str">
        <f>IF($B66="","",IF(FinalSem2!#REF!="","",FinalSem2!#REF!*0.1))</f>
        <v/>
      </c>
      <c r="AX66" s="92" t="str">
        <f t="shared" si="24"/>
        <v/>
      </c>
      <c r="AY66" s="93" t="str">
        <f>IF($B66="","",IF(FinalSem2!#REF!="","",FinalSem2!#REF!*0.1))</f>
        <v/>
      </c>
      <c r="AZ66" s="92" t="str">
        <f t="shared" si="25"/>
        <v/>
      </c>
      <c r="BA66" s="93" t="str">
        <f>IF($B66="","",IF(FinalSem2!#REF!="","",FinalSem2!#REF!*0.1))</f>
        <v/>
      </c>
      <c r="BB66" s="92" t="str">
        <f t="shared" si="26"/>
        <v/>
      </c>
      <c r="BC66" s="93" t="str">
        <f>IF($B66="","",IF(FinalSem2!#REF!="","",FinalSem2!#REF!*0.1))</f>
        <v/>
      </c>
      <c r="BD66" s="92" t="str">
        <f t="shared" si="27"/>
        <v/>
      </c>
      <c r="BE66" s="94" t="str">
        <f t="shared" si="28"/>
        <v/>
      </c>
      <c r="BF66" s="95" t="str">
        <f t="shared" si="29"/>
        <v/>
      </c>
      <c r="BG66" s="96" t="str">
        <f t="shared" si="30"/>
        <v/>
      </c>
      <c r="BH66" s="95" t="str">
        <f>IF(ISERR(IF(B66="","",AVERAGE('Q3'!CX72,'Q4'!CX72)*0.1)),"",IF(B66="","",AVERAGE('Q3'!CX72,'Q4'!CX72)*0.1))</f>
        <v/>
      </c>
      <c r="BI66" s="102" t="str">
        <f t="shared" si="31"/>
        <v/>
      </c>
      <c r="BJ66" s="97" t="str">
        <f t="shared" si="32"/>
        <v/>
      </c>
      <c r="BK66" s="98" t="str">
        <f t="shared" si="33"/>
        <v/>
      </c>
      <c r="BL66" s="99" t="str">
        <f t="shared" si="34"/>
        <v/>
      </c>
      <c r="BM66" s="100" t="str">
        <f t="shared" si="35"/>
        <v/>
      </c>
      <c r="BN66" s="99" t="str">
        <f t="shared" si="36"/>
        <v/>
      </c>
      <c r="BO66" s="100" t="str">
        <f t="shared" si="37"/>
        <v/>
      </c>
      <c r="BP66" s="99" t="str">
        <f t="shared" si="38"/>
        <v/>
      </c>
      <c r="BQ66" s="100" t="str">
        <f t="shared" si="39"/>
        <v/>
      </c>
      <c r="BR66" s="99" t="str">
        <f t="shared" si="40"/>
        <v/>
      </c>
      <c r="BS66" s="100" t="str">
        <f t="shared" si="41"/>
        <v/>
      </c>
      <c r="BT66" s="99" t="str">
        <f t="shared" si="42"/>
        <v/>
      </c>
      <c r="BU66" s="100" t="str">
        <f t="shared" si="43"/>
        <v/>
      </c>
      <c r="BV66" s="99" t="str">
        <f t="shared" si="44"/>
        <v/>
      </c>
      <c r="BW66" s="100" t="str">
        <f t="shared" si="45"/>
        <v/>
      </c>
      <c r="BX66" s="99" t="str">
        <f t="shared" si="46"/>
        <v/>
      </c>
      <c r="BY66" s="100" t="str">
        <f t="shared" si="47"/>
        <v/>
      </c>
      <c r="BZ66" s="99" t="str">
        <f t="shared" si="48"/>
        <v/>
      </c>
      <c r="CA66" s="101" t="str">
        <f>IF(B66="","",SUM(#REF!))</f>
        <v/>
      </c>
    </row>
    <row r="67" spans="1:79" ht="24.5" x14ac:dyDescent="0.35">
      <c r="A67" s="90" t="str">
        <f>IF('Q4'!A73="","",'Q4'!A73)</f>
        <v/>
      </c>
      <c r="B67" s="90" t="str">
        <f>IF('Q4'!B73="","",'Q4'!B73)</f>
        <v/>
      </c>
      <c r="C67" s="107" t="str">
        <f>IF('Q4'!C73="","",'Q4'!C73)</f>
        <v/>
      </c>
      <c r="D67" s="104" t="str">
        <f>IF('Q4'!D73="","",'Q4'!D73)</f>
        <v/>
      </c>
      <c r="E67" s="90" t="str">
        <f>IF('Q4'!E73="","",'Q4'!E73)</f>
        <v/>
      </c>
      <c r="F67" s="90" t="str">
        <f>IF('Q4'!F73="","",'Q4'!F73)</f>
        <v/>
      </c>
      <c r="G67" s="91" t="str">
        <f>IF($B67="","",IF(FinalSem1!#REF!="","",FinalSem1!#REF!*0.1))</f>
        <v/>
      </c>
      <c r="H67" s="92" t="str">
        <f t="shared" si="1"/>
        <v/>
      </c>
      <c r="I67" s="91" t="str">
        <f>IF($B67="","",IF(FinalSem1!#REF!="","",FinalSem1!#REF!*0.1))</f>
        <v/>
      </c>
      <c r="J67" s="92" t="str">
        <f t="shared" si="2"/>
        <v/>
      </c>
      <c r="K67" s="93" t="str">
        <f>IF($B67="","",IF(FinalSem1!#REF!="","",FinalSem1!#REF!*0.1))</f>
        <v/>
      </c>
      <c r="L67" s="92" t="str">
        <f t="shared" si="3"/>
        <v/>
      </c>
      <c r="M67" s="93" t="str">
        <f>IF($B67="","",IF(FinalSem1!#REF!="","",FinalSem1!#REF!*0.1))</f>
        <v/>
      </c>
      <c r="N67" s="92" t="str">
        <f t="shared" si="4"/>
        <v/>
      </c>
      <c r="O67" s="93" t="str">
        <f>IF($B67="","",IF(FinalSem1!#REF!="","",FinalSem1!#REF!*0.1))</f>
        <v/>
      </c>
      <c r="P67" s="92" t="str">
        <f t="shared" si="5"/>
        <v/>
      </c>
      <c r="Q67" s="93" t="str">
        <f>IF($B67="","",IF(FinalSem1!#REF!="","",FinalSem1!#REF!*0.1))</f>
        <v/>
      </c>
      <c r="R67" s="92" t="str">
        <f t="shared" si="6"/>
        <v/>
      </c>
      <c r="S67" s="93" t="str">
        <f>IF($B67="","",IF(FinalSem1!#REF!="","",FinalSem1!#REF!*0.1))</f>
        <v/>
      </c>
      <c r="T67" s="92" t="str">
        <f t="shared" si="7"/>
        <v/>
      </c>
      <c r="U67" s="93" t="str">
        <f>IF($B67="","",IF(FinalSem1!#REF!="","",FinalSem1!#REF!*0.1))</f>
        <v/>
      </c>
      <c r="V67" s="92" t="str">
        <f t="shared" si="8"/>
        <v/>
      </c>
      <c r="W67" s="93" t="str">
        <f>IF($B67="","",IF(FinalSem1!#REF!="","",FinalSem1!#REF!*0.1))</f>
        <v/>
      </c>
      <c r="X67" s="92" t="str">
        <f t="shared" si="9"/>
        <v/>
      </c>
      <c r="Y67" s="93" t="str">
        <f>IF($B67="","",IF(FinalSem1!#REF!="","",FinalSem1!#REF!*0.1))</f>
        <v/>
      </c>
      <c r="Z67" s="92" t="str">
        <f t="shared" si="10"/>
        <v/>
      </c>
      <c r="AA67" s="93" t="str">
        <f>IF(ISERR(IF(B67="","",IF(F67="III",AVERAGE('[1]FINAL SEM1'!Y68:AA68)*0.1,IF(OR(F67="I",F67="II",F67="M",F67="A"),AVERAGE('[1]FINAL SEM1'!Y68:AA68)*0.1)))),"",IF(B67="","",IF(F67="III",AVERAGE('[1]FINAL SEM1'!Y68:AA68)*0.1,IF(OR(F67="I",F67="II",F67="M",F67="A"),AVERAGE('[1]FINAL SEM1'!Y68:AA68)*0.1))))</f>
        <v/>
      </c>
      <c r="AB67" s="92" t="str">
        <f t="shared" si="11"/>
        <v/>
      </c>
      <c r="AC67" s="94" t="str">
        <f t="shared" si="12"/>
        <v/>
      </c>
      <c r="AD67" s="95" t="str">
        <f t="shared" si="13"/>
        <v/>
      </c>
      <c r="AE67" s="96" t="str">
        <f t="shared" si="14"/>
        <v/>
      </c>
      <c r="AF67" s="95" t="str">
        <f>IF(ISERR(IF(B67="","",AVERAGE('Q1'!#REF!,'Q2'!CX57)*0.1)),"",IF(B67="","",AVERAGE('Q1'!#REF!,'Q2'!CX57)*0.1))</f>
        <v/>
      </c>
      <c r="AG67" s="102" t="str">
        <f t="shared" si="15"/>
        <v/>
      </c>
      <c r="AH67" s="97" t="str">
        <f t="shared" si="16"/>
        <v/>
      </c>
      <c r="AI67" s="91" t="str">
        <f>IF(ISERR(IF('[1]FINAL SEM2'!N68="","",'[1]FINAL SEM2'!N68*0.1)),"",IF($B67="","",IF('[1]FINAL SEM2'!N68="","",'[1]FINAL SEM2'!N68*0.1)))</f>
        <v/>
      </c>
      <c r="AJ67" s="92" t="str">
        <f t="shared" si="17"/>
        <v/>
      </c>
      <c r="AK67" s="93" t="str">
        <f>IF($B67="","",IF(FinalSem2!#REF!="","",FinalSem2!#REF!*0.1))</f>
        <v/>
      </c>
      <c r="AL67" s="92" t="str">
        <f t="shared" si="18"/>
        <v/>
      </c>
      <c r="AM67" s="93" t="str">
        <f>IF($B67="","",IF(FinalSem2!#REF!="","",FinalSem2!#REF!*0.1))</f>
        <v/>
      </c>
      <c r="AN67" s="92" t="str">
        <f t="shared" si="19"/>
        <v/>
      </c>
      <c r="AO67" s="93" t="str">
        <f>IF($B67="","",IF(FinalSem2!#REF!="","",FinalSem2!#REF!*0.1))</f>
        <v/>
      </c>
      <c r="AP67" s="92" t="str">
        <f t="shared" si="20"/>
        <v/>
      </c>
      <c r="AQ67" s="93" t="str">
        <f>IF($B67="","",IF(FinalSem2!#REF!="","",FinalSem2!#REF!*0.1))</f>
        <v/>
      </c>
      <c r="AR67" s="92" t="str">
        <f t="shared" si="21"/>
        <v/>
      </c>
      <c r="AS67" s="93" t="str">
        <f>IF($B67="","",IF(FinalSem2!#REF!="","",FinalSem2!#REF!*0.1))</f>
        <v/>
      </c>
      <c r="AT67" s="92" t="str">
        <f t="shared" si="22"/>
        <v/>
      </c>
      <c r="AU67" s="93" t="str">
        <f>IF($B67="","",IF(FinalSem2!#REF!="","",FinalSem2!#REF!*0.1))</f>
        <v/>
      </c>
      <c r="AV67" s="92" t="str">
        <f t="shared" si="23"/>
        <v/>
      </c>
      <c r="AW67" s="93" t="str">
        <f>IF($B67="","",IF(FinalSem2!#REF!="","",FinalSem2!#REF!*0.1))</f>
        <v/>
      </c>
      <c r="AX67" s="92" t="str">
        <f t="shared" si="24"/>
        <v/>
      </c>
      <c r="AY67" s="93" t="str">
        <f>IF($B67="","",IF(FinalSem2!#REF!="","",FinalSem2!#REF!*0.1))</f>
        <v/>
      </c>
      <c r="AZ67" s="92" t="str">
        <f t="shared" si="25"/>
        <v/>
      </c>
      <c r="BA67" s="93" t="str">
        <f>IF($B67="","",IF(FinalSem2!#REF!="","",FinalSem2!#REF!*0.1))</f>
        <v/>
      </c>
      <c r="BB67" s="92" t="str">
        <f t="shared" si="26"/>
        <v/>
      </c>
      <c r="BC67" s="93" t="str">
        <f>IF($B67="","",IF(FinalSem2!#REF!="","",FinalSem2!#REF!*0.1))</f>
        <v/>
      </c>
      <c r="BD67" s="92" t="str">
        <f t="shared" si="27"/>
        <v/>
      </c>
      <c r="BE67" s="94" t="str">
        <f t="shared" si="28"/>
        <v/>
      </c>
      <c r="BF67" s="95" t="str">
        <f t="shared" si="29"/>
        <v/>
      </c>
      <c r="BG67" s="96" t="str">
        <f t="shared" si="30"/>
        <v/>
      </c>
      <c r="BH67" s="95" t="str">
        <f>IF(ISERR(IF(B67="","",AVERAGE('Q3'!CX73,'Q4'!CX73)*0.1)),"",IF(B67="","",AVERAGE('Q3'!CX73,'Q4'!CX73)*0.1))</f>
        <v/>
      </c>
      <c r="BI67" s="102" t="str">
        <f t="shared" si="31"/>
        <v/>
      </c>
      <c r="BJ67" s="97" t="str">
        <f t="shared" si="32"/>
        <v/>
      </c>
      <c r="BK67" s="98" t="str">
        <f t="shared" si="33"/>
        <v/>
      </c>
      <c r="BL67" s="99" t="str">
        <f t="shared" si="34"/>
        <v/>
      </c>
      <c r="BM67" s="100" t="str">
        <f t="shared" si="35"/>
        <v/>
      </c>
      <c r="BN67" s="99" t="str">
        <f t="shared" si="36"/>
        <v/>
      </c>
      <c r="BO67" s="100" t="str">
        <f t="shared" si="37"/>
        <v/>
      </c>
      <c r="BP67" s="99" t="str">
        <f t="shared" si="38"/>
        <v/>
      </c>
      <c r="BQ67" s="100" t="str">
        <f t="shared" si="39"/>
        <v/>
      </c>
      <c r="BR67" s="99" t="str">
        <f t="shared" si="40"/>
        <v/>
      </c>
      <c r="BS67" s="100" t="str">
        <f t="shared" si="41"/>
        <v/>
      </c>
      <c r="BT67" s="99" t="str">
        <f t="shared" si="42"/>
        <v/>
      </c>
      <c r="BU67" s="100" t="str">
        <f t="shared" si="43"/>
        <v/>
      </c>
      <c r="BV67" s="99" t="str">
        <f t="shared" si="44"/>
        <v/>
      </c>
      <c r="BW67" s="100" t="str">
        <f t="shared" si="45"/>
        <v/>
      </c>
      <c r="BX67" s="99" t="str">
        <f t="shared" si="46"/>
        <v/>
      </c>
      <c r="BY67" s="100" t="str">
        <f t="shared" si="47"/>
        <v/>
      </c>
      <c r="BZ67" s="99" t="str">
        <f t="shared" si="48"/>
        <v/>
      </c>
      <c r="CA67" s="101" t="str">
        <f>IF(B67="","",SUM(#REF!))</f>
        <v/>
      </c>
    </row>
  </sheetData>
  <mergeCells count="33">
    <mergeCell ref="CA7:CA8"/>
    <mergeCell ref="G8:J8"/>
    <mergeCell ref="K8:N8"/>
    <mergeCell ref="O8:R8"/>
    <mergeCell ref="S8:V8"/>
    <mergeCell ref="W8:Z8"/>
    <mergeCell ref="AA8:AD8"/>
    <mergeCell ref="BW8:BZ8"/>
    <mergeCell ref="AE8:AH8"/>
    <mergeCell ref="AI8:AL8"/>
    <mergeCell ref="AM8:AP8"/>
    <mergeCell ref="AQ8:AT8"/>
    <mergeCell ref="AQ6:BZ6"/>
    <mergeCell ref="B6:B8"/>
    <mergeCell ref="C6:C8"/>
    <mergeCell ref="D6:D8"/>
    <mergeCell ref="E6:E8"/>
    <mergeCell ref="A6:A8"/>
    <mergeCell ref="AU8:AX8"/>
    <mergeCell ref="BS8:BV8"/>
    <mergeCell ref="A2:B2"/>
    <mergeCell ref="C2:D2"/>
    <mergeCell ref="A3:B3"/>
    <mergeCell ref="C3:D3"/>
    <mergeCell ref="A4:B4"/>
    <mergeCell ref="C4:D4"/>
    <mergeCell ref="AY8:BB8"/>
    <mergeCell ref="BC8:BF8"/>
    <mergeCell ref="BG8:BJ8"/>
    <mergeCell ref="BK8:BM8"/>
    <mergeCell ref="BO8:BR8"/>
    <mergeCell ref="F6:F8"/>
    <mergeCell ref="G6:AP6"/>
  </mergeCells>
  <conditionalFormatting sqref="AI9:AI67 BK20:BK67 BY20:BY67 G9:G67 BM20:BM67 BO20:BO67 BQ20:BQ67 BS20:BS67 BU20:BU67 BW20:BW67">
    <cfRule type="cellIs" dxfId="22" priority="2" stopIfTrue="1" operator="between">
      <formula>0.1</formula>
      <formula>4.99</formula>
    </cfRule>
  </conditionalFormatting>
  <conditionalFormatting sqref="BE20:BE67 AC9:AC67">
    <cfRule type="cellIs" dxfId="21" priority="3" stopIfTrue="1" operator="between">
      <formula>0.1</formula>
      <formula>49.99</formula>
    </cfRule>
  </conditionalFormatting>
  <conditionalFormatting sqref="I9:I67">
    <cfRule type="cellIs" dxfId="20" priority="1" stopIfTrue="1" operator="between">
      <formula>0.1</formula>
      <formula>4.99</formula>
    </cfRule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2F202-76D3-4FE8-8793-E329DBF7F87C}">
  <sheetPr codeName="Sheet8">
    <tabColor rgb="FF7030A0"/>
  </sheetPr>
  <dimension ref="A1:IB25"/>
  <sheetViews>
    <sheetView topLeftCell="A5" zoomScale="40" zoomScaleNormal="70" workbookViewId="0">
      <pane xSplit="3" ySplit="10" topLeftCell="D15" activePane="bottomRight" state="frozen"/>
      <selection activeCell="C11" sqref="C11"/>
      <selection pane="topRight" activeCell="C11" sqref="C11"/>
      <selection pane="bottomLeft" activeCell="C11" sqref="C11"/>
      <selection pane="bottomRight" activeCell="G23" sqref="G23"/>
    </sheetView>
  </sheetViews>
  <sheetFormatPr defaultRowHeight="14.5" x14ac:dyDescent="0.35"/>
  <cols>
    <col min="2" max="2" width="24.1796875" customWidth="1"/>
    <col min="3" max="3" width="26" bestFit="1" customWidth="1"/>
  </cols>
  <sheetData>
    <row r="1" spans="1:236" s="4" customFormat="1" x14ac:dyDescent="0.35"/>
    <row r="2" spans="1:236" s="4" customFormat="1" x14ac:dyDescent="0.35"/>
    <row r="3" spans="1:236" s="4" customFormat="1" x14ac:dyDescent="0.35"/>
    <row r="4" spans="1:236" s="4" customFormat="1" x14ac:dyDescent="0.35"/>
    <row r="5" spans="1:236" s="4" customFormat="1" x14ac:dyDescent="0.35"/>
    <row r="6" spans="1:236" s="4" customFormat="1" x14ac:dyDescent="0.35"/>
    <row r="7" spans="1:236" s="4" customFormat="1" x14ac:dyDescent="0.35"/>
    <row r="8" spans="1:236" s="4" customFormat="1" ht="20" x14ac:dyDescent="0.35">
      <c r="A8" s="281" t="s">
        <v>23</v>
      </c>
      <c r="B8" s="281"/>
      <c r="C8" s="15">
        <v>100</v>
      </c>
    </row>
    <row r="9" spans="1:236" s="4" customFormat="1" ht="20" x14ac:dyDescent="0.35">
      <c r="A9" s="281" t="s">
        <v>32</v>
      </c>
      <c r="B9" s="281"/>
      <c r="C9" s="15" t="s">
        <v>235</v>
      </c>
      <c r="D9" s="5"/>
    </row>
    <row r="10" spans="1:236" s="4" customFormat="1" ht="20" x14ac:dyDescent="0.35">
      <c r="A10" s="283" t="s">
        <v>47</v>
      </c>
      <c r="B10" s="284"/>
      <c r="C10" s="15" t="s">
        <v>238</v>
      </c>
      <c r="D10" s="5"/>
    </row>
    <row r="11" spans="1:236" s="4" customFormat="1" ht="20.25" customHeight="1" thickBot="1" x14ac:dyDescent="0.45">
      <c r="A11" s="241" t="s">
        <v>46</v>
      </c>
      <c r="B11" s="242"/>
      <c r="C11" s="16" t="s">
        <v>126</v>
      </c>
      <c r="D11" s="306" t="s">
        <v>34</v>
      </c>
      <c r="E11" s="307"/>
      <c r="F11" s="307"/>
      <c r="G11" s="307"/>
      <c r="H11" s="307"/>
      <c r="I11" s="307"/>
      <c r="J11" s="307"/>
      <c r="K11" s="307"/>
      <c r="L11" s="307"/>
      <c r="M11" s="307"/>
      <c r="N11" s="307"/>
      <c r="O11" s="307"/>
      <c r="P11" s="307"/>
      <c r="Q11" s="307"/>
      <c r="R11" s="307"/>
      <c r="S11" s="30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308" t="s">
        <v>35</v>
      </c>
      <c r="AY11" s="308"/>
      <c r="AZ11" s="308"/>
      <c r="BA11" s="308"/>
      <c r="BB11" s="308"/>
      <c r="BC11" s="308"/>
      <c r="BD11" s="308"/>
      <c r="BE11" s="308"/>
      <c r="BF11" s="308"/>
      <c r="BG11" s="308"/>
      <c r="BH11" s="308"/>
      <c r="BI11" s="308"/>
      <c r="BJ11" s="308"/>
      <c r="BK11" s="308"/>
      <c r="BL11" s="308"/>
      <c r="BM11" s="308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302" t="s">
        <v>104</v>
      </c>
      <c r="CP11" s="303"/>
      <c r="CQ11" s="303"/>
      <c r="CR11" s="303"/>
      <c r="CS11" s="303"/>
      <c r="CT11" s="303"/>
      <c r="CU11" s="303"/>
      <c r="CV11" s="303"/>
      <c r="CW11" s="304"/>
      <c r="CX11" s="305" t="s">
        <v>105</v>
      </c>
      <c r="CY11" s="305"/>
      <c r="CZ11" s="305"/>
      <c r="DA11" s="305"/>
      <c r="DB11" s="305"/>
      <c r="DC11" s="305"/>
      <c r="DD11" s="305"/>
      <c r="DE11" s="305"/>
      <c r="DF11" s="305"/>
      <c r="DG11" s="305"/>
      <c r="DH11" s="305"/>
      <c r="DI11" s="305"/>
      <c r="DJ11" s="305"/>
      <c r="DK11" s="305"/>
      <c r="DL11" s="305"/>
      <c r="DM11" s="305"/>
      <c r="DN11" s="305"/>
      <c r="DO11" s="305"/>
      <c r="DP11" s="305"/>
      <c r="DQ11" s="305"/>
      <c r="DR11" s="305"/>
      <c r="DS11" s="305"/>
      <c r="DT11" s="305"/>
      <c r="DU11" s="305"/>
      <c r="DV11" s="305"/>
      <c r="DW11" s="58"/>
      <c r="DX11" s="58"/>
      <c r="DY11" s="58"/>
      <c r="DZ11" s="63" t="s">
        <v>33</v>
      </c>
      <c r="EA11" s="63"/>
      <c r="EB11" s="63"/>
      <c r="EC11" s="63"/>
      <c r="ED11" s="63"/>
      <c r="EE11" s="63"/>
      <c r="EF11" s="63"/>
      <c r="EG11" s="63"/>
      <c r="EH11" s="63"/>
      <c r="EI11" s="63"/>
      <c r="EJ11" s="63"/>
      <c r="EK11" s="63"/>
      <c r="EL11" s="63"/>
      <c r="EM11" s="63"/>
      <c r="EN11" s="63"/>
      <c r="EO11" s="63"/>
      <c r="EP11" s="63"/>
      <c r="EQ11" s="63"/>
      <c r="ER11" s="63"/>
      <c r="ES11" s="63"/>
      <c r="ET11" s="63"/>
      <c r="EU11" s="63"/>
      <c r="EV11" s="63"/>
      <c r="EW11" s="63"/>
      <c r="EX11" s="63"/>
      <c r="EY11" s="63"/>
      <c r="EZ11" s="63"/>
      <c r="FA11" s="63"/>
      <c r="FB11" s="63"/>
      <c r="FC11" s="63"/>
      <c r="FD11" s="63"/>
      <c r="FE11" s="63"/>
      <c r="FF11" s="63"/>
      <c r="FG11" s="63"/>
      <c r="FH11" s="63"/>
      <c r="FI11" s="63"/>
      <c r="FJ11" s="63"/>
      <c r="FK11" s="63"/>
      <c r="FL11" s="63"/>
      <c r="FM11" s="63"/>
      <c r="FN11" s="63"/>
      <c r="FO11" s="63"/>
      <c r="FP11" s="63"/>
      <c r="FQ11" s="63"/>
      <c r="FR11" s="63"/>
      <c r="FS11" s="63"/>
      <c r="FT11" s="63"/>
      <c r="FU11" s="63"/>
      <c r="FV11" s="63"/>
      <c r="FW11" s="63"/>
      <c r="FX11" s="63"/>
      <c r="FY11" s="63"/>
      <c r="FZ11" s="63"/>
      <c r="GA11" s="63"/>
      <c r="GB11" s="63"/>
      <c r="GC11" s="63"/>
      <c r="GD11" s="63"/>
      <c r="GE11" s="63"/>
      <c r="GF11" s="63"/>
      <c r="GG11" s="63"/>
      <c r="GH11" s="63"/>
      <c r="GI11" s="63"/>
      <c r="GJ11" s="63"/>
      <c r="GK11" s="63"/>
      <c r="GL11" s="63"/>
      <c r="GM11" s="63"/>
      <c r="GN11" s="63"/>
      <c r="GO11" s="63"/>
      <c r="GP11" s="63"/>
      <c r="GQ11" s="63"/>
      <c r="GR11" s="63"/>
      <c r="GS11" s="63"/>
      <c r="GT11" s="63"/>
      <c r="GU11" s="63"/>
      <c r="GV11" s="63"/>
      <c r="GW11" s="63"/>
      <c r="GX11" s="63"/>
      <c r="GY11" s="63"/>
      <c r="GZ11" s="63"/>
      <c r="HA11" s="63"/>
      <c r="HB11" s="63"/>
      <c r="HC11" s="63"/>
      <c r="HD11" s="63"/>
      <c r="HE11" s="63"/>
      <c r="HF11" s="63"/>
      <c r="HG11" s="63"/>
      <c r="HH11" s="63"/>
      <c r="HI11" s="63"/>
      <c r="HJ11" s="63"/>
      <c r="HK11" s="63"/>
      <c r="HL11" s="63"/>
      <c r="HM11" s="63"/>
      <c r="HN11" s="63"/>
      <c r="HO11" s="63"/>
      <c r="HP11" s="63"/>
      <c r="HQ11" s="63"/>
      <c r="HR11" s="63"/>
      <c r="HS11" s="63"/>
      <c r="HT11" s="63"/>
      <c r="HU11" s="63"/>
      <c r="HV11" s="63"/>
      <c r="HW11" s="63"/>
      <c r="HX11" s="63"/>
      <c r="HY11" s="63"/>
      <c r="HZ11" s="63"/>
      <c r="IA11" s="63"/>
      <c r="IB11" s="63"/>
    </row>
    <row r="12" spans="1:236" ht="18" customHeight="1" thickBot="1" x14ac:dyDescent="0.4">
      <c r="A12" s="237"/>
      <c r="B12" s="237"/>
      <c r="C12" s="237"/>
      <c r="D12" s="237"/>
      <c r="E12" s="237"/>
      <c r="F12" s="237"/>
      <c r="G12" s="245" t="s">
        <v>57</v>
      </c>
      <c r="H12" s="245"/>
      <c r="I12" s="245"/>
      <c r="J12" s="245"/>
      <c r="K12" s="245"/>
      <c r="L12" s="245"/>
      <c r="M12" s="245"/>
      <c r="N12" s="245"/>
      <c r="O12" s="246"/>
      <c r="P12" s="186" t="s">
        <v>81</v>
      </c>
      <c r="Q12" s="186"/>
      <c r="R12" s="186"/>
      <c r="S12" s="186"/>
      <c r="T12" s="186"/>
      <c r="U12" s="186"/>
      <c r="V12" s="186"/>
      <c r="W12" s="200" t="s">
        <v>75</v>
      </c>
      <c r="X12" s="201"/>
      <c r="Y12" s="201"/>
      <c r="Z12" s="201"/>
      <c r="AA12" s="201"/>
      <c r="AB12" s="202"/>
      <c r="AC12" s="203" t="s">
        <v>76</v>
      </c>
      <c r="AD12" s="204"/>
      <c r="AE12" s="204"/>
      <c r="AF12" s="204"/>
      <c r="AG12" s="204"/>
      <c r="AH12" s="204"/>
      <c r="AI12" s="50"/>
      <c r="AJ12" s="50"/>
      <c r="AK12" s="50" t="s">
        <v>30</v>
      </c>
      <c r="AL12" s="50"/>
      <c r="AM12" s="50"/>
      <c r="AN12" s="50"/>
      <c r="AO12" s="48"/>
      <c r="AP12" s="48"/>
      <c r="AQ12" s="48"/>
      <c r="AR12" s="49"/>
      <c r="AS12" s="263" t="s">
        <v>24</v>
      </c>
      <c r="AT12" s="263"/>
      <c r="AU12" s="263"/>
      <c r="AV12" s="263"/>
      <c r="AW12" s="263"/>
      <c r="AX12" s="311" t="s">
        <v>57</v>
      </c>
      <c r="AY12" s="311"/>
      <c r="AZ12" s="311"/>
      <c r="BA12" s="311"/>
      <c r="BB12" s="311"/>
      <c r="BC12" s="311"/>
      <c r="BD12" s="311"/>
      <c r="BE12" s="311"/>
      <c r="BF12" s="312"/>
      <c r="BG12" s="186" t="s">
        <v>81</v>
      </c>
      <c r="BH12" s="186"/>
      <c r="BI12" s="186"/>
      <c r="BJ12" s="186"/>
      <c r="BK12" s="186"/>
      <c r="BL12" s="186"/>
      <c r="BM12" s="186"/>
      <c r="BN12" s="200" t="s">
        <v>75</v>
      </c>
      <c r="BO12" s="201"/>
      <c r="BP12" s="201"/>
      <c r="BQ12" s="201"/>
      <c r="BR12" s="201"/>
      <c r="BS12" s="202"/>
      <c r="BT12" s="309" t="s">
        <v>76</v>
      </c>
      <c r="BU12" s="186"/>
      <c r="BV12" s="186"/>
      <c r="BW12" s="186"/>
      <c r="BX12" s="186"/>
      <c r="BY12" s="310"/>
      <c r="BZ12" s="54"/>
      <c r="CA12" s="50"/>
      <c r="CB12" s="50" t="s">
        <v>30</v>
      </c>
      <c r="CC12" s="50"/>
      <c r="CD12" s="50"/>
      <c r="CE12" s="50"/>
      <c r="CF12" s="62"/>
      <c r="CG12" s="62"/>
      <c r="CH12" s="62"/>
      <c r="CI12" s="62"/>
      <c r="CJ12" s="263" t="s">
        <v>24</v>
      </c>
      <c r="CK12" s="263"/>
      <c r="CL12" s="263"/>
      <c r="CM12" s="263"/>
      <c r="CN12" s="263"/>
      <c r="CO12" s="73"/>
      <c r="CP12" s="73"/>
      <c r="CQ12" s="73"/>
      <c r="CR12" s="73"/>
      <c r="CS12" s="73"/>
      <c r="CT12" s="73"/>
      <c r="CU12" s="73"/>
      <c r="CV12" s="73"/>
      <c r="CW12" s="73"/>
      <c r="CX12" s="186" t="s">
        <v>12</v>
      </c>
      <c r="CY12" s="186"/>
      <c r="CZ12" s="186"/>
      <c r="DA12" s="186"/>
      <c r="DB12" s="186"/>
      <c r="DC12" s="186"/>
      <c r="DD12" s="186"/>
      <c r="DE12" s="200" t="s">
        <v>75</v>
      </c>
      <c r="DF12" s="201"/>
      <c r="DG12" s="201"/>
      <c r="DH12" s="201"/>
      <c r="DI12" s="201"/>
      <c r="DJ12" s="202"/>
      <c r="DK12" s="309" t="s">
        <v>76</v>
      </c>
      <c r="DL12" s="186"/>
      <c r="DM12" s="186"/>
      <c r="DN12" s="186"/>
      <c r="DO12" s="186"/>
      <c r="DP12" s="310"/>
      <c r="DQ12" s="187" t="s">
        <v>30</v>
      </c>
      <c r="DR12" s="188"/>
      <c r="DS12" s="188"/>
      <c r="DT12" s="188"/>
      <c r="DU12" s="188"/>
      <c r="DV12" s="188"/>
      <c r="DW12" s="188"/>
      <c r="DX12" s="188"/>
      <c r="DY12" s="188"/>
      <c r="DZ12" s="313" t="s">
        <v>80</v>
      </c>
      <c r="EA12" s="313"/>
      <c r="EB12" s="313"/>
      <c r="EC12" s="313"/>
      <c r="ED12" s="313"/>
      <c r="EE12" s="313"/>
      <c r="EF12" s="313"/>
      <c r="EG12" s="313"/>
      <c r="EH12" s="313"/>
      <c r="EI12" s="186" t="s">
        <v>82</v>
      </c>
      <c r="EJ12" s="186"/>
      <c r="EK12" s="186"/>
      <c r="EL12" s="186"/>
      <c r="EM12" s="186"/>
      <c r="EN12" s="186"/>
      <c r="EO12" s="186"/>
      <c r="EP12" s="293" t="s">
        <v>67</v>
      </c>
      <c r="EQ12" s="293"/>
      <c r="ER12" s="293"/>
      <c r="ES12" s="293"/>
      <c r="ET12" s="293"/>
      <c r="EU12" s="293"/>
      <c r="EV12" s="293"/>
      <c r="EW12" s="293"/>
      <c r="EX12" s="294"/>
      <c r="EY12" s="211" t="s">
        <v>68</v>
      </c>
      <c r="EZ12" s="211"/>
      <c r="FA12" s="211"/>
      <c r="FB12" s="211"/>
      <c r="FC12" s="211"/>
      <c r="FD12" s="211"/>
      <c r="FE12" s="211"/>
      <c r="FF12" s="172" t="s">
        <v>69</v>
      </c>
      <c r="FG12" s="172"/>
      <c r="FH12" s="172"/>
      <c r="FI12" s="172"/>
      <c r="FJ12" s="172"/>
      <c r="FK12" s="172"/>
      <c r="FL12" s="172"/>
      <c r="FM12" s="172"/>
      <c r="FN12" s="173"/>
      <c r="FO12" s="186" t="s">
        <v>77</v>
      </c>
      <c r="FP12" s="186"/>
      <c r="FQ12" s="186"/>
      <c r="FR12" s="186"/>
      <c r="FS12" s="186"/>
      <c r="FT12" s="186"/>
      <c r="FU12" s="186"/>
      <c r="FV12" s="176" t="s">
        <v>71</v>
      </c>
      <c r="FW12" s="177"/>
      <c r="FX12" s="177"/>
      <c r="FY12" s="177"/>
      <c r="FZ12" s="177"/>
      <c r="GA12" s="177"/>
      <c r="GB12" s="177"/>
      <c r="GC12" s="177"/>
      <c r="GD12" s="178"/>
      <c r="GE12" s="186" t="s">
        <v>78</v>
      </c>
      <c r="GF12" s="186"/>
      <c r="GG12" s="186"/>
      <c r="GH12" s="186"/>
      <c r="GI12" s="186"/>
      <c r="GJ12" s="186"/>
      <c r="GK12" s="186"/>
      <c r="GL12" s="221" t="s">
        <v>73</v>
      </c>
      <c r="GM12" s="221"/>
      <c r="GN12" s="221"/>
      <c r="GO12" s="221"/>
      <c r="GP12" s="221"/>
      <c r="GQ12" s="221"/>
      <c r="GR12" s="221"/>
      <c r="GS12" s="221"/>
      <c r="GT12" s="221"/>
      <c r="GU12" s="186" t="s">
        <v>79</v>
      </c>
      <c r="GV12" s="186"/>
      <c r="GW12" s="186"/>
      <c r="GX12" s="186"/>
      <c r="GY12" s="186"/>
      <c r="GZ12" s="186"/>
      <c r="HA12" s="186"/>
      <c r="HB12" s="200" t="s">
        <v>75</v>
      </c>
      <c r="HC12" s="201"/>
      <c r="HD12" s="201"/>
      <c r="HE12" s="201"/>
      <c r="HF12" s="201"/>
      <c r="HG12" s="202"/>
      <c r="HH12" s="309" t="s">
        <v>76</v>
      </c>
      <c r="HI12" s="186"/>
      <c r="HJ12" s="186"/>
      <c r="HK12" s="186"/>
      <c r="HL12" s="186"/>
      <c r="HM12" s="310"/>
      <c r="HN12" s="54"/>
      <c r="HO12" s="50"/>
      <c r="HP12" s="50" t="s">
        <v>30</v>
      </c>
      <c r="HQ12" s="50"/>
      <c r="HR12" s="50"/>
      <c r="HS12" s="50"/>
      <c r="HT12" s="64"/>
      <c r="HU12" s="64"/>
      <c r="HV12" s="64"/>
      <c r="HW12" s="65"/>
      <c r="HX12" s="263" t="s">
        <v>24</v>
      </c>
      <c r="HY12" s="263"/>
      <c r="HZ12" s="263"/>
      <c r="IA12" s="263"/>
      <c r="IB12" s="263"/>
    </row>
    <row r="13" spans="1:236" ht="126.75" customHeight="1" thickBot="1" x14ac:dyDescent="0.4">
      <c r="A13" s="238" t="s">
        <v>0</v>
      </c>
      <c r="B13" s="238" t="s">
        <v>1</v>
      </c>
      <c r="C13" s="238" t="s">
        <v>2</v>
      </c>
      <c r="D13" s="238" t="s">
        <v>3</v>
      </c>
      <c r="E13" s="238" t="s">
        <v>4</v>
      </c>
      <c r="F13" s="238" t="s">
        <v>5</v>
      </c>
      <c r="G13" s="213" t="s">
        <v>59</v>
      </c>
      <c r="H13" s="213" t="s">
        <v>66</v>
      </c>
      <c r="I13" s="213" t="s">
        <v>60</v>
      </c>
      <c r="J13" s="213" t="s">
        <v>114</v>
      </c>
      <c r="K13" s="215" t="s">
        <v>61</v>
      </c>
      <c r="L13" s="205" t="s">
        <v>102</v>
      </c>
      <c r="M13" s="207" t="s">
        <v>62</v>
      </c>
      <c r="N13" s="209" t="s">
        <v>63</v>
      </c>
      <c r="O13" s="209" t="s">
        <v>64</v>
      </c>
      <c r="P13" s="220" t="s">
        <v>6</v>
      </c>
      <c r="Q13" s="193" t="s">
        <v>50</v>
      </c>
      <c r="R13" s="193" t="s">
        <v>52</v>
      </c>
      <c r="S13" s="193" t="s">
        <v>54</v>
      </c>
      <c r="T13" s="193" t="s">
        <v>31</v>
      </c>
      <c r="U13" s="285" t="s">
        <v>51</v>
      </c>
      <c r="V13" s="285" t="s">
        <v>7</v>
      </c>
      <c r="W13" s="170" t="s">
        <v>14</v>
      </c>
      <c r="X13" s="171" t="s">
        <v>15</v>
      </c>
      <c r="Y13" s="170" t="s">
        <v>16</v>
      </c>
      <c r="Z13" s="170" t="s">
        <v>49</v>
      </c>
      <c r="AA13" s="170" t="s">
        <v>48</v>
      </c>
      <c r="AB13" s="170" t="s">
        <v>19</v>
      </c>
      <c r="AC13" s="232" t="s">
        <v>14</v>
      </c>
      <c r="AD13" s="233" t="s">
        <v>15</v>
      </c>
      <c r="AE13" s="232" t="s">
        <v>16</v>
      </c>
      <c r="AF13" s="232" t="s">
        <v>17</v>
      </c>
      <c r="AG13" s="232" t="s">
        <v>18</v>
      </c>
      <c r="AH13" s="232" t="s">
        <v>19</v>
      </c>
      <c r="AI13" s="51" t="s">
        <v>14</v>
      </c>
      <c r="AJ13" s="51" t="s">
        <v>15</v>
      </c>
      <c r="AK13" s="51" t="s">
        <v>16</v>
      </c>
      <c r="AL13" s="51" t="s">
        <v>49</v>
      </c>
      <c r="AM13" s="51" t="s">
        <v>48</v>
      </c>
      <c r="AN13" s="51" t="s">
        <v>19</v>
      </c>
      <c r="AO13" s="314" t="s">
        <v>20</v>
      </c>
      <c r="AP13" s="314" t="s">
        <v>21</v>
      </c>
      <c r="AQ13" s="314" t="s">
        <v>22</v>
      </c>
      <c r="AR13" s="314" t="s">
        <v>23</v>
      </c>
      <c r="AS13" s="264" t="s">
        <v>25</v>
      </c>
      <c r="AT13" s="264" t="s">
        <v>26</v>
      </c>
      <c r="AU13" s="264" t="s">
        <v>27</v>
      </c>
      <c r="AV13" s="265" t="s">
        <v>28</v>
      </c>
      <c r="AW13" s="264" t="s">
        <v>29</v>
      </c>
      <c r="AX13" s="315" t="s">
        <v>59</v>
      </c>
      <c r="AY13" s="315" t="s">
        <v>66</v>
      </c>
      <c r="AZ13" s="315" t="s">
        <v>60</v>
      </c>
      <c r="BA13" s="315" t="s">
        <v>114</v>
      </c>
      <c r="BB13" s="317" t="s">
        <v>61</v>
      </c>
      <c r="BC13" s="318" t="s">
        <v>102</v>
      </c>
      <c r="BD13" s="320" t="s">
        <v>62</v>
      </c>
      <c r="BE13" s="322" t="s">
        <v>63</v>
      </c>
      <c r="BF13" s="322" t="s">
        <v>64</v>
      </c>
      <c r="BG13" s="220" t="s">
        <v>6</v>
      </c>
      <c r="BH13" s="193" t="s">
        <v>50</v>
      </c>
      <c r="BI13" s="193" t="s">
        <v>52</v>
      </c>
      <c r="BJ13" s="193" t="s">
        <v>54</v>
      </c>
      <c r="BK13" s="193" t="s">
        <v>31</v>
      </c>
      <c r="BL13" s="285" t="s">
        <v>51</v>
      </c>
      <c r="BM13" s="285" t="s">
        <v>7</v>
      </c>
      <c r="BN13" s="170" t="s">
        <v>14</v>
      </c>
      <c r="BO13" s="171" t="s">
        <v>15</v>
      </c>
      <c r="BP13" s="170" t="s">
        <v>16</v>
      </c>
      <c r="BQ13" s="170" t="s">
        <v>49</v>
      </c>
      <c r="BR13" s="170" t="s">
        <v>48</v>
      </c>
      <c r="BS13" s="170" t="s">
        <v>19</v>
      </c>
      <c r="BT13" s="232" t="s">
        <v>14</v>
      </c>
      <c r="BU13" s="233" t="s">
        <v>15</v>
      </c>
      <c r="BV13" s="232" t="s">
        <v>16</v>
      </c>
      <c r="BW13" s="232" t="s">
        <v>17</v>
      </c>
      <c r="BX13" s="232" t="s">
        <v>18</v>
      </c>
      <c r="BY13" s="232" t="s">
        <v>19</v>
      </c>
      <c r="BZ13" s="55" t="s">
        <v>14</v>
      </c>
      <c r="CA13" s="51" t="s">
        <v>15</v>
      </c>
      <c r="CB13" s="51" t="s">
        <v>16</v>
      </c>
      <c r="CC13" s="51" t="s">
        <v>49</v>
      </c>
      <c r="CD13" s="51" t="s">
        <v>48</v>
      </c>
      <c r="CE13" s="51" t="s">
        <v>19</v>
      </c>
      <c r="CF13" s="314" t="s">
        <v>20</v>
      </c>
      <c r="CG13" s="314" t="s">
        <v>21</v>
      </c>
      <c r="CH13" s="314" t="s">
        <v>22</v>
      </c>
      <c r="CI13" s="314" t="s">
        <v>23</v>
      </c>
      <c r="CJ13" s="264" t="s">
        <v>25</v>
      </c>
      <c r="CK13" s="264" t="s">
        <v>26</v>
      </c>
      <c r="CL13" s="264" t="s">
        <v>27</v>
      </c>
      <c r="CM13" s="265" t="s">
        <v>28</v>
      </c>
      <c r="CN13" s="264" t="s">
        <v>29</v>
      </c>
      <c r="CO13" s="315" t="s">
        <v>59</v>
      </c>
      <c r="CP13" s="315" t="s">
        <v>66</v>
      </c>
      <c r="CQ13" s="315" t="s">
        <v>60</v>
      </c>
      <c r="CR13" s="315" t="s">
        <v>114</v>
      </c>
      <c r="CS13" s="317" t="s">
        <v>61</v>
      </c>
      <c r="CT13" s="318" t="s">
        <v>102</v>
      </c>
      <c r="CU13" s="320" t="s">
        <v>62</v>
      </c>
      <c r="CV13" s="322" t="s">
        <v>63</v>
      </c>
      <c r="CW13" s="322" t="s">
        <v>64</v>
      </c>
      <c r="CX13" s="220" t="s">
        <v>6</v>
      </c>
      <c r="CY13" s="193" t="s">
        <v>50</v>
      </c>
      <c r="CZ13" s="193" t="s">
        <v>52</v>
      </c>
      <c r="DA13" s="193" t="s">
        <v>54</v>
      </c>
      <c r="DB13" s="193" t="s">
        <v>31</v>
      </c>
      <c r="DC13" s="285" t="s">
        <v>51</v>
      </c>
      <c r="DD13" s="285" t="s">
        <v>7</v>
      </c>
      <c r="DE13" s="170" t="s">
        <v>14</v>
      </c>
      <c r="DF13" s="171" t="s">
        <v>15</v>
      </c>
      <c r="DG13" s="170" t="s">
        <v>16</v>
      </c>
      <c r="DH13" s="170" t="s">
        <v>49</v>
      </c>
      <c r="DI13" s="170" t="s">
        <v>48</v>
      </c>
      <c r="DJ13" s="170" t="s">
        <v>19</v>
      </c>
      <c r="DK13" s="232" t="s">
        <v>14</v>
      </c>
      <c r="DL13" s="233" t="s">
        <v>15</v>
      </c>
      <c r="DM13" s="232" t="s">
        <v>16</v>
      </c>
      <c r="DN13" s="232" t="s">
        <v>17</v>
      </c>
      <c r="DO13" s="232" t="s">
        <v>18</v>
      </c>
      <c r="DP13" s="232" t="s">
        <v>19</v>
      </c>
      <c r="DQ13" s="80" t="s">
        <v>14</v>
      </c>
      <c r="DR13" s="81" t="s">
        <v>15</v>
      </c>
      <c r="DS13" s="81" t="s">
        <v>16</v>
      </c>
      <c r="DT13" s="81" t="s">
        <v>49</v>
      </c>
      <c r="DU13" s="81" t="s">
        <v>48</v>
      </c>
      <c r="DV13" s="81" t="s">
        <v>19</v>
      </c>
      <c r="DW13" s="264" t="s">
        <v>20</v>
      </c>
      <c r="DX13" s="264" t="s">
        <v>21</v>
      </c>
      <c r="DY13" s="264" t="s">
        <v>22</v>
      </c>
      <c r="DZ13" s="295" t="s">
        <v>59</v>
      </c>
      <c r="EA13" s="295" t="s">
        <v>66</v>
      </c>
      <c r="EB13" s="295" t="s">
        <v>60</v>
      </c>
      <c r="EC13" s="295" t="s">
        <v>114</v>
      </c>
      <c r="ED13" s="297" t="s">
        <v>61</v>
      </c>
      <c r="EE13" s="287" t="s">
        <v>102</v>
      </c>
      <c r="EF13" s="289" t="s">
        <v>62</v>
      </c>
      <c r="EG13" s="291" t="s">
        <v>63</v>
      </c>
      <c r="EH13" s="291" t="s">
        <v>64</v>
      </c>
      <c r="EI13" s="220" t="s">
        <v>6</v>
      </c>
      <c r="EJ13" s="193" t="s">
        <v>50</v>
      </c>
      <c r="EK13" s="193" t="s">
        <v>52</v>
      </c>
      <c r="EL13" s="193" t="s">
        <v>54</v>
      </c>
      <c r="EM13" s="193" t="s">
        <v>31</v>
      </c>
      <c r="EN13" s="285" t="s">
        <v>51</v>
      </c>
      <c r="EO13" s="285" t="s">
        <v>7</v>
      </c>
      <c r="EP13" s="295" t="s">
        <v>59</v>
      </c>
      <c r="EQ13" s="295" t="s">
        <v>66</v>
      </c>
      <c r="ER13" s="295" t="s">
        <v>60</v>
      </c>
      <c r="ES13" s="295" t="s">
        <v>114</v>
      </c>
      <c r="ET13" s="297" t="s">
        <v>61</v>
      </c>
      <c r="EU13" s="287" t="s">
        <v>102</v>
      </c>
      <c r="EV13" s="289" t="s">
        <v>62</v>
      </c>
      <c r="EW13" s="291" t="s">
        <v>63</v>
      </c>
      <c r="EX13" s="291" t="s">
        <v>64</v>
      </c>
      <c r="EY13" s="220" t="s">
        <v>6</v>
      </c>
      <c r="EZ13" s="193" t="s">
        <v>50</v>
      </c>
      <c r="FA13" s="193" t="s">
        <v>52</v>
      </c>
      <c r="FB13" s="193" t="s">
        <v>54</v>
      </c>
      <c r="FC13" s="193" t="s">
        <v>31</v>
      </c>
      <c r="FD13" s="285" t="s">
        <v>51</v>
      </c>
      <c r="FE13" s="285" t="s">
        <v>7</v>
      </c>
      <c r="FF13" s="46" t="s">
        <v>59</v>
      </c>
      <c r="FG13" s="46" t="s">
        <v>66</v>
      </c>
      <c r="FH13" s="46" t="s">
        <v>60</v>
      </c>
      <c r="FI13" s="46" t="s">
        <v>114</v>
      </c>
      <c r="FJ13" s="46" t="s">
        <v>61</v>
      </c>
      <c r="FK13" s="46" t="s">
        <v>102</v>
      </c>
      <c r="FL13" s="46" t="s">
        <v>62</v>
      </c>
      <c r="FM13" s="46" t="s">
        <v>63</v>
      </c>
      <c r="FN13" s="46" t="s">
        <v>64</v>
      </c>
      <c r="FO13" s="19" t="s">
        <v>6</v>
      </c>
      <c r="FP13" s="18" t="s">
        <v>50</v>
      </c>
      <c r="FQ13" s="18" t="s">
        <v>52</v>
      </c>
      <c r="FR13" s="18" t="s">
        <v>54</v>
      </c>
      <c r="FS13" s="18" t="s">
        <v>31</v>
      </c>
      <c r="FT13" s="23" t="s">
        <v>51</v>
      </c>
      <c r="FU13" s="23" t="s">
        <v>7</v>
      </c>
      <c r="FV13" s="174" t="s">
        <v>59</v>
      </c>
      <c r="FW13" s="174" t="s">
        <v>66</v>
      </c>
      <c r="FX13" s="174" t="s">
        <v>60</v>
      </c>
      <c r="FY13" s="174" t="s">
        <v>117</v>
      </c>
      <c r="FZ13" s="179" t="s">
        <v>61</v>
      </c>
      <c r="GA13" s="180" t="s">
        <v>102</v>
      </c>
      <c r="GB13" s="182" t="s">
        <v>62</v>
      </c>
      <c r="GC13" s="184" t="s">
        <v>63</v>
      </c>
      <c r="GD13" s="184" t="s">
        <v>64</v>
      </c>
      <c r="GE13" s="220" t="s">
        <v>6</v>
      </c>
      <c r="GF13" s="193" t="s">
        <v>50</v>
      </c>
      <c r="GG13" s="193" t="s">
        <v>52</v>
      </c>
      <c r="GH13" s="193" t="s">
        <v>54</v>
      </c>
      <c r="GI13" s="193" t="s">
        <v>31</v>
      </c>
      <c r="GJ13" s="285" t="s">
        <v>51</v>
      </c>
      <c r="GK13" s="285" t="s">
        <v>7</v>
      </c>
      <c r="GL13" s="222" t="s">
        <v>59</v>
      </c>
      <c r="GM13" s="222" t="s">
        <v>66</v>
      </c>
      <c r="GN13" s="222" t="s">
        <v>60</v>
      </c>
      <c r="GO13" s="222" t="s">
        <v>117</v>
      </c>
      <c r="GP13" s="224" t="s">
        <v>61</v>
      </c>
      <c r="GQ13" s="225" t="s">
        <v>102</v>
      </c>
      <c r="GR13" s="227" t="s">
        <v>62</v>
      </c>
      <c r="GS13" s="229" t="s">
        <v>63</v>
      </c>
      <c r="GT13" s="229" t="s">
        <v>64</v>
      </c>
      <c r="GU13" s="240" t="s">
        <v>6</v>
      </c>
      <c r="GV13" s="231" t="s">
        <v>50</v>
      </c>
      <c r="GW13" s="231" t="s">
        <v>52</v>
      </c>
      <c r="GX13" s="231" t="s">
        <v>54</v>
      </c>
      <c r="GY13" s="231" t="s">
        <v>31</v>
      </c>
      <c r="GZ13" s="231" t="s">
        <v>51</v>
      </c>
      <c r="HA13" s="231" t="s">
        <v>7</v>
      </c>
      <c r="HB13" s="170" t="s">
        <v>14</v>
      </c>
      <c r="HC13" s="171" t="s">
        <v>15</v>
      </c>
      <c r="HD13" s="170" t="s">
        <v>16</v>
      </c>
      <c r="HE13" s="170" t="s">
        <v>49</v>
      </c>
      <c r="HF13" s="170" t="s">
        <v>48</v>
      </c>
      <c r="HG13" s="170" t="s">
        <v>19</v>
      </c>
      <c r="HH13" s="232" t="s">
        <v>14</v>
      </c>
      <c r="HI13" s="233" t="s">
        <v>15</v>
      </c>
      <c r="HJ13" s="232" t="s">
        <v>16</v>
      </c>
      <c r="HK13" s="232" t="s">
        <v>17</v>
      </c>
      <c r="HL13" s="232" t="s">
        <v>18</v>
      </c>
      <c r="HM13" s="232" t="s">
        <v>19</v>
      </c>
      <c r="HN13" s="55" t="s">
        <v>14</v>
      </c>
      <c r="HO13" s="51" t="s">
        <v>15</v>
      </c>
      <c r="HP13" s="51" t="s">
        <v>16</v>
      </c>
      <c r="HQ13" s="51" t="s">
        <v>49</v>
      </c>
      <c r="HR13" s="51" t="s">
        <v>48</v>
      </c>
      <c r="HS13" s="51" t="s">
        <v>19</v>
      </c>
      <c r="HT13" s="325" t="s">
        <v>20</v>
      </c>
      <c r="HU13" s="325" t="s">
        <v>21</v>
      </c>
      <c r="HV13" s="325" t="s">
        <v>22</v>
      </c>
      <c r="HW13" s="325" t="s">
        <v>23</v>
      </c>
      <c r="HX13" s="264" t="s">
        <v>25</v>
      </c>
      <c r="HY13" s="264" t="s">
        <v>26</v>
      </c>
      <c r="HZ13" s="264" t="s">
        <v>27</v>
      </c>
      <c r="IA13" s="265" t="s">
        <v>28</v>
      </c>
      <c r="IB13" s="264" t="s">
        <v>29</v>
      </c>
    </row>
    <row r="14" spans="1:236" ht="39.75" customHeight="1" x14ac:dyDescent="0.35">
      <c r="A14" s="238"/>
      <c r="B14" s="238"/>
      <c r="C14" s="238"/>
      <c r="D14" s="238"/>
      <c r="E14" s="238"/>
      <c r="F14" s="238"/>
      <c r="G14" s="214"/>
      <c r="H14" s="214"/>
      <c r="I14" s="214"/>
      <c r="J14" s="214"/>
      <c r="K14" s="215"/>
      <c r="L14" s="206"/>
      <c r="M14" s="208"/>
      <c r="N14" s="210"/>
      <c r="O14" s="210"/>
      <c r="P14" s="220"/>
      <c r="Q14" s="193"/>
      <c r="R14" s="193"/>
      <c r="S14" s="193"/>
      <c r="T14" s="193"/>
      <c r="U14" s="192"/>
      <c r="V14" s="192"/>
      <c r="W14" s="170"/>
      <c r="X14" s="171"/>
      <c r="Y14" s="170"/>
      <c r="Z14" s="170"/>
      <c r="AA14" s="170"/>
      <c r="AB14" s="170"/>
      <c r="AC14" s="232"/>
      <c r="AD14" s="233"/>
      <c r="AE14" s="232"/>
      <c r="AF14" s="232"/>
      <c r="AG14" s="232"/>
      <c r="AH14" s="232"/>
      <c r="AI14" s="169" t="s">
        <v>30</v>
      </c>
      <c r="AJ14" s="169"/>
      <c r="AK14" s="169"/>
      <c r="AL14" s="169"/>
      <c r="AM14" s="169"/>
      <c r="AN14" s="169"/>
      <c r="AO14" s="314"/>
      <c r="AP14" s="314"/>
      <c r="AQ14" s="314"/>
      <c r="AR14" s="314"/>
      <c r="AS14" s="264"/>
      <c r="AT14" s="264"/>
      <c r="AU14" s="264"/>
      <c r="AV14" s="265"/>
      <c r="AW14" s="264"/>
      <c r="AX14" s="316"/>
      <c r="AY14" s="316"/>
      <c r="AZ14" s="316"/>
      <c r="BA14" s="316"/>
      <c r="BB14" s="317"/>
      <c r="BC14" s="319"/>
      <c r="BD14" s="321"/>
      <c r="BE14" s="323"/>
      <c r="BF14" s="323"/>
      <c r="BG14" s="220"/>
      <c r="BH14" s="193"/>
      <c r="BI14" s="193"/>
      <c r="BJ14" s="193"/>
      <c r="BK14" s="193"/>
      <c r="BL14" s="192"/>
      <c r="BM14" s="192"/>
      <c r="BN14" s="170"/>
      <c r="BO14" s="171"/>
      <c r="BP14" s="170"/>
      <c r="BQ14" s="170"/>
      <c r="BR14" s="170"/>
      <c r="BS14" s="170"/>
      <c r="BT14" s="232"/>
      <c r="BU14" s="233"/>
      <c r="BV14" s="232"/>
      <c r="BW14" s="232"/>
      <c r="BX14" s="232"/>
      <c r="BY14" s="232"/>
      <c r="BZ14" s="169" t="s">
        <v>30</v>
      </c>
      <c r="CA14" s="169"/>
      <c r="CB14" s="169"/>
      <c r="CC14" s="169"/>
      <c r="CD14" s="169"/>
      <c r="CE14" s="169"/>
      <c r="CF14" s="314"/>
      <c r="CG14" s="314"/>
      <c r="CH14" s="314"/>
      <c r="CI14" s="314"/>
      <c r="CJ14" s="264"/>
      <c r="CK14" s="264"/>
      <c r="CL14" s="264"/>
      <c r="CM14" s="265"/>
      <c r="CN14" s="264"/>
      <c r="CO14" s="316"/>
      <c r="CP14" s="316"/>
      <c r="CQ14" s="316"/>
      <c r="CR14" s="316"/>
      <c r="CS14" s="317"/>
      <c r="CT14" s="319"/>
      <c r="CU14" s="321"/>
      <c r="CV14" s="323"/>
      <c r="CW14" s="323"/>
      <c r="CX14" s="220"/>
      <c r="CY14" s="193"/>
      <c r="CZ14" s="193"/>
      <c r="DA14" s="193"/>
      <c r="DB14" s="193"/>
      <c r="DC14" s="192"/>
      <c r="DD14" s="192"/>
      <c r="DE14" s="170"/>
      <c r="DF14" s="171"/>
      <c r="DG14" s="170"/>
      <c r="DH14" s="170"/>
      <c r="DI14" s="170"/>
      <c r="DJ14" s="170"/>
      <c r="DK14" s="232"/>
      <c r="DL14" s="233"/>
      <c r="DM14" s="232"/>
      <c r="DN14" s="232"/>
      <c r="DO14" s="232"/>
      <c r="DP14" s="232"/>
      <c r="DQ14" s="324" t="s">
        <v>30</v>
      </c>
      <c r="DR14" s="324"/>
      <c r="DS14" s="324"/>
      <c r="DT14" s="324"/>
      <c r="DU14" s="324"/>
      <c r="DV14" s="324"/>
      <c r="DW14" s="264"/>
      <c r="DX14" s="264"/>
      <c r="DY14" s="264"/>
      <c r="DZ14" s="296"/>
      <c r="EA14" s="296"/>
      <c r="EB14" s="296"/>
      <c r="EC14" s="296"/>
      <c r="ED14" s="297"/>
      <c r="EE14" s="288"/>
      <c r="EF14" s="290"/>
      <c r="EG14" s="292"/>
      <c r="EH14" s="292"/>
      <c r="EI14" s="220"/>
      <c r="EJ14" s="193"/>
      <c r="EK14" s="193"/>
      <c r="EL14" s="193"/>
      <c r="EM14" s="193"/>
      <c r="EN14" s="192"/>
      <c r="EO14" s="192"/>
      <c r="EP14" s="296"/>
      <c r="EQ14" s="296"/>
      <c r="ER14" s="296"/>
      <c r="ES14" s="296"/>
      <c r="ET14" s="297"/>
      <c r="EU14" s="288"/>
      <c r="EV14" s="290"/>
      <c r="EW14" s="292"/>
      <c r="EX14" s="292"/>
      <c r="EY14" s="220"/>
      <c r="EZ14" s="193"/>
      <c r="FA14" s="193"/>
      <c r="FB14" s="193"/>
      <c r="FC14" s="193"/>
      <c r="FD14" s="192"/>
      <c r="FE14" s="192"/>
      <c r="FF14" s="47">
        <v>2</v>
      </c>
      <c r="FG14" s="47">
        <v>2</v>
      </c>
      <c r="FH14" s="47">
        <v>3</v>
      </c>
      <c r="FI14" s="47">
        <v>1</v>
      </c>
      <c r="FJ14" s="47">
        <v>5</v>
      </c>
      <c r="FK14" s="47">
        <v>3</v>
      </c>
      <c r="FL14" s="47">
        <v>2</v>
      </c>
      <c r="FM14" s="47">
        <v>1</v>
      </c>
      <c r="FN14" s="47">
        <v>1</v>
      </c>
      <c r="FO14" s="2">
        <v>5</v>
      </c>
      <c r="FP14" s="2">
        <v>1</v>
      </c>
      <c r="FQ14" s="2">
        <v>5</v>
      </c>
      <c r="FR14" s="2">
        <v>3</v>
      </c>
      <c r="FS14" s="2">
        <v>2</v>
      </c>
      <c r="FT14" s="2">
        <v>2</v>
      </c>
      <c r="FU14" s="2">
        <v>2</v>
      </c>
      <c r="FV14" s="175"/>
      <c r="FW14" s="175"/>
      <c r="FX14" s="175"/>
      <c r="FY14" s="175"/>
      <c r="FZ14" s="179"/>
      <c r="GA14" s="181"/>
      <c r="GB14" s="183"/>
      <c r="GC14" s="185"/>
      <c r="GD14" s="185"/>
      <c r="GE14" s="220"/>
      <c r="GF14" s="193"/>
      <c r="GG14" s="193"/>
      <c r="GH14" s="193"/>
      <c r="GI14" s="193"/>
      <c r="GJ14" s="192"/>
      <c r="GK14" s="192"/>
      <c r="GL14" s="223"/>
      <c r="GM14" s="223"/>
      <c r="GN14" s="223"/>
      <c r="GO14" s="223"/>
      <c r="GP14" s="224"/>
      <c r="GQ14" s="226"/>
      <c r="GR14" s="228"/>
      <c r="GS14" s="230"/>
      <c r="GT14" s="230"/>
      <c r="GU14" s="240"/>
      <c r="GV14" s="231"/>
      <c r="GW14" s="231"/>
      <c r="GX14" s="231"/>
      <c r="GY14" s="231"/>
      <c r="GZ14" s="231"/>
      <c r="HA14" s="231"/>
      <c r="HB14" s="170"/>
      <c r="HC14" s="171"/>
      <c r="HD14" s="170"/>
      <c r="HE14" s="170"/>
      <c r="HF14" s="170"/>
      <c r="HG14" s="170"/>
      <c r="HH14" s="232"/>
      <c r="HI14" s="233"/>
      <c r="HJ14" s="232"/>
      <c r="HK14" s="232"/>
      <c r="HL14" s="232"/>
      <c r="HM14" s="232"/>
      <c r="HN14" s="169" t="s">
        <v>239</v>
      </c>
      <c r="HO14" s="169"/>
      <c r="HP14" s="169"/>
      <c r="HQ14" s="169"/>
      <c r="HR14" s="169"/>
      <c r="HS14" s="169"/>
      <c r="HT14" s="326"/>
      <c r="HU14" s="326"/>
      <c r="HV14" s="326"/>
      <c r="HW14" s="326"/>
      <c r="HX14" s="264"/>
      <c r="HY14" s="264"/>
      <c r="HZ14" s="264"/>
      <c r="IA14" s="265"/>
      <c r="IB14" s="264"/>
    </row>
    <row r="15" spans="1:236" ht="27" customHeight="1" x14ac:dyDescent="0.35">
      <c r="A15" s="24">
        <v>1</v>
      </c>
      <c r="B15" s="28" t="s">
        <v>212</v>
      </c>
      <c r="C15" s="30" t="s">
        <v>211</v>
      </c>
      <c r="D15" s="28">
        <v>1</v>
      </c>
      <c r="E15" s="24" t="s">
        <v>125</v>
      </c>
      <c r="F15" s="24" t="s">
        <v>210</v>
      </c>
      <c r="G15" s="26">
        <v>72</v>
      </c>
      <c r="H15" s="26">
        <v>86.666666666666671</v>
      </c>
      <c r="I15" s="26">
        <v>86.666666666666671</v>
      </c>
      <c r="J15" s="26">
        <v>68</v>
      </c>
      <c r="K15" s="26">
        <v>82.100000000000009</v>
      </c>
      <c r="L15" s="26">
        <v>86.666666666666671</v>
      </c>
      <c r="M15" s="26">
        <v>86.666666666666671</v>
      </c>
      <c r="N15" s="26">
        <v>89</v>
      </c>
      <c r="O15" s="26">
        <v>89</v>
      </c>
      <c r="P15" s="26">
        <v>93.38666666666667</v>
      </c>
      <c r="Q15" s="26">
        <v>93.38666666666667</v>
      </c>
      <c r="R15" s="26">
        <v>59.07</v>
      </c>
      <c r="S15" s="26">
        <v>60.363636363636367</v>
      </c>
      <c r="T15" s="26">
        <v>66</v>
      </c>
      <c r="U15" s="26">
        <v>96.5</v>
      </c>
      <c r="V15" s="26">
        <v>98</v>
      </c>
      <c r="W15" s="24">
        <v>20</v>
      </c>
      <c r="X15" s="26">
        <v>1667.1666666666667</v>
      </c>
      <c r="Y15" s="26">
        <v>56.5</v>
      </c>
      <c r="Z15" s="26">
        <v>83.358333333333334</v>
      </c>
      <c r="AA15" s="24" t="s">
        <v>242</v>
      </c>
      <c r="AB15" s="26">
        <v>2.8250000000000002</v>
      </c>
      <c r="AC15" s="24">
        <v>20</v>
      </c>
      <c r="AD15" s="26">
        <v>1557.7609090909091</v>
      </c>
      <c r="AE15" s="26">
        <v>52.5</v>
      </c>
      <c r="AF15" s="26">
        <v>77.888045454545448</v>
      </c>
      <c r="AG15" s="24" t="s">
        <v>241</v>
      </c>
      <c r="AH15" s="27">
        <v>2.625</v>
      </c>
      <c r="AI15" s="24">
        <v>40</v>
      </c>
      <c r="AJ15" s="26">
        <v>3224.9275757575756</v>
      </c>
      <c r="AK15" s="26">
        <v>109</v>
      </c>
      <c r="AL15" s="26">
        <v>80.623189393939384</v>
      </c>
      <c r="AM15" s="24" t="s">
        <v>242</v>
      </c>
      <c r="AN15" s="26">
        <v>2.7250000000000001</v>
      </c>
      <c r="AO15" s="24">
        <v>7</v>
      </c>
      <c r="AP15" s="24" t="s">
        <v>235</v>
      </c>
      <c r="AQ15" s="24">
        <v>11</v>
      </c>
      <c r="AR15" s="24">
        <v>50</v>
      </c>
      <c r="AS15" s="24">
        <v>0</v>
      </c>
      <c r="AT15" s="24">
        <v>0</v>
      </c>
      <c r="AU15" s="24">
        <v>0</v>
      </c>
      <c r="AV15" s="24">
        <v>0</v>
      </c>
      <c r="AW15" s="25">
        <v>1</v>
      </c>
      <c r="AX15" s="26">
        <v>86</v>
      </c>
      <c r="AY15" s="26">
        <v>89.2</v>
      </c>
      <c r="AZ15" s="26">
        <v>88.800000000000011</v>
      </c>
      <c r="BA15" s="26">
        <v>86</v>
      </c>
      <c r="BB15" s="26">
        <v>87.566666666666663</v>
      </c>
      <c r="BC15" s="26">
        <v>87.76666666666668</v>
      </c>
      <c r="BD15" s="26">
        <v>87.866666666666674</v>
      </c>
      <c r="BE15" s="26">
        <v>100</v>
      </c>
      <c r="BF15" s="26">
        <v>100</v>
      </c>
      <c r="BG15" s="26">
        <v>90.4</v>
      </c>
      <c r="BH15" s="26">
        <v>90.4</v>
      </c>
      <c r="BI15" s="26">
        <v>64.58</v>
      </c>
      <c r="BJ15" s="26">
        <v>54.666666666666664</v>
      </c>
      <c r="BK15" s="26">
        <v>93.333333333333343</v>
      </c>
      <c r="BL15" s="26">
        <v>94.166666666666671</v>
      </c>
      <c r="BM15" s="26">
        <v>91</v>
      </c>
      <c r="BN15" s="24">
        <v>20</v>
      </c>
      <c r="BO15" s="24">
        <v>1779.6666666666667</v>
      </c>
      <c r="BP15" s="26">
        <v>62</v>
      </c>
      <c r="BQ15" s="26">
        <v>88.983333333333334</v>
      </c>
      <c r="BR15" s="24" t="s">
        <v>242</v>
      </c>
      <c r="BS15" s="26">
        <v>3.1</v>
      </c>
      <c r="BT15" s="24">
        <v>20</v>
      </c>
      <c r="BU15" s="26">
        <v>1586.3</v>
      </c>
      <c r="BV15" s="26">
        <v>58.5</v>
      </c>
      <c r="BW15" s="26">
        <v>79.314999999999998</v>
      </c>
      <c r="BX15" s="24" t="s">
        <v>241</v>
      </c>
      <c r="BY15" s="27">
        <v>2.9249999999999998</v>
      </c>
      <c r="BZ15" s="24">
        <v>40</v>
      </c>
      <c r="CA15" s="27">
        <v>3365.9666666666672</v>
      </c>
      <c r="CB15" s="27">
        <v>120.5</v>
      </c>
      <c r="CC15" s="26">
        <v>84.149166666666673</v>
      </c>
      <c r="CD15" s="27" t="s">
        <v>242</v>
      </c>
      <c r="CE15" s="26">
        <v>3.0125000000000002</v>
      </c>
      <c r="CF15" s="24">
        <v>6</v>
      </c>
      <c r="CG15" s="24" t="s">
        <v>235</v>
      </c>
      <c r="CH15" s="24">
        <v>11</v>
      </c>
      <c r="CI15" s="24">
        <v>50</v>
      </c>
      <c r="CJ15" s="24">
        <v>0</v>
      </c>
      <c r="CK15" s="24">
        <v>0</v>
      </c>
      <c r="CL15" s="24">
        <v>0</v>
      </c>
      <c r="CM15" s="24">
        <v>0</v>
      </c>
      <c r="CN15" s="25">
        <v>1</v>
      </c>
      <c r="CO15" s="7">
        <v>80</v>
      </c>
      <c r="CP15" s="7">
        <v>70</v>
      </c>
      <c r="CQ15" s="7">
        <v>90</v>
      </c>
      <c r="CR15" s="7">
        <v>90</v>
      </c>
      <c r="CS15" s="7">
        <v>80</v>
      </c>
      <c r="CT15" s="7">
        <v>85</v>
      </c>
      <c r="CU15" s="7">
        <v>75</v>
      </c>
      <c r="CV15" s="7"/>
      <c r="CW15" s="7"/>
      <c r="CX15" s="7">
        <v>76</v>
      </c>
      <c r="CY15" s="7"/>
      <c r="CZ15" s="7">
        <v>51</v>
      </c>
      <c r="DA15" s="7">
        <v>28</v>
      </c>
      <c r="DB15" s="7">
        <v>91</v>
      </c>
      <c r="DC15" s="7">
        <v>89.5</v>
      </c>
      <c r="DD15" s="7">
        <v>72</v>
      </c>
      <c r="DE15" s="24">
        <v>18</v>
      </c>
      <c r="DF15" s="26">
        <v>1465</v>
      </c>
      <c r="DG15" s="26">
        <v>54</v>
      </c>
      <c r="DH15" s="26">
        <v>81.388888888888886</v>
      </c>
      <c r="DI15" s="24" t="s">
        <v>242</v>
      </c>
      <c r="DJ15" s="26">
        <v>3</v>
      </c>
      <c r="DK15" s="24">
        <v>19</v>
      </c>
      <c r="DL15" s="24">
        <v>1224</v>
      </c>
      <c r="DM15" s="26">
        <v>33</v>
      </c>
      <c r="DN15" s="26">
        <v>64.421052631578945</v>
      </c>
      <c r="DO15" s="24" t="s">
        <v>243</v>
      </c>
      <c r="DP15" s="27">
        <v>1.736842105263158</v>
      </c>
      <c r="DQ15" s="24">
        <v>37</v>
      </c>
      <c r="DR15" s="27">
        <v>2689</v>
      </c>
      <c r="DS15" s="27">
        <v>87</v>
      </c>
      <c r="DT15" s="26">
        <v>72.675675675675677</v>
      </c>
      <c r="DU15" s="24" t="s">
        <v>241</v>
      </c>
      <c r="DV15" s="26">
        <v>2.3513513513513513</v>
      </c>
      <c r="DW15" s="24">
        <v>6</v>
      </c>
      <c r="DX15" s="24" t="s">
        <v>235</v>
      </c>
      <c r="DY15" s="24">
        <v>11</v>
      </c>
      <c r="DZ15" s="26">
        <v>79.5</v>
      </c>
      <c r="EA15" s="26">
        <v>78.966666666666669</v>
      </c>
      <c r="EB15" s="26">
        <v>88.866666666666674</v>
      </c>
      <c r="EC15" s="26">
        <v>83.5</v>
      </c>
      <c r="ED15" s="26">
        <v>82.416666666666671</v>
      </c>
      <c r="EE15" s="26">
        <v>86.108333333333334</v>
      </c>
      <c r="EF15" s="26">
        <v>81.13333333333334</v>
      </c>
      <c r="EG15" s="26">
        <v>94.5</v>
      </c>
      <c r="EH15" s="26">
        <v>94.5</v>
      </c>
      <c r="EI15" s="26">
        <v>83.946666666666673</v>
      </c>
      <c r="EJ15" s="26">
        <v>91.893333333333345</v>
      </c>
      <c r="EK15" s="26">
        <v>56.412500000000001</v>
      </c>
      <c r="EL15" s="26">
        <v>42.757575757575758</v>
      </c>
      <c r="EM15" s="26">
        <v>85.333333333333343</v>
      </c>
      <c r="EN15" s="26">
        <v>92.416666666666671</v>
      </c>
      <c r="EO15" s="26">
        <v>83.25</v>
      </c>
      <c r="EP15" s="26" t="s">
        <v>241</v>
      </c>
      <c r="EQ15" s="26" t="s">
        <v>241</v>
      </c>
      <c r="ER15" s="26" t="s">
        <v>242</v>
      </c>
      <c r="ES15" s="26" t="s">
        <v>242</v>
      </c>
      <c r="ET15" s="26" t="s">
        <v>242</v>
      </c>
      <c r="EU15" s="26" t="s">
        <v>242</v>
      </c>
      <c r="EV15" s="26" t="s">
        <v>242</v>
      </c>
      <c r="EW15" s="26" t="s">
        <v>244</v>
      </c>
      <c r="EX15" s="26" t="s">
        <v>244</v>
      </c>
      <c r="EY15" s="24" t="s">
        <v>242</v>
      </c>
      <c r="EZ15" s="24" t="s">
        <v>244</v>
      </c>
      <c r="FA15" s="24" t="s">
        <v>245</v>
      </c>
      <c r="FB15" s="24" t="s">
        <v>125</v>
      </c>
      <c r="FC15" s="24" t="s">
        <v>242</v>
      </c>
      <c r="FD15" s="24" t="s">
        <v>244</v>
      </c>
      <c r="FE15" s="24" t="s">
        <v>242</v>
      </c>
      <c r="FF15" s="24">
        <v>2</v>
      </c>
      <c r="FG15" s="24">
        <v>2</v>
      </c>
      <c r="FH15" s="24">
        <v>3</v>
      </c>
      <c r="FI15" s="24">
        <v>1</v>
      </c>
      <c r="FJ15" s="24">
        <v>5</v>
      </c>
      <c r="FK15" s="24">
        <v>3</v>
      </c>
      <c r="FL15" s="24">
        <v>2</v>
      </c>
      <c r="FM15" s="24">
        <v>1</v>
      </c>
      <c r="FN15" s="24">
        <v>1</v>
      </c>
      <c r="FO15" s="24">
        <v>5</v>
      </c>
      <c r="FP15" s="24">
        <v>1</v>
      </c>
      <c r="FQ15" s="24">
        <v>5</v>
      </c>
      <c r="FR15" s="24">
        <v>3</v>
      </c>
      <c r="FS15" s="24">
        <v>2</v>
      </c>
      <c r="FT15" s="24">
        <v>2</v>
      </c>
      <c r="FU15" s="24">
        <v>2</v>
      </c>
      <c r="FV15" s="26">
        <v>159</v>
      </c>
      <c r="FW15" s="26">
        <v>157.93333333333334</v>
      </c>
      <c r="FX15" s="26">
        <v>266.60000000000002</v>
      </c>
      <c r="FY15" s="26">
        <v>83.5</v>
      </c>
      <c r="FZ15" s="26">
        <v>412.08333333333337</v>
      </c>
      <c r="GA15" s="26">
        <v>258.32499999999999</v>
      </c>
      <c r="GB15" s="26">
        <v>162.26666666666668</v>
      </c>
      <c r="GC15" s="26">
        <v>94.5</v>
      </c>
      <c r="GD15" s="26">
        <v>94.5</v>
      </c>
      <c r="GE15" s="26">
        <v>419.73333333333335</v>
      </c>
      <c r="GF15" s="26">
        <v>91.893333333333345</v>
      </c>
      <c r="GG15" s="26">
        <v>282.0625</v>
      </c>
      <c r="GH15" s="26">
        <v>128.27272727272728</v>
      </c>
      <c r="GI15" s="26">
        <v>170.66666666666669</v>
      </c>
      <c r="GJ15" s="26">
        <v>184.83333333333334</v>
      </c>
      <c r="GK15" s="26">
        <v>166.5</v>
      </c>
      <c r="GL15" s="24">
        <v>4</v>
      </c>
      <c r="GM15" s="24">
        <v>4</v>
      </c>
      <c r="GN15" s="24">
        <v>9</v>
      </c>
      <c r="GO15" s="24">
        <v>3</v>
      </c>
      <c r="GP15" s="24">
        <v>15</v>
      </c>
      <c r="GQ15" s="24">
        <v>9</v>
      </c>
      <c r="GR15" s="24">
        <v>6</v>
      </c>
      <c r="GS15" s="24">
        <v>4</v>
      </c>
      <c r="GT15" s="24">
        <v>4</v>
      </c>
      <c r="GU15" s="24">
        <v>15</v>
      </c>
      <c r="GV15" s="24">
        <v>4</v>
      </c>
      <c r="GW15" s="24">
        <v>5</v>
      </c>
      <c r="GX15" s="24">
        <v>0</v>
      </c>
      <c r="GY15" s="24">
        <v>6</v>
      </c>
      <c r="GZ15" s="24">
        <v>8</v>
      </c>
      <c r="HA15" s="24">
        <v>6</v>
      </c>
      <c r="HB15" s="24">
        <v>20</v>
      </c>
      <c r="HC15" s="24">
        <v>1688.7083333333335</v>
      </c>
      <c r="HD15" s="26">
        <v>58</v>
      </c>
      <c r="HE15" s="26">
        <v>84.435416666666669</v>
      </c>
      <c r="HF15" s="24" t="s">
        <v>242</v>
      </c>
      <c r="HG15" s="26">
        <v>2.9</v>
      </c>
      <c r="HH15" s="24">
        <v>20</v>
      </c>
      <c r="HI15" s="26">
        <v>1443.9618939393938</v>
      </c>
      <c r="HJ15" s="26">
        <v>44</v>
      </c>
      <c r="HK15" s="26">
        <v>72.19809469696969</v>
      </c>
      <c r="HL15" s="24" t="s">
        <v>241</v>
      </c>
      <c r="HM15" s="27">
        <v>2.2000000000000002</v>
      </c>
      <c r="HN15" s="24">
        <v>40</v>
      </c>
      <c r="HO15" s="27">
        <v>3132.6702272727275</v>
      </c>
      <c r="HP15" s="27">
        <v>102</v>
      </c>
      <c r="HQ15" s="26">
        <v>78.316755681818194</v>
      </c>
      <c r="HR15" s="27" t="s">
        <v>241</v>
      </c>
      <c r="HS15" s="26">
        <v>2.5499999999999998</v>
      </c>
      <c r="HT15" s="24">
        <v>6</v>
      </c>
      <c r="HU15" s="24" t="s">
        <v>235</v>
      </c>
      <c r="HV15" s="24">
        <v>11</v>
      </c>
      <c r="HW15" s="24">
        <v>100</v>
      </c>
      <c r="HX15" s="24">
        <v>0</v>
      </c>
      <c r="HY15" s="24">
        <v>0</v>
      </c>
      <c r="HZ15" s="24">
        <v>0</v>
      </c>
      <c r="IA15" s="24">
        <v>0</v>
      </c>
      <c r="IB15" s="25">
        <v>1</v>
      </c>
    </row>
    <row r="16" spans="1:236" ht="27" customHeight="1" x14ac:dyDescent="0.35">
      <c r="A16" s="24">
        <v>2</v>
      </c>
      <c r="B16" s="28" t="s">
        <v>127</v>
      </c>
      <c r="C16" s="30" t="s">
        <v>128</v>
      </c>
      <c r="D16" s="28">
        <v>2</v>
      </c>
      <c r="E16" s="24" t="s">
        <v>124</v>
      </c>
      <c r="F16" s="24" t="s">
        <v>210</v>
      </c>
      <c r="G16" s="26">
        <v>73.333333333333343</v>
      </c>
      <c r="H16" s="26">
        <v>90.066666666666677</v>
      </c>
      <c r="I16" s="26">
        <v>90.066666666666677</v>
      </c>
      <c r="J16" s="26">
        <v>72</v>
      </c>
      <c r="K16" s="26">
        <v>87.600000000000009</v>
      </c>
      <c r="L16" s="26">
        <v>89.966666666666683</v>
      </c>
      <c r="M16" s="26">
        <v>90.066666666666677</v>
      </c>
      <c r="N16" s="26">
        <v>90</v>
      </c>
      <c r="O16" s="26">
        <v>90</v>
      </c>
      <c r="P16" s="26">
        <v>90.506666666666675</v>
      </c>
      <c r="Q16" s="26">
        <v>90.506666666666675</v>
      </c>
      <c r="R16" s="26">
        <v>57.73</v>
      </c>
      <c r="S16" s="26">
        <v>65.969696969696969</v>
      </c>
      <c r="T16" s="26">
        <v>72.2</v>
      </c>
      <c r="U16" s="26">
        <v>87.666666666666671</v>
      </c>
      <c r="V16" s="26">
        <v>79</v>
      </c>
      <c r="W16" s="24">
        <v>20</v>
      </c>
      <c r="X16" s="26">
        <v>1737.0333333333338</v>
      </c>
      <c r="Y16" s="26">
        <v>66</v>
      </c>
      <c r="Z16" s="26">
        <v>86.851666666666688</v>
      </c>
      <c r="AA16" s="24" t="s">
        <v>242</v>
      </c>
      <c r="AB16" s="26">
        <v>3.3</v>
      </c>
      <c r="AC16" s="24">
        <v>20</v>
      </c>
      <c r="AD16" s="26">
        <v>1507.3324242424244</v>
      </c>
      <c r="AE16" s="26">
        <v>47.5</v>
      </c>
      <c r="AF16" s="26">
        <v>75.366621212121217</v>
      </c>
      <c r="AG16" s="24" t="s">
        <v>241</v>
      </c>
      <c r="AH16" s="27">
        <v>2.375</v>
      </c>
      <c r="AI16" s="24">
        <v>40</v>
      </c>
      <c r="AJ16" s="26">
        <v>3244.3657575757584</v>
      </c>
      <c r="AK16" s="26">
        <v>113.5</v>
      </c>
      <c r="AL16" s="26">
        <v>81.109143939393959</v>
      </c>
      <c r="AM16" s="24" t="s">
        <v>242</v>
      </c>
      <c r="AN16" s="26">
        <v>2.8374999999999999</v>
      </c>
      <c r="AO16" s="24">
        <v>4</v>
      </c>
      <c r="AP16" s="24" t="s">
        <v>235</v>
      </c>
      <c r="AQ16" s="24">
        <v>11</v>
      </c>
      <c r="AR16" s="24">
        <v>50</v>
      </c>
      <c r="AS16" s="24">
        <v>0</v>
      </c>
      <c r="AT16" s="24">
        <v>0</v>
      </c>
      <c r="AU16" s="24">
        <v>0</v>
      </c>
      <c r="AV16" s="24">
        <v>0</v>
      </c>
      <c r="AW16" s="25">
        <v>1</v>
      </c>
      <c r="AX16" s="26">
        <v>88.666666666666671</v>
      </c>
      <c r="AY16" s="26">
        <v>91.933333333333337</v>
      </c>
      <c r="AZ16" s="26">
        <v>93.26666666666668</v>
      </c>
      <c r="BA16" s="26">
        <v>91.333333333333343</v>
      </c>
      <c r="BB16" s="26">
        <v>94.7</v>
      </c>
      <c r="BC16" s="26">
        <v>87.600000000000009</v>
      </c>
      <c r="BD16" s="26">
        <v>90.3</v>
      </c>
      <c r="BE16" s="26">
        <v>100</v>
      </c>
      <c r="BF16" s="26">
        <v>100</v>
      </c>
      <c r="BG16" s="26">
        <v>87.45</v>
      </c>
      <c r="BH16" s="26">
        <v>87.45</v>
      </c>
      <c r="BI16" s="26">
        <v>63.5</v>
      </c>
      <c r="BJ16" s="26">
        <v>60</v>
      </c>
      <c r="BK16" s="26">
        <v>100</v>
      </c>
      <c r="BL16" s="26">
        <v>93.666666666666671</v>
      </c>
      <c r="BM16" s="26">
        <v>89.466666666666669</v>
      </c>
      <c r="BN16" s="24">
        <v>20</v>
      </c>
      <c r="BO16" s="24">
        <v>1849.2333333333333</v>
      </c>
      <c r="BP16" s="26">
        <v>75</v>
      </c>
      <c r="BQ16" s="26">
        <v>92.461666666666673</v>
      </c>
      <c r="BR16" s="24" t="s">
        <v>244</v>
      </c>
      <c r="BS16" s="26">
        <v>3.75</v>
      </c>
      <c r="BT16" s="24">
        <v>20</v>
      </c>
      <c r="BU16" s="26">
        <v>1588.4666666666667</v>
      </c>
      <c r="BV16" s="26">
        <v>52</v>
      </c>
      <c r="BW16" s="26">
        <v>79.423333333333332</v>
      </c>
      <c r="BX16" s="24" t="s">
        <v>241</v>
      </c>
      <c r="BY16" s="27">
        <v>2.6</v>
      </c>
      <c r="BZ16" s="24">
        <v>40</v>
      </c>
      <c r="CA16" s="27">
        <v>3437.7000000000003</v>
      </c>
      <c r="CB16" s="27">
        <v>127</v>
      </c>
      <c r="CC16" s="26">
        <v>85.94250000000001</v>
      </c>
      <c r="CD16" s="27" t="s">
        <v>242</v>
      </c>
      <c r="CE16" s="26">
        <v>3.1749999999999998</v>
      </c>
      <c r="CF16" s="24">
        <v>4</v>
      </c>
      <c r="CG16" s="24" t="s">
        <v>235</v>
      </c>
      <c r="CH16" s="24">
        <v>11</v>
      </c>
      <c r="CI16" s="24">
        <v>50</v>
      </c>
      <c r="CJ16" s="24">
        <v>0</v>
      </c>
      <c r="CK16" s="24">
        <v>0</v>
      </c>
      <c r="CL16" s="24">
        <v>0</v>
      </c>
      <c r="CM16" s="24">
        <v>0</v>
      </c>
      <c r="CN16" s="25">
        <v>1</v>
      </c>
      <c r="CO16" s="7">
        <v>80</v>
      </c>
      <c r="CP16" s="7">
        <v>75</v>
      </c>
      <c r="CQ16" s="7">
        <v>95</v>
      </c>
      <c r="CR16" s="7">
        <v>75</v>
      </c>
      <c r="CS16" s="7">
        <v>90</v>
      </c>
      <c r="CT16" s="7">
        <v>75</v>
      </c>
      <c r="CU16" s="7">
        <v>80</v>
      </c>
      <c r="CV16" s="7"/>
      <c r="CW16" s="7"/>
      <c r="CX16" s="7">
        <v>72</v>
      </c>
      <c r="CY16" s="7"/>
      <c r="CZ16" s="7">
        <v>51</v>
      </c>
      <c r="DA16" s="7">
        <v>39</v>
      </c>
      <c r="DB16" s="7">
        <v>87.5</v>
      </c>
      <c r="DC16" s="7">
        <v>93</v>
      </c>
      <c r="DD16" s="7">
        <v>65</v>
      </c>
      <c r="DE16" s="24">
        <v>18</v>
      </c>
      <c r="DF16" s="26">
        <v>1505</v>
      </c>
      <c r="DG16" s="26">
        <v>56</v>
      </c>
      <c r="DH16" s="26">
        <v>83.611111111111114</v>
      </c>
      <c r="DI16" s="24" t="s">
        <v>242</v>
      </c>
      <c r="DJ16" s="26">
        <v>3.1111111111111112</v>
      </c>
      <c r="DK16" s="24">
        <v>19</v>
      </c>
      <c r="DL16" s="24">
        <v>1223</v>
      </c>
      <c r="DM16" s="26">
        <v>32</v>
      </c>
      <c r="DN16" s="26">
        <v>64.368421052631575</v>
      </c>
      <c r="DO16" s="24" t="s">
        <v>243</v>
      </c>
      <c r="DP16" s="27">
        <v>1.6842105263157894</v>
      </c>
      <c r="DQ16" s="24">
        <v>37</v>
      </c>
      <c r="DR16" s="27">
        <v>2728</v>
      </c>
      <c r="DS16" s="27">
        <v>88</v>
      </c>
      <c r="DT16" s="26">
        <v>73.729729729729726</v>
      </c>
      <c r="DU16" s="24" t="s">
        <v>241</v>
      </c>
      <c r="DV16" s="26">
        <v>2.3783783783783785</v>
      </c>
      <c r="DW16" s="24">
        <v>4</v>
      </c>
      <c r="DX16" s="24" t="s">
        <v>235</v>
      </c>
      <c r="DY16" s="24">
        <v>11</v>
      </c>
      <c r="DZ16" s="26">
        <v>80.5</v>
      </c>
      <c r="EA16" s="26">
        <v>83</v>
      </c>
      <c r="EB16" s="26">
        <v>93.333333333333343</v>
      </c>
      <c r="EC16" s="26">
        <v>78.333333333333343</v>
      </c>
      <c r="ED16" s="26">
        <v>90.575000000000003</v>
      </c>
      <c r="EE16" s="26">
        <v>81.89166666666668</v>
      </c>
      <c r="EF16" s="26">
        <v>85.091666666666669</v>
      </c>
      <c r="EG16" s="26">
        <v>95</v>
      </c>
      <c r="EH16" s="26">
        <v>95</v>
      </c>
      <c r="EI16" s="26">
        <v>80.489166666666677</v>
      </c>
      <c r="EJ16" s="26">
        <v>88.978333333333339</v>
      </c>
      <c r="EK16" s="26">
        <v>55.807499999999997</v>
      </c>
      <c r="EL16" s="26">
        <v>50.992424242424242</v>
      </c>
      <c r="EM16" s="26">
        <v>86.8</v>
      </c>
      <c r="EN16" s="26">
        <v>91.833333333333343</v>
      </c>
      <c r="EO16" s="26">
        <v>74.616666666666674</v>
      </c>
      <c r="EP16" s="26" t="s">
        <v>242</v>
      </c>
      <c r="EQ16" s="26" t="s">
        <v>242</v>
      </c>
      <c r="ER16" s="26" t="s">
        <v>244</v>
      </c>
      <c r="ES16" s="26" t="s">
        <v>241</v>
      </c>
      <c r="ET16" s="26" t="s">
        <v>244</v>
      </c>
      <c r="EU16" s="26" t="s">
        <v>242</v>
      </c>
      <c r="EV16" s="26" t="s">
        <v>242</v>
      </c>
      <c r="EW16" s="26" t="s">
        <v>244</v>
      </c>
      <c r="EX16" s="26" t="s">
        <v>244</v>
      </c>
      <c r="EY16" s="24" t="s">
        <v>242</v>
      </c>
      <c r="EZ16" s="24" t="s">
        <v>242</v>
      </c>
      <c r="FA16" s="24" t="s">
        <v>245</v>
      </c>
      <c r="FB16" s="24" t="s">
        <v>245</v>
      </c>
      <c r="FC16" s="24" t="s">
        <v>242</v>
      </c>
      <c r="FD16" s="24" t="s">
        <v>244</v>
      </c>
      <c r="FE16" s="24" t="s">
        <v>241</v>
      </c>
      <c r="FF16" s="24">
        <v>2</v>
      </c>
      <c r="FG16" s="24">
        <v>2</v>
      </c>
      <c r="FH16" s="24">
        <v>3</v>
      </c>
      <c r="FI16" s="24">
        <v>1</v>
      </c>
      <c r="FJ16" s="24">
        <v>5</v>
      </c>
      <c r="FK16" s="24">
        <v>3</v>
      </c>
      <c r="FL16" s="24">
        <v>2</v>
      </c>
      <c r="FM16" s="24">
        <v>1</v>
      </c>
      <c r="FN16" s="24">
        <v>1</v>
      </c>
      <c r="FO16" s="24">
        <v>5</v>
      </c>
      <c r="FP16" s="24">
        <v>1</v>
      </c>
      <c r="FQ16" s="24">
        <v>5</v>
      </c>
      <c r="FR16" s="24">
        <v>3</v>
      </c>
      <c r="FS16" s="24">
        <v>2</v>
      </c>
      <c r="FT16" s="24">
        <v>2</v>
      </c>
      <c r="FU16" s="24">
        <v>2</v>
      </c>
      <c r="FV16" s="26">
        <v>161</v>
      </c>
      <c r="FW16" s="26">
        <v>166</v>
      </c>
      <c r="FX16" s="26">
        <v>280</v>
      </c>
      <c r="FY16" s="26">
        <v>78.333333333333343</v>
      </c>
      <c r="FZ16" s="26">
        <v>452.875</v>
      </c>
      <c r="GA16" s="26">
        <v>245.67500000000004</v>
      </c>
      <c r="GB16" s="26">
        <v>170.18333333333334</v>
      </c>
      <c r="GC16" s="26">
        <v>95</v>
      </c>
      <c r="GD16" s="26">
        <v>95</v>
      </c>
      <c r="GE16" s="26">
        <v>402.44583333333338</v>
      </c>
      <c r="GF16" s="26">
        <v>88.978333333333339</v>
      </c>
      <c r="GG16" s="26">
        <v>279.03749999999997</v>
      </c>
      <c r="GH16" s="26">
        <v>152.97727272727272</v>
      </c>
      <c r="GI16" s="26">
        <v>173.6</v>
      </c>
      <c r="GJ16" s="26">
        <v>183.66666666666669</v>
      </c>
      <c r="GK16" s="26">
        <v>149.23333333333335</v>
      </c>
      <c r="GL16" s="24">
        <v>6</v>
      </c>
      <c r="GM16" s="24">
        <v>6</v>
      </c>
      <c r="GN16" s="24">
        <v>12</v>
      </c>
      <c r="GO16" s="24">
        <v>2</v>
      </c>
      <c r="GP16" s="24">
        <v>20</v>
      </c>
      <c r="GQ16" s="24">
        <v>9</v>
      </c>
      <c r="GR16" s="24">
        <v>6</v>
      </c>
      <c r="GS16" s="24">
        <v>4</v>
      </c>
      <c r="GT16" s="24">
        <v>4</v>
      </c>
      <c r="GU16" s="24">
        <v>15</v>
      </c>
      <c r="GV16" s="24">
        <v>3</v>
      </c>
      <c r="GW16" s="24">
        <v>5</v>
      </c>
      <c r="GX16" s="24">
        <v>3</v>
      </c>
      <c r="GY16" s="24">
        <v>6</v>
      </c>
      <c r="GZ16" s="24">
        <v>8</v>
      </c>
      <c r="HA16" s="24">
        <v>4</v>
      </c>
      <c r="HB16" s="24">
        <v>20</v>
      </c>
      <c r="HC16" s="24">
        <v>1744.0666666666668</v>
      </c>
      <c r="HD16" s="26">
        <v>69</v>
      </c>
      <c r="HE16" s="26">
        <v>87.203333333333347</v>
      </c>
      <c r="HF16" s="24" t="s">
        <v>242</v>
      </c>
      <c r="HG16" s="26">
        <v>3.45</v>
      </c>
      <c r="HH16" s="24">
        <v>20</v>
      </c>
      <c r="HI16" s="26">
        <v>1429.9389393939396</v>
      </c>
      <c r="HJ16" s="26">
        <v>44</v>
      </c>
      <c r="HK16" s="26">
        <v>71.496946969696978</v>
      </c>
      <c r="HL16" s="24" t="s">
        <v>241</v>
      </c>
      <c r="HM16" s="27">
        <v>2.2000000000000002</v>
      </c>
      <c r="HN16" s="24">
        <v>40</v>
      </c>
      <c r="HO16" s="27">
        <v>3174.0056060606057</v>
      </c>
      <c r="HP16" s="27">
        <v>113</v>
      </c>
      <c r="HQ16" s="26">
        <v>79.350140151515149</v>
      </c>
      <c r="HR16" s="27" t="s">
        <v>241</v>
      </c>
      <c r="HS16" s="26">
        <v>2.8250000000000002</v>
      </c>
      <c r="HT16" s="24">
        <v>5</v>
      </c>
      <c r="HU16" s="24" t="s">
        <v>235</v>
      </c>
      <c r="HV16" s="24">
        <v>11</v>
      </c>
      <c r="HW16" s="24">
        <v>100</v>
      </c>
      <c r="HX16" s="24">
        <v>0</v>
      </c>
      <c r="HY16" s="24">
        <v>0</v>
      </c>
      <c r="HZ16" s="24">
        <v>0</v>
      </c>
      <c r="IA16" s="24">
        <v>0</v>
      </c>
      <c r="IB16" s="25">
        <v>1</v>
      </c>
    </row>
    <row r="17" spans="1:236" ht="27" customHeight="1" x14ac:dyDescent="0.35">
      <c r="A17" s="24">
        <v>3</v>
      </c>
      <c r="B17" s="28" t="s">
        <v>129</v>
      </c>
      <c r="C17" s="30" t="s">
        <v>130</v>
      </c>
      <c r="D17" s="28">
        <v>3</v>
      </c>
      <c r="E17" s="24" t="s">
        <v>124</v>
      </c>
      <c r="F17" s="24" t="s">
        <v>210</v>
      </c>
      <c r="G17" s="26">
        <v>76</v>
      </c>
      <c r="H17" s="26">
        <v>85.866666666666674</v>
      </c>
      <c r="I17" s="26">
        <v>85.866666666666674</v>
      </c>
      <c r="J17" s="26">
        <v>64</v>
      </c>
      <c r="K17" s="26">
        <v>85.5</v>
      </c>
      <c r="L17" s="26">
        <v>85.2</v>
      </c>
      <c r="M17" s="26">
        <v>85.866666666666674</v>
      </c>
      <c r="N17" s="26">
        <v>91.666666666666671</v>
      </c>
      <c r="O17" s="26">
        <v>91.666666666666671</v>
      </c>
      <c r="P17" s="26">
        <v>93.146666666666675</v>
      </c>
      <c r="Q17" s="26">
        <v>93.146666666666675</v>
      </c>
      <c r="R17" s="26">
        <v>66.73</v>
      </c>
      <c r="S17" s="26">
        <v>58.45454545454546</v>
      </c>
      <c r="T17" s="26">
        <v>63</v>
      </c>
      <c r="U17" s="26">
        <v>89.800000000000011</v>
      </c>
      <c r="V17" s="26">
        <v>91</v>
      </c>
      <c r="W17" s="24">
        <v>20</v>
      </c>
      <c r="X17" s="26">
        <v>1683.5000000000002</v>
      </c>
      <c r="Y17" s="26">
        <v>58.5</v>
      </c>
      <c r="Z17" s="26">
        <v>84.175000000000011</v>
      </c>
      <c r="AA17" s="24" t="s">
        <v>242</v>
      </c>
      <c r="AB17" s="26">
        <v>2.9249999999999998</v>
      </c>
      <c r="AC17" s="24">
        <v>20</v>
      </c>
      <c r="AD17" s="26">
        <v>1555.4936363636361</v>
      </c>
      <c r="AE17" s="26">
        <v>51.5</v>
      </c>
      <c r="AF17" s="26">
        <v>77.774681818181804</v>
      </c>
      <c r="AG17" s="24" t="s">
        <v>241</v>
      </c>
      <c r="AH17" s="27">
        <v>2.5750000000000002</v>
      </c>
      <c r="AI17" s="24">
        <v>40</v>
      </c>
      <c r="AJ17" s="26">
        <v>3238.9936363636366</v>
      </c>
      <c r="AK17" s="26">
        <v>110</v>
      </c>
      <c r="AL17" s="26">
        <v>80.974840909090915</v>
      </c>
      <c r="AM17" s="24" t="s">
        <v>242</v>
      </c>
      <c r="AN17" s="26">
        <v>2.75</v>
      </c>
      <c r="AO17" s="24">
        <v>5</v>
      </c>
      <c r="AP17" s="24" t="s">
        <v>235</v>
      </c>
      <c r="AQ17" s="24">
        <v>11</v>
      </c>
      <c r="AR17" s="24">
        <v>50</v>
      </c>
      <c r="AS17" s="24">
        <v>0</v>
      </c>
      <c r="AT17" s="24">
        <v>0</v>
      </c>
      <c r="AU17" s="24">
        <v>1</v>
      </c>
      <c r="AV17" s="24">
        <v>1</v>
      </c>
      <c r="AW17" s="25">
        <v>0.98</v>
      </c>
      <c r="AX17" s="26">
        <v>90.333333333333343</v>
      </c>
      <c r="AY17" s="26">
        <v>92.300000000000011</v>
      </c>
      <c r="AZ17" s="26">
        <v>91.633333333333326</v>
      </c>
      <c r="BA17" s="26">
        <v>90.333333333333343</v>
      </c>
      <c r="BB17" s="26">
        <v>91.733333333333348</v>
      </c>
      <c r="BC17" s="26">
        <v>92.4</v>
      </c>
      <c r="BD17" s="26">
        <v>91.733333333333334</v>
      </c>
      <c r="BE17" s="26">
        <v>100</v>
      </c>
      <c r="BF17" s="26">
        <v>100</v>
      </c>
      <c r="BG17" s="26">
        <v>81.34</v>
      </c>
      <c r="BH17" s="26">
        <v>81.34</v>
      </c>
      <c r="BI17" s="26">
        <v>76.14</v>
      </c>
      <c r="BJ17" s="26">
        <v>45.5</v>
      </c>
      <c r="BK17" s="26">
        <v>96</v>
      </c>
      <c r="BL17" s="26">
        <v>85.5</v>
      </c>
      <c r="BM17" s="26">
        <v>83.166666666666671</v>
      </c>
      <c r="BN17" s="24">
        <v>20</v>
      </c>
      <c r="BO17" s="24">
        <v>1849.8333333333337</v>
      </c>
      <c r="BP17" s="26">
        <v>80</v>
      </c>
      <c r="BQ17" s="26">
        <v>92.491666666666688</v>
      </c>
      <c r="BR17" s="24" t="s">
        <v>244</v>
      </c>
      <c r="BS17" s="26">
        <v>4</v>
      </c>
      <c r="BT17" s="24">
        <v>20</v>
      </c>
      <c r="BU17" s="26">
        <v>1534.5733333333333</v>
      </c>
      <c r="BV17" s="26">
        <v>48</v>
      </c>
      <c r="BW17" s="26">
        <v>76.728666666666669</v>
      </c>
      <c r="BX17" s="24" t="s">
        <v>241</v>
      </c>
      <c r="BY17" s="27">
        <v>2.4</v>
      </c>
      <c r="BZ17" s="24">
        <v>40</v>
      </c>
      <c r="CA17" s="27">
        <v>3384.4066666666672</v>
      </c>
      <c r="CB17" s="27">
        <v>128</v>
      </c>
      <c r="CC17" s="26">
        <v>84.610166666666686</v>
      </c>
      <c r="CD17" s="27" t="s">
        <v>242</v>
      </c>
      <c r="CE17" s="26">
        <v>3.2</v>
      </c>
      <c r="CF17" s="24">
        <v>5</v>
      </c>
      <c r="CG17" s="24" t="s">
        <v>235</v>
      </c>
      <c r="CH17" s="24">
        <v>11</v>
      </c>
      <c r="CI17" s="24">
        <v>50</v>
      </c>
      <c r="CJ17" s="24">
        <v>0</v>
      </c>
      <c r="CK17" s="24">
        <v>0</v>
      </c>
      <c r="CL17" s="24">
        <v>0</v>
      </c>
      <c r="CM17" s="24">
        <v>0</v>
      </c>
      <c r="CN17" s="25">
        <v>1</v>
      </c>
      <c r="CO17" s="7">
        <v>75</v>
      </c>
      <c r="CP17" s="7">
        <v>90</v>
      </c>
      <c r="CQ17" s="7">
        <v>90</v>
      </c>
      <c r="CR17" s="7">
        <v>85</v>
      </c>
      <c r="CS17" s="7">
        <v>100</v>
      </c>
      <c r="CT17" s="7">
        <v>90</v>
      </c>
      <c r="CU17" s="7">
        <v>70</v>
      </c>
      <c r="CV17" s="7"/>
      <c r="CW17" s="7"/>
      <c r="CX17" s="7">
        <v>76</v>
      </c>
      <c r="CY17" s="7"/>
      <c r="CZ17" s="7">
        <v>78</v>
      </c>
      <c r="DA17" s="7">
        <v>14</v>
      </c>
      <c r="DB17" s="7">
        <v>86</v>
      </c>
      <c r="DC17" s="7">
        <v>88</v>
      </c>
      <c r="DD17" s="7">
        <v>61</v>
      </c>
      <c r="DE17" s="24">
        <v>18</v>
      </c>
      <c r="DF17" s="26">
        <v>1595</v>
      </c>
      <c r="DG17" s="26">
        <v>63</v>
      </c>
      <c r="DH17" s="26">
        <v>88.611111111111114</v>
      </c>
      <c r="DI17" s="24" t="s">
        <v>242</v>
      </c>
      <c r="DJ17" s="26">
        <v>3.5</v>
      </c>
      <c r="DK17" s="24">
        <v>19</v>
      </c>
      <c r="DL17" s="24">
        <v>1282</v>
      </c>
      <c r="DM17" s="26">
        <v>35</v>
      </c>
      <c r="DN17" s="26">
        <v>67.473684210526315</v>
      </c>
      <c r="DO17" s="24" t="s">
        <v>243</v>
      </c>
      <c r="DP17" s="27">
        <v>1.8421052631578947</v>
      </c>
      <c r="DQ17" s="24">
        <v>37</v>
      </c>
      <c r="DR17" s="27">
        <v>2877</v>
      </c>
      <c r="DS17" s="27">
        <v>98</v>
      </c>
      <c r="DT17" s="26">
        <v>77.756756756756758</v>
      </c>
      <c r="DU17" s="24" t="s">
        <v>241</v>
      </c>
      <c r="DV17" s="26">
        <v>2.6486486486486487</v>
      </c>
      <c r="DW17" s="24">
        <v>3</v>
      </c>
      <c r="DX17" s="24" t="s">
        <v>235</v>
      </c>
      <c r="DY17" s="24">
        <v>11</v>
      </c>
      <c r="DZ17" s="26">
        <v>79.083333333333343</v>
      </c>
      <c r="EA17" s="26">
        <v>89.541666666666671</v>
      </c>
      <c r="EB17" s="26">
        <v>89.375</v>
      </c>
      <c r="EC17" s="26">
        <v>81.083333333333343</v>
      </c>
      <c r="ED17" s="26">
        <v>94.308333333333337</v>
      </c>
      <c r="EE17" s="26">
        <v>89.4</v>
      </c>
      <c r="EF17" s="26">
        <v>79.400000000000006</v>
      </c>
      <c r="EG17" s="26">
        <v>95.833333333333343</v>
      </c>
      <c r="EH17" s="26">
        <v>95.833333333333343</v>
      </c>
      <c r="EI17" s="26">
        <v>81.62166666666667</v>
      </c>
      <c r="EJ17" s="26">
        <v>87.243333333333339</v>
      </c>
      <c r="EK17" s="26">
        <v>74.717500000000001</v>
      </c>
      <c r="EL17" s="26">
        <v>32.988636363636367</v>
      </c>
      <c r="EM17" s="26">
        <v>82.75</v>
      </c>
      <c r="EN17" s="26">
        <v>87.825000000000003</v>
      </c>
      <c r="EO17" s="26">
        <v>74.041666666666671</v>
      </c>
      <c r="EP17" s="26" t="s">
        <v>241</v>
      </c>
      <c r="EQ17" s="26" t="s">
        <v>242</v>
      </c>
      <c r="ER17" s="26" t="s">
        <v>242</v>
      </c>
      <c r="ES17" s="26" t="s">
        <v>242</v>
      </c>
      <c r="ET17" s="26" t="s">
        <v>244</v>
      </c>
      <c r="EU17" s="26" t="s">
        <v>242</v>
      </c>
      <c r="EV17" s="26" t="s">
        <v>241</v>
      </c>
      <c r="EW17" s="26" t="s">
        <v>244</v>
      </c>
      <c r="EX17" s="26" t="s">
        <v>244</v>
      </c>
      <c r="EY17" s="24" t="s">
        <v>242</v>
      </c>
      <c r="EZ17" s="24" t="s">
        <v>242</v>
      </c>
      <c r="FA17" s="24" t="s">
        <v>241</v>
      </c>
      <c r="FB17" s="24" t="s">
        <v>125</v>
      </c>
      <c r="FC17" s="24" t="s">
        <v>242</v>
      </c>
      <c r="FD17" s="24" t="s">
        <v>242</v>
      </c>
      <c r="FE17" s="24" t="s">
        <v>241</v>
      </c>
      <c r="FF17" s="24">
        <v>2</v>
      </c>
      <c r="FG17" s="24">
        <v>2</v>
      </c>
      <c r="FH17" s="24">
        <v>3</v>
      </c>
      <c r="FI17" s="24">
        <v>1</v>
      </c>
      <c r="FJ17" s="24">
        <v>5</v>
      </c>
      <c r="FK17" s="24">
        <v>3</v>
      </c>
      <c r="FL17" s="24">
        <v>2</v>
      </c>
      <c r="FM17" s="24">
        <v>1</v>
      </c>
      <c r="FN17" s="24">
        <v>1</v>
      </c>
      <c r="FO17" s="24">
        <v>5</v>
      </c>
      <c r="FP17" s="24">
        <v>1</v>
      </c>
      <c r="FQ17" s="24">
        <v>5</v>
      </c>
      <c r="FR17" s="24">
        <v>3</v>
      </c>
      <c r="FS17" s="24">
        <v>2</v>
      </c>
      <c r="FT17" s="24">
        <v>2</v>
      </c>
      <c r="FU17" s="24">
        <v>2</v>
      </c>
      <c r="FV17" s="26">
        <v>158.16666666666669</v>
      </c>
      <c r="FW17" s="26">
        <v>179.08333333333334</v>
      </c>
      <c r="FX17" s="26">
        <v>268.125</v>
      </c>
      <c r="FY17" s="26">
        <v>81.083333333333343</v>
      </c>
      <c r="FZ17" s="26">
        <v>471.54166666666669</v>
      </c>
      <c r="GA17" s="26">
        <v>268.20000000000005</v>
      </c>
      <c r="GB17" s="26">
        <v>158.80000000000001</v>
      </c>
      <c r="GC17" s="26">
        <v>95.833333333333343</v>
      </c>
      <c r="GD17" s="26">
        <v>95.833333333333343</v>
      </c>
      <c r="GE17" s="26">
        <v>408.10833333333335</v>
      </c>
      <c r="GF17" s="26">
        <v>87.243333333333339</v>
      </c>
      <c r="GG17" s="26">
        <v>373.58749999999998</v>
      </c>
      <c r="GH17" s="26">
        <v>98.965909090909093</v>
      </c>
      <c r="GI17" s="26">
        <v>165.5</v>
      </c>
      <c r="GJ17" s="26">
        <v>175.65</v>
      </c>
      <c r="GK17" s="26">
        <v>148.08333333333334</v>
      </c>
      <c r="GL17" s="24">
        <v>4</v>
      </c>
      <c r="GM17" s="24">
        <v>6</v>
      </c>
      <c r="GN17" s="24">
        <v>9</v>
      </c>
      <c r="GO17" s="24">
        <v>3</v>
      </c>
      <c r="GP17" s="24">
        <v>20</v>
      </c>
      <c r="GQ17" s="24">
        <v>9</v>
      </c>
      <c r="GR17" s="24">
        <v>4</v>
      </c>
      <c r="GS17" s="24">
        <v>4</v>
      </c>
      <c r="GT17" s="24">
        <v>4</v>
      </c>
      <c r="GU17" s="24">
        <v>15</v>
      </c>
      <c r="GV17" s="24">
        <v>3</v>
      </c>
      <c r="GW17" s="24">
        <v>10</v>
      </c>
      <c r="GX17" s="24">
        <v>0</v>
      </c>
      <c r="GY17" s="24">
        <v>6</v>
      </c>
      <c r="GZ17" s="24">
        <v>6</v>
      </c>
      <c r="HA17" s="24">
        <v>4</v>
      </c>
      <c r="HB17" s="24">
        <v>20</v>
      </c>
      <c r="HC17" s="24">
        <v>1776.6666666666665</v>
      </c>
      <c r="HD17" s="26">
        <v>63</v>
      </c>
      <c r="HE17" s="26">
        <v>88.833333333333329</v>
      </c>
      <c r="HF17" s="24" t="s">
        <v>242</v>
      </c>
      <c r="HG17" s="26">
        <v>3.15</v>
      </c>
      <c r="HH17" s="24">
        <v>20</v>
      </c>
      <c r="HI17" s="26">
        <v>1457.1384090909091</v>
      </c>
      <c r="HJ17" s="26">
        <v>44</v>
      </c>
      <c r="HK17" s="26">
        <v>72.85692045454546</v>
      </c>
      <c r="HL17" s="24" t="s">
        <v>241</v>
      </c>
      <c r="HM17" s="27">
        <v>2.2000000000000002</v>
      </c>
      <c r="HN17" s="24">
        <v>40</v>
      </c>
      <c r="HO17" s="27">
        <v>3233.8050757575757</v>
      </c>
      <c r="HP17" s="27">
        <v>107</v>
      </c>
      <c r="HQ17" s="26">
        <v>80.845126893939394</v>
      </c>
      <c r="HR17" s="27" t="s">
        <v>242</v>
      </c>
      <c r="HS17" s="26">
        <v>2.6749999999999998</v>
      </c>
      <c r="HT17" s="24">
        <v>3</v>
      </c>
      <c r="HU17" s="24" t="s">
        <v>235</v>
      </c>
      <c r="HV17" s="24">
        <v>11</v>
      </c>
      <c r="HW17" s="24">
        <v>100</v>
      </c>
      <c r="HX17" s="24">
        <v>0</v>
      </c>
      <c r="HY17" s="24">
        <v>0</v>
      </c>
      <c r="HZ17" s="24">
        <v>1</v>
      </c>
      <c r="IA17" s="24">
        <v>1</v>
      </c>
      <c r="IB17" s="25">
        <v>0.99</v>
      </c>
    </row>
    <row r="18" spans="1:236" ht="27" customHeight="1" x14ac:dyDescent="0.35">
      <c r="A18" s="24">
        <v>4</v>
      </c>
      <c r="B18" s="28" t="s">
        <v>131</v>
      </c>
      <c r="C18" s="30" t="s">
        <v>132</v>
      </c>
      <c r="D18" s="28">
        <v>4</v>
      </c>
      <c r="E18" s="24" t="s">
        <v>124</v>
      </c>
      <c r="F18" s="24" t="s">
        <v>210</v>
      </c>
      <c r="G18" s="26">
        <v>70.666666666666671</v>
      </c>
      <c r="H18" s="26">
        <v>89.066666666666677</v>
      </c>
      <c r="I18" s="26">
        <v>89.066666666666677</v>
      </c>
      <c r="J18" s="26">
        <v>73.333333333333343</v>
      </c>
      <c r="K18" s="26">
        <v>86.600000000000009</v>
      </c>
      <c r="L18" s="26">
        <v>89.066666666666677</v>
      </c>
      <c r="M18" s="26">
        <v>89.066666666666677</v>
      </c>
      <c r="N18" s="26">
        <v>88.666666666666671</v>
      </c>
      <c r="O18" s="26">
        <v>88.666666666666671</v>
      </c>
      <c r="P18" s="26">
        <v>96.4</v>
      </c>
      <c r="Q18" s="26">
        <v>96.4</v>
      </c>
      <c r="R18" s="26">
        <v>78.069999999999993</v>
      </c>
      <c r="S18" s="26">
        <v>90.600000000000009</v>
      </c>
      <c r="T18" s="26">
        <v>70.2</v>
      </c>
      <c r="U18" s="26">
        <v>97.800000000000011</v>
      </c>
      <c r="V18" s="26">
        <v>91</v>
      </c>
      <c r="W18" s="24">
        <v>20</v>
      </c>
      <c r="X18" s="26">
        <v>1715.6666666666672</v>
      </c>
      <c r="Y18" s="26">
        <v>57</v>
      </c>
      <c r="Z18" s="26">
        <v>85.78333333333336</v>
      </c>
      <c r="AA18" s="24" t="s">
        <v>242</v>
      </c>
      <c r="AB18" s="26">
        <v>2.85</v>
      </c>
      <c r="AC18" s="24">
        <v>20</v>
      </c>
      <c r="AD18" s="26">
        <v>1758.5500000000002</v>
      </c>
      <c r="AE18" s="26">
        <v>66</v>
      </c>
      <c r="AF18" s="26">
        <v>87.927500000000009</v>
      </c>
      <c r="AG18" s="24" t="s">
        <v>242</v>
      </c>
      <c r="AH18" s="27">
        <v>3.3</v>
      </c>
      <c r="AI18" s="24">
        <v>40</v>
      </c>
      <c r="AJ18" s="26">
        <v>3474.2166666666672</v>
      </c>
      <c r="AK18" s="26">
        <v>123</v>
      </c>
      <c r="AL18" s="26">
        <v>86.855416666666684</v>
      </c>
      <c r="AM18" s="24" t="s">
        <v>242</v>
      </c>
      <c r="AN18" s="26">
        <v>3.0750000000000002</v>
      </c>
      <c r="AO18" s="24">
        <v>1</v>
      </c>
      <c r="AP18" s="24" t="s">
        <v>235</v>
      </c>
      <c r="AQ18" s="24">
        <v>11</v>
      </c>
      <c r="AR18" s="24">
        <v>50</v>
      </c>
      <c r="AS18" s="24">
        <v>0</v>
      </c>
      <c r="AT18" s="24">
        <v>0</v>
      </c>
      <c r="AU18" s="24">
        <v>0</v>
      </c>
      <c r="AV18" s="24">
        <v>0</v>
      </c>
      <c r="AW18" s="25">
        <v>1</v>
      </c>
      <c r="AX18" s="26">
        <v>92.666666666666671</v>
      </c>
      <c r="AY18" s="26">
        <v>92.033333333333331</v>
      </c>
      <c r="AZ18" s="26">
        <v>91.466666666666669</v>
      </c>
      <c r="BA18" s="26">
        <v>90</v>
      </c>
      <c r="BB18" s="26">
        <v>91.666666666666671</v>
      </c>
      <c r="BC18" s="26">
        <v>91.933333333333337</v>
      </c>
      <c r="BD18" s="26">
        <v>92.133333333333326</v>
      </c>
      <c r="BE18" s="26">
        <v>100</v>
      </c>
      <c r="BF18" s="26">
        <v>100</v>
      </c>
      <c r="BG18" s="26">
        <v>95.51</v>
      </c>
      <c r="BH18" s="26">
        <v>95.51</v>
      </c>
      <c r="BI18" s="26">
        <v>79.400000000000006</v>
      </c>
      <c r="BJ18" s="26">
        <v>83.5</v>
      </c>
      <c r="BK18" s="26">
        <v>98.666666666666671</v>
      </c>
      <c r="BL18" s="26">
        <v>94.666666666666671</v>
      </c>
      <c r="BM18" s="26">
        <v>92</v>
      </c>
      <c r="BN18" s="24">
        <v>20</v>
      </c>
      <c r="BO18" s="24">
        <v>1852.1999999999998</v>
      </c>
      <c r="BP18" s="26">
        <v>80</v>
      </c>
      <c r="BQ18" s="26">
        <v>92.609999999999985</v>
      </c>
      <c r="BR18" s="24" t="s">
        <v>244</v>
      </c>
      <c r="BS18" s="26">
        <v>4</v>
      </c>
      <c r="BT18" s="24">
        <v>20</v>
      </c>
      <c r="BU18" s="26">
        <v>1791.2266666666665</v>
      </c>
      <c r="BV18" s="26">
        <v>67</v>
      </c>
      <c r="BW18" s="26">
        <v>89.561333333333323</v>
      </c>
      <c r="BX18" s="24" t="s">
        <v>242</v>
      </c>
      <c r="BY18" s="27">
        <v>3.35</v>
      </c>
      <c r="BZ18" s="24">
        <v>40</v>
      </c>
      <c r="CA18" s="27">
        <v>3643.4266666666672</v>
      </c>
      <c r="CB18" s="27">
        <v>147</v>
      </c>
      <c r="CC18" s="26">
        <v>91.085666666666683</v>
      </c>
      <c r="CD18" s="27" t="s">
        <v>244</v>
      </c>
      <c r="CE18" s="26">
        <v>3.6749999999999998</v>
      </c>
      <c r="CF18" s="24">
        <v>1</v>
      </c>
      <c r="CG18" s="24" t="s">
        <v>235</v>
      </c>
      <c r="CH18" s="24">
        <v>11</v>
      </c>
      <c r="CI18" s="24">
        <v>50</v>
      </c>
      <c r="CJ18" s="24">
        <v>0</v>
      </c>
      <c r="CK18" s="24">
        <v>0</v>
      </c>
      <c r="CL18" s="24">
        <v>0</v>
      </c>
      <c r="CM18" s="24">
        <v>0</v>
      </c>
      <c r="CN18" s="25">
        <v>1</v>
      </c>
      <c r="CO18" s="7">
        <v>55</v>
      </c>
      <c r="CP18" s="7">
        <v>90</v>
      </c>
      <c r="CQ18" s="7">
        <v>95</v>
      </c>
      <c r="CR18" s="7">
        <v>90</v>
      </c>
      <c r="CS18" s="7">
        <v>95</v>
      </c>
      <c r="CT18" s="7">
        <v>95</v>
      </c>
      <c r="CU18" s="7">
        <v>70</v>
      </c>
      <c r="CV18" s="7"/>
      <c r="CW18" s="7"/>
      <c r="CX18" s="7">
        <v>86</v>
      </c>
      <c r="CY18" s="7"/>
      <c r="CZ18" s="7">
        <v>86</v>
      </c>
      <c r="DA18" s="7">
        <v>98</v>
      </c>
      <c r="DB18" s="7">
        <v>95</v>
      </c>
      <c r="DC18" s="7">
        <v>97.5</v>
      </c>
      <c r="DD18" s="7">
        <v>85</v>
      </c>
      <c r="DE18" s="24">
        <v>18</v>
      </c>
      <c r="DF18" s="26">
        <v>1565</v>
      </c>
      <c r="DG18" s="26">
        <v>62</v>
      </c>
      <c r="DH18" s="26">
        <v>86.944444444444443</v>
      </c>
      <c r="DI18" s="24" t="s">
        <v>242</v>
      </c>
      <c r="DJ18" s="26">
        <v>3.4444444444444446</v>
      </c>
      <c r="DK18" s="24">
        <v>19</v>
      </c>
      <c r="DL18" s="24">
        <v>1709</v>
      </c>
      <c r="DM18" s="26">
        <v>64</v>
      </c>
      <c r="DN18" s="26">
        <v>89.94736842105263</v>
      </c>
      <c r="DO18" s="24" t="s">
        <v>242</v>
      </c>
      <c r="DP18" s="27">
        <v>3.3684210526315788</v>
      </c>
      <c r="DQ18" s="24">
        <v>37</v>
      </c>
      <c r="DR18" s="27">
        <v>3274</v>
      </c>
      <c r="DS18" s="27">
        <v>126</v>
      </c>
      <c r="DT18" s="26">
        <v>88.486486486486484</v>
      </c>
      <c r="DU18" s="24" t="s">
        <v>242</v>
      </c>
      <c r="DV18" s="26">
        <v>3.4054054054054053</v>
      </c>
      <c r="DW18" s="24">
        <v>1</v>
      </c>
      <c r="DX18" s="24" t="s">
        <v>235</v>
      </c>
      <c r="DY18" s="24">
        <v>11</v>
      </c>
      <c r="DZ18" s="26">
        <v>68.333333333333343</v>
      </c>
      <c r="EA18" s="26">
        <v>90.275000000000006</v>
      </c>
      <c r="EB18" s="26">
        <v>92.63333333333334</v>
      </c>
      <c r="EC18" s="26">
        <v>85.833333333333343</v>
      </c>
      <c r="ED18" s="26">
        <v>92.066666666666663</v>
      </c>
      <c r="EE18" s="26">
        <v>92.75</v>
      </c>
      <c r="EF18" s="26">
        <v>80.3</v>
      </c>
      <c r="EG18" s="26">
        <v>94.333333333333343</v>
      </c>
      <c r="EH18" s="26">
        <v>94.333333333333343</v>
      </c>
      <c r="EI18" s="26">
        <v>90.977500000000006</v>
      </c>
      <c r="EJ18" s="26">
        <v>95.955000000000013</v>
      </c>
      <c r="EK18" s="26">
        <v>82.367500000000007</v>
      </c>
      <c r="EL18" s="26">
        <v>92.525000000000006</v>
      </c>
      <c r="EM18" s="26">
        <v>89.716666666666669</v>
      </c>
      <c r="EN18" s="26">
        <v>96.866666666666674</v>
      </c>
      <c r="EO18" s="26">
        <v>88.25</v>
      </c>
      <c r="EP18" s="26" t="s">
        <v>243</v>
      </c>
      <c r="EQ18" s="26" t="s">
        <v>244</v>
      </c>
      <c r="ER18" s="26" t="s">
        <v>244</v>
      </c>
      <c r="ES18" s="26" t="s">
        <v>242</v>
      </c>
      <c r="ET18" s="26" t="s">
        <v>244</v>
      </c>
      <c r="EU18" s="26" t="s">
        <v>244</v>
      </c>
      <c r="EV18" s="26" t="s">
        <v>242</v>
      </c>
      <c r="EW18" s="26" t="s">
        <v>244</v>
      </c>
      <c r="EX18" s="26" t="s">
        <v>244</v>
      </c>
      <c r="EY18" s="24" t="s">
        <v>244</v>
      </c>
      <c r="EZ18" s="24" t="s">
        <v>244</v>
      </c>
      <c r="FA18" s="24" t="s">
        <v>242</v>
      </c>
      <c r="FB18" s="24" t="s">
        <v>244</v>
      </c>
      <c r="FC18" s="24" t="s">
        <v>242</v>
      </c>
      <c r="FD18" s="24" t="s">
        <v>244</v>
      </c>
      <c r="FE18" s="24" t="s">
        <v>242</v>
      </c>
      <c r="FF18" s="24">
        <v>2</v>
      </c>
      <c r="FG18" s="24">
        <v>2</v>
      </c>
      <c r="FH18" s="24">
        <v>3</v>
      </c>
      <c r="FI18" s="24">
        <v>1</v>
      </c>
      <c r="FJ18" s="24">
        <v>5</v>
      </c>
      <c r="FK18" s="24">
        <v>3</v>
      </c>
      <c r="FL18" s="24">
        <v>2</v>
      </c>
      <c r="FM18" s="24">
        <v>1</v>
      </c>
      <c r="FN18" s="24">
        <v>1</v>
      </c>
      <c r="FO18" s="24">
        <v>5</v>
      </c>
      <c r="FP18" s="24">
        <v>1</v>
      </c>
      <c r="FQ18" s="24">
        <v>5</v>
      </c>
      <c r="FR18" s="24">
        <v>3</v>
      </c>
      <c r="FS18" s="24">
        <v>2</v>
      </c>
      <c r="FT18" s="24">
        <v>2</v>
      </c>
      <c r="FU18" s="24">
        <v>2</v>
      </c>
      <c r="FV18" s="26">
        <v>136.66666666666669</v>
      </c>
      <c r="FW18" s="26">
        <v>180.55</v>
      </c>
      <c r="FX18" s="26">
        <v>277.90000000000003</v>
      </c>
      <c r="FY18" s="26">
        <v>85.833333333333343</v>
      </c>
      <c r="FZ18" s="26">
        <v>460.33333333333331</v>
      </c>
      <c r="GA18" s="26">
        <v>278.25</v>
      </c>
      <c r="GB18" s="26">
        <v>160.6</v>
      </c>
      <c r="GC18" s="26">
        <v>94.333333333333343</v>
      </c>
      <c r="GD18" s="26">
        <v>94.333333333333343</v>
      </c>
      <c r="GE18" s="26">
        <v>454.88750000000005</v>
      </c>
      <c r="GF18" s="26">
        <v>95.955000000000013</v>
      </c>
      <c r="GG18" s="26">
        <v>411.83750000000003</v>
      </c>
      <c r="GH18" s="26">
        <v>277.57500000000005</v>
      </c>
      <c r="GI18" s="26">
        <v>179.43333333333334</v>
      </c>
      <c r="GJ18" s="26">
        <v>193.73333333333335</v>
      </c>
      <c r="GK18" s="26">
        <v>176.5</v>
      </c>
      <c r="GL18" s="24">
        <v>3</v>
      </c>
      <c r="GM18" s="24">
        <v>8</v>
      </c>
      <c r="GN18" s="24">
        <v>12</v>
      </c>
      <c r="GO18" s="24">
        <v>3</v>
      </c>
      <c r="GP18" s="24">
        <v>20</v>
      </c>
      <c r="GQ18" s="24">
        <v>12</v>
      </c>
      <c r="GR18" s="24">
        <v>6</v>
      </c>
      <c r="GS18" s="24">
        <v>4</v>
      </c>
      <c r="GT18" s="24">
        <v>4</v>
      </c>
      <c r="GU18" s="24">
        <v>20</v>
      </c>
      <c r="GV18" s="24">
        <v>4</v>
      </c>
      <c r="GW18" s="24">
        <v>15</v>
      </c>
      <c r="GX18" s="24">
        <v>12</v>
      </c>
      <c r="GY18" s="24">
        <v>6</v>
      </c>
      <c r="GZ18" s="24">
        <v>8</v>
      </c>
      <c r="HA18" s="24">
        <v>6</v>
      </c>
      <c r="HB18" s="24">
        <v>20</v>
      </c>
      <c r="HC18" s="24">
        <v>1768.8</v>
      </c>
      <c r="HD18" s="26">
        <v>72</v>
      </c>
      <c r="HE18" s="26">
        <v>88.44</v>
      </c>
      <c r="HF18" s="24" t="s">
        <v>242</v>
      </c>
      <c r="HG18" s="26">
        <v>3.6</v>
      </c>
      <c r="HH18" s="24">
        <v>20</v>
      </c>
      <c r="HI18" s="26">
        <v>1789.9216666666669</v>
      </c>
      <c r="HJ18" s="26">
        <v>71</v>
      </c>
      <c r="HK18" s="26">
        <v>89.496083333333345</v>
      </c>
      <c r="HL18" s="24" t="s">
        <v>242</v>
      </c>
      <c r="HM18" s="27">
        <v>3.55</v>
      </c>
      <c r="HN18" s="24">
        <v>40</v>
      </c>
      <c r="HO18" s="27">
        <v>3558.7216666666673</v>
      </c>
      <c r="HP18" s="27">
        <v>143</v>
      </c>
      <c r="HQ18" s="26">
        <v>88.968041666666679</v>
      </c>
      <c r="HR18" s="27" t="s">
        <v>242</v>
      </c>
      <c r="HS18" s="26">
        <v>3.5750000000000002</v>
      </c>
      <c r="HT18" s="24">
        <v>1</v>
      </c>
      <c r="HU18" s="24" t="s">
        <v>235</v>
      </c>
      <c r="HV18" s="24">
        <v>11</v>
      </c>
      <c r="HW18" s="24">
        <v>100</v>
      </c>
      <c r="HX18" s="24">
        <v>0</v>
      </c>
      <c r="HY18" s="24">
        <v>0</v>
      </c>
      <c r="HZ18" s="24">
        <v>0</v>
      </c>
      <c r="IA18" s="24">
        <v>0</v>
      </c>
      <c r="IB18" s="25">
        <v>1</v>
      </c>
    </row>
    <row r="19" spans="1:236" ht="27" customHeight="1" x14ac:dyDescent="0.35">
      <c r="A19" s="24">
        <v>5</v>
      </c>
      <c r="B19" s="28" t="s">
        <v>133</v>
      </c>
      <c r="C19" s="30" t="s">
        <v>134</v>
      </c>
      <c r="D19" s="28">
        <v>5</v>
      </c>
      <c r="E19" s="24" t="s">
        <v>124</v>
      </c>
      <c r="F19" s="24" t="s">
        <v>210</v>
      </c>
      <c r="G19" s="26">
        <v>57.333333333333343</v>
      </c>
      <c r="H19" s="26">
        <v>71.76666666666668</v>
      </c>
      <c r="I19" s="26">
        <v>72.366666666666674</v>
      </c>
      <c r="J19" s="26">
        <v>57.333333333333343</v>
      </c>
      <c r="K19" s="26">
        <v>67.400000000000006</v>
      </c>
      <c r="L19" s="26">
        <v>70.406666666666666</v>
      </c>
      <c r="M19" s="26">
        <v>71.76666666666668</v>
      </c>
      <c r="N19" s="26">
        <v>67.333333333333343</v>
      </c>
      <c r="O19" s="26">
        <v>67.333333333333343</v>
      </c>
      <c r="P19" s="26">
        <v>90.54000000000002</v>
      </c>
      <c r="Q19" s="26">
        <v>90.54000000000002</v>
      </c>
      <c r="R19" s="26">
        <v>51</v>
      </c>
      <c r="S19" s="26">
        <v>54.606060606060609</v>
      </c>
      <c r="T19" s="26">
        <v>41.6</v>
      </c>
      <c r="U19" s="26">
        <v>82.666666666666671</v>
      </c>
      <c r="V19" s="26">
        <v>79</v>
      </c>
      <c r="W19" s="24">
        <v>20</v>
      </c>
      <c r="X19" s="26">
        <v>1359.0533333333333</v>
      </c>
      <c r="Y19" s="26">
        <v>33.5</v>
      </c>
      <c r="Z19" s="26">
        <v>67.952666666666659</v>
      </c>
      <c r="AA19" s="24" t="s">
        <v>243</v>
      </c>
      <c r="AB19" s="26">
        <v>1.675</v>
      </c>
      <c r="AC19" s="24">
        <v>20</v>
      </c>
      <c r="AD19" s="26">
        <v>1368.5915151515153</v>
      </c>
      <c r="AE19" s="26">
        <v>42</v>
      </c>
      <c r="AF19" s="26">
        <v>68.429575757575762</v>
      </c>
      <c r="AG19" s="24" t="s">
        <v>243</v>
      </c>
      <c r="AH19" s="27">
        <v>2.1</v>
      </c>
      <c r="AI19" s="24">
        <v>40</v>
      </c>
      <c r="AJ19" s="26">
        <v>2727.6448484848484</v>
      </c>
      <c r="AK19" s="26">
        <v>75.5</v>
      </c>
      <c r="AL19" s="26">
        <v>68.191121212121203</v>
      </c>
      <c r="AM19" s="24" t="s">
        <v>243</v>
      </c>
      <c r="AN19" s="26">
        <v>1.8875</v>
      </c>
      <c r="AO19" s="24">
        <v>8</v>
      </c>
      <c r="AP19" s="24" t="s">
        <v>235</v>
      </c>
      <c r="AQ19" s="24">
        <v>11</v>
      </c>
      <c r="AR19" s="24">
        <v>50</v>
      </c>
      <c r="AS19" s="24">
        <v>0</v>
      </c>
      <c r="AT19" s="24">
        <v>0</v>
      </c>
      <c r="AU19" s="24">
        <v>0</v>
      </c>
      <c r="AV19" s="24">
        <v>0</v>
      </c>
      <c r="AW19" s="25">
        <v>1</v>
      </c>
      <c r="AX19" s="26">
        <v>76.333333333333343</v>
      </c>
      <c r="AY19" s="26">
        <v>79.599999999999994</v>
      </c>
      <c r="AZ19" s="26">
        <v>82.166666666666671</v>
      </c>
      <c r="BA19" s="26">
        <v>80.333333333333343</v>
      </c>
      <c r="BB19" s="26">
        <v>82.866666666666674</v>
      </c>
      <c r="BC19" s="26">
        <v>78.933333333333337</v>
      </c>
      <c r="BD19" s="26">
        <v>81.599999999999994</v>
      </c>
      <c r="BE19" s="26">
        <v>100</v>
      </c>
      <c r="BF19" s="26">
        <v>100</v>
      </c>
      <c r="BG19" s="26">
        <v>82.19</v>
      </c>
      <c r="BH19" s="26">
        <v>82.19</v>
      </c>
      <c r="BI19" s="26">
        <v>58.58</v>
      </c>
      <c r="BJ19" s="26">
        <v>55.466666666666669</v>
      </c>
      <c r="BK19" s="26">
        <v>79.333333333333343</v>
      </c>
      <c r="BL19" s="26">
        <v>82.166666666666657</v>
      </c>
      <c r="BM19" s="26">
        <v>88.833333333333343</v>
      </c>
      <c r="BN19" s="24">
        <v>20</v>
      </c>
      <c r="BO19" s="24">
        <v>1653.0333333333333</v>
      </c>
      <c r="BP19" s="26">
        <v>55</v>
      </c>
      <c r="BQ19" s="26">
        <v>82.651666666666671</v>
      </c>
      <c r="BR19" s="24" t="s">
        <v>242</v>
      </c>
      <c r="BS19" s="26">
        <v>2.75</v>
      </c>
      <c r="BT19" s="24">
        <v>20</v>
      </c>
      <c r="BU19" s="26">
        <v>1453.1066666666666</v>
      </c>
      <c r="BV19" s="26">
        <v>42</v>
      </c>
      <c r="BW19" s="26">
        <v>72.655333333333331</v>
      </c>
      <c r="BX19" s="24" t="s">
        <v>241</v>
      </c>
      <c r="BY19" s="27">
        <v>2.1</v>
      </c>
      <c r="BZ19" s="24">
        <v>40</v>
      </c>
      <c r="CA19" s="27">
        <v>3106.14</v>
      </c>
      <c r="CB19" s="27">
        <v>97</v>
      </c>
      <c r="CC19" s="26">
        <v>77.653499999999994</v>
      </c>
      <c r="CD19" s="27" t="s">
        <v>241</v>
      </c>
      <c r="CE19" s="26">
        <v>2.4249999999999998</v>
      </c>
      <c r="CF19" s="24">
        <v>8</v>
      </c>
      <c r="CG19" s="24" t="s">
        <v>235</v>
      </c>
      <c r="CH19" s="24">
        <v>11</v>
      </c>
      <c r="CI19" s="24">
        <v>50</v>
      </c>
      <c r="CJ19" s="24">
        <v>0</v>
      </c>
      <c r="CK19" s="24">
        <v>0</v>
      </c>
      <c r="CL19" s="24">
        <v>0</v>
      </c>
      <c r="CM19" s="24">
        <v>0</v>
      </c>
      <c r="CN19" s="25">
        <v>1</v>
      </c>
      <c r="CO19" s="7">
        <v>55</v>
      </c>
      <c r="CP19" s="7">
        <v>60</v>
      </c>
      <c r="CQ19" s="7">
        <v>80</v>
      </c>
      <c r="CR19" s="7">
        <v>70</v>
      </c>
      <c r="CS19" s="7">
        <v>80</v>
      </c>
      <c r="CT19" s="7">
        <v>60</v>
      </c>
      <c r="CU19" s="7">
        <v>50</v>
      </c>
      <c r="CV19" s="7"/>
      <c r="CW19" s="7"/>
      <c r="CX19" s="7">
        <v>70</v>
      </c>
      <c r="CY19" s="7"/>
      <c r="CZ19" s="7">
        <v>45</v>
      </c>
      <c r="DA19" s="7">
        <v>49</v>
      </c>
      <c r="DB19" s="7">
        <v>64</v>
      </c>
      <c r="DC19" s="7">
        <v>78.5</v>
      </c>
      <c r="DD19" s="7">
        <v>52</v>
      </c>
      <c r="DE19" s="24">
        <v>18</v>
      </c>
      <c r="DF19" s="26">
        <v>1220</v>
      </c>
      <c r="DG19" s="26">
        <v>37.5</v>
      </c>
      <c r="DH19" s="26">
        <v>67.777777777777771</v>
      </c>
      <c r="DI19" s="24" t="s">
        <v>243</v>
      </c>
      <c r="DJ19" s="26">
        <v>2.0833333333333335</v>
      </c>
      <c r="DK19" s="24">
        <v>19</v>
      </c>
      <c r="DL19" s="24">
        <v>1111</v>
      </c>
      <c r="DM19" s="26">
        <v>19</v>
      </c>
      <c r="DN19" s="26">
        <v>58.473684210526315</v>
      </c>
      <c r="DO19" s="24" t="s">
        <v>245</v>
      </c>
      <c r="DP19" s="27">
        <v>1</v>
      </c>
      <c r="DQ19" s="24">
        <v>37</v>
      </c>
      <c r="DR19" s="27">
        <v>2331</v>
      </c>
      <c r="DS19" s="27">
        <v>56.5</v>
      </c>
      <c r="DT19" s="26">
        <v>63</v>
      </c>
      <c r="DU19" s="24" t="s">
        <v>243</v>
      </c>
      <c r="DV19" s="26">
        <v>1.527027027027027</v>
      </c>
      <c r="DW19" s="24">
        <v>8</v>
      </c>
      <c r="DX19" s="24" t="s">
        <v>235</v>
      </c>
      <c r="DY19" s="24">
        <v>11</v>
      </c>
      <c r="DZ19" s="26">
        <v>60.916666666666671</v>
      </c>
      <c r="EA19" s="26">
        <v>67.841666666666669</v>
      </c>
      <c r="EB19" s="26">
        <v>78.63333333333334</v>
      </c>
      <c r="EC19" s="26">
        <v>69.416666666666671</v>
      </c>
      <c r="ED19" s="26">
        <v>77.566666666666663</v>
      </c>
      <c r="EE19" s="26">
        <v>67.335000000000008</v>
      </c>
      <c r="EF19" s="26">
        <v>63.341666666666669</v>
      </c>
      <c r="EG19" s="26">
        <v>83.666666666666671</v>
      </c>
      <c r="EH19" s="26">
        <v>83.666666666666671</v>
      </c>
      <c r="EI19" s="26">
        <v>78.182500000000005</v>
      </c>
      <c r="EJ19" s="26">
        <v>86.365000000000009</v>
      </c>
      <c r="EK19" s="26">
        <v>49.894999999999996</v>
      </c>
      <c r="EL19" s="26">
        <v>52.018181818181816</v>
      </c>
      <c r="EM19" s="26">
        <v>62.233333333333334</v>
      </c>
      <c r="EN19" s="26">
        <v>80.458333333333329</v>
      </c>
      <c r="EO19" s="26">
        <v>67.958333333333343</v>
      </c>
      <c r="EP19" s="26" t="s">
        <v>243</v>
      </c>
      <c r="EQ19" s="26" t="s">
        <v>243</v>
      </c>
      <c r="ER19" s="26" t="s">
        <v>241</v>
      </c>
      <c r="ES19" s="26" t="s">
        <v>243</v>
      </c>
      <c r="ET19" s="26" t="s">
        <v>241</v>
      </c>
      <c r="EU19" s="26" t="s">
        <v>243</v>
      </c>
      <c r="EV19" s="26" t="s">
        <v>243</v>
      </c>
      <c r="EW19" s="26" t="s">
        <v>242</v>
      </c>
      <c r="EX19" s="26" t="s">
        <v>242</v>
      </c>
      <c r="EY19" s="24" t="s">
        <v>241</v>
      </c>
      <c r="EZ19" s="24" t="s">
        <v>242</v>
      </c>
      <c r="FA19" s="24" t="s">
        <v>125</v>
      </c>
      <c r="FB19" s="24" t="s">
        <v>245</v>
      </c>
      <c r="FC19" s="24" t="s">
        <v>243</v>
      </c>
      <c r="FD19" s="24" t="s">
        <v>242</v>
      </c>
      <c r="FE19" s="24" t="s">
        <v>243</v>
      </c>
      <c r="FF19" s="24">
        <v>2</v>
      </c>
      <c r="FG19" s="24">
        <v>2</v>
      </c>
      <c r="FH19" s="24">
        <v>3</v>
      </c>
      <c r="FI19" s="24">
        <v>1</v>
      </c>
      <c r="FJ19" s="24">
        <v>5</v>
      </c>
      <c r="FK19" s="24">
        <v>3</v>
      </c>
      <c r="FL19" s="24">
        <v>2</v>
      </c>
      <c r="FM19" s="24">
        <v>1</v>
      </c>
      <c r="FN19" s="24">
        <v>1</v>
      </c>
      <c r="FO19" s="24">
        <v>5</v>
      </c>
      <c r="FP19" s="24">
        <v>1</v>
      </c>
      <c r="FQ19" s="24">
        <v>5</v>
      </c>
      <c r="FR19" s="24">
        <v>3</v>
      </c>
      <c r="FS19" s="24">
        <v>2</v>
      </c>
      <c r="FT19" s="24">
        <v>2</v>
      </c>
      <c r="FU19" s="24">
        <v>2</v>
      </c>
      <c r="FV19" s="26">
        <v>121.83333333333334</v>
      </c>
      <c r="FW19" s="26">
        <v>135.68333333333334</v>
      </c>
      <c r="FX19" s="26">
        <v>235.90000000000003</v>
      </c>
      <c r="FY19" s="26">
        <v>69.416666666666671</v>
      </c>
      <c r="FZ19" s="26">
        <v>387.83333333333331</v>
      </c>
      <c r="GA19" s="26">
        <v>202.00500000000002</v>
      </c>
      <c r="GB19" s="26">
        <v>126.68333333333334</v>
      </c>
      <c r="GC19" s="26">
        <v>83.666666666666671</v>
      </c>
      <c r="GD19" s="26">
        <v>83.666666666666671</v>
      </c>
      <c r="GE19" s="26">
        <v>390.91250000000002</v>
      </c>
      <c r="GF19" s="26">
        <v>86.365000000000009</v>
      </c>
      <c r="GG19" s="26">
        <v>249.47499999999997</v>
      </c>
      <c r="GH19" s="26">
        <v>156.05454545454546</v>
      </c>
      <c r="GI19" s="26">
        <v>124.46666666666667</v>
      </c>
      <c r="GJ19" s="26">
        <v>160.91666666666666</v>
      </c>
      <c r="GK19" s="26">
        <v>135.91666666666669</v>
      </c>
      <c r="GL19" s="24">
        <v>3</v>
      </c>
      <c r="GM19" s="24">
        <v>3</v>
      </c>
      <c r="GN19" s="24">
        <v>6</v>
      </c>
      <c r="GO19" s="24">
        <v>1.5</v>
      </c>
      <c r="GP19" s="24">
        <v>10</v>
      </c>
      <c r="GQ19" s="24">
        <v>4.5</v>
      </c>
      <c r="GR19" s="24">
        <v>3</v>
      </c>
      <c r="GS19" s="24">
        <v>3</v>
      </c>
      <c r="GT19" s="24">
        <v>3</v>
      </c>
      <c r="GU19" s="24">
        <v>10</v>
      </c>
      <c r="GV19" s="24">
        <v>3</v>
      </c>
      <c r="GW19" s="24">
        <v>0</v>
      </c>
      <c r="GX19" s="24">
        <v>3</v>
      </c>
      <c r="GY19" s="24">
        <v>3</v>
      </c>
      <c r="GZ19" s="24">
        <v>6</v>
      </c>
      <c r="HA19" s="24">
        <v>3</v>
      </c>
      <c r="HB19" s="24">
        <v>20</v>
      </c>
      <c r="HC19" s="24">
        <v>1446.6883333333337</v>
      </c>
      <c r="HD19" s="26">
        <v>37</v>
      </c>
      <c r="HE19" s="26">
        <v>72.334416666666684</v>
      </c>
      <c r="HF19" s="24" t="s">
        <v>241</v>
      </c>
      <c r="HG19" s="26">
        <v>1.85</v>
      </c>
      <c r="HH19" s="24">
        <v>20</v>
      </c>
      <c r="HI19" s="26">
        <v>1304.1070454545456</v>
      </c>
      <c r="HJ19" s="26">
        <v>28</v>
      </c>
      <c r="HK19" s="26">
        <v>65.205352272727282</v>
      </c>
      <c r="HL19" s="24" t="s">
        <v>243</v>
      </c>
      <c r="HM19" s="27">
        <v>1.4</v>
      </c>
      <c r="HN19" s="24">
        <v>40</v>
      </c>
      <c r="HO19" s="27">
        <v>2750.7953787878791</v>
      </c>
      <c r="HP19" s="27">
        <v>65</v>
      </c>
      <c r="HQ19" s="26">
        <v>68.769884469696976</v>
      </c>
      <c r="HR19" s="27" t="s">
        <v>243</v>
      </c>
      <c r="HS19" s="26">
        <v>1.625</v>
      </c>
      <c r="HT19" s="24">
        <v>8</v>
      </c>
      <c r="HU19" s="24" t="s">
        <v>235</v>
      </c>
      <c r="HV19" s="24">
        <v>11</v>
      </c>
      <c r="HW19" s="24">
        <v>100</v>
      </c>
      <c r="HX19" s="24">
        <v>0</v>
      </c>
      <c r="HY19" s="24">
        <v>0</v>
      </c>
      <c r="HZ19" s="24">
        <v>0</v>
      </c>
      <c r="IA19" s="24">
        <v>0</v>
      </c>
      <c r="IB19" s="25">
        <v>1</v>
      </c>
    </row>
    <row r="20" spans="1:236" ht="27" customHeight="1" x14ac:dyDescent="0.35">
      <c r="A20" s="24">
        <v>6</v>
      </c>
      <c r="B20" s="28" t="s">
        <v>135</v>
      </c>
      <c r="C20" s="30" t="s">
        <v>240</v>
      </c>
      <c r="D20" s="28">
        <v>6</v>
      </c>
      <c r="E20" s="24" t="s">
        <v>125</v>
      </c>
      <c r="F20" s="24" t="s">
        <v>210</v>
      </c>
      <c r="G20" s="26">
        <v>69.333333333333343</v>
      </c>
      <c r="H20" s="26">
        <v>88.366666666666674</v>
      </c>
      <c r="I20" s="26">
        <v>88.366666666666674</v>
      </c>
      <c r="J20" s="26">
        <v>70.666666666666671</v>
      </c>
      <c r="K20" s="26">
        <v>83.600000000000009</v>
      </c>
      <c r="L20" s="26">
        <v>88.366666666666674</v>
      </c>
      <c r="M20" s="26">
        <v>88.366666666666674</v>
      </c>
      <c r="N20" s="26">
        <v>90.833333333333343</v>
      </c>
      <c r="O20" s="26">
        <v>90.833333333333343</v>
      </c>
      <c r="P20" s="26">
        <v>96.56</v>
      </c>
      <c r="Q20" s="26">
        <v>96.56</v>
      </c>
      <c r="R20" s="26">
        <v>73.930000000000007</v>
      </c>
      <c r="S20" s="26">
        <v>84.333333333333343</v>
      </c>
      <c r="T20" s="26">
        <v>81</v>
      </c>
      <c r="U20" s="26">
        <v>92.666666666666671</v>
      </c>
      <c r="V20" s="26">
        <v>96</v>
      </c>
      <c r="W20" s="24">
        <v>20</v>
      </c>
      <c r="X20" s="26">
        <v>1692.6666666666667</v>
      </c>
      <c r="Y20" s="26">
        <v>58</v>
      </c>
      <c r="Z20" s="26">
        <v>84.63333333333334</v>
      </c>
      <c r="AA20" s="24" t="s">
        <v>242</v>
      </c>
      <c r="AB20" s="26">
        <v>2.9</v>
      </c>
      <c r="AC20" s="24">
        <v>20</v>
      </c>
      <c r="AD20" s="26">
        <v>1741.3433333333332</v>
      </c>
      <c r="AE20" s="26">
        <v>65</v>
      </c>
      <c r="AF20" s="26">
        <v>87.067166666666665</v>
      </c>
      <c r="AG20" s="24" t="s">
        <v>242</v>
      </c>
      <c r="AH20" s="27">
        <v>3.25</v>
      </c>
      <c r="AI20" s="24">
        <v>40</v>
      </c>
      <c r="AJ20" s="26">
        <v>3434.01</v>
      </c>
      <c r="AK20" s="26">
        <v>123</v>
      </c>
      <c r="AL20" s="26">
        <v>85.850250000000003</v>
      </c>
      <c r="AM20" s="24" t="s">
        <v>242</v>
      </c>
      <c r="AN20" s="26">
        <v>3.0750000000000002</v>
      </c>
      <c r="AO20" s="24">
        <v>3</v>
      </c>
      <c r="AP20" s="24" t="s">
        <v>235</v>
      </c>
      <c r="AQ20" s="24">
        <v>11</v>
      </c>
      <c r="AR20" s="24">
        <v>50</v>
      </c>
      <c r="AS20" s="24">
        <v>0</v>
      </c>
      <c r="AT20" s="24">
        <v>0</v>
      </c>
      <c r="AU20" s="24">
        <v>0</v>
      </c>
      <c r="AV20" s="24">
        <v>0</v>
      </c>
      <c r="AW20" s="25">
        <v>1</v>
      </c>
      <c r="AX20" s="26">
        <v>90</v>
      </c>
      <c r="AY20" s="26">
        <v>90.7</v>
      </c>
      <c r="AZ20" s="26">
        <v>90.7</v>
      </c>
      <c r="BA20" s="26">
        <v>88.666666666666671</v>
      </c>
      <c r="BB20" s="26">
        <v>91.466666666666669</v>
      </c>
      <c r="BC20" s="26">
        <v>91.833333333333343</v>
      </c>
      <c r="BD20" s="26">
        <v>91.366666666666674</v>
      </c>
      <c r="BE20" s="26">
        <v>100</v>
      </c>
      <c r="BF20" s="26">
        <v>100</v>
      </c>
      <c r="BG20" s="26">
        <v>94.82</v>
      </c>
      <c r="BH20" s="26">
        <v>94.82</v>
      </c>
      <c r="BI20" s="26">
        <v>60.28</v>
      </c>
      <c r="BJ20" s="26">
        <v>61.13333333333334</v>
      </c>
      <c r="BK20" s="26">
        <v>93.333333333333343</v>
      </c>
      <c r="BL20" s="26">
        <v>93.833333333333343</v>
      </c>
      <c r="BM20" s="26">
        <v>95</v>
      </c>
      <c r="BN20" s="24">
        <v>20</v>
      </c>
      <c r="BO20" s="24">
        <v>1837.7333333333333</v>
      </c>
      <c r="BP20" s="26">
        <v>79</v>
      </c>
      <c r="BQ20" s="26">
        <v>91.88666666666667</v>
      </c>
      <c r="BR20" s="24" t="s">
        <v>244</v>
      </c>
      <c r="BS20" s="26">
        <v>3.95</v>
      </c>
      <c r="BT20" s="24">
        <v>20</v>
      </c>
      <c r="BU20" s="26">
        <v>1618.0533333333335</v>
      </c>
      <c r="BV20" s="26">
        <v>60</v>
      </c>
      <c r="BW20" s="26">
        <v>80.902666666666676</v>
      </c>
      <c r="BX20" s="24" t="s">
        <v>242</v>
      </c>
      <c r="BY20" s="27">
        <v>3</v>
      </c>
      <c r="BZ20" s="24">
        <v>40</v>
      </c>
      <c r="CA20" s="27">
        <v>3455.7866666666669</v>
      </c>
      <c r="CB20" s="27">
        <v>139</v>
      </c>
      <c r="CC20" s="26">
        <v>86.394666666666666</v>
      </c>
      <c r="CD20" s="27" t="s">
        <v>242</v>
      </c>
      <c r="CE20" s="26">
        <v>3.4750000000000001</v>
      </c>
      <c r="CF20" s="24">
        <v>3</v>
      </c>
      <c r="CG20" s="24" t="s">
        <v>235</v>
      </c>
      <c r="CH20" s="24">
        <v>11</v>
      </c>
      <c r="CI20" s="24">
        <v>50</v>
      </c>
      <c r="CJ20" s="24">
        <v>0</v>
      </c>
      <c r="CK20" s="24">
        <v>0</v>
      </c>
      <c r="CL20" s="24">
        <v>0</v>
      </c>
      <c r="CM20" s="24">
        <v>0</v>
      </c>
      <c r="CN20" s="25">
        <v>1</v>
      </c>
      <c r="CO20" s="7">
        <v>65</v>
      </c>
      <c r="CP20" s="7">
        <v>85</v>
      </c>
      <c r="CQ20" s="7">
        <v>95</v>
      </c>
      <c r="CR20" s="7">
        <v>90</v>
      </c>
      <c r="CS20" s="7">
        <v>70</v>
      </c>
      <c r="CT20" s="7">
        <v>65</v>
      </c>
      <c r="CU20" s="7">
        <v>60</v>
      </c>
      <c r="CV20" s="7"/>
      <c r="CW20" s="7"/>
      <c r="CX20" s="7">
        <v>86</v>
      </c>
      <c r="CY20" s="7"/>
      <c r="CZ20" s="7">
        <v>54</v>
      </c>
      <c r="DA20" s="7">
        <v>53</v>
      </c>
      <c r="DB20" s="7">
        <v>87</v>
      </c>
      <c r="DC20" s="7">
        <v>94</v>
      </c>
      <c r="DD20" s="7">
        <v>79</v>
      </c>
      <c r="DE20" s="24">
        <v>18</v>
      </c>
      <c r="DF20" s="26">
        <v>1340</v>
      </c>
      <c r="DG20" s="26">
        <v>42.5</v>
      </c>
      <c r="DH20" s="26">
        <v>74.444444444444443</v>
      </c>
      <c r="DI20" s="24" t="s">
        <v>241</v>
      </c>
      <c r="DJ20" s="26">
        <v>2.3611111111111112</v>
      </c>
      <c r="DK20" s="24">
        <v>19</v>
      </c>
      <c r="DL20" s="24">
        <v>1379</v>
      </c>
      <c r="DM20" s="26">
        <v>41</v>
      </c>
      <c r="DN20" s="26">
        <v>72.578947368421055</v>
      </c>
      <c r="DO20" s="24" t="s">
        <v>241</v>
      </c>
      <c r="DP20" s="27">
        <v>2.1578947368421053</v>
      </c>
      <c r="DQ20" s="24">
        <v>37</v>
      </c>
      <c r="DR20" s="27">
        <v>2719</v>
      </c>
      <c r="DS20" s="27">
        <v>83.5</v>
      </c>
      <c r="DT20" s="26">
        <v>73.486486486486484</v>
      </c>
      <c r="DU20" s="24" t="s">
        <v>241</v>
      </c>
      <c r="DV20" s="26">
        <v>2.2567567567567566</v>
      </c>
      <c r="DW20" s="24">
        <v>5</v>
      </c>
      <c r="DX20" s="24" t="s">
        <v>235</v>
      </c>
      <c r="DY20" s="24">
        <v>11</v>
      </c>
      <c r="DZ20" s="26">
        <v>72.333333333333343</v>
      </c>
      <c r="EA20" s="26">
        <v>87.266666666666666</v>
      </c>
      <c r="EB20" s="26">
        <v>92.266666666666666</v>
      </c>
      <c r="EC20" s="26">
        <v>84.833333333333343</v>
      </c>
      <c r="ED20" s="26">
        <v>78.766666666666666</v>
      </c>
      <c r="EE20" s="26">
        <v>77.550000000000011</v>
      </c>
      <c r="EF20" s="26">
        <v>74.933333333333337</v>
      </c>
      <c r="EG20" s="26">
        <v>95.416666666666671</v>
      </c>
      <c r="EH20" s="26">
        <v>95.416666666666671</v>
      </c>
      <c r="EI20" s="26">
        <v>90.844999999999999</v>
      </c>
      <c r="EJ20" s="26">
        <v>95.69</v>
      </c>
      <c r="EK20" s="26">
        <v>60.552500000000002</v>
      </c>
      <c r="EL20" s="26">
        <v>62.866666666666674</v>
      </c>
      <c r="EM20" s="26">
        <v>87.083333333333343</v>
      </c>
      <c r="EN20" s="26">
        <v>93.625</v>
      </c>
      <c r="EO20" s="26">
        <v>87.25</v>
      </c>
      <c r="EP20" s="26" t="s">
        <v>241</v>
      </c>
      <c r="EQ20" s="26" t="s">
        <v>242</v>
      </c>
      <c r="ER20" s="26" t="s">
        <v>244</v>
      </c>
      <c r="ES20" s="26" t="s">
        <v>242</v>
      </c>
      <c r="ET20" s="26" t="s">
        <v>241</v>
      </c>
      <c r="EU20" s="26" t="s">
        <v>241</v>
      </c>
      <c r="EV20" s="26" t="s">
        <v>241</v>
      </c>
      <c r="EW20" s="26" t="s">
        <v>244</v>
      </c>
      <c r="EX20" s="26" t="s">
        <v>244</v>
      </c>
      <c r="EY20" s="24" t="s">
        <v>244</v>
      </c>
      <c r="EZ20" s="24" t="s">
        <v>244</v>
      </c>
      <c r="FA20" s="24" t="s">
        <v>243</v>
      </c>
      <c r="FB20" s="24" t="s">
        <v>243</v>
      </c>
      <c r="FC20" s="24" t="s">
        <v>242</v>
      </c>
      <c r="FD20" s="24" t="s">
        <v>244</v>
      </c>
      <c r="FE20" s="24" t="s">
        <v>242</v>
      </c>
      <c r="FF20" s="24">
        <v>2</v>
      </c>
      <c r="FG20" s="24">
        <v>2</v>
      </c>
      <c r="FH20" s="24">
        <v>3</v>
      </c>
      <c r="FI20" s="24">
        <v>1</v>
      </c>
      <c r="FJ20" s="24">
        <v>5</v>
      </c>
      <c r="FK20" s="24">
        <v>3</v>
      </c>
      <c r="FL20" s="24">
        <v>2</v>
      </c>
      <c r="FM20" s="24">
        <v>1</v>
      </c>
      <c r="FN20" s="24">
        <v>1</v>
      </c>
      <c r="FO20" s="24">
        <v>5</v>
      </c>
      <c r="FP20" s="24">
        <v>1</v>
      </c>
      <c r="FQ20" s="24">
        <v>5</v>
      </c>
      <c r="FR20" s="24">
        <v>3</v>
      </c>
      <c r="FS20" s="24">
        <v>2</v>
      </c>
      <c r="FT20" s="24">
        <v>2</v>
      </c>
      <c r="FU20" s="24">
        <v>2</v>
      </c>
      <c r="FV20" s="26">
        <v>144.66666666666669</v>
      </c>
      <c r="FW20" s="26">
        <v>174.53333333333333</v>
      </c>
      <c r="FX20" s="26">
        <v>276.8</v>
      </c>
      <c r="FY20" s="26">
        <v>84.833333333333343</v>
      </c>
      <c r="FZ20" s="26">
        <v>393.83333333333331</v>
      </c>
      <c r="GA20" s="26">
        <v>232.65000000000003</v>
      </c>
      <c r="GB20" s="26">
        <v>149.86666666666667</v>
      </c>
      <c r="GC20" s="26">
        <v>95.416666666666671</v>
      </c>
      <c r="GD20" s="26">
        <v>95.416666666666671</v>
      </c>
      <c r="GE20" s="26">
        <v>454.22500000000002</v>
      </c>
      <c r="GF20" s="26">
        <v>95.69</v>
      </c>
      <c r="GG20" s="26">
        <v>302.76249999999999</v>
      </c>
      <c r="GH20" s="26">
        <v>188.60000000000002</v>
      </c>
      <c r="GI20" s="26">
        <v>174.16666666666669</v>
      </c>
      <c r="GJ20" s="26">
        <v>187.25</v>
      </c>
      <c r="GK20" s="26">
        <v>174.5</v>
      </c>
      <c r="GL20" s="24">
        <v>4</v>
      </c>
      <c r="GM20" s="24">
        <v>6</v>
      </c>
      <c r="GN20" s="24">
        <v>12</v>
      </c>
      <c r="GO20" s="24">
        <v>3</v>
      </c>
      <c r="GP20" s="24">
        <v>10</v>
      </c>
      <c r="GQ20" s="24">
        <v>6</v>
      </c>
      <c r="GR20" s="24">
        <v>4</v>
      </c>
      <c r="GS20" s="24">
        <v>4</v>
      </c>
      <c r="GT20" s="24">
        <v>4</v>
      </c>
      <c r="GU20" s="24">
        <v>20</v>
      </c>
      <c r="GV20" s="24">
        <v>4</v>
      </c>
      <c r="GW20" s="24">
        <v>7.5</v>
      </c>
      <c r="GX20" s="24">
        <v>4.5</v>
      </c>
      <c r="GY20" s="24">
        <v>6</v>
      </c>
      <c r="GZ20" s="24">
        <v>8</v>
      </c>
      <c r="HA20" s="24">
        <v>6</v>
      </c>
      <c r="HB20" s="24">
        <v>20</v>
      </c>
      <c r="HC20" s="24">
        <v>1648.0166666666669</v>
      </c>
      <c r="HD20" s="26">
        <v>53</v>
      </c>
      <c r="HE20" s="26">
        <v>82.400833333333338</v>
      </c>
      <c r="HF20" s="24" t="s">
        <v>242</v>
      </c>
      <c r="HG20" s="26">
        <v>2.65</v>
      </c>
      <c r="HH20" s="24">
        <v>20</v>
      </c>
      <c r="HI20" s="26">
        <v>1577.1941666666669</v>
      </c>
      <c r="HJ20" s="26">
        <v>56</v>
      </c>
      <c r="HK20" s="26">
        <v>78.859708333333344</v>
      </c>
      <c r="HL20" s="24" t="s">
        <v>241</v>
      </c>
      <c r="HM20" s="27">
        <v>2.8</v>
      </c>
      <c r="HN20" s="24">
        <v>40</v>
      </c>
      <c r="HO20" s="27">
        <v>3225.2108333333331</v>
      </c>
      <c r="HP20" s="27">
        <v>109</v>
      </c>
      <c r="HQ20" s="26">
        <v>80.630270833333327</v>
      </c>
      <c r="HR20" s="27" t="s">
        <v>242</v>
      </c>
      <c r="HS20" s="26">
        <v>2.7250000000000001</v>
      </c>
      <c r="HT20" s="24">
        <v>4</v>
      </c>
      <c r="HU20" s="24" t="s">
        <v>235</v>
      </c>
      <c r="HV20" s="24">
        <v>11</v>
      </c>
      <c r="HW20" s="24">
        <v>100</v>
      </c>
      <c r="HX20" s="24">
        <v>0</v>
      </c>
      <c r="HY20" s="24">
        <v>0</v>
      </c>
      <c r="HZ20" s="24">
        <v>0</v>
      </c>
      <c r="IA20" s="24">
        <v>0</v>
      </c>
      <c r="IB20" s="25">
        <v>1</v>
      </c>
    </row>
    <row r="21" spans="1:236" ht="27" customHeight="1" x14ac:dyDescent="0.35">
      <c r="A21" s="24">
        <v>7</v>
      </c>
      <c r="B21" s="28" t="s">
        <v>137</v>
      </c>
      <c r="C21" s="30" t="s">
        <v>138</v>
      </c>
      <c r="D21" s="28">
        <v>7</v>
      </c>
      <c r="E21" s="24" t="s">
        <v>124</v>
      </c>
      <c r="F21" s="24" t="s">
        <v>210</v>
      </c>
      <c r="G21" s="26">
        <v>64</v>
      </c>
      <c r="H21" s="26">
        <v>80.366666666666674</v>
      </c>
      <c r="I21" s="26">
        <v>80.366666666666674</v>
      </c>
      <c r="J21" s="26">
        <v>62.666666666666664</v>
      </c>
      <c r="K21" s="26">
        <v>79.599999999999994</v>
      </c>
      <c r="L21" s="26">
        <v>80.366666666666674</v>
      </c>
      <c r="M21" s="26">
        <v>80.366666666666674</v>
      </c>
      <c r="N21" s="26">
        <v>81.833333333333343</v>
      </c>
      <c r="O21" s="26">
        <v>81.833333333333343</v>
      </c>
      <c r="P21" s="26">
        <v>94.546666666666681</v>
      </c>
      <c r="Q21" s="26">
        <v>94.546666666666681</v>
      </c>
      <c r="R21" s="26">
        <v>78.069999999999993</v>
      </c>
      <c r="S21" s="26">
        <v>86.818181818181813</v>
      </c>
      <c r="T21" s="26">
        <v>51</v>
      </c>
      <c r="U21" s="26">
        <v>89</v>
      </c>
      <c r="V21" s="26">
        <v>88</v>
      </c>
      <c r="W21" s="24">
        <v>20</v>
      </c>
      <c r="X21" s="26">
        <v>1555.9999999999998</v>
      </c>
      <c r="Y21" s="26">
        <v>50.5</v>
      </c>
      <c r="Z21" s="26">
        <v>77.799999999999983</v>
      </c>
      <c r="AA21" s="24" t="s">
        <v>241</v>
      </c>
      <c r="AB21" s="26">
        <v>2.5249999999999999</v>
      </c>
      <c r="AC21" s="24">
        <v>20</v>
      </c>
      <c r="AD21" s="26">
        <v>1674.0845454545456</v>
      </c>
      <c r="AE21" s="26">
        <v>57</v>
      </c>
      <c r="AF21" s="26">
        <v>83.70422727272728</v>
      </c>
      <c r="AG21" s="24" t="s">
        <v>242</v>
      </c>
      <c r="AH21" s="27">
        <v>2.85</v>
      </c>
      <c r="AI21" s="24">
        <v>40</v>
      </c>
      <c r="AJ21" s="26">
        <v>3230.0845454545452</v>
      </c>
      <c r="AK21" s="26">
        <v>107.5</v>
      </c>
      <c r="AL21" s="26">
        <v>80.752113636363632</v>
      </c>
      <c r="AM21" s="24" t="s">
        <v>242</v>
      </c>
      <c r="AN21" s="26">
        <v>2.6875</v>
      </c>
      <c r="AO21" s="24">
        <v>6</v>
      </c>
      <c r="AP21" s="24" t="s">
        <v>235</v>
      </c>
      <c r="AQ21" s="24">
        <v>11</v>
      </c>
      <c r="AR21" s="24">
        <v>50</v>
      </c>
      <c r="AS21" s="24">
        <v>0</v>
      </c>
      <c r="AT21" s="24">
        <v>0</v>
      </c>
      <c r="AU21" s="24">
        <v>0</v>
      </c>
      <c r="AV21" s="24">
        <v>0</v>
      </c>
      <c r="AW21" s="25">
        <v>1</v>
      </c>
      <c r="AX21" s="26">
        <v>76</v>
      </c>
      <c r="AY21" s="26">
        <v>83.4</v>
      </c>
      <c r="AZ21" s="26">
        <v>84.733333333333348</v>
      </c>
      <c r="BA21" s="26">
        <v>81.333333333333343</v>
      </c>
      <c r="BB21" s="26">
        <v>84.366666666666674</v>
      </c>
      <c r="BC21" s="26">
        <v>81.966666666666669</v>
      </c>
      <c r="BD21" s="26">
        <v>84.366666666666674</v>
      </c>
      <c r="BE21" s="26">
        <v>100</v>
      </c>
      <c r="BF21" s="26">
        <v>100</v>
      </c>
      <c r="BG21" s="26">
        <v>90.15</v>
      </c>
      <c r="BH21" s="26">
        <v>90.15</v>
      </c>
      <c r="BI21" s="26">
        <v>59.58</v>
      </c>
      <c r="BJ21" s="26">
        <v>87.866666666666674</v>
      </c>
      <c r="BK21" s="26">
        <v>92</v>
      </c>
      <c r="BL21" s="26">
        <v>91.5</v>
      </c>
      <c r="BM21" s="26">
        <v>90.800000000000011</v>
      </c>
      <c r="BN21" s="24">
        <v>20</v>
      </c>
      <c r="BO21" s="24">
        <v>1690.8000000000002</v>
      </c>
      <c r="BP21" s="26">
        <v>60</v>
      </c>
      <c r="BQ21" s="26">
        <v>84.54</v>
      </c>
      <c r="BR21" s="24" t="s">
        <v>242</v>
      </c>
      <c r="BS21" s="26">
        <v>3</v>
      </c>
      <c r="BT21" s="24">
        <v>20</v>
      </c>
      <c r="BU21" s="26">
        <v>1651</v>
      </c>
      <c r="BV21" s="26">
        <v>62</v>
      </c>
      <c r="BW21" s="26">
        <v>82.55</v>
      </c>
      <c r="BX21" s="24" t="s">
        <v>242</v>
      </c>
      <c r="BY21" s="27">
        <v>3.1</v>
      </c>
      <c r="BZ21" s="24">
        <v>40</v>
      </c>
      <c r="CA21" s="27">
        <v>3341.8</v>
      </c>
      <c r="CB21" s="27">
        <v>122</v>
      </c>
      <c r="CC21" s="26">
        <v>83.545000000000002</v>
      </c>
      <c r="CD21" s="27" t="s">
        <v>242</v>
      </c>
      <c r="CE21" s="26">
        <v>3.05</v>
      </c>
      <c r="CF21" s="24">
        <v>7</v>
      </c>
      <c r="CG21" s="24" t="s">
        <v>235</v>
      </c>
      <c r="CH21" s="24">
        <v>11</v>
      </c>
      <c r="CI21" s="24">
        <v>50</v>
      </c>
      <c r="CJ21" s="24">
        <v>0</v>
      </c>
      <c r="CK21" s="24">
        <v>0</v>
      </c>
      <c r="CL21" s="24">
        <v>0</v>
      </c>
      <c r="CM21" s="24">
        <v>0</v>
      </c>
      <c r="CN21" s="25">
        <v>1</v>
      </c>
      <c r="CO21" s="7">
        <v>60</v>
      </c>
      <c r="CP21" s="7">
        <v>70</v>
      </c>
      <c r="CQ21" s="7">
        <v>80</v>
      </c>
      <c r="CR21" s="7">
        <v>70</v>
      </c>
      <c r="CS21" s="7">
        <v>70</v>
      </c>
      <c r="CT21" s="7">
        <v>75</v>
      </c>
      <c r="CU21" s="7">
        <v>65</v>
      </c>
      <c r="CV21" s="7"/>
      <c r="CW21" s="7"/>
      <c r="CX21" s="7">
        <v>74</v>
      </c>
      <c r="CY21" s="7"/>
      <c r="CZ21" s="7">
        <v>46</v>
      </c>
      <c r="DA21" s="7">
        <v>80</v>
      </c>
      <c r="DB21" s="7">
        <v>77</v>
      </c>
      <c r="DC21" s="7">
        <v>94</v>
      </c>
      <c r="DD21" s="7">
        <v>63</v>
      </c>
      <c r="DE21" s="24">
        <v>18</v>
      </c>
      <c r="DF21" s="26">
        <v>1275</v>
      </c>
      <c r="DG21" s="26">
        <v>37</v>
      </c>
      <c r="DH21" s="26">
        <v>70.833333333333329</v>
      </c>
      <c r="DI21" s="24" t="s">
        <v>241</v>
      </c>
      <c r="DJ21" s="26">
        <v>2.0555555555555554</v>
      </c>
      <c r="DK21" s="24">
        <v>19</v>
      </c>
      <c r="DL21" s="24">
        <v>1308</v>
      </c>
      <c r="DM21" s="26">
        <v>34</v>
      </c>
      <c r="DN21" s="26">
        <v>68.84210526315789</v>
      </c>
      <c r="DO21" s="24" t="s">
        <v>243</v>
      </c>
      <c r="DP21" s="27">
        <v>1.7894736842105263</v>
      </c>
      <c r="DQ21" s="24">
        <v>37</v>
      </c>
      <c r="DR21" s="27">
        <v>2583</v>
      </c>
      <c r="DS21" s="27">
        <v>71</v>
      </c>
      <c r="DT21" s="26">
        <v>69.810810810810807</v>
      </c>
      <c r="DU21" s="24" t="s">
        <v>243</v>
      </c>
      <c r="DV21" s="26">
        <v>1.9189189189189189</v>
      </c>
      <c r="DW21" s="24">
        <v>7</v>
      </c>
      <c r="DX21" s="24" t="s">
        <v>235</v>
      </c>
      <c r="DY21" s="24">
        <v>11</v>
      </c>
      <c r="DZ21" s="26">
        <v>65</v>
      </c>
      <c r="EA21" s="26">
        <v>75.941666666666663</v>
      </c>
      <c r="EB21" s="26">
        <v>81.275000000000006</v>
      </c>
      <c r="EC21" s="26">
        <v>71</v>
      </c>
      <c r="ED21" s="26">
        <v>75.991666666666674</v>
      </c>
      <c r="EE21" s="26">
        <v>78.083333333333343</v>
      </c>
      <c r="EF21" s="26">
        <v>73.683333333333337</v>
      </c>
      <c r="EG21" s="26">
        <v>90.916666666666671</v>
      </c>
      <c r="EH21" s="26">
        <v>90.916666666666671</v>
      </c>
      <c r="EI21" s="26">
        <v>83.174166666666679</v>
      </c>
      <c r="EJ21" s="26">
        <v>92.348333333333343</v>
      </c>
      <c r="EK21" s="26">
        <v>57.412499999999994</v>
      </c>
      <c r="EL21" s="26">
        <v>83.671212121212122</v>
      </c>
      <c r="EM21" s="26">
        <v>74.25</v>
      </c>
      <c r="EN21" s="26">
        <v>92.125</v>
      </c>
      <c r="EO21" s="26">
        <v>76.2</v>
      </c>
      <c r="EP21" s="26" t="s">
        <v>243</v>
      </c>
      <c r="EQ21" s="26" t="s">
        <v>241</v>
      </c>
      <c r="ER21" s="26" t="s">
        <v>242</v>
      </c>
      <c r="ES21" s="26" t="s">
        <v>241</v>
      </c>
      <c r="ET21" s="26" t="s">
        <v>241</v>
      </c>
      <c r="EU21" s="26" t="s">
        <v>241</v>
      </c>
      <c r="EV21" s="26" t="s">
        <v>241</v>
      </c>
      <c r="EW21" s="26" t="s">
        <v>244</v>
      </c>
      <c r="EX21" s="26" t="s">
        <v>244</v>
      </c>
      <c r="EY21" s="24" t="s">
        <v>242</v>
      </c>
      <c r="EZ21" s="24" t="s">
        <v>244</v>
      </c>
      <c r="FA21" s="24" t="s">
        <v>245</v>
      </c>
      <c r="FB21" s="24" t="s">
        <v>242</v>
      </c>
      <c r="FC21" s="24" t="s">
        <v>241</v>
      </c>
      <c r="FD21" s="24" t="s">
        <v>244</v>
      </c>
      <c r="FE21" s="24" t="s">
        <v>241</v>
      </c>
      <c r="FF21" s="24">
        <v>2</v>
      </c>
      <c r="FG21" s="24">
        <v>2</v>
      </c>
      <c r="FH21" s="24">
        <v>3</v>
      </c>
      <c r="FI21" s="24">
        <v>1</v>
      </c>
      <c r="FJ21" s="24">
        <v>5</v>
      </c>
      <c r="FK21" s="24">
        <v>3</v>
      </c>
      <c r="FL21" s="24">
        <v>2</v>
      </c>
      <c r="FM21" s="24">
        <v>1</v>
      </c>
      <c r="FN21" s="24">
        <v>1</v>
      </c>
      <c r="FO21" s="24">
        <v>5</v>
      </c>
      <c r="FP21" s="24">
        <v>1</v>
      </c>
      <c r="FQ21" s="24">
        <v>5</v>
      </c>
      <c r="FR21" s="24">
        <v>3</v>
      </c>
      <c r="FS21" s="24">
        <v>2</v>
      </c>
      <c r="FT21" s="24">
        <v>2</v>
      </c>
      <c r="FU21" s="24">
        <v>2</v>
      </c>
      <c r="FV21" s="26">
        <v>130</v>
      </c>
      <c r="FW21" s="26">
        <v>151.88333333333333</v>
      </c>
      <c r="FX21" s="26">
        <v>243.82500000000002</v>
      </c>
      <c r="FY21" s="26">
        <v>71</v>
      </c>
      <c r="FZ21" s="26">
        <v>379.95833333333337</v>
      </c>
      <c r="GA21" s="26">
        <v>234.25000000000003</v>
      </c>
      <c r="GB21" s="26">
        <v>147.36666666666667</v>
      </c>
      <c r="GC21" s="26">
        <v>90.916666666666671</v>
      </c>
      <c r="GD21" s="26">
        <v>90.916666666666671</v>
      </c>
      <c r="GE21" s="26">
        <v>415.87083333333339</v>
      </c>
      <c r="GF21" s="26">
        <v>92.348333333333343</v>
      </c>
      <c r="GG21" s="26">
        <v>287.0625</v>
      </c>
      <c r="GH21" s="26">
        <v>251.01363636363635</v>
      </c>
      <c r="GI21" s="26">
        <v>148.5</v>
      </c>
      <c r="GJ21" s="26">
        <v>184.25</v>
      </c>
      <c r="GK21" s="26">
        <v>152.4</v>
      </c>
      <c r="GL21" s="24">
        <v>3</v>
      </c>
      <c r="GM21" s="24">
        <v>4</v>
      </c>
      <c r="GN21" s="24">
        <v>9</v>
      </c>
      <c r="GO21" s="24">
        <v>2</v>
      </c>
      <c r="GP21" s="24">
        <v>10</v>
      </c>
      <c r="GQ21" s="24">
        <v>6</v>
      </c>
      <c r="GR21" s="24">
        <v>4</v>
      </c>
      <c r="GS21" s="24">
        <v>4</v>
      </c>
      <c r="GT21" s="24">
        <v>4</v>
      </c>
      <c r="GU21" s="24">
        <v>15</v>
      </c>
      <c r="GV21" s="24">
        <v>4</v>
      </c>
      <c r="GW21" s="24">
        <v>5</v>
      </c>
      <c r="GX21" s="24">
        <v>9</v>
      </c>
      <c r="GY21" s="24">
        <v>4</v>
      </c>
      <c r="GZ21" s="24">
        <v>8</v>
      </c>
      <c r="HA21" s="24">
        <v>4</v>
      </c>
      <c r="HB21" s="24">
        <v>20</v>
      </c>
      <c r="HC21" s="24">
        <v>1540.1166666666668</v>
      </c>
      <c r="HD21" s="26">
        <v>46</v>
      </c>
      <c r="HE21" s="26">
        <v>77.005833333333342</v>
      </c>
      <c r="HF21" s="24" t="s">
        <v>241</v>
      </c>
      <c r="HG21" s="26">
        <v>2.2999999999999998</v>
      </c>
      <c r="HH21" s="24">
        <v>20</v>
      </c>
      <c r="HI21" s="26">
        <v>1531.4453030303032</v>
      </c>
      <c r="HJ21" s="26">
        <v>49</v>
      </c>
      <c r="HK21" s="26">
        <v>76.572265151515154</v>
      </c>
      <c r="HL21" s="24" t="s">
        <v>241</v>
      </c>
      <c r="HM21" s="27">
        <v>2.4500000000000002</v>
      </c>
      <c r="HN21" s="24">
        <v>40</v>
      </c>
      <c r="HO21" s="27">
        <v>3071.5619696969702</v>
      </c>
      <c r="HP21" s="27">
        <v>95</v>
      </c>
      <c r="HQ21" s="26">
        <v>76.789049242424255</v>
      </c>
      <c r="HR21" s="27" t="s">
        <v>241</v>
      </c>
      <c r="HS21" s="26">
        <v>2.375</v>
      </c>
      <c r="HT21" s="24">
        <v>7</v>
      </c>
      <c r="HU21" s="24" t="s">
        <v>235</v>
      </c>
      <c r="HV21" s="24">
        <v>11</v>
      </c>
      <c r="HW21" s="24">
        <v>100</v>
      </c>
      <c r="HX21" s="24">
        <v>0</v>
      </c>
      <c r="HY21" s="24">
        <v>0</v>
      </c>
      <c r="HZ21" s="24">
        <v>0</v>
      </c>
      <c r="IA21" s="24">
        <v>0</v>
      </c>
      <c r="IB21" s="25">
        <v>1</v>
      </c>
    </row>
    <row r="22" spans="1:236" ht="27" customHeight="1" x14ac:dyDescent="0.35">
      <c r="A22" s="24">
        <v>8</v>
      </c>
      <c r="B22" s="28" t="s">
        <v>139</v>
      </c>
      <c r="C22" s="30" t="s">
        <v>140</v>
      </c>
      <c r="D22" s="28">
        <v>8</v>
      </c>
      <c r="E22" s="24" t="s">
        <v>125</v>
      </c>
      <c r="F22" s="24" t="s">
        <v>210</v>
      </c>
      <c r="G22" s="26">
        <v>68</v>
      </c>
      <c r="H22" s="26">
        <v>104.36666666666669</v>
      </c>
      <c r="I22" s="26">
        <v>86.366666666666674</v>
      </c>
      <c r="J22" s="26">
        <v>69.333333333333343</v>
      </c>
      <c r="K22" s="26">
        <v>79.5</v>
      </c>
      <c r="L22" s="26">
        <v>86.366666666666674</v>
      </c>
      <c r="M22" s="26">
        <v>86.366666666666674</v>
      </c>
      <c r="N22" s="26">
        <v>85.833333333333343</v>
      </c>
      <c r="O22" s="26">
        <v>85.833333333333343</v>
      </c>
      <c r="P22" s="26">
        <v>97.433333333333337</v>
      </c>
      <c r="Q22" s="26">
        <v>97.433333333333337</v>
      </c>
      <c r="R22" s="26">
        <v>77.2</v>
      </c>
      <c r="S22" s="26">
        <v>85.909090909090921</v>
      </c>
      <c r="T22" s="26">
        <v>80</v>
      </c>
      <c r="U22" s="26">
        <v>95.800000000000011</v>
      </c>
      <c r="V22" s="26">
        <v>95</v>
      </c>
      <c r="W22" s="24">
        <v>20</v>
      </c>
      <c r="X22" s="26">
        <v>1674.1666666666667</v>
      </c>
      <c r="Y22" s="26">
        <v>52.5</v>
      </c>
      <c r="Z22" s="26">
        <v>83.708333333333343</v>
      </c>
      <c r="AA22" s="24" t="s">
        <v>242</v>
      </c>
      <c r="AB22" s="26">
        <v>2.625</v>
      </c>
      <c r="AC22" s="24">
        <v>20</v>
      </c>
      <c r="AD22" s="26">
        <v>1769.9272727272728</v>
      </c>
      <c r="AE22" s="26">
        <v>65</v>
      </c>
      <c r="AF22" s="26">
        <v>88.49636363636364</v>
      </c>
      <c r="AG22" s="24" t="s">
        <v>242</v>
      </c>
      <c r="AH22" s="27">
        <v>3.25</v>
      </c>
      <c r="AI22" s="24">
        <v>40</v>
      </c>
      <c r="AJ22" s="26">
        <v>3444.0939393939393</v>
      </c>
      <c r="AK22" s="26">
        <v>117.5</v>
      </c>
      <c r="AL22" s="26">
        <v>86.102348484848477</v>
      </c>
      <c r="AM22" s="24" t="s">
        <v>242</v>
      </c>
      <c r="AN22" s="26">
        <v>2.9375</v>
      </c>
      <c r="AO22" s="24">
        <v>2</v>
      </c>
      <c r="AP22" s="24" t="s">
        <v>235</v>
      </c>
      <c r="AQ22" s="24">
        <v>11</v>
      </c>
      <c r="AR22" s="24">
        <v>50</v>
      </c>
      <c r="AS22" s="24">
        <v>0</v>
      </c>
      <c r="AT22" s="24">
        <v>0</v>
      </c>
      <c r="AU22" s="24">
        <v>0</v>
      </c>
      <c r="AV22" s="24">
        <v>0</v>
      </c>
      <c r="AW22" s="25">
        <v>1</v>
      </c>
      <c r="AX22" s="26">
        <v>87.333333333333343</v>
      </c>
      <c r="AY22" s="26">
        <v>90.066666666666677</v>
      </c>
      <c r="AZ22" s="26">
        <v>89</v>
      </c>
      <c r="BA22" s="26">
        <v>87.333333333333343</v>
      </c>
      <c r="BB22" s="26">
        <v>87.666666666666671</v>
      </c>
      <c r="BC22" s="26">
        <v>87.966666666666669</v>
      </c>
      <c r="BD22" s="26">
        <v>88.066666666666677</v>
      </c>
      <c r="BE22" s="26">
        <v>100</v>
      </c>
      <c r="BF22" s="26">
        <v>100</v>
      </c>
      <c r="BG22" s="26">
        <v>92.21</v>
      </c>
      <c r="BH22" s="26">
        <v>92.21</v>
      </c>
      <c r="BI22" s="26">
        <v>82.56</v>
      </c>
      <c r="BJ22" s="26">
        <v>72.466666666666669</v>
      </c>
      <c r="BK22" s="26">
        <v>96</v>
      </c>
      <c r="BL22" s="26">
        <v>94.5</v>
      </c>
      <c r="BM22" s="26">
        <v>97</v>
      </c>
      <c r="BN22" s="24">
        <v>20</v>
      </c>
      <c r="BO22" s="24">
        <v>1787.5000000000002</v>
      </c>
      <c r="BP22" s="26">
        <v>64</v>
      </c>
      <c r="BQ22" s="26">
        <v>89.375000000000014</v>
      </c>
      <c r="BR22" s="24" t="s">
        <v>242</v>
      </c>
      <c r="BS22" s="26">
        <v>3.2</v>
      </c>
      <c r="BT22" s="24">
        <v>20</v>
      </c>
      <c r="BU22" s="26">
        <v>1758.46</v>
      </c>
      <c r="BV22" s="26">
        <v>69</v>
      </c>
      <c r="BW22" s="26">
        <v>87.923000000000002</v>
      </c>
      <c r="BX22" s="24" t="s">
        <v>242</v>
      </c>
      <c r="BY22" s="27">
        <v>3.45</v>
      </c>
      <c r="BZ22" s="24">
        <v>40</v>
      </c>
      <c r="CA22" s="27">
        <v>3545.9600000000005</v>
      </c>
      <c r="CB22" s="27">
        <v>133</v>
      </c>
      <c r="CC22" s="26">
        <v>88.649000000000015</v>
      </c>
      <c r="CD22" s="27" t="s">
        <v>242</v>
      </c>
      <c r="CE22" s="26">
        <v>3.3250000000000002</v>
      </c>
      <c r="CF22" s="24">
        <v>2</v>
      </c>
      <c r="CG22" s="24" t="s">
        <v>235</v>
      </c>
      <c r="CH22" s="24">
        <v>11</v>
      </c>
      <c r="CI22" s="24">
        <v>50</v>
      </c>
      <c r="CJ22" s="24">
        <v>0</v>
      </c>
      <c r="CK22" s="24">
        <v>0</v>
      </c>
      <c r="CL22" s="24">
        <v>0</v>
      </c>
      <c r="CM22" s="24">
        <v>0</v>
      </c>
      <c r="CN22" s="25">
        <v>1</v>
      </c>
      <c r="CO22" s="7">
        <v>65</v>
      </c>
      <c r="CP22" s="7">
        <v>75</v>
      </c>
      <c r="CQ22" s="7">
        <v>95</v>
      </c>
      <c r="CR22" s="7">
        <v>80</v>
      </c>
      <c r="CS22" s="7">
        <v>90</v>
      </c>
      <c r="CT22" s="7">
        <v>75</v>
      </c>
      <c r="CU22" s="7">
        <v>60</v>
      </c>
      <c r="CV22" s="7"/>
      <c r="CW22" s="7"/>
      <c r="CX22" s="7">
        <v>90</v>
      </c>
      <c r="CY22" s="7"/>
      <c r="CZ22" s="7">
        <v>85</v>
      </c>
      <c r="DA22" s="7">
        <v>73</v>
      </c>
      <c r="DB22" s="7">
        <v>96</v>
      </c>
      <c r="DC22" s="7">
        <v>94</v>
      </c>
      <c r="DD22" s="7">
        <v>91</v>
      </c>
      <c r="DE22" s="24">
        <v>18</v>
      </c>
      <c r="DF22" s="26">
        <v>1440</v>
      </c>
      <c r="DG22" s="26">
        <v>51</v>
      </c>
      <c r="DH22" s="26">
        <v>80</v>
      </c>
      <c r="DI22" s="24" t="s">
        <v>242</v>
      </c>
      <c r="DJ22" s="26">
        <v>2.8333333333333335</v>
      </c>
      <c r="DK22" s="24">
        <v>19</v>
      </c>
      <c r="DL22" s="24">
        <v>1656</v>
      </c>
      <c r="DM22" s="26">
        <v>65</v>
      </c>
      <c r="DN22" s="26">
        <v>87.15789473684211</v>
      </c>
      <c r="DO22" s="24" t="s">
        <v>242</v>
      </c>
      <c r="DP22" s="27">
        <v>3.4210526315789473</v>
      </c>
      <c r="DQ22" s="24">
        <v>37</v>
      </c>
      <c r="DR22" s="27">
        <v>3096</v>
      </c>
      <c r="DS22" s="27">
        <v>116</v>
      </c>
      <c r="DT22" s="26">
        <v>83.675675675675677</v>
      </c>
      <c r="DU22" s="24" t="s">
        <v>242</v>
      </c>
      <c r="DV22" s="26">
        <v>3.1351351351351351</v>
      </c>
      <c r="DW22" s="24">
        <v>2</v>
      </c>
      <c r="DX22" s="24" t="s">
        <v>235</v>
      </c>
      <c r="DY22" s="24">
        <v>11</v>
      </c>
      <c r="DZ22" s="26">
        <v>71.333333333333343</v>
      </c>
      <c r="EA22" s="26">
        <v>86.108333333333348</v>
      </c>
      <c r="EB22" s="26">
        <v>91.341666666666669</v>
      </c>
      <c r="EC22" s="26">
        <v>79.166666666666671</v>
      </c>
      <c r="ED22" s="26">
        <v>86.791666666666671</v>
      </c>
      <c r="EE22" s="26">
        <v>81.083333333333343</v>
      </c>
      <c r="EF22" s="26">
        <v>73.608333333333334</v>
      </c>
      <c r="EG22" s="26">
        <v>92.916666666666671</v>
      </c>
      <c r="EH22" s="26">
        <v>92.916666666666671</v>
      </c>
      <c r="EI22" s="26">
        <v>92.410833333333329</v>
      </c>
      <c r="EJ22" s="26">
        <v>94.821666666666658</v>
      </c>
      <c r="EK22" s="26">
        <v>82.44</v>
      </c>
      <c r="EL22" s="26">
        <v>76.093939393939394</v>
      </c>
      <c r="EM22" s="26">
        <v>92</v>
      </c>
      <c r="EN22" s="26">
        <v>94.575000000000003</v>
      </c>
      <c r="EO22" s="26">
        <v>93.5</v>
      </c>
      <c r="EP22" s="26" t="s">
        <v>241</v>
      </c>
      <c r="EQ22" s="26" t="s">
        <v>242</v>
      </c>
      <c r="ER22" s="26" t="s">
        <v>244</v>
      </c>
      <c r="ES22" s="26" t="s">
        <v>241</v>
      </c>
      <c r="ET22" s="26" t="s">
        <v>242</v>
      </c>
      <c r="EU22" s="26" t="s">
        <v>242</v>
      </c>
      <c r="EV22" s="26" t="s">
        <v>241</v>
      </c>
      <c r="EW22" s="26" t="s">
        <v>244</v>
      </c>
      <c r="EX22" s="26" t="s">
        <v>244</v>
      </c>
      <c r="EY22" s="24" t="s">
        <v>244</v>
      </c>
      <c r="EZ22" s="24" t="s">
        <v>244</v>
      </c>
      <c r="FA22" s="24" t="s">
        <v>242</v>
      </c>
      <c r="FB22" s="24" t="s">
        <v>241</v>
      </c>
      <c r="FC22" s="24" t="s">
        <v>244</v>
      </c>
      <c r="FD22" s="24" t="s">
        <v>244</v>
      </c>
      <c r="FE22" s="24" t="s">
        <v>244</v>
      </c>
      <c r="FF22" s="24">
        <v>2</v>
      </c>
      <c r="FG22" s="24">
        <v>2</v>
      </c>
      <c r="FH22" s="24">
        <v>3</v>
      </c>
      <c r="FI22" s="24">
        <v>1</v>
      </c>
      <c r="FJ22" s="24">
        <v>5</v>
      </c>
      <c r="FK22" s="24">
        <v>3</v>
      </c>
      <c r="FL22" s="24">
        <v>2</v>
      </c>
      <c r="FM22" s="24">
        <v>1</v>
      </c>
      <c r="FN22" s="24">
        <v>1</v>
      </c>
      <c r="FO22" s="24">
        <v>5</v>
      </c>
      <c r="FP22" s="24">
        <v>1</v>
      </c>
      <c r="FQ22" s="24">
        <v>5</v>
      </c>
      <c r="FR22" s="24">
        <v>3</v>
      </c>
      <c r="FS22" s="24">
        <v>2</v>
      </c>
      <c r="FT22" s="24">
        <v>2</v>
      </c>
      <c r="FU22" s="24">
        <v>2</v>
      </c>
      <c r="FV22" s="26">
        <v>142.66666666666669</v>
      </c>
      <c r="FW22" s="26">
        <v>172.2166666666667</v>
      </c>
      <c r="FX22" s="26">
        <v>274.02499999999998</v>
      </c>
      <c r="FY22" s="26">
        <v>79.166666666666671</v>
      </c>
      <c r="FZ22" s="26">
        <v>433.95833333333337</v>
      </c>
      <c r="GA22" s="26">
        <v>243.25000000000003</v>
      </c>
      <c r="GB22" s="26">
        <v>147.21666666666667</v>
      </c>
      <c r="GC22" s="26">
        <v>92.916666666666671</v>
      </c>
      <c r="GD22" s="26">
        <v>92.916666666666671</v>
      </c>
      <c r="GE22" s="26">
        <v>462.05416666666667</v>
      </c>
      <c r="GF22" s="26">
        <v>94.821666666666658</v>
      </c>
      <c r="GG22" s="26">
        <v>412.2</v>
      </c>
      <c r="GH22" s="26">
        <v>228.28181818181818</v>
      </c>
      <c r="GI22" s="26">
        <v>184</v>
      </c>
      <c r="GJ22" s="26">
        <v>189.15</v>
      </c>
      <c r="GK22" s="26">
        <v>187</v>
      </c>
      <c r="GL22" s="24">
        <v>4</v>
      </c>
      <c r="GM22" s="24">
        <v>6</v>
      </c>
      <c r="GN22" s="24">
        <v>12</v>
      </c>
      <c r="GO22" s="24">
        <v>2</v>
      </c>
      <c r="GP22" s="24">
        <v>15</v>
      </c>
      <c r="GQ22" s="24">
        <v>9</v>
      </c>
      <c r="GR22" s="24">
        <v>4</v>
      </c>
      <c r="GS22" s="24">
        <v>4</v>
      </c>
      <c r="GT22" s="24">
        <v>4</v>
      </c>
      <c r="GU22" s="24">
        <v>20</v>
      </c>
      <c r="GV22" s="24">
        <v>4</v>
      </c>
      <c r="GW22" s="24">
        <v>15</v>
      </c>
      <c r="GX22" s="24">
        <v>6</v>
      </c>
      <c r="GY22" s="24">
        <v>8</v>
      </c>
      <c r="GZ22" s="24">
        <v>8</v>
      </c>
      <c r="HA22" s="24">
        <v>8</v>
      </c>
      <c r="HB22" s="24">
        <v>20</v>
      </c>
      <c r="HC22" s="24">
        <v>1678.3333333333335</v>
      </c>
      <c r="HD22" s="26">
        <v>60</v>
      </c>
      <c r="HE22" s="26">
        <v>83.916666666666671</v>
      </c>
      <c r="HF22" s="24" t="s">
        <v>242</v>
      </c>
      <c r="HG22" s="26">
        <v>3</v>
      </c>
      <c r="HH22" s="24">
        <v>20</v>
      </c>
      <c r="HI22" s="26">
        <v>1757.5076515151516</v>
      </c>
      <c r="HJ22" s="26">
        <v>69</v>
      </c>
      <c r="HK22" s="26">
        <v>87.875382575757584</v>
      </c>
      <c r="HL22" s="24" t="s">
        <v>242</v>
      </c>
      <c r="HM22" s="27">
        <v>3.45</v>
      </c>
      <c r="HN22" s="24">
        <v>40</v>
      </c>
      <c r="HO22" s="27">
        <v>3435.8409848484853</v>
      </c>
      <c r="HP22" s="27">
        <v>129</v>
      </c>
      <c r="HQ22" s="26">
        <v>85.896024621212135</v>
      </c>
      <c r="HR22" s="27" t="s">
        <v>242</v>
      </c>
      <c r="HS22" s="26">
        <v>3.2250000000000001</v>
      </c>
      <c r="HT22" s="24">
        <v>2</v>
      </c>
      <c r="HU22" s="24" t="s">
        <v>235</v>
      </c>
      <c r="HV22" s="24">
        <v>11</v>
      </c>
      <c r="HW22" s="24">
        <v>100</v>
      </c>
      <c r="HX22" s="24">
        <v>0</v>
      </c>
      <c r="HY22" s="24">
        <v>0</v>
      </c>
      <c r="HZ22" s="24">
        <v>0</v>
      </c>
      <c r="IA22" s="24">
        <v>0</v>
      </c>
      <c r="IB22" s="25">
        <v>1</v>
      </c>
    </row>
    <row r="23" spans="1:236" ht="27" customHeight="1" x14ac:dyDescent="0.35">
      <c r="A23" s="24">
        <v>9</v>
      </c>
      <c r="B23" s="28" t="s">
        <v>141</v>
      </c>
      <c r="C23" s="30" t="s">
        <v>142</v>
      </c>
      <c r="D23" s="28">
        <v>9</v>
      </c>
      <c r="E23" s="24" t="s">
        <v>124</v>
      </c>
      <c r="F23" s="24" t="s">
        <v>210</v>
      </c>
      <c r="G23" s="26">
        <v>57.333333333333343</v>
      </c>
      <c r="H23" s="26">
        <v>74.866666666666674</v>
      </c>
      <c r="I23" s="26">
        <v>74.866666666666674</v>
      </c>
      <c r="J23" s="26">
        <v>60</v>
      </c>
      <c r="K23" s="26">
        <v>74.400000000000006</v>
      </c>
      <c r="L23" s="26">
        <v>74.866666666666674</v>
      </c>
      <c r="M23" s="26">
        <v>74.866666666666674</v>
      </c>
      <c r="N23" s="26">
        <v>70.166666666666657</v>
      </c>
      <c r="O23" s="26">
        <v>70.166666666666657</v>
      </c>
      <c r="P23" s="26">
        <v>59.63333333333334</v>
      </c>
      <c r="Q23" s="26">
        <v>59.63333333333334</v>
      </c>
      <c r="R23" s="26">
        <v>46.47</v>
      </c>
      <c r="S23" s="26">
        <v>31.333333333333332</v>
      </c>
      <c r="T23" s="26">
        <v>38.799999999999997</v>
      </c>
      <c r="U23" s="26">
        <v>75.333333333333343</v>
      </c>
      <c r="V23" s="26">
        <v>69.666666666666671</v>
      </c>
      <c r="W23" s="24">
        <v>20</v>
      </c>
      <c r="X23" s="26">
        <v>1435.6666666666667</v>
      </c>
      <c r="Y23" s="26">
        <v>37.5</v>
      </c>
      <c r="Z23" s="26">
        <v>71.783333333333331</v>
      </c>
      <c r="AA23" s="24" t="s">
        <v>241</v>
      </c>
      <c r="AB23" s="26">
        <v>1.875</v>
      </c>
      <c r="AC23" s="24">
        <v>20</v>
      </c>
      <c r="AD23" s="26">
        <v>1051.75</v>
      </c>
      <c r="AE23" s="26">
        <v>13</v>
      </c>
      <c r="AF23" s="26">
        <v>52.587499999999999</v>
      </c>
      <c r="AG23" s="24" t="s">
        <v>245</v>
      </c>
      <c r="AH23" s="27">
        <v>0.65</v>
      </c>
      <c r="AI23" s="24">
        <v>40</v>
      </c>
      <c r="AJ23" s="26">
        <v>2487.4166666666665</v>
      </c>
      <c r="AK23" s="26">
        <v>50.5</v>
      </c>
      <c r="AL23" s="26">
        <v>62.185416666666661</v>
      </c>
      <c r="AM23" s="24" t="s">
        <v>243</v>
      </c>
      <c r="AN23" s="26">
        <v>1.2625</v>
      </c>
      <c r="AO23" s="24">
        <v>10</v>
      </c>
      <c r="AP23" s="24" t="s">
        <v>235</v>
      </c>
      <c r="AQ23" s="24">
        <v>11</v>
      </c>
      <c r="AR23" s="24">
        <v>50</v>
      </c>
      <c r="AS23" s="24">
        <v>0</v>
      </c>
      <c r="AT23" s="24">
        <v>0</v>
      </c>
      <c r="AU23" s="24">
        <v>0</v>
      </c>
      <c r="AV23" s="24">
        <v>0</v>
      </c>
      <c r="AW23" s="25">
        <v>1</v>
      </c>
      <c r="AX23" s="26">
        <v>66.666666666666671</v>
      </c>
      <c r="AY23" s="26">
        <v>82.533333333333331</v>
      </c>
      <c r="AZ23" s="26">
        <v>83.966666666666669</v>
      </c>
      <c r="BA23" s="26">
        <v>80</v>
      </c>
      <c r="BB23" s="26">
        <v>83.4</v>
      </c>
      <c r="BC23" s="26">
        <v>81.866666666666674</v>
      </c>
      <c r="BD23" s="26">
        <v>84.26666666666668</v>
      </c>
      <c r="BE23" s="26">
        <v>100</v>
      </c>
      <c r="BF23" s="26">
        <v>100</v>
      </c>
      <c r="BG23" s="26">
        <v>60.97</v>
      </c>
      <c r="BH23" s="26">
        <v>60.97</v>
      </c>
      <c r="BI23" s="26">
        <v>45.6</v>
      </c>
      <c r="BJ23" s="26">
        <v>47.766666666666666</v>
      </c>
      <c r="BK23" s="26">
        <v>59.333333333333329</v>
      </c>
      <c r="BL23" s="26">
        <v>85</v>
      </c>
      <c r="BM23" s="26">
        <v>77.166666666666657</v>
      </c>
      <c r="BN23" s="24">
        <v>20</v>
      </c>
      <c r="BO23" s="24">
        <v>1661.4333333333334</v>
      </c>
      <c r="BP23" s="26">
        <v>59</v>
      </c>
      <c r="BQ23" s="26">
        <v>83.071666666666673</v>
      </c>
      <c r="BR23" s="24" t="s">
        <v>242</v>
      </c>
      <c r="BS23" s="26">
        <v>2.95</v>
      </c>
      <c r="BT23" s="24">
        <v>20</v>
      </c>
      <c r="BU23" s="26">
        <v>1180.1200000000001</v>
      </c>
      <c r="BV23" s="26">
        <v>21</v>
      </c>
      <c r="BW23" s="26">
        <v>59.006000000000007</v>
      </c>
      <c r="BX23" s="24" t="s">
        <v>245</v>
      </c>
      <c r="BY23" s="27">
        <v>1.05</v>
      </c>
      <c r="BZ23" s="24">
        <v>40</v>
      </c>
      <c r="CA23" s="27">
        <v>2841.5533333333333</v>
      </c>
      <c r="CB23" s="27">
        <v>80</v>
      </c>
      <c r="CC23" s="26">
        <v>71.038833333333329</v>
      </c>
      <c r="CD23" s="27" t="s">
        <v>241</v>
      </c>
      <c r="CE23" s="26">
        <v>2</v>
      </c>
      <c r="CF23" s="24">
        <v>11</v>
      </c>
      <c r="CG23" s="24" t="s">
        <v>235</v>
      </c>
      <c r="CH23" s="24">
        <v>11</v>
      </c>
      <c r="CI23" s="24">
        <v>50</v>
      </c>
      <c r="CJ23" s="24">
        <v>0</v>
      </c>
      <c r="CK23" s="24">
        <v>0</v>
      </c>
      <c r="CL23" s="24">
        <v>1</v>
      </c>
      <c r="CM23" s="24">
        <v>1</v>
      </c>
      <c r="CN23" s="25">
        <v>0.98</v>
      </c>
      <c r="CO23" s="7">
        <v>50</v>
      </c>
      <c r="CP23" s="7">
        <v>70</v>
      </c>
      <c r="CQ23" s="7">
        <v>80</v>
      </c>
      <c r="CR23" s="7">
        <v>60</v>
      </c>
      <c r="CS23" s="7">
        <v>65</v>
      </c>
      <c r="CT23" s="7">
        <v>55</v>
      </c>
      <c r="CU23" s="7">
        <v>60</v>
      </c>
      <c r="CV23" s="7"/>
      <c r="CW23" s="7"/>
      <c r="CX23" s="7">
        <v>46</v>
      </c>
      <c r="CY23" s="7"/>
      <c r="CZ23" s="7">
        <v>28</v>
      </c>
      <c r="DA23" s="7">
        <v>16</v>
      </c>
      <c r="DB23" s="7">
        <v>62</v>
      </c>
      <c r="DC23" s="7">
        <v>66.5</v>
      </c>
      <c r="DD23" s="7">
        <v>53</v>
      </c>
      <c r="DE23" s="24">
        <v>18</v>
      </c>
      <c r="DF23" s="26">
        <v>1150</v>
      </c>
      <c r="DG23" s="26">
        <v>30</v>
      </c>
      <c r="DH23" s="26">
        <v>63.888888888888886</v>
      </c>
      <c r="DI23" s="24" t="s">
        <v>243</v>
      </c>
      <c r="DJ23" s="26">
        <v>1.6666666666666667</v>
      </c>
      <c r="DK23" s="24">
        <v>19</v>
      </c>
      <c r="DL23" s="24">
        <v>781</v>
      </c>
      <c r="DM23" s="26">
        <v>8</v>
      </c>
      <c r="DN23" s="26">
        <v>41.10526315789474</v>
      </c>
      <c r="DO23" s="24" t="s">
        <v>125</v>
      </c>
      <c r="DP23" s="27">
        <v>0.42105263157894735</v>
      </c>
      <c r="DQ23" s="24">
        <v>37</v>
      </c>
      <c r="DR23" s="27">
        <v>1931</v>
      </c>
      <c r="DS23" s="27">
        <v>38</v>
      </c>
      <c r="DT23" s="26">
        <v>52.189189189189186</v>
      </c>
      <c r="DU23" s="24" t="s">
        <v>245</v>
      </c>
      <c r="DV23" s="26">
        <v>1.027027027027027</v>
      </c>
      <c r="DW23" s="24">
        <v>11</v>
      </c>
      <c r="DX23" s="24" t="s">
        <v>235</v>
      </c>
      <c r="DY23" s="24">
        <v>11</v>
      </c>
      <c r="DZ23" s="26">
        <v>56</v>
      </c>
      <c r="EA23" s="26">
        <v>74.349999999999994</v>
      </c>
      <c r="EB23" s="26">
        <v>79.708333333333343</v>
      </c>
      <c r="EC23" s="26">
        <v>65</v>
      </c>
      <c r="ED23" s="26">
        <v>71.95</v>
      </c>
      <c r="EE23" s="26">
        <v>66.683333333333337</v>
      </c>
      <c r="EF23" s="26">
        <v>69.783333333333331</v>
      </c>
      <c r="EG23" s="26">
        <v>85.083333333333329</v>
      </c>
      <c r="EH23" s="26">
        <v>85.083333333333329</v>
      </c>
      <c r="EI23" s="26">
        <v>53.150833333333338</v>
      </c>
      <c r="EJ23" s="26">
        <v>60.301666666666669</v>
      </c>
      <c r="EK23" s="26">
        <v>37.017499999999998</v>
      </c>
      <c r="EL23" s="26">
        <v>27.774999999999999</v>
      </c>
      <c r="EM23" s="26">
        <v>55.533333333333331</v>
      </c>
      <c r="EN23" s="26">
        <v>73.333333333333343</v>
      </c>
      <c r="EO23" s="26">
        <v>63.208333333333329</v>
      </c>
      <c r="EP23" s="26" t="s">
        <v>245</v>
      </c>
      <c r="EQ23" s="26" t="s">
        <v>241</v>
      </c>
      <c r="ER23" s="26" t="s">
        <v>241</v>
      </c>
      <c r="ES23" s="26" t="s">
        <v>243</v>
      </c>
      <c r="ET23" s="26" t="s">
        <v>241</v>
      </c>
      <c r="EU23" s="26" t="s">
        <v>243</v>
      </c>
      <c r="EV23" s="26" t="s">
        <v>243</v>
      </c>
      <c r="EW23" s="26" t="s">
        <v>242</v>
      </c>
      <c r="EX23" s="26" t="s">
        <v>242</v>
      </c>
      <c r="EY23" s="24" t="s">
        <v>245</v>
      </c>
      <c r="EZ23" s="24" t="s">
        <v>243</v>
      </c>
      <c r="FA23" s="24" t="s">
        <v>125</v>
      </c>
      <c r="FB23" s="24" t="s">
        <v>125</v>
      </c>
      <c r="FC23" s="24" t="s">
        <v>245</v>
      </c>
      <c r="FD23" s="24" t="s">
        <v>241</v>
      </c>
      <c r="FE23" s="24" t="s">
        <v>243</v>
      </c>
      <c r="FF23" s="24">
        <v>2</v>
      </c>
      <c r="FG23" s="24">
        <v>2</v>
      </c>
      <c r="FH23" s="24">
        <v>3</v>
      </c>
      <c r="FI23" s="24">
        <v>1</v>
      </c>
      <c r="FJ23" s="24">
        <v>5</v>
      </c>
      <c r="FK23" s="24">
        <v>3</v>
      </c>
      <c r="FL23" s="24">
        <v>2</v>
      </c>
      <c r="FM23" s="24">
        <v>1</v>
      </c>
      <c r="FN23" s="24">
        <v>1</v>
      </c>
      <c r="FO23" s="24">
        <v>5</v>
      </c>
      <c r="FP23" s="24">
        <v>1</v>
      </c>
      <c r="FQ23" s="24">
        <v>5</v>
      </c>
      <c r="FR23" s="24">
        <v>3</v>
      </c>
      <c r="FS23" s="24">
        <v>2</v>
      </c>
      <c r="FT23" s="24">
        <v>2</v>
      </c>
      <c r="FU23" s="24">
        <v>2</v>
      </c>
      <c r="FV23" s="26">
        <v>112</v>
      </c>
      <c r="FW23" s="26">
        <v>148.69999999999999</v>
      </c>
      <c r="FX23" s="26">
        <v>239.12500000000003</v>
      </c>
      <c r="FY23" s="26">
        <v>65</v>
      </c>
      <c r="FZ23" s="26">
        <v>359.75</v>
      </c>
      <c r="GA23" s="26">
        <v>200.05</v>
      </c>
      <c r="GB23" s="26">
        <v>139.56666666666666</v>
      </c>
      <c r="GC23" s="26">
        <v>85.083333333333329</v>
      </c>
      <c r="GD23" s="26">
        <v>85.083333333333329</v>
      </c>
      <c r="GE23" s="26">
        <v>265.75416666666672</v>
      </c>
      <c r="GF23" s="26">
        <v>60.301666666666669</v>
      </c>
      <c r="GG23" s="26">
        <v>185.08749999999998</v>
      </c>
      <c r="GH23" s="26">
        <v>83.324999999999989</v>
      </c>
      <c r="GI23" s="26">
        <v>111.06666666666666</v>
      </c>
      <c r="GJ23" s="26">
        <v>146.66666666666669</v>
      </c>
      <c r="GK23" s="26">
        <v>126.41666666666666</v>
      </c>
      <c r="GL23" s="24">
        <v>2</v>
      </c>
      <c r="GM23" s="24">
        <v>4</v>
      </c>
      <c r="GN23" s="24">
        <v>6</v>
      </c>
      <c r="GO23" s="24">
        <v>1.5</v>
      </c>
      <c r="GP23" s="24">
        <v>10</v>
      </c>
      <c r="GQ23" s="24">
        <v>4.5</v>
      </c>
      <c r="GR23" s="24">
        <v>3</v>
      </c>
      <c r="GS23" s="24">
        <v>3</v>
      </c>
      <c r="GT23" s="24">
        <v>3</v>
      </c>
      <c r="GU23" s="24">
        <v>5</v>
      </c>
      <c r="GV23" s="24">
        <v>1.5</v>
      </c>
      <c r="GW23" s="24">
        <v>0</v>
      </c>
      <c r="GX23" s="24">
        <v>0</v>
      </c>
      <c r="GY23" s="24">
        <v>2</v>
      </c>
      <c r="GZ23" s="24">
        <v>4</v>
      </c>
      <c r="HA23" s="24">
        <v>3</v>
      </c>
      <c r="HB23" s="24">
        <v>20</v>
      </c>
      <c r="HC23" s="24">
        <v>1434.3583333333331</v>
      </c>
      <c r="HD23" s="26">
        <v>37</v>
      </c>
      <c r="HE23" s="26">
        <v>71.717916666666653</v>
      </c>
      <c r="HF23" s="24" t="s">
        <v>241</v>
      </c>
      <c r="HG23" s="26">
        <v>1.85</v>
      </c>
      <c r="HH23" s="24">
        <v>20</v>
      </c>
      <c r="HI23" s="26">
        <v>978.61833333333345</v>
      </c>
      <c r="HJ23" s="26">
        <v>15.5</v>
      </c>
      <c r="HK23" s="26">
        <v>48.930916666666675</v>
      </c>
      <c r="HL23" s="24" t="s">
        <v>125</v>
      </c>
      <c r="HM23" s="27">
        <v>0.77500000000000002</v>
      </c>
      <c r="HN23" s="24">
        <v>40</v>
      </c>
      <c r="HO23" s="27">
        <v>2412.9766666666665</v>
      </c>
      <c r="HP23" s="27">
        <v>52.5</v>
      </c>
      <c r="HQ23" s="26">
        <v>60.324416666666664</v>
      </c>
      <c r="HR23" s="27" t="s">
        <v>243</v>
      </c>
      <c r="HS23" s="26">
        <v>1.3125</v>
      </c>
      <c r="HT23" s="24">
        <v>11</v>
      </c>
      <c r="HU23" s="24" t="s">
        <v>235</v>
      </c>
      <c r="HV23" s="24">
        <v>11</v>
      </c>
      <c r="HW23" s="24">
        <v>100</v>
      </c>
      <c r="HX23" s="24">
        <v>0</v>
      </c>
      <c r="HY23" s="24">
        <v>0</v>
      </c>
      <c r="HZ23" s="24">
        <v>1</v>
      </c>
      <c r="IA23" s="24">
        <v>1</v>
      </c>
      <c r="IB23" s="25">
        <v>0.99</v>
      </c>
    </row>
    <row r="24" spans="1:236" ht="27" customHeight="1" x14ac:dyDescent="0.35">
      <c r="A24" s="24">
        <v>10</v>
      </c>
      <c r="B24" s="28" t="s">
        <v>143</v>
      </c>
      <c r="C24" s="30" t="s">
        <v>144</v>
      </c>
      <c r="D24" s="28">
        <v>10</v>
      </c>
      <c r="E24" s="24" t="s">
        <v>124</v>
      </c>
      <c r="F24" s="24" t="s">
        <v>210</v>
      </c>
      <c r="G24" s="26">
        <v>56</v>
      </c>
      <c r="H24" s="26">
        <v>69.066666666666677</v>
      </c>
      <c r="I24" s="26">
        <v>69.066666666666677</v>
      </c>
      <c r="J24" s="26">
        <v>56</v>
      </c>
      <c r="K24" s="26">
        <v>66.8</v>
      </c>
      <c r="L24" s="26">
        <v>69.066666666666677</v>
      </c>
      <c r="M24" s="26">
        <v>69.066666666666677</v>
      </c>
      <c r="N24" s="26">
        <v>66</v>
      </c>
      <c r="O24" s="26">
        <v>66</v>
      </c>
      <c r="P24" s="26">
        <v>93.13333333333334</v>
      </c>
      <c r="Q24" s="26">
        <v>93.13333333333334</v>
      </c>
      <c r="R24" s="26">
        <v>54.07</v>
      </c>
      <c r="S24" s="26">
        <v>38.157575757575763</v>
      </c>
      <c r="T24" s="26">
        <v>51</v>
      </c>
      <c r="U24" s="26">
        <v>85.800000000000011</v>
      </c>
      <c r="V24" s="26">
        <v>82.666666666666657</v>
      </c>
      <c r="W24" s="24">
        <v>20</v>
      </c>
      <c r="X24" s="26">
        <v>1324.6666666666667</v>
      </c>
      <c r="Y24" s="26">
        <v>28.5</v>
      </c>
      <c r="Z24" s="26">
        <v>66.233333333333334</v>
      </c>
      <c r="AA24" s="24" t="s">
        <v>243</v>
      </c>
      <c r="AB24" s="26">
        <v>1.425</v>
      </c>
      <c r="AC24" s="24">
        <v>20</v>
      </c>
      <c r="AD24" s="26">
        <v>1382.5560606060606</v>
      </c>
      <c r="AE24" s="26">
        <v>43</v>
      </c>
      <c r="AF24" s="26">
        <v>69.127803030303028</v>
      </c>
      <c r="AG24" s="24" t="s">
        <v>243</v>
      </c>
      <c r="AH24" s="27">
        <v>2.15</v>
      </c>
      <c r="AI24" s="24">
        <v>40</v>
      </c>
      <c r="AJ24" s="26">
        <v>2707.2227272727278</v>
      </c>
      <c r="AK24" s="26">
        <v>71.5</v>
      </c>
      <c r="AL24" s="26">
        <v>67.680568181818188</v>
      </c>
      <c r="AM24" s="24" t="s">
        <v>243</v>
      </c>
      <c r="AN24" s="26">
        <v>1.7875000000000001</v>
      </c>
      <c r="AO24" s="24">
        <v>9</v>
      </c>
      <c r="AP24" s="24" t="s">
        <v>235</v>
      </c>
      <c r="AQ24" s="24">
        <v>11</v>
      </c>
      <c r="AR24" s="24">
        <v>50</v>
      </c>
      <c r="AS24" s="24">
        <v>0</v>
      </c>
      <c r="AT24" s="24">
        <v>0</v>
      </c>
      <c r="AU24" s="24">
        <v>0</v>
      </c>
      <c r="AV24" s="24">
        <v>0</v>
      </c>
      <c r="AW24" s="25">
        <v>1</v>
      </c>
      <c r="AX24" s="26">
        <v>72.333333333333343</v>
      </c>
      <c r="AY24" s="26">
        <v>78.633333333333326</v>
      </c>
      <c r="AZ24" s="26">
        <v>81.400000000000006</v>
      </c>
      <c r="BA24" s="26">
        <v>79</v>
      </c>
      <c r="BB24" s="26">
        <v>81.800000000000011</v>
      </c>
      <c r="BC24" s="26">
        <v>78.833333333333329</v>
      </c>
      <c r="BD24" s="26">
        <v>81.5</v>
      </c>
      <c r="BE24" s="26">
        <v>100</v>
      </c>
      <c r="BF24" s="26">
        <v>100</v>
      </c>
      <c r="BG24" s="26">
        <v>90.04</v>
      </c>
      <c r="BH24" s="26">
        <v>90.04</v>
      </c>
      <c r="BI24" s="26">
        <v>51.62</v>
      </c>
      <c r="BJ24" s="26">
        <v>56.066666666666663</v>
      </c>
      <c r="BK24" s="26">
        <v>79.599999999999994</v>
      </c>
      <c r="BL24" s="26">
        <v>82</v>
      </c>
      <c r="BM24" s="26">
        <v>80.833333333333343</v>
      </c>
      <c r="BN24" s="24">
        <v>20</v>
      </c>
      <c r="BO24" s="24">
        <v>1633.6333333333334</v>
      </c>
      <c r="BP24" s="26">
        <v>54</v>
      </c>
      <c r="BQ24" s="26">
        <v>81.681666666666672</v>
      </c>
      <c r="BR24" s="24" t="s">
        <v>242</v>
      </c>
      <c r="BS24" s="26">
        <v>2.7</v>
      </c>
      <c r="BT24" s="24">
        <v>20</v>
      </c>
      <c r="BU24" s="26">
        <v>1451.4066666666668</v>
      </c>
      <c r="BV24" s="26">
        <v>48</v>
      </c>
      <c r="BW24" s="26">
        <v>72.570333333333338</v>
      </c>
      <c r="BX24" s="24" t="s">
        <v>241</v>
      </c>
      <c r="BY24" s="27">
        <v>2.4</v>
      </c>
      <c r="BZ24" s="24">
        <v>40</v>
      </c>
      <c r="CA24" s="27">
        <v>3085.0399999999995</v>
      </c>
      <c r="CB24" s="27">
        <v>102</v>
      </c>
      <c r="CC24" s="26">
        <v>77.125999999999991</v>
      </c>
      <c r="CD24" s="27" t="s">
        <v>241</v>
      </c>
      <c r="CE24" s="26">
        <v>2.5499999999999998</v>
      </c>
      <c r="CF24" s="24">
        <v>9</v>
      </c>
      <c r="CG24" s="24" t="s">
        <v>235</v>
      </c>
      <c r="CH24" s="24">
        <v>11</v>
      </c>
      <c r="CI24" s="24">
        <v>50</v>
      </c>
      <c r="CJ24" s="24">
        <v>0</v>
      </c>
      <c r="CK24" s="24">
        <v>0</v>
      </c>
      <c r="CL24" s="24">
        <v>0</v>
      </c>
      <c r="CM24" s="24">
        <v>0</v>
      </c>
      <c r="CN24" s="25">
        <v>1</v>
      </c>
      <c r="CO24" s="7">
        <v>50</v>
      </c>
      <c r="CP24" s="7">
        <v>50</v>
      </c>
      <c r="CQ24" s="7">
        <v>75</v>
      </c>
      <c r="CR24" s="7">
        <v>60</v>
      </c>
      <c r="CS24" s="7">
        <v>80</v>
      </c>
      <c r="CT24" s="7">
        <v>60</v>
      </c>
      <c r="CU24" s="7">
        <v>50</v>
      </c>
      <c r="CV24" s="7"/>
      <c r="CW24" s="7"/>
      <c r="CX24" s="7">
        <v>65</v>
      </c>
      <c r="CY24" s="7"/>
      <c r="CZ24" s="7">
        <v>53</v>
      </c>
      <c r="DA24" s="7">
        <v>29</v>
      </c>
      <c r="DB24" s="7">
        <v>57</v>
      </c>
      <c r="DC24" s="7">
        <v>90</v>
      </c>
      <c r="DD24" s="7">
        <v>51</v>
      </c>
      <c r="DE24" s="24">
        <v>18</v>
      </c>
      <c r="DF24" s="26">
        <v>1165</v>
      </c>
      <c r="DG24" s="26">
        <v>33</v>
      </c>
      <c r="DH24" s="26">
        <v>64.722222222222229</v>
      </c>
      <c r="DI24" s="24" t="s">
        <v>243</v>
      </c>
      <c r="DJ24" s="26">
        <v>1.8333333333333333</v>
      </c>
      <c r="DK24" s="24">
        <v>19</v>
      </c>
      <c r="DL24" s="24">
        <v>1073</v>
      </c>
      <c r="DM24" s="26">
        <v>24.5</v>
      </c>
      <c r="DN24" s="26">
        <v>56.473684210526315</v>
      </c>
      <c r="DO24" s="24" t="s">
        <v>245</v>
      </c>
      <c r="DP24" s="27">
        <v>1.2894736842105263</v>
      </c>
      <c r="DQ24" s="24">
        <v>37</v>
      </c>
      <c r="DR24" s="27">
        <v>2238</v>
      </c>
      <c r="DS24" s="27">
        <v>57.5</v>
      </c>
      <c r="DT24" s="26">
        <v>60.486486486486484</v>
      </c>
      <c r="DU24" s="24" t="s">
        <v>243</v>
      </c>
      <c r="DV24" s="26">
        <v>1.5540540540540539</v>
      </c>
      <c r="DW24" s="24">
        <v>9</v>
      </c>
      <c r="DX24" s="24" t="s">
        <v>235</v>
      </c>
      <c r="DY24" s="24">
        <v>11</v>
      </c>
      <c r="DZ24" s="26">
        <v>57.083333333333336</v>
      </c>
      <c r="EA24" s="26">
        <v>61.924999999999997</v>
      </c>
      <c r="EB24" s="26">
        <v>75.116666666666674</v>
      </c>
      <c r="EC24" s="26">
        <v>63.75</v>
      </c>
      <c r="ED24" s="26">
        <v>77.150000000000006</v>
      </c>
      <c r="EE24" s="26">
        <v>66.974999999999994</v>
      </c>
      <c r="EF24" s="26">
        <v>62.641666666666666</v>
      </c>
      <c r="EG24" s="26">
        <v>83</v>
      </c>
      <c r="EH24" s="26">
        <v>83</v>
      </c>
      <c r="EI24" s="26">
        <v>78.293333333333337</v>
      </c>
      <c r="EJ24" s="26">
        <v>91.586666666666673</v>
      </c>
      <c r="EK24" s="26">
        <v>52.922499999999999</v>
      </c>
      <c r="EL24" s="26">
        <v>38.056060606060605</v>
      </c>
      <c r="EM24" s="26">
        <v>61.15</v>
      </c>
      <c r="EN24" s="26">
        <v>86.95</v>
      </c>
      <c r="EO24" s="26">
        <v>66.375</v>
      </c>
      <c r="EP24" s="26" t="s">
        <v>245</v>
      </c>
      <c r="EQ24" s="26" t="s">
        <v>243</v>
      </c>
      <c r="ER24" s="26" t="s">
        <v>241</v>
      </c>
      <c r="ES24" s="26" t="s">
        <v>243</v>
      </c>
      <c r="ET24" s="26" t="s">
        <v>241</v>
      </c>
      <c r="EU24" s="26" t="s">
        <v>243</v>
      </c>
      <c r="EV24" s="26" t="s">
        <v>243</v>
      </c>
      <c r="EW24" s="26" t="s">
        <v>242</v>
      </c>
      <c r="EX24" s="26" t="s">
        <v>242</v>
      </c>
      <c r="EY24" s="24" t="s">
        <v>241</v>
      </c>
      <c r="EZ24" s="24" t="s">
        <v>244</v>
      </c>
      <c r="FA24" s="24" t="s">
        <v>245</v>
      </c>
      <c r="FB24" s="24" t="s">
        <v>125</v>
      </c>
      <c r="FC24" s="24" t="s">
        <v>243</v>
      </c>
      <c r="FD24" s="24" t="s">
        <v>242</v>
      </c>
      <c r="FE24" s="24" t="s">
        <v>243</v>
      </c>
      <c r="FF24" s="24">
        <v>2</v>
      </c>
      <c r="FG24" s="24">
        <v>2</v>
      </c>
      <c r="FH24" s="24">
        <v>3</v>
      </c>
      <c r="FI24" s="24">
        <v>1</v>
      </c>
      <c r="FJ24" s="24">
        <v>5</v>
      </c>
      <c r="FK24" s="24">
        <v>3</v>
      </c>
      <c r="FL24" s="24">
        <v>2</v>
      </c>
      <c r="FM24" s="24">
        <v>1</v>
      </c>
      <c r="FN24" s="24">
        <v>1</v>
      </c>
      <c r="FO24" s="24">
        <v>5</v>
      </c>
      <c r="FP24" s="24">
        <v>1</v>
      </c>
      <c r="FQ24" s="24">
        <v>5</v>
      </c>
      <c r="FR24" s="24">
        <v>3</v>
      </c>
      <c r="FS24" s="24">
        <v>2</v>
      </c>
      <c r="FT24" s="24">
        <v>2</v>
      </c>
      <c r="FU24" s="24">
        <v>2</v>
      </c>
      <c r="FV24" s="26">
        <v>114.16666666666667</v>
      </c>
      <c r="FW24" s="26">
        <v>123.85</v>
      </c>
      <c r="FX24" s="26">
        <v>225.35000000000002</v>
      </c>
      <c r="FY24" s="26">
        <v>63.75</v>
      </c>
      <c r="FZ24" s="26">
        <v>385.75</v>
      </c>
      <c r="GA24" s="26">
        <v>200.92499999999998</v>
      </c>
      <c r="GB24" s="26">
        <v>125.28333333333333</v>
      </c>
      <c r="GC24" s="26">
        <v>83</v>
      </c>
      <c r="GD24" s="26">
        <v>83</v>
      </c>
      <c r="GE24" s="26">
        <v>391.4666666666667</v>
      </c>
      <c r="GF24" s="26">
        <v>91.586666666666673</v>
      </c>
      <c r="GG24" s="26">
        <v>264.61250000000001</v>
      </c>
      <c r="GH24" s="26">
        <v>114.16818181818181</v>
      </c>
      <c r="GI24" s="26">
        <v>122.3</v>
      </c>
      <c r="GJ24" s="26">
        <v>173.9</v>
      </c>
      <c r="GK24" s="26">
        <v>132.75</v>
      </c>
      <c r="GL24" s="24">
        <v>2</v>
      </c>
      <c r="GM24" s="24">
        <v>3</v>
      </c>
      <c r="GN24" s="24">
        <v>6</v>
      </c>
      <c r="GO24" s="24">
        <v>1.5</v>
      </c>
      <c r="GP24" s="24">
        <v>10</v>
      </c>
      <c r="GQ24" s="24">
        <v>4.5</v>
      </c>
      <c r="GR24" s="24">
        <v>3</v>
      </c>
      <c r="GS24" s="24">
        <v>3</v>
      </c>
      <c r="GT24" s="24">
        <v>3</v>
      </c>
      <c r="GU24" s="24">
        <v>10</v>
      </c>
      <c r="GV24" s="24">
        <v>4</v>
      </c>
      <c r="GW24" s="24">
        <v>5</v>
      </c>
      <c r="GX24" s="24">
        <v>0</v>
      </c>
      <c r="GY24" s="24">
        <v>3</v>
      </c>
      <c r="GZ24" s="24">
        <v>6</v>
      </c>
      <c r="HA24" s="24">
        <v>3</v>
      </c>
      <c r="HB24" s="24">
        <v>20</v>
      </c>
      <c r="HC24" s="24">
        <v>1405.075</v>
      </c>
      <c r="HD24" s="26">
        <v>36</v>
      </c>
      <c r="HE24" s="26">
        <v>70.253749999999997</v>
      </c>
      <c r="HF24" s="24" t="s">
        <v>241</v>
      </c>
      <c r="HG24" s="26">
        <v>1.8</v>
      </c>
      <c r="HH24" s="24">
        <v>20</v>
      </c>
      <c r="HI24" s="26">
        <v>1290.7840151515152</v>
      </c>
      <c r="HJ24" s="26">
        <v>31</v>
      </c>
      <c r="HK24" s="26">
        <v>64.539200757575756</v>
      </c>
      <c r="HL24" s="24" t="s">
        <v>243</v>
      </c>
      <c r="HM24" s="27">
        <v>1.55</v>
      </c>
      <c r="HN24" s="24">
        <v>40</v>
      </c>
      <c r="HO24" s="27">
        <v>2695.8590151515155</v>
      </c>
      <c r="HP24" s="27">
        <v>67</v>
      </c>
      <c r="HQ24" s="26">
        <v>67.396475378787883</v>
      </c>
      <c r="HR24" s="27" t="s">
        <v>243</v>
      </c>
      <c r="HS24" s="26">
        <v>1.675</v>
      </c>
      <c r="HT24" s="24">
        <v>9</v>
      </c>
      <c r="HU24" s="24" t="s">
        <v>235</v>
      </c>
      <c r="HV24" s="24">
        <v>11</v>
      </c>
      <c r="HW24" s="24">
        <v>100</v>
      </c>
      <c r="HX24" s="24">
        <v>0</v>
      </c>
      <c r="HY24" s="24">
        <v>0</v>
      </c>
      <c r="HZ24" s="24">
        <v>0</v>
      </c>
      <c r="IA24" s="24">
        <v>0</v>
      </c>
      <c r="IB24" s="25">
        <v>1</v>
      </c>
    </row>
    <row r="25" spans="1:236" ht="27" customHeight="1" x14ac:dyDescent="0.35">
      <c r="A25" s="24">
        <v>11</v>
      </c>
      <c r="B25" s="28" t="s">
        <v>218</v>
      </c>
      <c r="C25" s="30" t="s">
        <v>219</v>
      </c>
      <c r="D25" s="28">
        <v>11</v>
      </c>
      <c r="E25" s="24" t="s">
        <v>124</v>
      </c>
      <c r="F25" s="24" t="s">
        <v>210</v>
      </c>
      <c r="G25" s="26">
        <v>50</v>
      </c>
      <c r="H25" s="26">
        <v>50</v>
      </c>
      <c r="I25" s="26">
        <v>50</v>
      </c>
      <c r="J25" s="26">
        <v>50</v>
      </c>
      <c r="K25" s="26">
        <v>50</v>
      </c>
      <c r="L25" s="26">
        <v>50</v>
      </c>
      <c r="M25" s="26">
        <v>50</v>
      </c>
      <c r="N25" s="26">
        <v>50</v>
      </c>
      <c r="O25" s="26">
        <v>50</v>
      </c>
      <c r="P25" s="26">
        <v>50</v>
      </c>
      <c r="Q25" s="26">
        <v>50</v>
      </c>
      <c r="R25" s="26">
        <v>50</v>
      </c>
      <c r="S25" s="26">
        <v>50</v>
      </c>
      <c r="T25" s="26">
        <v>50</v>
      </c>
      <c r="U25" s="26">
        <v>50</v>
      </c>
      <c r="V25" s="26">
        <v>50</v>
      </c>
      <c r="W25" s="24">
        <v>20</v>
      </c>
      <c r="X25" s="26">
        <v>1000</v>
      </c>
      <c r="Y25" s="26">
        <v>20</v>
      </c>
      <c r="Z25" s="26">
        <v>50</v>
      </c>
      <c r="AA25" s="24" t="s">
        <v>245</v>
      </c>
      <c r="AB25" s="26">
        <v>1</v>
      </c>
      <c r="AC25" s="24">
        <v>20</v>
      </c>
      <c r="AD25" s="26">
        <v>1000</v>
      </c>
      <c r="AE25" s="26">
        <v>20</v>
      </c>
      <c r="AF25" s="26">
        <v>50</v>
      </c>
      <c r="AG25" s="24" t="s">
        <v>245</v>
      </c>
      <c r="AH25" s="27">
        <v>1</v>
      </c>
      <c r="AI25" s="24">
        <v>40</v>
      </c>
      <c r="AJ25" s="26">
        <v>2000</v>
      </c>
      <c r="AK25" s="26">
        <v>40</v>
      </c>
      <c r="AL25" s="26">
        <v>50</v>
      </c>
      <c r="AM25" s="24" t="s">
        <v>245</v>
      </c>
      <c r="AN25" s="26">
        <v>1</v>
      </c>
      <c r="AO25" s="24">
        <v>11</v>
      </c>
      <c r="AP25" s="24" t="s">
        <v>235</v>
      </c>
      <c r="AQ25" s="24">
        <v>11</v>
      </c>
      <c r="AR25" s="24">
        <v>50</v>
      </c>
      <c r="AS25" s="24">
        <v>0</v>
      </c>
      <c r="AT25" s="24">
        <v>0</v>
      </c>
      <c r="AU25" s="24">
        <v>0</v>
      </c>
      <c r="AV25" s="24">
        <v>0</v>
      </c>
      <c r="AW25" s="25">
        <v>1</v>
      </c>
      <c r="AX25" s="26">
        <v>77</v>
      </c>
      <c r="AY25" s="26">
        <v>85.366666666666674</v>
      </c>
      <c r="AZ25" s="26">
        <v>85.933333333333337</v>
      </c>
      <c r="BA25" s="26">
        <v>82.333333333333343</v>
      </c>
      <c r="BB25" s="26">
        <v>85.466666666666683</v>
      </c>
      <c r="BC25" s="26">
        <v>83.166666666666686</v>
      </c>
      <c r="BD25" s="26">
        <v>85.566666666666677</v>
      </c>
      <c r="BE25" s="26">
        <v>100</v>
      </c>
      <c r="BF25" s="26">
        <v>100</v>
      </c>
      <c r="BG25" s="26">
        <v>78.739999999999995</v>
      </c>
      <c r="BH25" s="26">
        <v>78.739999999999995</v>
      </c>
      <c r="BI25" s="26">
        <v>51.62</v>
      </c>
      <c r="BJ25" s="26">
        <v>38.6</v>
      </c>
      <c r="BK25" s="26">
        <v>50</v>
      </c>
      <c r="BL25" s="26">
        <v>50</v>
      </c>
      <c r="BM25" s="26">
        <v>50</v>
      </c>
      <c r="BN25" s="24">
        <v>20</v>
      </c>
      <c r="BO25" s="24">
        <v>1712.8333333333335</v>
      </c>
      <c r="BP25" s="26">
        <v>60</v>
      </c>
      <c r="BQ25" s="26">
        <v>85.64166666666668</v>
      </c>
      <c r="BR25" s="24" t="s">
        <v>242</v>
      </c>
      <c r="BS25" s="26">
        <v>3</v>
      </c>
      <c r="BT25" s="24">
        <v>20</v>
      </c>
      <c r="BU25" s="26">
        <v>1146.3399999999999</v>
      </c>
      <c r="BV25" s="26">
        <v>23</v>
      </c>
      <c r="BW25" s="26">
        <v>57.316999999999993</v>
      </c>
      <c r="BX25" s="24" t="s">
        <v>245</v>
      </c>
      <c r="BY25" s="27">
        <v>1.1499999999999999</v>
      </c>
      <c r="BZ25" s="24">
        <v>40</v>
      </c>
      <c r="CA25" s="27">
        <v>2859.1733333333332</v>
      </c>
      <c r="CB25" s="27">
        <v>83</v>
      </c>
      <c r="CC25" s="26">
        <v>71.479333333333329</v>
      </c>
      <c r="CD25" s="27" t="s">
        <v>241</v>
      </c>
      <c r="CE25" s="26">
        <v>2.0750000000000002</v>
      </c>
      <c r="CF25" s="24">
        <v>10</v>
      </c>
      <c r="CG25" s="24" t="s">
        <v>235</v>
      </c>
      <c r="CH25" s="24">
        <v>11</v>
      </c>
      <c r="CI25" s="24">
        <v>50</v>
      </c>
      <c r="CJ25" s="24">
        <v>0</v>
      </c>
      <c r="CK25" s="24">
        <v>0</v>
      </c>
      <c r="CL25" s="24">
        <v>0</v>
      </c>
      <c r="CM25" s="24">
        <v>0</v>
      </c>
      <c r="CN25" s="25">
        <v>1</v>
      </c>
      <c r="CO25" s="7">
        <v>60</v>
      </c>
      <c r="CP25" s="7">
        <v>65</v>
      </c>
      <c r="CQ25" s="7">
        <v>80</v>
      </c>
      <c r="CR25" s="7">
        <v>70</v>
      </c>
      <c r="CS25" s="7">
        <v>70</v>
      </c>
      <c r="CT25" s="7">
        <v>75</v>
      </c>
      <c r="CU25" s="7">
        <v>55</v>
      </c>
      <c r="CV25" s="7"/>
      <c r="CW25" s="7"/>
      <c r="CX25" s="7">
        <v>67</v>
      </c>
      <c r="CY25" s="7"/>
      <c r="CZ25" s="7">
        <v>28</v>
      </c>
      <c r="DA25" s="7">
        <v>8</v>
      </c>
      <c r="DB25" s="7">
        <v>61</v>
      </c>
      <c r="DC25" s="7">
        <v>55</v>
      </c>
      <c r="DD25" s="7">
        <v>53</v>
      </c>
      <c r="DE25" s="24">
        <v>18</v>
      </c>
      <c r="DF25" s="26">
        <v>1245</v>
      </c>
      <c r="DG25" s="26">
        <v>35</v>
      </c>
      <c r="DH25" s="26">
        <v>69.166666666666671</v>
      </c>
      <c r="DI25" s="24" t="s">
        <v>243</v>
      </c>
      <c r="DJ25" s="26">
        <v>1.9444444444444444</v>
      </c>
      <c r="DK25" s="24">
        <v>19</v>
      </c>
      <c r="DL25" s="24">
        <v>837</v>
      </c>
      <c r="DM25" s="26">
        <v>14.5</v>
      </c>
      <c r="DN25" s="26">
        <v>44.05263157894737</v>
      </c>
      <c r="DO25" s="24" t="s">
        <v>125</v>
      </c>
      <c r="DP25" s="27">
        <v>0.76315789473684215</v>
      </c>
      <c r="DQ25" s="24">
        <v>37</v>
      </c>
      <c r="DR25" s="27">
        <v>2082</v>
      </c>
      <c r="DS25" s="27">
        <v>49.5</v>
      </c>
      <c r="DT25" s="26">
        <v>56.270270270270274</v>
      </c>
      <c r="DU25" s="24" t="s">
        <v>245</v>
      </c>
      <c r="DV25" s="26">
        <v>1.3378378378378379</v>
      </c>
      <c r="DW25" s="24">
        <v>10</v>
      </c>
      <c r="DX25" s="24" t="s">
        <v>235</v>
      </c>
      <c r="DY25" s="24">
        <v>11</v>
      </c>
      <c r="DZ25" s="26">
        <v>66.75</v>
      </c>
      <c r="EA25" s="26">
        <v>71.341666666666669</v>
      </c>
      <c r="EB25" s="26">
        <v>77.183333333333337</v>
      </c>
      <c r="EC25" s="26">
        <v>70.083333333333343</v>
      </c>
      <c r="ED25" s="26">
        <v>70.866666666666674</v>
      </c>
      <c r="EE25" s="26">
        <v>73.991666666666674</v>
      </c>
      <c r="EF25" s="26">
        <v>63.391666666666666</v>
      </c>
      <c r="EG25" s="26">
        <v>79</v>
      </c>
      <c r="EH25" s="26">
        <v>79</v>
      </c>
      <c r="EI25" s="26">
        <v>68.142499999999998</v>
      </c>
      <c r="EJ25" s="26">
        <v>69.284999999999997</v>
      </c>
      <c r="EK25" s="26">
        <v>44.522500000000001</v>
      </c>
      <c r="EL25" s="26">
        <v>27.85</v>
      </c>
      <c r="EM25" s="26">
        <v>58.522500000000001</v>
      </c>
      <c r="EN25" s="26">
        <v>57.25</v>
      </c>
      <c r="EO25" s="26">
        <v>56.6175</v>
      </c>
      <c r="EP25" s="26" t="s">
        <v>243</v>
      </c>
      <c r="EQ25" s="26" t="s">
        <v>241</v>
      </c>
      <c r="ER25" s="26" t="s">
        <v>241</v>
      </c>
      <c r="ES25" s="26" t="s">
        <v>241</v>
      </c>
      <c r="ET25" s="26" t="s">
        <v>241</v>
      </c>
      <c r="EU25" s="26" t="s">
        <v>241</v>
      </c>
      <c r="EV25" s="26" t="s">
        <v>243</v>
      </c>
      <c r="EW25" s="26" t="s">
        <v>241</v>
      </c>
      <c r="EX25" s="26" t="s">
        <v>241</v>
      </c>
      <c r="EY25" s="24" t="s">
        <v>243</v>
      </c>
      <c r="EZ25" s="24" t="s">
        <v>243</v>
      </c>
      <c r="FA25" s="24" t="s">
        <v>125</v>
      </c>
      <c r="FB25" s="24" t="s">
        <v>125</v>
      </c>
      <c r="FC25" s="24" t="s">
        <v>245</v>
      </c>
      <c r="FD25" s="24" t="s">
        <v>245</v>
      </c>
      <c r="FE25" s="24" t="s">
        <v>245</v>
      </c>
      <c r="FF25" s="24">
        <v>2</v>
      </c>
      <c r="FG25" s="24">
        <v>2</v>
      </c>
      <c r="FH25" s="24">
        <v>3</v>
      </c>
      <c r="FI25" s="24">
        <v>1</v>
      </c>
      <c r="FJ25" s="24">
        <v>5</v>
      </c>
      <c r="FK25" s="24">
        <v>3</v>
      </c>
      <c r="FL25" s="24">
        <v>2</v>
      </c>
      <c r="FM25" s="24">
        <v>1</v>
      </c>
      <c r="FN25" s="24">
        <v>1</v>
      </c>
      <c r="FO25" s="24">
        <v>5</v>
      </c>
      <c r="FP25" s="24">
        <v>1</v>
      </c>
      <c r="FQ25" s="24">
        <v>5</v>
      </c>
      <c r="FR25" s="24">
        <v>3</v>
      </c>
      <c r="FS25" s="24">
        <v>2</v>
      </c>
      <c r="FT25" s="24">
        <v>2</v>
      </c>
      <c r="FU25" s="24">
        <v>2</v>
      </c>
      <c r="FV25" s="26">
        <v>133.5</v>
      </c>
      <c r="FW25" s="26">
        <v>142.68333333333334</v>
      </c>
      <c r="FX25" s="26">
        <v>231.55</v>
      </c>
      <c r="FY25" s="26">
        <v>70.083333333333343</v>
      </c>
      <c r="FZ25" s="26">
        <v>354.33333333333337</v>
      </c>
      <c r="GA25" s="26">
        <v>221.97500000000002</v>
      </c>
      <c r="GB25" s="26">
        <v>126.78333333333333</v>
      </c>
      <c r="GC25" s="26">
        <v>79</v>
      </c>
      <c r="GD25" s="26">
        <v>79</v>
      </c>
      <c r="GE25" s="26">
        <v>340.71249999999998</v>
      </c>
      <c r="GF25" s="26">
        <v>69.284999999999997</v>
      </c>
      <c r="GG25" s="26">
        <v>222.61250000000001</v>
      </c>
      <c r="GH25" s="26">
        <v>83.550000000000011</v>
      </c>
      <c r="GI25" s="26">
        <v>117.045</v>
      </c>
      <c r="GJ25" s="26">
        <v>114.5</v>
      </c>
      <c r="GK25" s="26">
        <v>113.235</v>
      </c>
      <c r="GL25" s="24">
        <v>3</v>
      </c>
      <c r="GM25" s="24">
        <v>4</v>
      </c>
      <c r="GN25" s="24">
        <v>6</v>
      </c>
      <c r="GO25" s="24">
        <v>2</v>
      </c>
      <c r="GP25" s="24">
        <v>10</v>
      </c>
      <c r="GQ25" s="24">
        <v>6</v>
      </c>
      <c r="GR25" s="24">
        <v>3</v>
      </c>
      <c r="GS25" s="24">
        <v>2</v>
      </c>
      <c r="GT25" s="24">
        <v>2</v>
      </c>
      <c r="GU25" s="24">
        <v>7.5</v>
      </c>
      <c r="GV25" s="24">
        <v>1.5</v>
      </c>
      <c r="GW25" s="24">
        <v>0</v>
      </c>
      <c r="GX25" s="24">
        <v>0</v>
      </c>
      <c r="GY25" s="24">
        <v>2</v>
      </c>
      <c r="GZ25" s="24">
        <v>2</v>
      </c>
      <c r="HA25" s="24">
        <v>2</v>
      </c>
      <c r="HB25" s="24">
        <v>20</v>
      </c>
      <c r="HC25" s="24">
        <v>1438.9083333333333</v>
      </c>
      <c r="HD25" s="26">
        <v>38</v>
      </c>
      <c r="HE25" s="26">
        <v>71.945416666666659</v>
      </c>
      <c r="HF25" s="24" t="s">
        <v>241</v>
      </c>
      <c r="HG25" s="26">
        <v>1.9</v>
      </c>
      <c r="HH25" s="24">
        <v>20</v>
      </c>
      <c r="HI25" s="26">
        <v>1060.9399999999998</v>
      </c>
      <c r="HJ25" s="26">
        <v>15</v>
      </c>
      <c r="HK25" s="26">
        <v>53.04699999999999</v>
      </c>
      <c r="HL25" s="24" t="s">
        <v>245</v>
      </c>
      <c r="HM25" s="27">
        <v>0.75</v>
      </c>
      <c r="HN25" s="24">
        <v>40</v>
      </c>
      <c r="HO25" s="27">
        <v>2499.8483333333338</v>
      </c>
      <c r="HP25" s="27">
        <v>53</v>
      </c>
      <c r="HQ25" s="26">
        <v>62.496208333333342</v>
      </c>
      <c r="HR25" s="27" t="s">
        <v>243</v>
      </c>
      <c r="HS25" s="26">
        <v>1.325</v>
      </c>
      <c r="HT25" s="24">
        <v>10</v>
      </c>
      <c r="HU25" s="24" t="s">
        <v>235</v>
      </c>
      <c r="HV25" s="24">
        <v>11</v>
      </c>
      <c r="HW25" s="24">
        <v>100</v>
      </c>
      <c r="HX25" s="24">
        <v>0</v>
      </c>
      <c r="HY25" s="24">
        <v>0</v>
      </c>
      <c r="HZ25" s="24">
        <v>0</v>
      </c>
      <c r="IA25" s="24">
        <v>0</v>
      </c>
      <c r="IB25" s="25">
        <v>1</v>
      </c>
    </row>
  </sheetData>
  <mergeCells count="236">
    <mergeCell ref="IB13:IB14"/>
    <mergeCell ref="AI14:AN14"/>
    <mergeCell ref="BZ14:CE14"/>
    <mergeCell ref="DQ14:DV14"/>
    <mergeCell ref="HN14:HS14"/>
    <mergeCell ref="HV13:HV14"/>
    <mergeCell ref="HW13:HW14"/>
    <mergeCell ref="HX13:HX14"/>
    <mergeCell ref="HY13:HY14"/>
    <mergeCell ref="HZ13:HZ14"/>
    <mergeCell ref="IA13:IA14"/>
    <mergeCell ref="HJ13:HJ14"/>
    <mergeCell ref="HK13:HK14"/>
    <mergeCell ref="HL13:HL14"/>
    <mergeCell ref="HM13:HM14"/>
    <mergeCell ref="HT13:HT14"/>
    <mergeCell ref="HU13:HU14"/>
    <mergeCell ref="HD13:HD14"/>
    <mergeCell ref="HE13:HE14"/>
    <mergeCell ref="HF13:HF14"/>
    <mergeCell ref="HG13:HG14"/>
    <mergeCell ref="HH13:HH14"/>
    <mergeCell ref="HI13:HI14"/>
    <mergeCell ref="GX13:GX14"/>
    <mergeCell ref="GY13:GY14"/>
    <mergeCell ref="GZ13:GZ14"/>
    <mergeCell ref="HA13:HA14"/>
    <mergeCell ref="HB13:HB14"/>
    <mergeCell ref="HC13:HC14"/>
    <mergeCell ref="GR13:GR14"/>
    <mergeCell ref="GS13:GS14"/>
    <mergeCell ref="GT13:GT14"/>
    <mergeCell ref="GU13:GU14"/>
    <mergeCell ref="GV13:GV14"/>
    <mergeCell ref="GW13:GW14"/>
    <mergeCell ref="GL13:GL14"/>
    <mergeCell ref="GM13:GM14"/>
    <mergeCell ref="GN13:GN14"/>
    <mergeCell ref="GO13:GO14"/>
    <mergeCell ref="GP13:GP14"/>
    <mergeCell ref="GQ13:GQ14"/>
    <mergeCell ref="GF13:GF14"/>
    <mergeCell ref="GG13:GG14"/>
    <mergeCell ref="GH13:GH14"/>
    <mergeCell ref="GI13:GI14"/>
    <mergeCell ref="GJ13:GJ14"/>
    <mergeCell ref="GK13:GK14"/>
    <mergeCell ref="FZ13:FZ14"/>
    <mergeCell ref="GA13:GA14"/>
    <mergeCell ref="GB13:GB14"/>
    <mergeCell ref="GC13:GC14"/>
    <mergeCell ref="GD13:GD14"/>
    <mergeCell ref="GE13:GE14"/>
    <mergeCell ref="FD13:FD14"/>
    <mergeCell ref="FE13:FE14"/>
    <mergeCell ref="FV13:FV14"/>
    <mergeCell ref="FW13:FW14"/>
    <mergeCell ref="FX13:FX14"/>
    <mergeCell ref="FY13:FY14"/>
    <mergeCell ref="EX13:EX14"/>
    <mergeCell ref="EY13:EY14"/>
    <mergeCell ref="EZ13:EZ14"/>
    <mergeCell ref="FA13:FA14"/>
    <mergeCell ref="FB13:FB14"/>
    <mergeCell ref="FC13:FC14"/>
    <mergeCell ref="ER13:ER14"/>
    <mergeCell ref="ES13:ES14"/>
    <mergeCell ref="ET13:ET14"/>
    <mergeCell ref="EU13:EU14"/>
    <mergeCell ref="EV13:EV14"/>
    <mergeCell ref="EW13:EW14"/>
    <mergeCell ref="EL13:EL14"/>
    <mergeCell ref="EM13:EM14"/>
    <mergeCell ref="EN13:EN14"/>
    <mergeCell ref="EO13:EO14"/>
    <mergeCell ref="EP13:EP14"/>
    <mergeCell ref="EQ13:EQ14"/>
    <mergeCell ref="EF13:EF14"/>
    <mergeCell ref="EG13:EG14"/>
    <mergeCell ref="EH13:EH14"/>
    <mergeCell ref="EI13:EI14"/>
    <mergeCell ref="EJ13:EJ14"/>
    <mergeCell ref="EK13:EK14"/>
    <mergeCell ref="DZ13:DZ14"/>
    <mergeCell ref="EA13:EA14"/>
    <mergeCell ref="EB13:EB14"/>
    <mergeCell ref="EC13:EC14"/>
    <mergeCell ref="ED13:ED14"/>
    <mergeCell ref="EE13:EE14"/>
    <mergeCell ref="DN13:DN14"/>
    <mergeCell ref="DO13:DO14"/>
    <mergeCell ref="DP13:DP14"/>
    <mergeCell ref="DW13:DW14"/>
    <mergeCell ref="DX13:DX14"/>
    <mergeCell ref="DY13:DY14"/>
    <mergeCell ref="DH13:DH14"/>
    <mergeCell ref="DI13:DI14"/>
    <mergeCell ref="DJ13:DJ14"/>
    <mergeCell ref="DK13:DK14"/>
    <mergeCell ref="DL13:DL14"/>
    <mergeCell ref="DM13:DM14"/>
    <mergeCell ref="DE13:DE14"/>
    <mergeCell ref="DF13:DF14"/>
    <mergeCell ref="DG13:DG14"/>
    <mergeCell ref="DA13:DA14"/>
    <mergeCell ref="DB13:DB14"/>
    <mergeCell ref="DC13:DC14"/>
    <mergeCell ref="DD13:DD14"/>
    <mergeCell ref="CU13:CU14"/>
    <mergeCell ref="CV13:CV14"/>
    <mergeCell ref="CW13:CW14"/>
    <mergeCell ref="CX13:CX14"/>
    <mergeCell ref="CY13:CY14"/>
    <mergeCell ref="CZ13:CZ14"/>
    <mergeCell ref="CO13:CO14"/>
    <mergeCell ref="CP13:CP14"/>
    <mergeCell ref="CQ13:CQ14"/>
    <mergeCell ref="CR13:CR14"/>
    <mergeCell ref="CS13:CS14"/>
    <mergeCell ref="CT13:CT14"/>
    <mergeCell ref="CI13:CI14"/>
    <mergeCell ref="CJ13:CJ14"/>
    <mergeCell ref="CK13:CK14"/>
    <mergeCell ref="CL13:CL14"/>
    <mergeCell ref="CM13:CM14"/>
    <mergeCell ref="CN13:CN14"/>
    <mergeCell ref="BW13:BW14"/>
    <mergeCell ref="BX13:BX14"/>
    <mergeCell ref="BY13:BY14"/>
    <mergeCell ref="CF13:CF14"/>
    <mergeCell ref="CG13:CG14"/>
    <mergeCell ref="CH13:CH14"/>
    <mergeCell ref="BQ13:BQ14"/>
    <mergeCell ref="BR13:BR14"/>
    <mergeCell ref="BS13:BS14"/>
    <mergeCell ref="BT13:BT14"/>
    <mergeCell ref="BU13:BU14"/>
    <mergeCell ref="BV13:BV14"/>
    <mergeCell ref="BN13:BN14"/>
    <mergeCell ref="BO13:BO14"/>
    <mergeCell ref="BP13:BP14"/>
    <mergeCell ref="BK13:BK14"/>
    <mergeCell ref="BL13:BL14"/>
    <mergeCell ref="BM13:BM14"/>
    <mergeCell ref="BE13:BE14"/>
    <mergeCell ref="BF13:BF14"/>
    <mergeCell ref="BG13:BG14"/>
    <mergeCell ref="BH13:BH14"/>
    <mergeCell ref="BI13:BI14"/>
    <mergeCell ref="BJ13:BJ14"/>
    <mergeCell ref="AY13:AY14"/>
    <mergeCell ref="AZ13:AZ14"/>
    <mergeCell ref="BA13:BA14"/>
    <mergeCell ref="BB13:BB14"/>
    <mergeCell ref="BC13:BC14"/>
    <mergeCell ref="BD13:BD14"/>
    <mergeCell ref="AS13:AS14"/>
    <mergeCell ref="AT13:AT14"/>
    <mergeCell ref="AU13:AU14"/>
    <mergeCell ref="AV13:AV14"/>
    <mergeCell ref="AW13:AW14"/>
    <mergeCell ref="AX13:AX14"/>
    <mergeCell ref="AG13:AG14"/>
    <mergeCell ref="AH13:AH14"/>
    <mergeCell ref="AO13:AO14"/>
    <mergeCell ref="AP13:AP14"/>
    <mergeCell ref="AQ13:AQ14"/>
    <mergeCell ref="AR13:AR14"/>
    <mergeCell ref="AA13:AA14"/>
    <mergeCell ref="AB13:AB14"/>
    <mergeCell ref="AC13:AC14"/>
    <mergeCell ref="AD13:AD14"/>
    <mergeCell ref="AE13:AE14"/>
    <mergeCell ref="AF13:AF14"/>
    <mergeCell ref="W13:W14"/>
    <mergeCell ref="X13:X14"/>
    <mergeCell ref="Y13:Y14"/>
    <mergeCell ref="Z13:Z14"/>
    <mergeCell ref="U13:U14"/>
    <mergeCell ref="V13:V14"/>
    <mergeCell ref="O13:O14"/>
    <mergeCell ref="P13:P14"/>
    <mergeCell ref="Q13:Q14"/>
    <mergeCell ref="R13:R14"/>
    <mergeCell ref="S13:S14"/>
    <mergeCell ref="T13:T14"/>
    <mergeCell ref="I13:I14"/>
    <mergeCell ref="J13:J14"/>
    <mergeCell ref="K13:K14"/>
    <mergeCell ref="L13:L14"/>
    <mergeCell ref="M13:M14"/>
    <mergeCell ref="N13:N14"/>
    <mergeCell ref="HH12:HM12"/>
    <mergeCell ref="HX12:IB12"/>
    <mergeCell ref="A13:A14"/>
    <mergeCell ref="B13:B14"/>
    <mergeCell ref="C13:C14"/>
    <mergeCell ref="D13:D14"/>
    <mergeCell ref="E13:E14"/>
    <mergeCell ref="F13:F14"/>
    <mergeCell ref="G13:G14"/>
    <mergeCell ref="H13:H14"/>
    <mergeCell ref="FO12:FU12"/>
    <mergeCell ref="FV12:GD12"/>
    <mergeCell ref="GE12:GK12"/>
    <mergeCell ref="GL12:GT12"/>
    <mergeCell ref="GU12:HA12"/>
    <mergeCell ref="HB12:HG12"/>
    <mergeCell ref="DQ12:DY12"/>
    <mergeCell ref="DZ12:EH12"/>
    <mergeCell ref="EI12:EO12"/>
    <mergeCell ref="EP12:EX12"/>
    <mergeCell ref="EY12:FE12"/>
    <mergeCell ref="FF12:FN12"/>
    <mergeCell ref="DE12:DJ12"/>
    <mergeCell ref="DK12:DP12"/>
    <mergeCell ref="W12:AB12"/>
    <mergeCell ref="AC12:AH12"/>
    <mergeCell ref="AS12:AW12"/>
    <mergeCell ref="CO11:CW11"/>
    <mergeCell ref="CX11:DV11"/>
    <mergeCell ref="A12:F12"/>
    <mergeCell ref="G12:O12"/>
    <mergeCell ref="P12:V12"/>
    <mergeCell ref="A8:B8"/>
    <mergeCell ref="A9:B9"/>
    <mergeCell ref="A10:B10"/>
    <mergeCell ref="A11:B11"/>
    <mergeCell ref="D11:S11"/>
    <mergeCell ref="AX11:BM11"/>
    <mergeCell ref="CJ12:CN12"/>
    <mergeCell ref="CX12:DD12"/>
    <mergeCell ref="BN12:BS12"/>
    <mergeCell ref="BT12:BY12"/>
    <mergeCell ref="AX12:BF12"/>
    <mergeCell ref="BG12:BM12"/>
  </mergeCells>
  <conditionalFormatting sqref="AF15:AF25 BW15:BW25 DN15:DN25 HK15:HK25">
    <cfRule type="cellIs" dxfId="19" priority="2" operator="lessThan">
      <formula>50</formula>
    </cfRule>
  </conditionalFormatting>
  <conditionalFormatting sqref="AG15:AG25 BX15:BX25 DO15:DO25 HL15:HL25">
    <cfRule type="cellIs" dxfId="18" priority="1" operator="equal">
      <formula>"F"</formula>
    </cfRule>
  </conditionalFormatting>
  <dataValidations count="1">
    <dataValidation allowBlank="1" showInputMessage="1" showErrorMessage="1" promptTitle="Creadit" prompt="Please insert credit here!" sqref="GL14:GO14 G14:J14 CO14:CR14 DZ14:EC14 EP14:ES14 FV14:FY14 AX14:BA14" xr:uid="{13FA0DE5-DDE9-40E8-AE02-8680D6AF56C3}"/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7030A0"/>
  </sheetPr>
  <dimension ref="A1:PK27"/>
  <sheetViews>
    <sheetView topLeftCell="A5" zoomScale="55" zoomScaleNormal="55" workbookViewId="0">
      <pane xSplit="3" ySplit="10" topLeftCell="D18" activePane="bottomRight" state="frozen"/>
      <selection activeCell="C11" sqref="C11"/>
      <selection pane="topRight" activeCell="C11" sqref="C11"/>
      <selection pane="bottomLeft" activeCell="C11" sqref="C11"/>
      <selection pane="bottomRight" activeCell="DJ26" sqref="DJ26"/>
    </sheetView>
  </sheetViews>
  <sheetFormatPr defaultRowHeight="14.5" x14ac:dyDescent="0.35"/>
  <cols>
    <col min="2" max="2" width="24.1796875" customWidth="1"/>
    <col min="3" max="3" width="26" bestFit="1" customWidth="1"/>
  </cols>
  <sheetData>
    <row r="1" spans="1:427" s="4" customFormat="1" x14ac:dyDescent="0.35"/>
    <row r="2" spans="1:427" s="4" customFormat="1" x14ac:dyDescent="0.35"/>
    <row r="3" spans="1:427" s="4" customFormat="1" x14ac:dyDescent="0.35"/>
    <row r="4" spans="1:427" s="4" customFormat="1" x14ac:dyDescent="0.35"/>
    <row r="5" spans="1:427" s="4" customFormat="1" x14ac:dyDescent="0.35"/>
    <row r="6" spans="1:427" s="4" customFormat="1" x14ac:dyDescent="0.35"/>
    <row r="7" spans="1:427" s="4" customFormat="1" x14ac:dyDescent="0.35"/>
    <row r="8" spans="1:427" s="4" customFormat="1" ht="20" x14ac:dyDescent="0.35">
      <c r="A8" s="281" t="s">
        <v>23</v>
      </c>
      <c r="B8" s="281"/>
      <c r="C8" s="15">
        <v>100</v>
      </c>
    </row>
    <row r="9" spans="1:427" s="4" customFormat="1" ht="20" x14ac:dyDescent="0.35">
      <c r="A9" s="281" t="s">
        <v>32</v>
      </c>
      <c r="B9" s="281"/>
      <c r="C9" s="15" t="s">
        <v>235</v>
      </c>
      <c r="D9" s="5"/>
    </row>
    <row r="10" spans="1:427" s="4" customFormat="1" ht="20" x14ac:dyDescent="0.35">
      <c r="A10" s="283" t="s">
        <v>47</v>
      </c>
      <c r="B10" s="284"/>
      <c r="C10" s="15" t="s">
        <v>238</v>
      </c>
      <c r="D10" s="5"/>
    </row>
    <row r="11" spans="1:427" s="4" customFormat="1" ht="20.25" customHeight="1" thickBot="1" x14ac:dyDescent="0.45">
      <c r="A11" s="241" t="s">
        <v>46</v>
      </c>
      <c r="B11" s="242"/>
      <c r="C11" s="16" t="s">
        <v>126</v>
      </c>
      <c r="D11" s="306" t="s">
        <v>34</v>
      </c>
      <c r="E11" s="307"/>
      <c r="F11" s="307"/>
      <c r="G11" s="307"/>
      <c r="H11" s="307"/>
      <c r="I11" s="307"/>
      <c r="J11" s="307"/>
      <c r="K11" s="307"/>
      <c r="L11" s="307"/>
      <c r="M11" s="307"/>
      <c r="N11" s="307"/>
      <c r="O11" s="307"/>
      <c r="P11" s="307"/>
      <c r="Q11" s="307"/>
      <c r="R11" s="307"/>
      <c r="S11" s="30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308" t="s">
        <v>35</v>
      </c>
      <c r="DK11" s="308"/>
      <c r="DL11" s="308"/>
      <c r="DM11" s="308"/>
      <c r="DN11" s="308"/>
      <c r="DO11" s="308"/>
      <c r="DP11" s="308"/>
      <c r="DQ11" s="308"/>
      <c r="DR11" s="308"/>
      <c r="DS11" s="308"/>
      <c r="DT11" s="308"/>
      <c r="DU11" s="308"/>
      <c r="DV11" s="308"/>
      <c r="DW11" s="308"/>
      <c r="DX11" s="308"/>
      <c r="DY11" s="308"/>
      <c r="DZ11" s="59"/>
      <c r="EA11" s="59"/>
      <c r="EB11" s="59"/>
      <c r="EC11" s="59"/>
      <c r="ED11" s="59"/>
      <c r="EE11" s="59"/>
      <c r="EF11" s="59"/>
      <c r="EG11" s="59"/>
      <c r="EH11" s="59"/>
      <c r="EI11" s="59"/>
      <c r="EJ11" s="59"/>
      <c r="EK11" s="59"/>
      <c r="EL11" s="59"/>
      <c r="EM11" s="59"/>
      <c r="EN11" s="59"/>
      <c r="EO11" s="59"/>
      <c r="EP11" s="59"/>
      <c r="EQ11" s="59"/>
      <c r="ER11" s="59"/>
      <c r="ES11" s="59"/>
      <c r="ET11" s="59"/>
      <c r="EU11" s="59"/>
      <c r="EV11" s="59"/>
      <c r="EW11" s="59"/>
      <c r="EX11" s="59"/>
      <c r="EY11" s="59"/>
      <c r="EZ11" s="59"/>
      <c r="FA11" s="59"/>
      <c r="FB11" s="59"/>
      <c r="FC11" s="59"/>
      <c r="FD11" s="59"/>
      <c r="FE11" s="59"/>
      <c r="FF11" s="59"/>
      <c r="FG11" s="59"/>
      <c r="FH11" s="59"/>
      <c r="FI11" s="59"/>
      <c r="FJ11" s="59"/>
      <c r="FK11" s="59"/>
      <c r="FL11" s="59"/>
      <c r="FM11" s="59"/>
      <c r="FN11" s="59"/>
      <c r="FO11" s="59"/>
      <c r="FP11" s="59"/>
      <c r="FQ11" s="59"/>
      <c r="FR11" s="59"/>
      <c r="FS11" s="59"/>
      <c r="FT11" s="59"/>
      <c r="FU11" s="59"/>
      <c r="FV11" s="59"/>
      <c r="FW11" s="59"/>
      <c r="FX11" s="59"/>
      <c r="FY11" s="59"/>
      <c r="FZ11" s="59"/>
      <c r="GA11" s="59"/>
      <c r="GB11" s="59"/>
      <c r="GC11" s="59"/>
      <c r="GD11" s="59"/>
      <c r="GE11" s="59"/>
      <c r="GF11" s="59"/>
      <c r="GG11" s="59"/>
      <c r="GH11" s="59"/>
      <c r="GI11" s="59"/>
      <c r="GJ11" s="59"/>
      <c r="GK11" s="59"/>
      <c r="GL11" s="59"/>
      <c r="GM11" s="59"/>
      <c r="GN11" s="59"/>
      <c r="GO11" s="59"/>
      <c r="GP11" s="59"/>
      <c r="GQ11" s="59"/>
      <c r="GR11" s="59"/>
      <c r="GS11" s="59"/>
      <c r="GT11" s="59"/>
      <c r="GU11" s="59"/>
      <c r="GV11" s="59"/>
      <c r="GW11" s="59"/>
      <c r="GX11" s="59"/>
      <c r="GY11" s="59"/>
      <c r="GZ11" s="59"/>
      <c r="HA11" s="59"/>
      <c r="HB11" s="59"/>
      <c r="HC11" s="59"/>
      <c r="HD11" s="59"/>
      <c r="HE11" s="59"/>
      <c r="HF11" s="59"/>
      <c r="HG11" s="59"/>
      <c r="HH11" s="59"/>
      <c r="HI11" s="59"/>
      <c r="HJ11" s="59"/>
      <c r="HK11" s="59"/>
      <c r="HL11" s="59"/>
      <c r="HM11" s="302" t="s">
        <v>104</v>
      </c>
      <c r="HN11" s="303"/>
      <c r="HO11" s="303"/>
      <c r="HP11" s="303"/>
      <c r="HQ11" s="303"/>
      <c r="HR11" s="303"/>
      <c r="HS11" s="303"/>
      <c r="HT11" s="303"/>
      <c r="HU11" s="304"/>
      <c r="HV11" s="305" t="s">
        <v>105</v>
      </c>
      <c r="HW11" s="305"/>
      <c r="HX11" s="305"/>
      <c r="HY11" s="305"/>
      <c r="HZ11" s="305"/>
      <c r="IA11" s="305"/>
      <c r="IB11" s="305"/>
      <c r="IC11" s="305"/>
      <c r="ID11" s="305"/>
      <c r="IE11" s="305"/>
      <c r="IF11" s="305"/>
      <c r="IG11" s="305"/>
      <c r="IH11" s="305"/>
      <c r="II11" s="305"/>
      <c r="IJ11" s="305"/>
      <c r="IK11" s="305"/>
      <c r="IL11" s="305"/>
      <c r="IM11" s="305"/>
      <c r="IN11" s="305"/>
      <c r="IO11" s="305"/>
      <c r="IP11" s="305"/>
      <c r="IQ11" s="305"/>
      <c r="IR11" s="305"/>
      <c r="IS11" s="305"/>
      <c r="IT11" s="305"/>
      <c r="IU11" s="305"/>
      <c r="IV11" s="305"/>
      <c r="IW11" s="305"/>
      <c r="IX11" s="305"/>
      <c r="IY11" s="305"/>
      <c r="IZ11" s="305"/>
      <c r="JA11" s="305"/>
      <c r="JB11" s="305"/>
      <c r="JC11" s="305"/>
      <c r="JD11" s="305"/>
      <c r="JE11" s="305"/>
      <c r="JF11" s="305"/>
      <c r="JG11" s="305"/>
      <c r="JH11" s="305"/>
      <c r="JI11" s="305"/>
      <c r="JJ11" s="305"/>
      <c r="JK11" s="305"/>
      <c r="JL11" s="305"/>
      <c r="JM11" s="305"/>
      <c r="JN11" s="305"/>
      <c r="JO11" s="305"/>
      <c r="JP11" s="305"/>
      <c r="JQ11" s="305"/>
      <c r="JR11" s="305"/>
      <c r="JS11" s="305"/>
      <c r="JT11" s="305"/>
      <c r="JU11" s="305"/>
      <c r="JV11" s="305"/>
      <c r="JW11" s="305"/>
      <c r="JX11" s="305"/>
      <c r="JY11" s="305"/>
      <c r="JZ11" s="305"/>
      <c r="KA11" s="305"/>
      <c r="KB11" s="305"/>
      <c r="KC11" s="305"/>
      <c r="KD11" s="305"/>
      <c r="KE11" s="305"/>
      <c r="KF11" s="305"/>
      <c r="KG11" s="305"/>
      <c r="KH11" s="305"/>
      <c r="KI11" s="305"/>
      <c r="KJ11" s="305"/>
      <c r="KK11" s="305"/>
      <c r="KL11" s="305"/>
      <c r="KM11" s="305"/>
      <c r="KN11" s="305"/>
      <c r="KO11" s="305"/>
      <c r="KP11" s="305"/>
      <c r="KQ11" s="305"/>
      <c r="KR11" s="305"/>
      <c r="KS11" s="305"/>
      <c r="KT11" s="305"/>
      <c r="KU11" s="305"/>
      <c r="KV11" s="305"/>
      <c r="KW11" s="305"/>
      <c r="KX11" s="305"/>
      <c r="KY11" s="305"/>
      <c r="KZ11" s="305"/>
      <c r="LA11" s="305"/>
      <c r="LB11" s="305"/>
      <c r="LC11" s="305"/>
      <c r="LD11" s="305"/>
      <c r="LE11" s="305"/>
      <c r="LF11" s="58"/>
      <c r="LG11" s="58"/>
      <c r="LH11" s="58"/>
      <c r="LI11" s="63" t="s">
        <v>33</v>
      </c>
      <c r="LJ11" s="63"/>
      <c r="LK11" s="63"/>
      <c r="LL11" s="63"/>
      <c r="LM11" s="63"/>
      <c r="LN11" s="63"/>
      <c r="LO11" s="63"/>
      <c r="LP11" s="63"/>
      <c r="LQ11" s="63"/>
      <c r="LR11" s="63"/>
      <c r="LS11" s="63"/>
      <c r="LT11" s="63"/>
      <c r="LU11" s="63"/>
      <c r="LV11" s="63"/>
      <c r="LW11" s="63"/>
      <c r="LX11" s="63"/>
      <c r="LY11" s="63"/>
      <c r="LZ11" s="63"/>
      <c r="MA11" s="63"/>
      <c r="MB11" s="63"/>
      <c r="MC11" s="63"/>
      <c r="MD11" s="63"/>
      <c r="ME11" s="63"/>
      <c r="MF11" s="63"/>
      <c r="MG11" s="63"/>
      <c r="MH11" s="63"/>
      <c r="MI11" s="63"/>
      <c r="MJ11" s="63"/>
      <c r="MK11" s="63"/>
      <c r="ML11" s="63"/>
      <c r="MM11" s="63"/>
      <c r="MN11" s="63"/>
      <c r="MO11" s="63"/>
      <c r="MP11" s="63"/>
      <c r="MQ11" s="63"/>
      <c r="MR11" s="63"/>
      <c r="MS11" s="63"/>
      <c r="MT11" s="63"/>
      <c r="MU11" s="63"/>
      <c r="MV11" s="63"/>
      <c r="MW11" s="63"/>
      <c r="MX11" s="63"/>
      <c r="MY11" s="63"/>
      <c r="MZ11" s="63"/>
      <c r="NA11" s="63"/>
      <c r="NB11" s="63"/>
      <c r="NC11" s="63"/>
      <c r="ND11" s="63"/>
      <c r="NE11" s="63"/>
      <c r="NF11" s="63"/>
      <c r="NG11" s="63"/>
      <c r="NH11" s="63"/>
      <c r="NI11" s="63"/>
      <c r="NJ11" s="63"/>
      <c r="NK11" s="63"/>
      <c r="NL11" s="63"/>
      <c r="NM11" s="63"/>
      <c r="NN11" s="63"/>
      <c r="NO11" s="63"/>
      <c r="NP11" s="63"/>
      <c r="NQ11" s="63"/>
      <c r="NR11" s="63"/>
      <c r="NS11" s="63"/>
      <c r="NT11" s="63"/>
      <c r="NU11" s="63"/>
      <c r="NV11" s="63"/>
      <c r="NW11" s="63"/>
      <c r="NX11" s="63"/>
      <c r="NY11" s="63"/>
      <c r="NZ11" s="63"/>
      <c r="OA11" s="63"/>
      <c r="OB11" s="63"/>
      <c r="OC11" s="63"/>
      <c r="OD11" s="63"/>
      <c r="OE11" s="63"/>
      <c r="OF11" s="63"/>
      <c r="OG11" s="63"/>
      <c r="OH11" s="63"/>
      <c r="OI11" s="63"/>
      <c r="OJ11" s="63"/>
      <c r="OK11" s="63"/>
      <c r="OL11" s="63"/>
      <c r="OM11" s="63"/>
      <c r="ON11" s="63"/>
      <c r="OO11" s="63"/>
      <c r="OP11" s="63"/>
      <c r="OQ11" s="63"/>
      <c r="OR11" s="63"/>
      <c r="OS11" s="63"/>
      <c r="OT11" s="63"/>
      <c r="OU11" s="63"/>
      <c r="OV11" s="63"/>
      <c r="OW11" s="63"/>
      <c r="OX11" s="63"/>
      <c r="OY11" s="63"/>
      <c r="OZ11" s="63"/>
      <c r="PA11" s="63"/>
      <c r="PB11" s="63"/>
      <c r="PC11" s="63"/>
      <c r="PD11" s="63"/>
      <c r="PE11" s="63"/>
      <c r="PF11" s="63"/>
      <c r="PG11" s="63"/>
      <c r="PH11" s="63"/>
      <c r="PI11" s="63"/>
      <c r="PJ11" s="63"/>
      <c r="PK11" s="63"/>
    </row>
    <row r="12" spans="1:427" ht="18" customHeight="1" thickBot="1" x14ac:dyDescent="0.4">
      <c r="A12" s="237"/>
      <c r="B12" s="237"/>
      <c r="C12" s="237"/>
      <c r="D12" s="237"/>
      <c r="E12" s="237"/>
      <c r="F12" s="237"/>
      <c r="G12" s="245" t="s">
        <v>57</v>
      </c>
      <c r="H12" s="245"/>
      <c r="I12" s="245"/>
      <c r="J12" s="245"/>
      <c r="K12" s="245"/>
      <c r="L12" s="245"/>
      <c r="M12" s="245"/>
      <c r="N12" s="245"/>
      <c r="O12" s="246"/>
      <c r="P12" s="186" t="s">
        <v>81</v>
      </c>
      <c r="Q12" s="186"/>
      <c r="R12" s="186"/>
      <c r="S12" s="186"/>
      <c r="T12" s="186"/>
      <c r="U12" s="186"/>
      <c r="V12" s="186"/>
      <c r="W12" s="293" t="s">
        <v>67</v>
      </c>
      <c r="X12" s="293"/>
      <c r="Y12" s="293"/>
      <c r="Z12" s="293"/>
      <c r="AA12" s="293"/>
      <c r="AB12" s="293"/>
      <c r="AC12" s="293"/>
      <c r="AD12" s="293"/>
      <c r="AE12" s="294"/>
      <c r="AF12" s="211" t="s">
        <v>68</v>
      </c>
      <c r="AG12" s="211"/>
      <c r="AH12" s="211"/>
      <c r="AI12" s="211"/>
      <c r="AJ12" s="211"/>
      <c r="AK12" s="211"/>
      <c r="AL12" s="211"/>
      <c r="AM12" s="172" t="s">
        <v>69</v>
      </c>
      <c r="AN12" s="172"/>
      <c r="AO12" s="172"/>
      <c r="AP12" s="172"/>
      <c r="AQ12" s="172"/>
      <c r="AR12" s="172"/>
      <c r="AS12" s="172"/>
      <c r="AT12" s="172"/>
      <c r="AU12" s="173"/>
      <c r="AV12" s="309" t="s">
        <v>77</v>
      </c>
      <c r="AW12" s="186"/>
      <c r="AX12" s="186"/>
      <c r="AY12" s="186"/>
      <c r="AZ12" s="186"/>
      <c r="BA12" s="186"/>
      <c r="BB12" s="186"/>
      <c r="BC12" s="176" t="s">
        <v>71</v>
      </c>
      <c r="BD12" s="177"/>
      <c r="BE12" s="177"/>
      <c r="BF12" s="177"/>
      <c r="BG12" s="177"/>
      <c r="BH12" s="177"/>
      <c r="BI12" s="177"/>
      <c r="BJ12" s="177"/>
      <c r="BK12" s="178"/>
      <c r="BL12" s="186" t="s">
        <v>78</v>
      </c>
      <c r="BM12" s="186"/>
      <c r="BN12" s="186"/>
      <c r="BO12" s="186"/>
      <c r="BP12" s="186"/>
      <c r="BQ12" s="186"/>
      <c r="BR12" s="186"/>
      <c r="BS12" s="221" t="s">
        <v>73</v>
      </c>
      <c r="BT12" s="221"/>
      <c r="BU12" s="221"/>
      <c r="BV12" s="221"/>
      <c r="BW12" s="221"/>
      <c r="BX12" s="221"/>
      <c r="BY12" s="221"/>
      <c r="BZ12" s="221"/>
      <c r="CA12" s="221"/>
      <c r="CB12" s="186" t="s">
        <v>79</v>
      </c>
      <c r="CC12" s="186"/>
      <c r="CD12" s="186"/>
      <c r="CE12" s="186"/>
      <c r="CF12" s="186"/>
      <c r="CG12" s="186"/>
      <c r="CH12" s="186"/>
      <c r="CI12" s="200" t="s">
        <v>75</v>
      </c>
      <c r="CJ12" s="201"/>
      <c r="CK12" s="201"/>
      <c r="CL12" s="201"/>
      <c r="CM12" s="201"/>
      <c r="CN12" s="202"/>
      <c r="CO12" s="203" t="s">
        <v>76</v>
      </c>
      <c r="CP12" s="204"/>
      <c r="CQ12" s="204"/>
      <c r="CR12" s="204"/>
      <c r="CS12" s="204"/>
      <c r="CT12" s="204"/>
      <c r="CU12" s="50"/>
      <c r="CV12" s="50"/>
      <c r="CW12" s="50" t="s">
        <v>30</v>
      </c>
      <c r="CX12" s="50"/>
      <c r="CY12" s="50"/>
      <c r="CZ12" s="50"/>
      <c r="DA12" s="48"/>
      <c r="DB12" s="48"/>
      <c r="DC12" s="48"/>
      <c r="DD12" s="49"/>
      <c r="DE12" s="263" t="s">
        <v>24</v>
      </c>
      <c r="DF12" s="263"/>
      <c r="DG12" s="263"/>
      <c r="DH12" s="263"/>
      <c r="DI12" s="263"/>
      <c r="DJ12" s="311" t="s">
        <v>57</v>
      </c>
      <c r="DK12" s="311"/>
      <c r="DL12" s="311"/>
      <c r="DM12" s="311"/>
      <c r="DN12" s="311"/>
      <c r="DO12" s="311"/>
      <c r="DP12" s="311"/>
      <c r="DQ12" s="311"/>
      <c r="DR12" s="312"/>
      <c r="DS12" s="186" t="s">
        <v>81</v>
      </c>
      <c r="DT12" s="186"/>
      <c r="DU12" s="186"/>
      <c r="DV12" s="186"/>
      <c r="DW12" s="186"/>
      <c r="DX12" s="186"/>
      <c r="DY12" s="186"/>
      <c r="DZ12" s="293" t="s">
        <v>67</v>
      </c>
      <c r="EA12" s="293"/>
      <c r="EB12" s="293"/>
      <c r="EC12" s="293"/>
      <c r="ED12" s="293"/>
      <c r="EE12" s="293"/>
      <c r="EF12" s="293"/>
      <c r="EG12" s="293"/>
      <c r="EH12" s="294"/>
      <c r="EI12" s="211" t="s">
        <v>68</v>
      </c>
      <c r="EJ12" s="211"/>
      <c r="EK12" s="211"/>
      <c r="EL12" s="211"/>
      <c r="EM12" s="211"/>
      <c r="EN12" s="211"/>
      <c r="EO12" s="211"/>
      <c r="EP12" s="172" t="s">
        <v>69</v>
      </c>
      <c r="EQ12" s="172"/>
      <c r="ER12" s="172"/>
      <c r="ES12" s="172"/>
      <c r="ET12" s="172"/>
      <c r="EU12" s="172"/>
      <c r="EV12" s="172"/>
      <c r="EW12" s="172"/>
      <c r="EX12" s="173"/>
      <c r="EY12" s="309" t="s">
        <v>77</v>
      </c>
      <c r="EZ12" s="186"/>
      <c r="FA12" s="186"/>
      <c r="FB12" s="186"/>
      <c r="FC12" s="186"/>
      <c r="FD12" s="186"/>
      <c r="FE12" s="186"/>
      <c r="FF12" s="176" t="s">
        <v>71</v>
      </c>
      <c r="FG12" s="177"/>
      <c r="FH12" s="177"/>
      <c r="FI12" s="177"/>
      <c r="FJ12" s="177"/>
      <c r="FK12" s="177"/>
      <c r="FL12" s="177"/>
      <c r="FM12" s="177"/>
      <c r="FN12" s="178"/>
      <c r="FO12" s="186" t="s">
        <v>78</v>
      </c>
      <c r="FP12" s="186"/>
      <c r="FQ12" s="186"/>
      <c r="FR12" s="186"/>
      <c r="FS12" s="186"/>
      <c r="FT12" s="186"/>
      <c r="FU12" s="186"/>
      <c r="FV12" s="221" t="s">
        <v>73</v>
      </c>
      <c r="FW12" s="221"/>
      <c r="FX12" s="221"/>
      <c r="FY12" s="221"/>
      <c r="FZ12" s="221"/>
      <c r="GA12" s="221"/>
      <c r="GB12" s="221"/>
      <c r="GC12" s="221"/>
      <c r="GD12" s="221"/>
      <c r="GE12" s="186" t="s">
        <v>79</v>
      </c>
      <c r="GF12" s="186"/>
      <c r="GG12" s="186"/>
      <c r="GH12" s="186"/>
      <c r="GI12" s="186"/>
      <c r="GJ12" s="186"/>
      <c r="GK12" s="186"/>
      <c r="GL12" s="200" t="s">
        <v>75</v>
      </c>
      <c r="GM12" s="201"/>
      <c r="GN12" s="201"/>
      <c r="GO12" s="201"/>
      <c r="GP12" s="201"/>
      <c r="GQ12" s="202"/>
      <c r="GR12" s="309" t="s">
        <v>76</v>
      </c>
      <c r="GS12" s="186"/>
      <c r="GT12" s="186"/>
      <c r="GU12" s="186"/>
      <c r="GV12" s="186"/>
      <c r="GW12" s="310"/>
      <c r="GX12" s="54"/>
      <c r="GY12" s="50"/>
      <c r="GZ12" s="50" t="s">
        <v>30</v>
      </c>
      <c r="HA12" s="50"/>
      <c r="HB12" s="50"/>
      <c r="HC12" s="50"/>
      <c r="HD12" s="62"/>
      <c r="HE12" s="62"/>
      <c r="HF12" s="62"/>
      <c r="HG12" s="62"/>
      <c r="HH12" s="263" t="s">
        <v>24</v>
      </c>
      <c r="HI12" s="263"/>
      <c r="HJ12" s="263"/>
      <c r="HK12" s="263"/>
      <c r="HL12" s="263"/>
      <c r="HM12" s="73"/>
      <c r="HN12" s="73"/>
      <c r="HO12" s="73"/>
      <c r="HP12" s="73"/>
      <c r="HQ12" s="73"/>
      <c r="HR12" s="73"/>
      <c r="HS12" s="73"/>
      <c r="HT12" s="73"/>
      <c r="HU12" s="73"/>
      <c r="HV12" s="186" t="s">
        <v>12</v>
      </c>
      <c r="HW12" s="186"/>
      <c r="HX12" s="186"/>
      <c r="HY12" s="186"/>
      <c r="HZ12" s="186"/>
      <c r="IA12" s="186"/>
      <c r="IB12" s="186"/>
      <c r="IC12" s="293" t="s">
        <v>67</v>
      </c>
      <c r="ID12" s="293"/>
      <c r="IE12" s="293"/>
      <c r="IF12" s="293"/>
      <c r="IG12" s="293"/>
      <c r="IH12" s="293"/>
      <c r="II12" s="293"/>
      <c r="IJ12" s="293"/>
      <c r="IK12" s="294"/>
      <c r="IL12" s="211" t="s">
        <v>68</v>
      </c>
      <c r="IM12" s="211"/>
      <c r="IN12" s="211"/>
      <c r="IO12" s="211"/>
      <c r="IP12" s="211"/>
      <c r="IQ12" s="211"/>
      <c r="IR12" s="211"/>
      <c r="IS12" s="172" t="s">
        <v>69</v>
      </c>
      <c r="IT12" s="172"/>
      <c r="IU12" s="172"/>
      <c r="IV12" s="172"/>
      <c r="IW12" s="172"/>
      <c r="IX12" s="172"/>
      <c r="IY12" s="172"/>
      <c r="IZ12" s="172"/>
      <c r="JA12" s="173"/>
      <c r="JB12" s="186" t="s">
        <v>77</v>
      </c>
      <c r="JC12" s="186"/>
      <c r="JD12" s="186"/>
      <c r="JE12" s="186"/>
      <c r="JF12" s="186"/>
      <c r="JG12" s="186"/>
      <c r="JH12" s="186"/>
      <c r="JI12" s="176" t="s">
        <v>71</v>
      </c>
      <c r="JJ12" s="177"/>
      <c r="JK12" s="177"/>
      <c r="JL12" s="177"/>
      <c r="JM12" s="177"/>
      <c r="JN12" s="177"/>
      <c r="JO12" s="177"/>
      <c r="JP12" s="177"/>
      <c r="JQ12" s="186" t="s">
        <v>78</v>
      </c>
      <c r="JR12" s="186"/>
      <c r="JS12" s="186"/>
      <c r="JT12" s="186"/>
      <c r="JU12" s="186"/>
      <c r="JV12" s="186"/>
      <c r="JW12" s="186"/>
      <c r="JX12" s="221" t="s">
        <v>73</v>
      </c>
      <c r="JY12" s="221"/>
      <c r="JZ12" s="221"/>
      <c r="KA12" s="221"/>
      <c r="KB12" s="221"/>
      <c r="KC12" s="221"/>
      <c r="KD12" s="221"/>
      <c r="KE12" s="221"/>
      <c r="KF12" s="221"/>
      <c r="KG12" s="186" t="s">
        <v>79</v>
      </c>
      <c r="KH12" s="186"/>
      <c r="KI12" s="186"/>
      <c r="KJ12" s="186"/>
      <c r="KK12" s="186"/>
      <c r="KL12" s="186"/>
      <c r="KM12" s="186"/>
      <c r="KN12" s="200" t="s">
        <v>75</v>
      </c>
      <c r="KO12" s="201"/>
      <c r="KP12" s="201"/>
      <c r="KQ12" s="201"/>
      <c r="KR12" s="201"/>
      <c r="KS12" s="202"/>
      <c r="KT12" s="309" t="s">
        <v>76</v>
      </c>
      <c r="KU12" s="186"/>
      <c r="KV12" s="186"/>
      <c r="KW12" s="186"/>
      <c r="KX12" s="186"/>
      <c r="KY12" s="310"/>
      <c r="KZ12" s="187" t="s">
        <v>30</v>
      </c>
      <c r="LA12" s="188"/>
      <c r="LB12" s="188"/>
      <c r="LC12" s="188"/>
      <c r="LD12" s="188"/>
      <c r="LE12" s="188"/>
      <c r="LF12" s="188"/>
      <c r="LG12" s="188"/>
      <c r="LH12" s="188"/>
      <c r="LI12" s="313" t="s">
        <v>80</v>
      </c>
      <c r="LJ12" s="313"/>
      <c r="LK12" s="313"/>
      <c r="LL12" s="313"/>
      <c r="LM12" s="313"/>
      <c r="LN12" s="313"/>
      <c r="LO12" s="313"/>
      <c r="LP12" s="313"/>
      <c r="LQ12" s="313"/>
      <c r="LR12" s="186" t="s">
        <v>82</v>
      </c>
      <c r="LS12" s="186"/>
      <c r="LT12" s="186"/>
      <c r="LU12" s="186"/>
      <c r="LV12" s="186"/>
      <c r="LW12" s="186"/>
      <c r="LX12" s="186"/>
      <c r="LY12" s="293" t="s">
        <v>67</v>
      </c>
      <c r="LZ12" s="293"/>
      <c r="MA12" s="293"/>
      <c r="MB12" s="293"/>
      <c r="MC12" s="293"/>
      <c r="MD12" s="293"/>
      <c r="ME12" s="293"/>
      <c r="MF12" s="293"/>
      <c r="MG12" s="294"/>
      <c r="MH12" s="211" t="s">
        <v>68</v>
      </c>
      <c r="MI12" s="211"/>
      <c r="MJ12" s="211"/>
      <c r="MK12" s="211"/>
      <c r="ML12" s="211"/>
      <c r="MM12" s="211"/>
      <c r="MN12" s="211"/>
      <c r="MO12" s="172" t="s">
        <v>69</v>
      </c>
      <c r="MP12" s="172"/>
      <c r="MQ12" s="172"/>
      <c r="MR12" s="172"/>
      <c r="MS12" s="172"/>
      <c r="MT12" s="172"/>
      <c r="MU12" s="172"/>
      <c r="MV12" s="172"/>
      <c r="MW12" s="173"/>
      <c r="MX12" s="186" t="s">
        <v>77</v>
      </c>
      <c r="MY12" s="186"/>
      <c r="MZ12" s="186"/>
      <c r="NA12" s="186"/>
      <c r="NB12" s="186"/>
      <c r="NC12" s="186"/>
      <c r="ND12" s="186"/>
      <c r="NE12" s="176" t="s">
        <v>71</v>
      </c>
      <c r="NF12" s="177"/>
      <c r="NG12" s="177"/>
      <c r="NH12" s="177"/>
      <c r="NI12" s="177"/>
      <c r="NJ12" s="177"/>
      <c r="NK12" s="177"/>
      <c r="NL12" s="177"/>
      <c r="NM12" s="178"/>
      <c r="NN12" s="186" t="s">
        <v>78</v>
      </c>
      <c r="NO12" s="186"/>
      <c r="NP12" s="186"/>
      <c r="NQ12" s="186"/>
      <c r="NR12" s="186"/>
      <c r="NS12" s="186"/>
      <c r="NT12" s="186"/>
      <c r="NU12" s="221" t="s">
        <v>73</v>
      </c>
      <c r="NV12" s="221"/>
      <c r="NW12" s="221"/>
      <c r="NX12" s="221"/>
      <c r="NY12" s="221"/>
      <c r="NZ12" s="221"/>
      <c r="OA12" s="221"/>
      <c r="OB12" s="221"/>
      <c r="OC12" s="221"/>
      <c r="OD12" s="186" t="s">
        <v>79</v>
      </c>
      <c r="OE12" s="186"/>
      <c r="OF12" s="186"/>
      <c r="OG12" s="186"/>
      <c r="OH12" s="186"/>
      <c r="OI12" s="186"/>
      <c r="OJ12" s="186"/>
      <c r="OK12" s="200" t="s">
        <v>75</v>
      </c>
      <c r="OL12" s="201"/>
      <c r="OM12" s="201"/>
      <c r="ON12" s="201"/>
      <c r="OO12" s="201"/>
      <c r="OP12" s="202"/>
      <c r="OQ12" s="309" t="s">
        <v>76</v>
      </c>
      <c r="OR12" s="186"/>
      <c r="OS12" s="186"/>
      <c r="OT12" s="186"/>
      <c r="OU12" s="186"/>
      <c r="OV12" s="310"/>
      <c r="OW12" s="54"/>
      <c r="OX12" s="50"/>
      <c r="OY12" s="50" t="s">
        <v>30</v>
      </c>
      <c r="OZ12" s="50"/>
      <c r="PA12" s="50"/>
      <c r="PB12" s="50"/>
      <c r="PC12" s="64"/>
      <c r="PD12" s="64"/>
      <c r="PE12" s="64"/>
      <c r="PF12" s="65"/>
      <c r="PG12" s="263" t="s">
        <v>24</v>
      </c>
      <c r="PH12" s="263"/>
      <c r="PI12" s="263"/>
      <c r="PJ12" s="263"/>
      <c r="PK12" s="263"/>
    </row>
    <row r="13" spans="1:427" ht="126.75" customHeight="1" thickBot="1" x14ac:dyDescent="0.4">
      <c r="A13" s="238" t="s">
        <v>0</v>
      </c>
      <c r="B13" s="238" t="s">
        <v>1</v>
      </c>
      <c r="C13" s="238" t="s">
        <v>2</v>
      </c>
      <c r="D13" s="238" t="s">
        <v>3</v>
      </c>
      <c r="E13" s="238" t="s">
        <v>4</v>
      </c>
      <c r="F13" s="238" t="s">
        <v>5</v>
      </c>
      <c r="G13" s="213" t="s">
        <v>59</v>
      </c>
      <c r="H13" s="213" t="s">
        <v>66</v>
      </c>
      <c r="I13" s="213" t="s">
        <v>60</v>
      </c>
      <c r="J13" s="213" t="s">
        <v>114</v>
      </c>
      <c r="K13" s="215" t="s">
        <v>61</v>
      </c>
      <c r="L13" s="205" t="s">
        <v>102</v>
      </c>
      <c r="M13" s="207" t="s">
        <v>62</v>
      </c>
      <c r="N13" s="209" t="s">
        <v>63</v>
      </c>
      <c r="O13" s="209" t="s">
        <v>64</v>
      </c>
      <c r="P13" s="220" t="s">
        <v>6</v>
      </c>
      <c r="Q13" s="193" t="s">
        <v>50</v>
      </c>
      <c r="R13" s="193" t="s">
        <v>52</v>
      </c>
      <c r="S13" s="193" t="s">
        <v>54</v>
      </c>
      <c r="T13" s="193" t="s">
        <v>31</v>
      </c>
      <c r="U13" s="285" t="s">
        <v>51</v>
      </c>
      <c r="V13" s="285" t="s">
        <v>7</v>
      </c>
      <c r="W13" s="295" t="s">
        <v>59</v>
      </c>
      <c r="X13" s="295" t="s">
        <v>66</v>
      </c>
      <c r="Y13" s="295" t="s">
        <v>60</v>
      </c>
      <c r="Z13" s="213" t="s">
        <v>114</v>
      </c>
      <c r="AA13" s="297" t="s">
        <v>61</v>
      </c>
      <c r="AB13" s="287" t="s">
        <v>102</v>
      </c>
      <c r="AC13" s="289" t="s">
        <v>62</v>
      </c>
      <c r="AD13" s="291" t="s">
        <v>63</v>
      </c>
      <c r="AE13" s="291" t="s">
        <v>64</v>
      </c>
      <c r="AF13" s="220" t="s">
        <v>6</v>
      </c>
      <c r="AG13" s="193" t="s">
        <v>50</v>
      </c>
      <c r="AH13" s="193" t="s">
        <v>52</v>
      </c>
      <c r="AI13" s="193" t="s">
        <v>54</v>
      </c>
      <c r="AJ13" s="193" t="s">
        <v>31</v>
      </c>
      <c r="AK13" s="285" t="s">
        <v>51</v>
      </c>
      <c r="AL13" s="285" t="s">
        <v>7</v>
      </c>
      <c r="AM13" s="46" t="s">
        <v>59</v>
      </c>
      <c r="AN13" s="46" t="s">
        <v>66</v>
      </c>
      <c r="AO13" s="46" t="s">
        <v>60</v>
      </c>
      <c r="AP13" s="46" t="s">
        <v>115</v>
      </c>
      <c r="AQ13" s="46" t="s">
        <v>61</v>
      </c>
      <c r="AR13" s="46" t="s">
        <v>65</v>
      </c>
      <c r="AS13" s="46" t="s">
        <v>62</v>
      </c>
      <c r="AT13" s="46" t="s">
        <v>63</v>
      </c>
      <c r="AU13" s="46" t="s">
        <v>64</v>
      </c>
      <c r="AV13" s="19" t="s">
        <v>6</v>
      </c>
      <c r="AW13" s="18" t="s">
        <v>50</v>
      </c>
      <c r="AX13" s="18" t="s">
        <v>52</v>
      </c>
      <c r="AY13" s="18" t="s">
        <v>55</v>
      </c>
      <c r="AZ13" s="18" t="s">
        <v>31</v>
      </c>
      <c r="BA13" s="23" t="s">
        <v>51</v>
      </c>
      <c r="BB13" s="23" t="s">
        <v>7</v>
      </c>
      <c r="BC13" s="174" t="s">
        <v>59</v>
      </c>
      <c r="BD13" s="174" t="s">
        <v>66</v>
      </c>
      <c r="BE13" s="174" t="s">
        <v>60</v>
      </c>
      <c r="BF13" s="174" t="s">
        <v>114</v>
      </c>
      <c r="BG13" s="179" t="s">
        <v>61</v>
      </c>
      <c r="BH13" s="180" t="s">
        <v>65</v>
      </c>
      <c r="BI13" s="182" t="s">
        <v>62</v>
      </c>
      <c r="BJ13" s="184" t="s">
        <v>63</v>
      </c>
      <c r="BK13" s="184" t="s">
        <v>64</v>
      </c>
      <c r="BL13" s="220" t="s">
        <v>6</v>
      </c>
      <c r="BM13" s="193" t="s">
        <v>50</v>
      </c>
      <c r="BN13" s="193" t="s">
        <v>52</v>
      </c>
      <c r="BO13" s="193" t="s">
        <v>54</v>
      </c>
      <c r="BP13" s="193" t="s">
        <v>31</v>
      </c>
      <c r="BQ13" s="285" t="s">
        <v>51</v>
      </c>
      <c r="BR13" s="285" t="s">
        <v>7</v>
      </c>
      <c r="BS13" s="222" t="s">
        <v>59</v>
      </c>
      <c r="BT13" s="222" t="s">
        <v>66</v>
      </c>
      <c r="BU13" s="222" t="s">
        <v>60</v>
      </c>
      <c r="BV13" s="327" t="s">
        <v>114</v>
      </c>
      <c r="BW13" s="224" t="s">
        <v>61</v>
      </c>
      <c r="BX13" s="225" t="s">
        <v>102</v>
      </c>
      <c r="BY13" s="227" t="s">
        <v>62</v>
      </c>
      <c r="BZ13" s="229" t="s">
        <v>63</v>
      </c>
      <c r="CA13" s="229" t="s">
        <v>64</v>
      </c>
      <c r="CB13" s="240" t="s">
        <v>6</v>
      </c>
      <c r="CC13" s="231" t="s">
        <v>50</v>
      </c>
      <c r="CD13" s="231" t="s">
        <v>52</v>
      </c>
      <c r="CE13" s="231" t="s">
        <v>54</v>
      </c>
      <c r="CF13" s="231" t="s">
        <v>31</v>
      </c>
      <c r="CG13" s="231" t="s">
        <v>51</v>
      </c>
      <c r="CH13" s="231" t="s">
        <v>7</v>
      </c>
      <c r="CI13" s="170" t="s">
        <v>14</v>
      </c>
      <c r="CJ13" s="171" t="s">
        <v>15</v>
      </c>
      <c r="CK13" s="170" t="s">
        <v>16</v>
      </c>
      <c r="CL13" s="170" t="s">
        <v>49</v>
      </c>
      <c r="CM13" s="170" t="s">
        <v>48</v>
      </c>
      <c r="CN13" s="170" t="s">
        <v>19</v>
      </c>
      <c r="CO13" s="232" t="s">
        <v>14</v>
      </c>
      <c r="CP13" s="233" t="s">
        <v>15</v>
      </c>
      <c r="CQ13" s="232" t="s">
        <v>16</v>
      </c>
      <c r="CR13" s="232" t="s">
        <v>17</v>
      </c>
      <c r="CS13" s="232" t="s">
        <v>18</v>
      </c>
      <c r="CT13" s="232" t="s">
        <v>19</v>
      </c>
      <c r="CU13" s="51" t="s">
        <v>14</v>
      </c>
      <c r="CV13" s="51" t="s">
        <v>15</v>
      </c>
      <c r="CW13" s="51" t="s">
        <v>16</v>
      </c>
      <c r="CX13" s="51" t="s">
        <v>49</v>
      </c>
      <c r="CY13" s="51" t="s">
        <v>48</v>
      </c>
      <c r="CZ13" s="51" t="s">
        <v>19</v>
      </c>
      <c r="DA13" s="314" t="s">
        <v>20</v>
      </c>
      <c r="DB13" s="314" t="s">
        <v>21</v>
      </c>
      <c r="DC13" s="314" t="s">
        <v>22</v>
      </c>
      <c r="DD13" s="314" t="s">
        <v>23</v>
      </c>
      <c r="DE13" s="264" t="s">
        <v>25</v>
      </c>
      <c r="DF13" s="264" t="s">
        <v>26</v>
      </c>
      <c r="DG13" s="264" t="s">
        <v>27</v>
      </c>
      <c r="DH13" s="265" t="s">
        <v>28</v>
      </c>
      <c r="DI13" s="264" t="s">
        <v>29</v>
      </c>
      <c r="DJ13" s="315" t="s">
        <v>59</v>
      </c>
      <c r="DK13" s="315" t="s">
        <v>66</v>
      </c>
      <c r="DL13" s="315" t="s">
        <v>60</v>
      </c>
      <c r="DM13" s="315" t="s">
        <v>114</v>
      </c>
      <c r="DN13" s="317" t="s">
        <v>61</v>
      </c>
      <c r="DO13" s="318" t="s">
        <v>102</v>
      </c>
      <c r="DP13" s="320" t="s">
        <v>62</v>
      </c>
      <c r="DQ13" s="322" t="s">
        <v>63</v>
      </c>
      <c r="DR13" s="322" t="s">
        <v>64</v>
      </c>
      <c r="DS13" s="220" t="s">
        <v>6</v>
      </c>
      <c r="DT13" s="193" t="s">
        <v>50</v>
      </c>
      <c r="DU13" s="193" t="s">
        <v>52</v>
      </c>
      <c r="DV13" s="193" t="s">
        <v>54</v>
      </c>
      <c r="DW13" s="193" t="s">
        <v>31</v>
      </c>
      <c r="DX13" s="285" t="s">
        <v>51</v>
      </c>
      <c r="DY13" s="285" t="s">
        <v>7</v>
      </c>
      <c r="DZ13" s="295" t="s">
        <v>59</v>
      </c>
      <c r="EA13" s="295" t="s">
        <v>66</v>
      </c>
      <c r="EB13" s="295" t="s">
        <v>60</v>
      </c>
      <c r="EC13" s="295" t="s">
        <v>114</v>
      </c>
      <c r="ED13" s="297" t="s">
        <v>61</v>
      </c>
      <c r="EE13" s="287" t="s">
        <v>102</v>
      </c>
      <c r="EF13" s="289" t="s">
        <v>62</v>
      </c>
      <c r="EG13" s="291" t="s">
        <v>63</v>
      </c>
      <c r="EH13" s="291" t="s">
        <v>64</v>
      </c>
      <c r="EI13" s="220" t="s">
        <v>6</v>
      </c>
      <c r="EJ13" s="193" t="s">
        <v>50</v>
      </c>
      <c r="EK13" s="193" t="s">
        <v>52</v>
      </c>
      <c r="EL13" s="193" t="s">
        <v>54</v>
      </c>
      <c r="EM13" s="193" t="s">
        <v>31</v>
      </c>
      <c r="EN13" s="285" t="s">
        <v>51</v>
      </c>
      <c r="EO13" s="285" t="s">
        <v>7</v>
      </c>
      <c r="EP13" s="46" t="s">
        <v>59</v>
      </c>
      <c r="EQ13" s="46" t="s">
        <v>66</v>
      </c>
      <c r="ER13" s="46" t="s">
        <v>60</v>
      </c>
      <c r="ES13" s="46" t="s">
        <v>114</v>
      </c>
      <c r="ET13" s="46" t="s">
        <v>61</v>
      </c>
      <c r="EU13" s="46" t="s">
        <v>102</v>
      </c>
      <c r="EV13" s="46" t="s">
        <v>62</v>
      </c>
      <c r="EW13" s="46" t="s">
        <v>63</v>
      </c>
      <c r="EX13" s="46" t="s">
        <v>64</v>
      </c>
      <c r="EY13" s="19" t="s">
        <v>6</v>
      </c>
      <c r="EZ13" s="18" t="s">
        <v>50</v>
      </c>
      <c r="FA13" s="18" t="s">
        <v>52</v>
      </c>
      <c r="FB13" s="18" t="s">
        <v>54</v>
      </c>
      <c r="FC13" s="18" t="s">
        <v>31</v>
      </c>
      <c r="FD13" s="23" t="s">
        <v>51</v>
      </c>
      <c r="FE13" s="23" t="s">
        <v>7</v>
      </c>
      <c r="FF13" s="174" t="s">
        <v>59</v>
      </c>
      <c r="FG13" s="174" t="s">
        <v>66</v>
      </c>
      <c r="FH13" s="174" t="s">
        <v>60</v>
      </c>
      <c r="FI13" s="174" t="s">
        <v>114</v>
      </c>
      <c r="FJ13" s="179" t="s">
        <v>61</v>
      </c>
      <c r="FK13" s="180" t="s">
        <v>102</v>
      </c>
      <c r="FL13" s="182" t="s">
        <v>62</v>
      </c>
      <c r="FM13" s="184" t="s">
        <v>63</v>
      </c>
      <c r="FN13" s="184" t="s">
        <v>64</v>
      </c>
      <c r="FO13" s="220" t="s">
        <v>6</v>
      </c>
      <c r="FP13" s="193" t="s">
        <v>50</v>
      </c>
      <c r="FQ13" s="193" t="s">
        <v>52</v>
      </c>
      <c r="FR13" s="193" t="s">
        <v>54</v>
      </c>
      <c r="FS13" s="193" t="s">
        <v>31</v>
      </c>
      <c r="FT13" s="285" t="s">
        <v>51</v>
      </c>
      <c r="FU13" s="285" t="s">
        <v>7</v>
      </c>
      <c r="FV13" s="222" t="s">
        <v>59</v>
      </c>
      <c r="FW13" s="222" t="s">
        <v>66</v>
      </c>
      <c r="FX13" s="222" t="s">
        <v>60</v>
      </c>
      <c r="FY13" s="222" t="s">
        <v>114</v>
      </c>
      <c r="FZ13" s="224" t="s">
        <v>61</v>
      </c>
      <c r="GA13" s="225" t="s">
        <v>102</v>
      </c>
      <c r="GB13" s="227" t="s">
        <v>62</v>
      </c>
      <c r="GC13" s="229" t="s">
        <v>63</v>
      </c>
      <c r="GD13" s="229" t="s">
        <v>64</v>
      </c>
      <c r="GE13" s="240" t="s">
        <v>6</v>
      </c>
      <c r="GF13" s="231" t="s">
        <v>50</v>
      </c>
      <c r="GG13" s="231" t="s">
        <v>52</v>
      </c>
      <c r="GH13" s="231" t="s">
        <v>54</v>
      </c>
      <c r="GI13" s="231" t="s">
        <v>31</v>
      </c>
      <c r="GJ13" s="231" t="s">
        <v>51</v>
      </c>
      <c r="GK13" s="231" t="s">
        <v>7</v>
      </c>
      <c r="GL13" s="170" t="s">
        <v>14</v>
      </c>
      <c r="GM13" s="171" t="s">
        <v>15</v>
      </c>
      <c r="GN13" s="170" t="s">
        <v>16</v>
      </c>
      <c r="GO13" s="170" t="s">
        <v>49</v>
      </c>
      <c r="GP13" s="170" t="s">
        <v>48</v>
      </c>
      <c r="GQ13" s="170" t="s">
        <v>19</v>
      </c>
      <c r="GR13" s="232" t="s">
        <v>14</v>
      </c>
      <c r="GS13" s="233" t="s">
        <v>15</v>
      </c>
      <c r="GT13" s="232" t="s">
        <v>16</v>
      </c>
      <c r="GU13" s="232" t="s">
        <v>17</v>
      </c>
      <c r="GV13" s="232" t="s">
        <v>18</v>
      </c>
      <c r="GW13" s="232" t="s">
        <v>19</v>
      </c>
      <c r="GX13" s="55" t="s">
        <v>14</v>
      </c>
      <c r="GY13" s="51" t="s">
        <v>15</v>
      </c>
      <c r="GZ13" s="51" t="s">
        <v>16</v>
      </c>
      <c r="HA13" s="51" t="s">
        <v>49</v>
      </c>
      <c r="HB13" s="51" t="s">
        <v>48</v>
      </c>
      <c r="HC13" s="51" t="s">
        <v>19</v>
      </c>
      <c r="HD13" s="314" t="s">
        <v>20</v>
      </c>
      <c r="HE13" s="314" t="s">
        <v>21</v>
      </c>
      <c r="HF13" s="314" t="s">
        <v>22</v>
      </c>
      <c r="HG13" s="314" t="s">
        <v>23</v>
      </c>
      <c r="HH13" s="264" t="s">
        <v>25</v>
      </c>
      <c r="HI13" s="264" t="s">
        <v>26</v>
      </c>
      <c r="HJ13" s="264" t="s">
        <v>27</v>
      </c>
      <c r="HK13" s="265" t="s">
        <v>28</v>
      </c>
      <c r="HL13" s="264" t="s">
        <v>29</v>
      </c>
      <c r="HM13" s="315" t="s">
        <v>59</v>
      </c>
      <c r="HN13" s="315" t="s">
        <v>66</v>
      </c>
      <c r="HO13" s="315" t="s">
        <v>60</v>
      </c>
      <c r="HP13" s="315" t="s">
        <v>114</v>
      </c>
      <c r="HQ13" s="317" t="s">
        <v>61</v>
      </c>
      <c r="HR13" s="318" t="s">
        <v>102</v>
      </c>
      <c r="HS13" s="320" t="s">
        <v>62</v>
      </c>
      <c r="HT13" s="322" t="s">
        <v>63</v>
      </c>
      <c r="HU13" s="322" t="s">
        <v>64</v>
      </c>
      <c r="HV13" s="220" t="s">
        <v>6</v>
      </c>
      <c r="HW13" s="193" t="s">
        <v>50</v>
      </c>
      <c r="HX13" s="193" t="s">
        <v>52</v>
      </c>
      <c r="HY13" s="193" t="s">
        <v>54</v>
      </c>
      <c r="HZ13" s="193" t="s">
        <v>31</v>
      </c>
      <c r="IA13" s="285" t="s">
        <v>51</v>
      </c>
      <c r="IB13" s="285" t="s">
        <v>7</v>
      </c>
      <c r="IC13" s="295" t="s">
        <v>59</v>
      </c>
      <c r="ID13" s="295" t="s">
        <v>66</v>
      </c>
      <c r="IE13" s="295" t="s">
        <v>60</v>
      </c>
      <c r="IF13" s="295" t="s">
        <v>114</v>
      </c>
      <c r="IG13" s="297" t="s">
        <v>61</v>
      </c>
      <c r="IH13" s="287" t="s">
        <v>102</v>
      </c>
      <c r="II13" s="289" t="s">
        <v>62</v>
      </c>
      <c r="IJ13" s="291" t="s">
        <v>63</v>
      </c>
      <c r="IK13" s="291" t="s">
        <v>64</v>
      </c>
      <c r="IL13" s="220" t="s">
        <v>6</v>
      </c>
      <c r="IM13" s="193" t="s">
        <v>50</v>
      </c>
      <c r="IN13" s="193" t="s">
        <v>52</v>
      </c>
      <c r="IO13" s="193" t="s">
        <v>54</v>
      </c>
      <c r="IP13" s="193" t="s">
        <v>31</v>
      </c>
      <c r="IQ13" s="285" t="s">
        <v>51</v>
      </c>
      <c r="IR13" s="285" t="s">
        <v>7</v>
      </c>
      <c r="IS13" s="46" t="s">
        <v>59</v>
      </c>
      <c r="IT13" s="46" t="s">
        <v>66</v>
      </c>
      <c r="IU13" s="46" t="s">
        <v>60</v>
      </c>
      <c r="IV13" s="46" t="s">
        <v>114</v>
      </c>
      <c r="IW13" s="46" t="s">
        <v>61</v>
      </c>
      <c r="IX13" s="46" t="s">
        <v>102</v>
      </c>
      <c r="IY13" s="46" t="s">
        <v>62</v>
      </c>
      <c r="IZ13" s="46" t="s">
        <v>63</v>
      </c>
      <c r="JA13" s="46" t="s">
        <v>64</v>
      </c>
      <c r="JB13" s="19" t="s">
        <v>6</v>
      </c>
      <c r="JC13" s="18" t="s">
        <v>50</v>
      </c>
      <c r="JD13" s="18" t="s">
        <v>52</v>
      </c>
      <c r="JE13" s="18" t="s">
        <v>54</v>
      </c>
      <c r="JF13" s="18" t="s">
        <v>31</v>
      </c>
      <c r="JG13" s="23" t="s">
        <v>51</v>
      </c>
      <c r="JH13" s="23" t="s">
        <v>7</v>
      </c>
      <c r="JI13" s="174" t="s">
        <v>59</v>
      </c>
      <c r="JJ13" s="174" t="s">
        <v>66</v>
      </c>
      <c r="JK13" s="174" t="s">
        <v>60</v>
      </c>
      <c r="JL13" s="174" t="s">
        <v>114</v>
      </c>
      <c r="JM13" s="179" t="s">
        <v>61</v>
      </c>
      <c r="JN13" s="180" t="s">
        <v>102</v>
      </c>
      <c r="JO13" s="182" t="s">
        <v>62</v>
      </c>
      <c r="JP13" s="184" t="s">
        <v>63</v>
      </c>
      <c r="JQ13" s="220" t="s">
        <v>6</v>
      </c>
      <c r="JR13" s="193" t="s">
        <v>50</v>
      </c>
      <c r="JS13" s="193" t="s">
        <v>52</v>
      </c>
      <c r="JT13" s="193" t="s">
        <v>54</v>
      </c>
      <c r="JU13" s="193" t="s">
        <v>31</v>
      </c>
      <c r="JV13" s="285" t="s">
        <v>51</v>
      </c>
      <c r="JW13" s="285" t="s">
        <v>7</v>
      </c>
      <c r="JX13" s="222" t="s">
        <v>59</v>
      </c>
      <c r="JY13" s="222" t="s">
        <v>66</v>
      </c>
      <c r="JZ13" s="222" t="s">
        <v>60</v>
      </c>
      <c r="KA13" s="222" t="s">
        <v>114</v>
      </c>
      <c r="KB13" s="224" t="s">
        <v>61</v>
      </c>
      <c r="KC13" s="225" t="s">
        <v>102</v>
      </c>
      <c r="KD13" s="227" t="s">
        <v>62</v>
      </c>
      <c r="KE13" s="229" t="s">
        <v>63</v>
      </c>
      <c r="KF13" s="229" t="s">
        <v>64</v>
      </c>
      <c r="KG13" s="240" t="s">
        <v>6</v>
      </c>
      <c r="KH13" s="231" t="s">
        <v>50</v>
      </c>
      <c r="KI13" s="231" t="s">
        <v>52</v>
      </c>
      <c r="KJ13" s="231" t="s">
        <v>54</v>
      </c>
      <c r="KK13" s="231" t="s">
        <v>31</v>
      </c>
      <c r="KL13" s="231" t="s">
        <v>51</v>
      </c>
      <c r="KM13" s="231" t="s">
        <v>7</v>
      </c>
      <c r="KN13" s="170" t="s">
        <v>14</v>
      </c>
      <c r="KO13" s="171" t="s">
        <v>15</v>
      </c>
      <c r="KP13" s="170" t="s">
        <v>16</v>
      </c>
      <c r="KQ13" s="170" t="s">
        <v>49</v>
      </c>
      <c r="KR13" s="170" t="s">
        <v>48</v>
      </c>
      <c r="KS13" s="170" t="s">
        <v>19</v>
      </c>
      <c r="KT13" s="232" t="s">
        <v>14</v>
      </c>
      <c r="KU13" s="233" t="s">
        <v>15</v>
      </c>
      <c r="KV13" s="232" t="s">
        <v>16</v>
      </c>
      <c r="KW13" s="232" t="s">
        <v>17</v>
      </c>
      <c r="KX13" s="232" t="s">
        <v>18</v>
      </c>
      <c r="KY13" s="232" t="s">
        <v>19</v>
      </c>
      <c r="KZ13" s="80" t="s">
        <v>14</v>
      </c>
      <c r="LA13" s="81" t="s">
        <v>15</v>
      </c>
      <c r="LB13" s="81" t="s">
        <v>16</v>
      </c>
      <c r="LC13" s="81" t="s">
        <v>49</v>
      </c>
      <c r="LD13" s="81" t="s">
        <v>48</v>
      </c>
      <c r="LE13" s="81" t="s">
        <v>19</v>
      </c>
      <c r="LF13" s="264" t="s">
        <v>20</v>
      </c>
      <c r="LG13" s="264" t="s">
        <v>21</v>
      </c>
      <c r="LH13" s="264" t="s">
        <v>22</v>
      </c>
      <c r="LI13" s="295" t="s">
        <v>59</v>
      </c>
      <c r="LJ13" s="295" t="s">
        <v>66</v>
      </c>
      <c r="LK13" s="295" t="s">
        <v>60</v>
      </c>
      <c r="LL13" s="295" t="s">
        <v>114</v>
      </c>
      <c r="LM13" s="297" t="s">
        <v>61</v>
      </c>
      <c r="LN13" s="287" t="s">
        <v>102</v>
      </c>
      <c r="LO13" s="289" t="s">
        <v>62</v>
      </c>
      <c r="LP13" s="291" t="s">
        <v>63</v>
      </c>
      <c r="LQ13" s="291" t="s">
        <v>64</v>
      </c>
      <c r="LR13" s="220" t="s">
        <v>6</v>
      </c>
      <c r="LS13" s="193" t="s">
        <v>50</v>
      </c>
      <c r="LT13" s="193" t="s">
        <v>52</v>
      </c>
      <c r="LU13" s="193" t="s">
        <v>54</v>
      </c>
      <c r="LV13" s="193" t="s">
        <v>31</v>
      </c>
      <c r="LW13" s="285" t="s">
        <v>51</v>
      </c>
      <c r="LX13" s="285" t="s">
        <v>7</v>
      </c>
      <c r="LY13" s="295" t="s">
        <v>59</v>
      </c>
      <c r="LZ13" s="295" t="s">
        <v>66</v>
      </c>
      <c r="MA13" s="295" t="s">
        <v>60</v>
      </c>
      <c r="MB13" s="295" t="s">
        <v>114</v>
      </c>
      <c r="MC13" s="297" t="s">
        <v>61</v>
      </c>
      <c r="MD13" s="287" t="s">
        <v>102</v>
      </c>
      <c r="ME13" s="289" t="s">
        <v>62</v>
      </c>
      <c r="MF13" s="291" t="s">
        <v>63</v>
      </c>
      <c r="MG13" s="291" t="s">
        <v>64</v>
      </c>
      <c r="MH13" s="220" t="s">
        <v>6</v>
      </c>
      <c r="MI13" s="193" t="s">
        <v>50</v>
      </c>
      <c r="MJ13" s="193" t="s">
        <v>52</v>
      </c>
      <c r="MK13" s="193" t="s">
        <v>54</v>
      </c>
      <c r="ML13" s="193" t="s">
        <v>31</v>
      </c>
      <c r="MM13" s="285" t="s">
        <v>51</v>
      </c>
      <c r="MN13" s="285" t="s">
        <v>7</v>
      </c>
      <c r="MO13" s="46" t="s">
        <v>59</v>
      </c>
      <c r="MP13" s="46" t="s">
        <v>66</v>
      </c>
      <c r="MQ13" s="46" t="s">
        <v>60</v>
      </c>
      <c r="MR13" s="46" t="s">
        <v>114</v>
      </c>
      <c r="MS13" s="46" t="s">
        <v>61</v>
      </c>
      <c r="MT13" s="46" t="s">
        <v>102</v>
      </c>
      <c r="MU13" s="46" t="s">
        <v>62</v>
      </c>
      <c r="MV13" s="46" t="s">
        <v>63</v>
      </c>
      <c r="MW13" s="46" t="s">
        <v>64</v>
      </c>
      <c r="MX13" s="19" t="s">
        <v>6</v>
      </c>
      <c r="MY13" s="18" t="s">
        <v>50</v>
      </c>
      <c r="MZ13" s="18" t="s">
        <v>52</v>
      </c>
      <c r="NA13" s="18" t="s">
        <v>54</v>
      </c>
      <c r="NB13" s="18" t="s">
        <v>31</v>
      </c>
      <c r="NC13" s="23" t="s">
        <v>51</v>
      </c>
      <c r="ND13" s="23" t="s">
        <v>7</v>
      </c>
      <c r="NE13" s="174" t="s">
        <v>59</v>
      </c>
      <c r="NF13" s="174" t="s">
        <v>66</v>
      </c>
      <c r="NG13" s="174" t="s">
        <v>60</v>
      </c>
      <c r="NH13" s="174" t="s">
        <v>117</v>
      </c>
      <c r="NI13" s="179" t="s">
        <v>61</v>
      </c>
      <c r="NJ13" s="180" t="s">
        <v>102</v>
      </c>
      <c r="NK13" s="182" t="s">
        <v>62</v>
      </c>
      <c r="NL13" s="184" t="s">
        <v>63</v>
      </c>
      <c r="NM13" s="184" t="s">
        <v>64</v>
      </c>
      <c r="NN13" s="220" t="s">
        <v>6</v>
      </c>
      <c r="NO13" s="193" t="s">
        <v>50</v>
      </c>
      <c r="NP13" s="193" t="s">
        <v>52</v>
      </c>
      <c r="NQ13" s="193" t="s">
        <v>54</v>
      </c>
      <c r="NR13" s="193" t="s">
        <v>31</v>
      </c>
      <c r="NS13" s="285" t="s">
        <v>51</v>
      </c>
      <c r="NT13" s="285" t="s">
        <v>7</v>
      </c>
      <c r="NU13" s="222" t="s">
        <v>59</v>
      </c>
      <c r="NV13" s="222" t="s">
        <v>66</v>
      </c>
      <c r="NW13" s="222" t="s">
        <v>60</v>
      </c>
      <c r="NX13" s="222" t="s">
        <v>117</v>
      </c>
      <c r="NY13" s="224" t="s">
        <v>61</v>
      </c>
      <c r="NZ13" s="225" t="s">
        <v>102</v>
      </c>
      <c r="OA13" s="227" t="s">
        <v>62</v>
      </c>
      <c r="OB13" s="229" t="s">
        <v>63</v>
      </c>
      <c r="OC13" s="229" t="s">
        <v>64</v>
      </c>
      <c r="OD13" s="240" t="s">
        <v>6</v>
      </c>
      <c r="OE13" s="231" t="s">
        <v>50</v>
      </c>
      <c r="OF13" s="231" t="s">
        <v>52</v>
      </c>
      <c r="OG13" s="231" t="s">
        <v>54</v>
      </c>
      <c r="OH13" s="231" t="s">
        <v>31</v>
      </c>
      <c r="OI13" s="231" t="s">
        <v>51</v>
      </c>
      <c r="OJ13" s="231" t="s">
        <v>7</v>
      </c>
      <c r="OK13" s="170" t="s">
        <v>14</v>
      </c>
      <c r="OL13" s="171" t="s">
        <v>15</v>
      </c>
      <c r="OM13" s="170" t="s">
        <v>16</v>
      </c>
      <c r="ON13" s="170" t="s">
        <v>49</v>
      </c>
      <c r="OO13" s="170" t="s">
        <v>48</v>
      </c>
      <c r="OP13" s="170" t="s">
        <v>19</v>
      </c>
      <c r="OQ13" s="232" t="s">
        <v>14</v>
      </c>
      <c r="OR13" s="233" t="s">
        <v>15</v>
      </c>
      <c r="OS13" s="232" t="s">
        <v>16</v>
      </c>
      <c r="OT13" s="232" t="s">
        <v>17</v>
      </c>
      <c r="OU13" s="232" t="s">
        <v>18</v>
      </c>
      <c r="OV13" s="232" t="s">
        <v>19</v>
      </c>
      <c r="OW13" s="55" t="s">
        <v>14</v>
      </c>
      <c r="OX13" s="51" t="s">
        <v>15</v>
      </c>
      <c r="OY13" s="51" t="s">
        <v>16</v>
      </c>
      <c r="OZ13" s="51" t="s">
        <v>49</v>
      </c>
      <c r="PA13" s="51" t="s">
        <v>48</v>
      </c>
      <c r="PB13" s="51" t="s">
        <v>19</v>
      </c>
      <c r="PC13" s="325" t="s">
        <v>20</v>
      </c>
      <c r="PD13" s="325" t="s">
        <v>21</v>
      </c>
      <c r="PE13" s="325" t="s">
        <v>22</v>
      </c>
      <c r="PF13" s="325" t="s">
        <v>23</v>
      </c>
      <c r="PG13" s="264" t="s">
        <v>25</v>
      </c>
      <c r="PH13" s="264" t="s">
        <v>26</v>
      </c>
      <c r="PI13" s="264" t="s">
        <v>27</v>
      </c>
      <c r="PJ13" s="265" t="s">
        <v>28</v>
      </c>
      <c r="PK13" s="264" t="s">
        <v>29</v>
      </c>
    </row>
    <row r="14" spans="1:427" ht="39.75" customHeight="1" x14ac:dyDescent="0.35">
      <c r="A14" s="238"/>
      <c r="B14" s="238"/>
      <c r="C14" s="238"/>
      <c r="D14" s="238"/>
      <c r="E14" s="238"/>
      <c r="F14" s="238"/>
      <c r="G14" s="214"/>
      <c r="H14" s="214"/>
      <c r="I14" s="214"/>
      <c r="J14" s="214"/>
      <c r="K14" s="215"/>
      <c r="L14" s="206"/>
      <c r="M14" s="208"/>
      <c r="N14" s="210"/>
      <c r="O14" s="210"/>
      <c r="P14" s="220"/>
      <c r="Q14" s="193"/>
      <c r="R14" s="193"/>
      <c r="S14" s="193"/>
      <c r="T14" s="193"/>
      <c r="U14" s="192"/>
      <c r="V14" s="192"/>
      <c r="W14" s="296"/>
      <c r="X14" s="296"/>
      <c r="Y14" s="296"/>
      <c r="Z14" s="214"/>
      <c r="AA14" s="297"/>
      <c r="AB14" s="288"/>
      <c r="AC14" s="290"/>
      <c r="AD14" s="292"/>
      <c r="AE14" s="292"/>
      <c r="AF14" s="220"/>
      <c r="AG14" s="193"/>
      <c r="AH14" s="193"/>
      <c r="AI14" s="193"/>
      <c r="AJ14" s="193"/>
      <c r="AK14" s="192"/>
      <c r="AL14" s="192"/>
      <c r="AM14" s="47">
        <v>2</v>
      </c>
      <c r="AN14" s="47">
        <v>2</v>
      </c>
      <c r="AO14" s="47">
        <v>3</v>
      </c>
      <c r="AP14" s="47">
        <v>1</v>
      </c>
      <c r="AQ14" s="47">
        <v>5</v>
      </c>
      <c r="AR14" s="47">
        <v>3</v>
      </c>
      <c r="AS14" s="47">
        <v>2</v>
      </c>
      <c r="AT14" s="47">
        <v>1</v>
      </c>
      <c r="AU14" s="47">
        <v>1</v>
      </c>
      <c r="AV14" s="2">
        <v>5</v>
      </c>
      <c r="AW14" s="2">
        <v>1</v>
      </c>
      <c r="AX14" s="2">
        <v>5</v>
      </c>
      <c r="AY14" s="2">
        <v>3</v>
      </c>
      <c r="AZ14" s="2">
        <v>2</v>
      </c>
      <c r="BA14" s="2">
        <v>2</v>
      </c>
      <c r="BB14" s="2">
        <v>2</v>
      </c>
      <c r="BC14" s="175"/>
      <c r="BD14" s="175"/>
      <c r="BE14" s="175"/>
      <c r="BF14" s="175"/>
      <c r="BG14" s="179"/>
      <c r="BH14" s="181"/>
      <c r="BI14" s="183"/>
      <c r="BJ14" s="185"/>
      <c r="BK14" s="185"/>
      <c r="BL14" s="220"/>
      <c r="BM14" s="193"/>
      <c r="BN14" s="193"/>
      <c r="BO14" s="193"/>
      <c r="BP14" s="193"/>
      <c r="BQ14" s="192"/>
      <c r="BR14" s="192"/>
      <c r="BS14" s="223"/>
      <c r="BT14" s="223"/>
      <c r="BU14" s="223"/>
      <c r="BV14" s="328"/>
      <c r="BW14" s="224"/>
      <c r="BX14" s="226"/>
      <c r="BY14" s="228"/>
      <c r="BZ14" s="230"/>
      <c r="CA14" s="230"/>
      <c r="CB14" s="240"/>
      <c r="CC14" s="231"/>
      <c r="CD14" s="231"/>
      <c r="CE14" s="231"/>
      <c r="CF14" s="231"/>
      <c r="CG14" s="231"/>
      <c r="CH14" s="231"/>
      <c r="CI14" s="170"/>
      <c r="CJ14" s="171"/>
      <c r="CK14" s="170"/>
      <c r="CL14" s="170"/>
      <c r="CM14" s="170"/>
      <c r="CN14" s="170"/>
      <c r="CO14" s="232"/>
      <c r="CP14" s="233"/>
      <c r="CQ14" s="232"/>
      <c r="CR14" s="232"/>
      <c r="CS14" s="232"/>
      <c r="CT14" s="232"/>
      <c r="CU14" s="169" t="s">
        <v>30</v>
      </c>
      <c r="CV14" s="169"/>
      <c r="CW14" s="169"/>
      <c r="CX14" s="169"/>
      <c r="CY14" s="169"/>
      <c r="CZ14" s="169"/>
      <c r="DA14" s="314"/>
      <c r="DB14" s="314"/>
      <c r="DC14" s="314"/>
      <c r="DD14" s="314"/>
      <c r="DE14" s="264"/>
      <c r="DF14" s="264"/>
      <c r="DG14" s="264"/>
      <c r="DH14" s="265"/>
      <c r="DI14" s="264"/>
      <c r="DJ14" s="316"/>
      <c r="DK14" s="316"/>
      <c r="DL14" s="316"/>
      <c r="DM14" s="316"/>
      <c r="DN14" s="317"/>
      <c r="DO14" s="319"/>
      <c r="DP14" s="321"/>
      <c r="DQ14" s="323"/>
      <c r="DR14" s="323"/>
      <c r="DS14" s="220"/>
      <c r="DT14" s="193"/>
      <c r="DU14" s="193"/>
      <c r="DV14" s="193"/>
      <c r="DW14" s="193"/>
      <c r="DX14" s="192"/>
      <c r="DY14" s="192"/>
      <c r="DZ14" s="296"/>
      <c r="EA14" s="296"/>
      <c r="EB14" s="296"/>
      <c r="EC14" s="296"/>
      <c r="ED14" s="297"/>
      <c r="EE14" s="288"/>
      <c r="EF14" s="290"/>
      <c r="EG14" s="292"/>
      <c r="EH14" s="292"/>
      <c r="EI14" s="220"/>
      <c r="EJ14" s="193"/>
      <c r="EK14" s="193"/>
      <c r="EL14" s="193"/>
      <c r="EM14" s="193"/>
      <c r="EN14" s="192"/>
      <c r="EO14" s="192"/>
      <c r="EP14" s="47">
        <v>2</v>
      </c>
      <c r="EQ14" s="47">
        <v>2</v>
      </c>
      <c r="ER14" s="47">
        <v>3</v>
      </c>
      <c r="ES14" s="47">
        <v>1</v>
      </c>
      <c r="ET14" s="47">
        <v>5</v>
      </c>
      <c r="EU14" s="47">
        <v>3</v>
      </c>
      <c r="EV14" s="47">
        <v>2</v>
      </c>
      <c r="EW14" s="47">
        <v>1</v>
      </c>
      <c r="EX14" s="47">
        <v>1</v>
      </c>
      <c r="EY14" s="2">
        <v>5</v>
      </c>
      <c r="EZ14" s="2">
        <v>1</v>
      </c>
      <c r="FA14" s="2">
        <v>5</v>
      </c>
      <c r="FB14" s="2">
        <v>3</v>
      </c>
      <c r="FC14" s="2">
        <v>2</v>
      </c>
      <c r="FD14" s="2">
        <v>2</v>
      </c>
      <c r="FE14" s="2">
        <v>2</v>
      </c>
      <c r="FF14" s="175"/>
      <c r="FG14" s="175"/>
      <c r="FH14" s="175"/>
      <c r="FI14" s="175"/>
      <c r="FJ14" s="179"/>
      <c r="FK14" s="181"/>
      <c r="FL14" s="183"/>
      <c r="FM14" s="185"/>
      <c r="FN14" s="185"/>
      <c r="FO14" s="220"/>
      <c r="FP14" s="193"/>
      <c r="FQ14" s="193"/>
      <c r="FR14" s="193"/>
      <c r="FS14" s="193"/>
      <c r="FT14" s="192"/>
      <c r="FU14" s="192"/>
      <c r="FV14" s="223"/>
      <c r="FW14" s="223"/>
      <c r="FX14" s="223"/>
      <c r="FY14" s="223"/>
      <c r="FZ14" s="224"/>
      <c r="GA14" s="226"/>
      <c r="GB14" s="228"/>
      <c r="GC14" s="230"/>
      <c r="GD14" s="230"/>
      <c r="GE14" s="240"/>
      <c r="GF14" s="231"/>
      <c r="GG14" s="231"/>
      <c r="GH14" s="231"/>
      <c r="GI14" s="231"/>
      <c r="GJ14" s="231"/>
      <c r="GK14" s="231"/>
      <c r="GL14" s="170"/>
      <c r="GM14" s="171"/>
      <c r="GN14" s="170"/>
      <c r="GO14" s="170"/>
      <c r="GP14" s="170"/>
      <c r="GQ14" s="170"/>
      <c r="GR14" s="232"/>
      <c r="GS14" s="233"/>
      <c r="GT14" s="232"/>
      <c r="GU14" s="232"/>
      <c r="GV14" s="232"/>
      <c r="GW14" s="232"/>
      <c r="GX14" s="169" t="s">
        <v>30</v>
      </c>
      <c r="GY14" s="169"/>
      <c r="GZ14" s="169"/>
      <c r="HA14" s="169"/>
      <c r="HB14" s="169"/>
      <c r="HC14" s="169"/>
      <c r="HD14" s="314"/>
      <c r="HE14" s="314"/>
      <c r="HF14" s="314"/>
      <c r="HG14" s="314"/>
      <c r="HH14" s="264"/>
      <c r="HI14" s="264"/>
      <c r="HJ14" s="264"/>
      <c r="HK14" s="265"/>
      <c r="HL14" s="264"/>
      <c r="HM14" s="316"/>
      <c r="HN14" s="316"/>
      <c r="HO14" s="316"/>
      <c r="HP14" s="316"/>
      <c r="HQ14" s="317"/>
      <c r="HR14" s="319"/>
      <c r="HS14" s="321"/>
      <c r="HT14" s="323"/>
      <c r="HU14" s="323"/>
      <c r="HV14" s="220"/>
      <c r="HW14" s="193"/>
      <c r="HX14" s="193"/>
      <c r="HY14" s="193"/>
      <c r="HZ14" s="193"/>
      <c r="IA14" s="192"/>
      <c r="IB14" s="192"/>
      <c r="IC14" s="296"/>
      <c r="ID14" s="296"/>
      <c r="IE14" s="296"/>
      <c r="IF14" s="296"/>
      <c r="IG14" s="297"/>
      <c r="IH14" s="288"/>
      <c r="II14" s="290"/>
      <c r="IJ14" s="292"/>
      <c r="IK14" s="292"/>
      <c r="IL14" s="220"/>
      <c r="IM14" s="193"/>
      <c r="IN14" s="193"/>
      <c r="IO14" s="193"/>
      <c r="IP14" s="193"/>
      <c r="IQ14" s="192"/>
      <c r="IR14" s="192"/>
      <c r="IS14" s="47">
        <v>2</v>
      </c>
      <c r="IT14" s="47">
        <v>2</v>
      </c>
      <c r="IU14" s="47">
        <v>3</v>
      </c>
      <c r="IV14" s="47">
        <v>1</v>
      </c>
      <c r="IW14" s="47">
        <v>5</v>
      </c>
      <c r="IX14" s="47">
        <v>3</v>
      </c>
      <c r="IY14" s="47">
        <v>2</v>
      </c>
      <c r="IZ14" s="47">
        <v>1</v>
      </c>
      <c r="JA14" s="47">
        <v>1</v>
      </c>
      <c r="JB14" s="2">
        <v>5</v>
      </c>
      <c r="JC14" s="2">
        <v>1</v>
      </c>
      <c r="JD14" s="2">
        <v>5</v>
      </c>
      <c r="JE14" s="2">
        <v>3</v>
      </c>
      <c r="JF14" s="2">
        <v>2</v>
      </c>
      <c r="JG14" s="2">
        <v>2</v>
      </c>
      <c r="JH14" s="2">
        <v>2</v>
      </c>
      <c r="JI14" s="175"/>
      <c r="JJ14" s="175"/>
      <c r="JK14" s="175"/>
      <c r="JL14" s="175"/>
      <c r="JM14" s="179"/>
      <c r="JN14" s="181"/>
      <c r="JO14" s="183"/>
      <c r="JP14" s="185"/>
      <c r="JQ14" s="220"/>
      <c r="JR14" s="193"/>
      <c r="JS14" s="193"/>
      <c r="JT14" s="193"/>
      <c r="JU14" s="193"/>
      <c r="JV14" s="192"/>
      <c r="JW14" s="192"/>
      <c r="JX14" s="223"/>
      <c r="JY14" s="223"/>
      <c r="JZ14" s="223"/>
      <c r="KA14" s="223"/>
      <c r="KB14" s="224"/>
      <c r="KC14" s="226"/>
      <c r="KD14" s="228"/>
      <c r="KE14" s="230"/>
      <c r="KF14" s="230"/>
      <c r="KG14" s="240"/>
      <c r="KH14" s="231"/>
      <c r="KI14" s="231"/>
      <c r="KJ14" s="231"/>
      <c r="KK14" s="231"/>
      <c r="KL14" s="231"/>
      <c r="KM14" s="231"/>
      <c r="KN14" s="170"/>
      <c r="KO14" s="171"/>
      <c r="KP14" s="170"/>
      <c r="KQ14" s="170"/>
      <c r="KR14" s="170"/>
      <c r="KS14" s="170"/>
      <c r="KT14" s="232"/>
      <c r="KU14" s="233"/>
      <c r="KV14" s="232"/>
      <c r="KW14" s="232"/>
      <c r="KX14" s="232"/>
      <c r="KY14" s="232"/>
      <c r="KZ14" s="324" t="s">
        <v>30</v>
      </c>
      <c r="LA14" s="324"/>
      <c r="LB14" s="324"/>
      <c r="LC14" s="324"/>
      <c r="LD14" s="324"/>
      <c r="LE14" s="324"/>
      <c r="LF14" s="264"/>
      <c r="LG14" s="264"/>
      <c r="LH14" s="264"/>
      <c r="LI14" s="296"/>
      <c r="LJ14" s="296"/>
      <c r="LK14" s="296"/>
      <c r="LL14" s="296"/>
      <c r="LM14" s="297"/>
      <c r="LN14" s="288"/>
      <c r="LO14" s="290"/>
      <c r="LP14" s="292"/>
      <c r="LQ14" s="292"/>
      <c r="LR14" s="220"/>
      <c r="LS14" s="193"/>
      <c r="LT14" s="193"/>
      <c r="LU14" s="193"/>
      <c r="LV14" s="193"/>
      <c r="LW14" s="192"/>
      <c r="LX14" s="192"/>
      <c r="LY14" s="296"/>
      <c r="LZ14" s="296"/>
      <c r="MA14" s="296"/>
      <c r="MB14" s="296"/>
      <c r="MC14" s="297"/>
      <c r="MD14" s="288"/>
      <c r="ME14" s="290"/>
      <c r="MF14" s="292"/>
      <c r="MG14" s="292"/>
      <c r="MH14" s="220"/>
      <c r="MI14" s="193"/>
      <c r="MJ14" s="193"/>
      <c r="MK14" s="193"/>
      <c r="ML14" s="193"/>
      <c r="MM14" s="192"/>
      <c r="MN14" s="192"/>
      <c r="MO14" s="47">
        <v>2</v>
      </c>
      <c r="MP14" s="47">
        <v>2</v>
      </c>
      <c r="MQ14" s="47">
        <v>3</v>
      </c>
      <c r="MR14" s="47">
        <v>1</v>
      </c>
      <c r="MS14" s="47">
        <v>5</v>
      </c>
      <c r="MT14" s="47">
        <v>3</v>
      </c>
      <c r="MU14" s="47">
        <v>2</v>
      </c>
      <c r="MV14" s="47">
        <v>1</v>
      </c>
      <c r="MW14" s="47">
        <v>1</v>
      </c>
      <c r="MX14" s="2">
        <v>5</v>
      </c>
      <c r="MY14" s="2">
        <v>1</v>
      </c>
      <c r="MZ14" s="2">
        <v>5</v>
      </c>
      <c r="NA14" s="2">
        <v>3</v>
      </c>
      <c r="NB14" s="2">
        <v>2</v>
      </c>
      <c r="NC14" s="2">
        <v>2</v>
      </c>
      <c r="ND14" s="2">
        <v>2</v>
      </c>
      <c r="NE14" s="175"/>
      <c r="NF14" s="175"/>
      <c r="NG14" s="175"/>
      <c r="NH14" s="175"/>
      <c r="NI14" s="179"/>
      <c r="NJ14" s="181"/>
      <c r="NK14" s="183"/>
      <c r="NL14" s="185"/>
      <c r="NM14" s="185"/>
      <c r="NN14" s="220"/>
      <c r="NO14" s="193"/>
      <c r="NP14" s="193"/>
      <c r="NQ14" s="193"/>
      <c r="NR14" s="193"/>
      <c r="NS14" s="192"/>
      <c r="NT14" s="192"/>
      <c r="NU14" s="223"/>
      <c r="NV14" s="223"/>
      <c r="NW14" s="223"/>
      <c r="NX14" s="223"/>
      <c r="NY14" s="224"/>
      <c r="NZ14" s="226"/>
      <c r="OA14" s="228"/>
      <c r="OB14" s="230"/>
      <c r="OC14" s="230"/>
      <c r="OD14" s="240"/>
      <c r="OE14" s="231"/>
      <c r="OF14" s="231"/>
      <c r="OG14" s="231"/>
      <c r="OH14" s="231"/>
      <c r="OI14" s="231"/>
      <c r="OJ14" s="231"/>
      <c r="OK14" s="170"/>
      <c r="OL14" s="171"/>
      <c r="OM14" s="170"/>
      <c r="ON14" s="170"/>
      <c r="OO14" s="170"/>
      <c r="OP14" s="170"/>
      <c r="OQ14" s="232"/>
      <c r="OR14" s="233"/>
      <c r="OS14" s="232"/>
      <c r="OT14" s="232"/>
      <c r="OU14" s="232"/>
      <c r="OV14" s="232"/>
      <c r="OW14" s="169" t="s">
        <v>239</v>
      </c>
      <c r="OX14" s="169"/>
      <c r="OY14" s="169"/>
      <c r="OZ14" s="169"/>
      <c r="PA14" s="169"/>
      <c r="PB14" s="169"/>
      <c r="PC14" s="326"/>
      <c r="PD14" s="326"/>
      <c r="PE14" s="326"/>
      <c r="PF14" s="326"/>
      <c r="PG14" s="264"/>
      <c r="PH14" s="264"/>
      <c r="PI14" s="264"/>
      <c r="PJ14" s="265"/>
      <c r="PK14" s="264"/>
    </row>
    <row r="15" spans="1:427" ht="27" customHeight="1" x14ac:dyDescent="0.35">
      <c r="A15" s="24">
        <f>IF(B15="","",1)</f>
        <v>1</v>
      </c>
      <c r="B15" s="28" t="str">
        <f>IF('Q1'!B15="","",'Q1'!B15)</f>
        <v>Sor Ketryawin</v>
      </c>
      <c r="C15" s="30" t="str">
        <f>IF('Q1'!C15="","",'Q1'!C15)</f>
        <v>ស កេតទ្រីយ៉ាវីន</v>
      </c>
      <c r="D15" s="28">
        <v>1</v>
      </c>
      <c r="E15" s="24" t="s">
        <v>125</v>
      </c>
      <c r="F15" s="24" t="str">
        <f>IF('Q1'!F15="","",'Q1'!F15)</f>
        <v>I</v>
      </c>
      <c r="G15" s="26">
        <f>IF('Q1'!G15="","",'Q1'!G15)</f>
        <v>72</v>
      </c>
      <c r="H15" s="26">
        <f>IF('Q1'!H15="","",'Q1'!H15)</f>
        <v>86.666666666666671</v>
      </c>
      <c r="I15" s="26">
        <f>IF('Q1'!I15="","",'Q1'!I15)</f>
        <v>86.666666666666671</v>
      </c>
      <c r="J15" s="26">
        <f>IF('Q1'!J15="","",'Q1'!J15)</f>
        <v>68</v>
      </c>
      <c r="K15" s="26">
        <f>IF('Q1'!K15="","",'Q1'!K15)</f>
        <v>82.100000000000009</v>
      </c>
      <c r="L15" s="26">
        <f>IF('Q1'!L15="","",'Q1'!L15)</f>
        <v>86.666666666666671</v>
      </c>
      <c r="M15" s="26">
        <f>IF('Q1'!M15="","",'Q1'!M15)</f>
        <v>86.666666666666671</v>
      </c>
      <c r="N15" s="26">
        <f>IF('Q1'!N15="","",'Q1'!N15)</f>
        <v>89</v>
      </c>
      <c r="O15" s="26">
        <f>IF('Q1'!O15="","",'Q1'!O15)</f>
        <v>89</v>
      </c>
      <c r="P15" s="26">
        <f>IF('Q1'!P15="","",'Q1'!P15)</f>
        <v>93.38666666666667</v>
      </c>
      <c r="Q15" s="26">
        <f>IF('Q1'!Q15="","",'Q1'!Q15)</f>
        <v>93.38666666666667</v>
      </c>
      <c r="R15" s="26">
        <f>IF('Q1'!R15="","",'Q1'!R15)</f>
        <v>59.07</v>
      </c>
      <c r="S15" s="26">
        <f>IF('Q1'!S15="","",'Q1'!S15)</f>
        <v>60.363636363636367</v>
      </c>
      <c r="T15" s="26">
        <f>IF('Q1'!T15="","",'Q1'!T15)</f>
        <v>66</v>
      </c>
      <c r="U15" s="26">
        <f>IF('Q1'!U15="","",'Q1'!U15)</f>
        <v>96.5</v>
      </c>
      <c r="V15" s="26">
        <f>IF('Q1'!V15="","",'Q1'!V15)</f>
        <v>98</v>
      </c>
      <c r="W15" s="26" t="str">
        <f t="shared" ref="W15:W25" si="0">IF(G15="","",IF(G15&gt;=90,"A",IF(G15&gt;=80,"B",IF(G15&gt;=70,"C",IF(G15&gt;=60,"D",IF(G15&gt;=50,"E",IF(G15&gt;=0,"F","")))))))</f>
        <v>C</v>
      </c>
      <c r="X15" s="26" t="str">
        <f t="shared" ref="X15:X25" si="1">IF(H15="","",IF(H15&gt;=90,"A",IF(H15&gt;=80,"B",IF(H15&gt;=70,"C",IF(H15&gt;=60,"D",IF(H15&gt;=50,"E",IF(H15&gt;=0,"F","")))))))</f>
        <v>B</v>
      </c>
      <c r="Y15" s="26" t="str">
        <f t="shared" ref="Y15:Y25" si="2">IF(I15="","",IF(I15&gt;=90,"A",IF(I15&gt;=80,"B",IF(I15&gt;=70,"C",IF(I15&gt;=60,"D",IF(I15&gt;=50,"E",IF(I15&gt;=0,"F","")))))))</f>
        <v>B</v>
      </c>
      <c r="Z15" s="26" t="str">
        <f t="shared" ref="Z15:Z25" si="3">IF(J15="","",IF(J15&gt;=90,"A",IF(J15&gt;=80,"B",IF(J15&gt;=70,"C",IF(J15&gt;=60,"D",IF(J15&gt;=50,"E",IF(J15&gt;=0,"F","")))))))</f>
        <v>D</v>
      </c>
      <c r="AA15" s="26" t="str">
        <f t="shared" ref="AA15:AA25" si="4">IF(K15="","",IF(K15&gt;=90,"A",IF(K15&gt;=80,"B",IF(K15&gt;=70,"C",IF(K15&gt;=60,"D",IF(K15&gt;=50,"E",IF(K15&gt;=0,"F","")))))))</f>
        <v>B</v>
      </c>
      <c r="AB15" s="26" t="str">
        <f t="shared" ref="AB15:AB25" si="5">IF(L15="","",IF(L15&gt;=90,"A",IF(L15&gt;=80,"B",IF(L15&gt;=70,"C",IF(L15&gt;=60,"D",IF(L15&gt;=50,"E",IF(L15&gt;=0,"F","")))))))</f>
        <v>B</v>
      </c>
      <c r="AC15" s="26" t="str">
        <f t="shared" ref="AC15:AC25" si="6">IF(M15="","",IF(M15&gt;=90,"A",IF(M15&gt;=80,"B",IF(M15&gt;=70,"C",IF(M15&gt;=60,"D",IF(M15&gt;=50,"E",IF(M15&gt;=0,"F","")))))))</f>
        <v>B</v>
      </c>
      <c r="AD15" s="26" t="str">
        <f t="shared" ref="AD15:AD25" si="7">IF(N15="","",IF(N15&gt;=90,"A",IF(N15&gt;=80,"B",IF(N15&gt;=70,"C",IF(N15&gt;=60,"D",IF(N15&gt;=50,"E",IF(N15&gt;=0,"F","")))))))</f>
        <v>B</v>
      </c>
      <c r="AE15" s="26" t="str">
        <f t="shared" ref="AE15:AE25" si="8">IF(O15="","",IF(O15&gt;=90,"A",IF(O15&gt;=80,"B",IF(O15&gt;=70,"C",IF(O15&gt;=60,"D",IF(O15&gt;=50,"E",IF(O15&gt;=0,"F","")))))))</f>
        <v>B</v>
      </c>
      <c r="AF15" s="24" t="str">
        <f t="shared" ref="AF15:AF25" si="9">IF(P15="","",IF(P15&gt;=90,"A",IF(P15&gt;=80,"B",IF(P15&gt;=70,"C",IF(P15&gt;=60,"D",IF(P15&gt;=50,"E",IF(P15&gt;=0,"F","")))))))</f>
        <v>A</v>
      </c>
      <c r="AG15" s="24" t="str">
        <f t="shared" ref="AG15:AG25" si="10">IF(Q15="","",IF(Q15&gt;=90,"A",IF(Q15&gt;=80,"B",IF(Q15&gt;=70,"C",IF(Q15&gt;=60,"D",IF(Q15&gt;=50,"E",IF(Q15&gt;=0,"F","")))))))</f>
        <v>A</v>
      </c>
      <c r="AH15" s="24" t="str">
        <f t="shared" ref="AH15:AH25" si="11">IF(R15="","",IF(R15&gt;=90,"A",IF(R15&gt;=80,"B",IF(R15&gt;=70,"C",IF(R15&gt;=60,"D",IF(R15&gt;=50,"E",IF(R15&gt;=0,"F","")))))))</f>
        <v>E</v>
      </c>
      <c r="AI15" s="24" t="str">
        <f t="shared" ref="AI15:AI25" si="12">IF(S15="","",IF(S15&gt;=90,"A",IF(S15&gt;=80,"B",IF(S15&gt;=70,"C",IF(S15&gt;=60,"D",IF(S15&gt;=50,"E",IF(S15&gt;=0,"F","")))))))</f>
        <v>D</v>
      </c>
      <c r="AJ15" s="24" t="str">
        <f t="shared" ref="AJ15:AJ25" si="13">IF(T15="","",IF(T15&gt;=90,"A",IF(T15&gt;=80,"B",IF(T15&gt;=70,"C",IF(T15&gt;=60,"D",IF(T15&gt;=50,"E",IF(T15&gt;=0,"F","")))))))</f>
        <v>D</v>
      </c>
      <c r="AK15" s="24" t="str">
        <f t="shared" ref="AK15:AK25" si="14">IF(U15="","",IF(U15&gt;=90,"A",IF(U15&gt;=80,"B",IF(U15&gt;=70,"C",IF(U15&gt;=60,"D",IF(U15&gt;=50,"E",IF(U15&gt;=0,"F","")))))))</f>
        <v>A</v>
      </c>
      <c r="AL15" s="24" t="str">
        <f t="shared" ref="AL15:AL25" si="15">IF(V15="","",IF(V15&gt;=90,"A",IF(V15&gt;=80,"B",IF(V15&gt;=70,"C",IF(V15&gt;=60,"D",IF(V15&gt;=50,"E",IF(V15&gt;=0,"F","")))))))</f>
        <v>A</v>
      </c>
      <c r="AM15" s="24">
        <f t="shared" ref="AM15:AM25" si="16">IF(G15="","",$AM$14)</f>
        <v>2</v>
      </c>
      <c r="AN15" s="24">
        <f t="shared" ref="AN15:AN25" si="17">IF(H15="","",$AN$14)</f>
        <v>2</v>
      </c>
      <c r="AO15" s="24">
        <f t="shared" ref="AO15:AO25" si="18">IF(I15="","",$AO$14)</f>
        <v>3</v>
      </c>
      <c r="AP15" s="24">
        <f t="shared" ref="AP15:AP25" si="19">IF(J15="","",$AP$14)</f>
        <v>1</v>
      </c>
      <c r="AQ15" s="24">
        <f t="shared" ref="AQ15:AQ25" si="20">IF(K15="","",$AQ$14)</f>
        <v>5</v>
      </c>
      <c r="AR15" s="24">
        <f t="shared" ref="AR15:AR25" si="21">IF(L15="","",$AR$14)</f>
        <v>3</v>
      </c>
      <c r="AS15" s="24">
        <f t="shared" ref="AS15:AS25" si="22">IF(M15="","",$AS$14)</f>
        <v>2</v>
      </c>
      <c r="AT15" s="24">
        <f t="shared" ref="AT15:AT25" si="23">IF(N15="","",$AT$14)</f>
        <v>1</v>
      </c>
      <c r="AU15" s="24">
        <f t="shared" ref="AU15:AU25" si="24">IF(O15="","",$AU$14)</f>
        <v>1</v>
      </c>
      <c r="AV15" s="24">
        <f t="shared" ref="AV15:AV25" si="25">IF(P15="","",$AV$14)</f>
        <v>5</v>
      </c>
      <c r="AW15" s="24">
        <f t="shared" ref="AW15:AW25" si="26">IF(Q15="","",$AW$14)</f>
        <v>1</v>
      </c>
      <c r="AX15" s="24">
        <f t="shared" ref="AX15:AX25" si="27">IF(R15="","",$AX$14)</f>
        <v>5</v>
      </c>
      <c r="AY15" s="24">
        <f t="shared" ref="AY15:AY25" si="28">IF(S15="","",$AY$14)</f>
        <v>3</v>
      </c>
      <c r="AZ15" s="24">
        <f t="shared" ref="AZ15:AZ25" si="29">IF(T15="","",$AZ$14)</f>
        <v>2</v>
      </c>
      <c r="BA15" s="24">
        <f t="shared" ref="BA15:BA25" si="30">IF(U15="","",$BA$14)</f>
        <v>2</v>
      </c>
      <c r="BB15" s="24">
        <f t="shared" ref="BB15:BB25" si="31">IF(V15="","",$BB$14)</f>
        <v>2</v>
      </c>
      <c r="BC15" s="26">
        <f t="shared" ref="BC15:BC25" si="32">IF(OR(G15="",AM15=""),"",PRODUCT(G15,AM15))</f>
        <v>144</v>
      </c>
      <c r="BD15" s="26">
        <f t="shared" ref="BD15:BD25" si="33">IF(OR(H15="",AN15=""),"",PRODUCT(H15,AN15))</f>
        <v>173.33333333333334</v>
      </c>
      <c r="BE15" s="26">
        <f t="shared" ref="BE15:BE25" si="34">IF(OR(I15="",AO15=""),"",PRODUCT(I15,AO15))</f>
        <v>260</v>
      </c>
      <c r="BF15" s="26">
        <f t="shared" ref="BF15:BF25" si="35">IF(OR(J15="",AP15=""),"",PRODUCT(J15,AP15))</f>
        <v>68</v>
      </c>
      <c r="BG15" s="26">
        <f t="shared" ref="BG15:BG25" si="36">IF(OR(K15="",AQ15=""),"",PRODUCT(K15,AQ15))</f>
        <v>410.50000000000006</v>
      </c>
      <c r="BH15" s="26">
        <f t="shared" ref="BH15:BH25" si="37">IF(OR(L15="",AR15=""),"",PRODUCT(L15,AR15))</f>
        <v>260</v>
      </c>
      <c r="BI15" s="26">
        <f t="shared" ref="BI15:BI25" si="38">IF(OR(M15="",AS15=""),"",PRODUCT(M15,AS15))</f>
        <v>173.33333333333334</v>
      </c>
      <c r="BJ15" s="26">
        <f t="shared" ref="BJ15:BJ25" si="39">IF(OR(N15="",AT15=""),"",PRODUCT(N15,AT15))</f>
        <v>89</v>
      </c>
      <c r="BK15" s="26">
        <f t="shared" ref="BK15:BK25" si="40">IF(OR(O15="",AU15=""),"",PRODUCT(O15,AU15))</f>
        <v>89</v>
      </c>
      <c r="BL15" s="26">
        <f t="shared" ref="BL15:BL25" si="41">IF(OR(P15="",AV15=""),"",PRODUCT(P15,AV15))</f>
        <v>466.93333333333334</v>
      </c>
      <c r="BM15" s="26">
        <f t="shared" ref="BM15:BM25" si="42">IF(OR(Q15="",AW15=""),"",PRODUCT(Q15,AW15))</f>
        <v>93.38666666666667</v>
      </c>
      <c r="BN15" s="26">
        <f t="shared" ref="BN15:BN25" si="43">IF(OR(R15="",AX15=""),"",PRODUCT(R15,AX15))</f>
        <v>295.35000000000002</v>
      </c>
      <c r="BO15" s="26">
        <f t="shared" ref="BO15:BO25" si="44">IF(OR(S15="",AY15=""),"",PRODUCT(S15,AY15))</f>
        <v>181.09090909090909</v>
      </c>
      <c r="BP15" s="26">
        <f t="shared" ref="BP15:BP25" si="45">IF(OR(T15="",AZ15=""),"",PRODUCT(T15,AZ15))</f>
        <v>132</v>
      </c>
      <c r="BQ15" s="26">
        <f t="shared" ref="BQ15:BQ25" si="46">IF(OR(U15="",BA15=""),"",PRODUCT(U15,BA15))</f>
        <v>193</v>
      </c>
      <c r="BR15" s="26">
        <f t="shared" ref="BR15:BR25" si="47">IF(OR(V15="",BB15=""),"",PRODUCT(V15,BB15))</f>
        <v>196</v>
      </c>
      <c r="BS15" s="24">
        <f t="shared" ref="BS15:BS25" si="48">IF(OR(AM15="",W15=""),"",AM15*(IF(OR(W15="A",W15="a"),4,(IF(OR(W451="B",W15="b"),3,(IF(OR(W15="C",W15="c"),2,(IF(OR(W15="D",W15="d"),1.5,(IF(OR(W15="E",W15="e"),1,(IF(OR(W15="F",W15="f"),0)))))))))))))</f>
        <v>4</v>
      </c>
      <c r="BT15" s="24">
        <f t="shared" ref="BT15:BT25" si="49">IF(OR(AN15="",X15=""),"",AN15*(IF(OR(X15="A",X15="a"),4,(IF(OR(X451="B",X15="b"),3,(IF(OR(X15="C",X15="c"),2,(IF(OR(X15="D",X15="d"),1.5,(IF(OR(X15="E",X15="e"),1,(IF(OR(X15="F",X15="f"),0)))))))))))))</f>
        <v>6</v>
      </c>
      <c r="BU15" s="24">
        <f t="shared" ref="BU15:BU25" si="50">IF(OR(AO15="",Y15=""),"",AO15*(IF(OR(Y15="A",Y15="a"),4,(IF(OR(Y451="B",Y15="b"),3,(IF(OR(Y15="C",Y15="c"),2,(IF(OR(Y15="D",Y15="d"),1.5,(IF(OR(Y15="E",Y15="e"),1,(IF(OR(Y15="F",Y15="f"),0)))))))))))))</f>
        <v>9</v>
      </c>
      <c r="BV15" s="24">
        <f t="shared" ref="BV15:BV25" si="51">IF(OR(AP15="",Z15=""),"",AP15*(IF(OR(Z15="A",Z15="a"),4,(IF(OR(Z451="B",Z15="b"),3,(IF(OR(Z15="C",Z15="c"),2,(IF(OR(Z15="D",Z15="d"),1.5,(IF(OR(Z15="E",Z15="e"),1,(IF(OR(Z15="F",Z15="f"),0)))))))))))))</f>
        <v>1.5</v>
      </c>
      <c r="BW15" s="24">
        <f t="shared" ref="BW15:BW25" si="52">IF(OR(AQ15="",AA15=""),"",AQ15*(IF(OR(AA15="A",AA15="a"),4,(IF(OR(AA451="B",AA15="b"),3,(IF(OR(AA15="C",AA15="c"),2,(IF(OR(AA15="D",AA15="d"),1.5,(IF(OR(AA15="E",AA15="e"),1,(IF(OR(AA15="F",AA15="f"),0)))))))))))))</f>
        <v>15</v>
      </c>
      <c r="BX15" s="24">
        <f t="shared" ref="BX15:BX25" si="53">IF(OR(AR15="",AB15=""),"",AR15*(IF(OR(AB15="A",AB15="a"),4,(IF(OR(AB451="B",AB15="b"),3,(IF(OR(AB15="C",AB15="c"),2,(IF(OR(AB15="D",AB15="d"),1.5,(IF(OR(AB15="E",AB15="e"),1,(IF(OR(AB15="F",AB15="f"),0)))))))))))))</f>
        <v>9</v>
      </c>
      <c r="BY15" s="24">
        <f t="shared" ref="BY15:BY25" si="54">IF(OR(AS15="",AC15=""),"",AS15*(IF(OR(AC15="A",AC15="a"),4,(IF(OR(AC451="B",AC15="b"),3,(IF(OR(AC15="C",AC15="c"),2,(IF(OR(AC15="D",AC15="d"),1.5,(IF(OR(AC15="E",AC15="e"),1,(IF(OR(AC15="F",AC15="f"),0)))))))))))))</f>
        <v>6</v>
      </c>
      <c r="BZ15" s="24">
        <f t="shared" ref="BZ15:BZ25" si="55">IF(OR(AT15="",AD15=""),"",AT15*(IF(OR(AD15="A",AD15="a"),4,(IF(OR(AD451="B",AD15="b"),3,(IF(OR(AD15="C",AD15="c"),2,(IF(OR(AD15="D",AD15="d"),1.5,(IF(OR(AD15="E",AD15="e"),1,(IF(OR(AD15="F",AD15="f"),0)))))))))))))</f>
        <v>3</v>
      </c>
      <c r="CA15" s="24">
        <f t="shared" ref="CA15:CA25" si="56">IF(OR(AU15="",AE15=""),"",AU15*(IF(OR(AE15="A",AE15="a"),4,(IF(OR(AE451="B",AE15="b"),3,(IF(OR(AE15="C",AE15="c"),2,(IF(OR(AE15="D",AE15="d"),1.5,(IF(OR(AE15="E",AE15="e"),1,(IF(OR(AE15="F",AE15="f"),0)))))))))))))</f>
        <v>3</v>
      </c>
      <c r="CB15" s="24">
        <f t="shared" ref="CB15:CB25" si="57">IF(OR(AV15="",AF15=""),"",AV15*(IF(OR(AF15="A",AF15="a"),4,(IF(OR(AF451="B",AF15="b"),3,(IF(OR(AF15="C",AF15="c"),2,(IF(OR(AF15="D",AF15="d"),1.5,(IF(OR(AF15="E",AF15="e"),1,(IF(OR(AF15="F",AF15="f"),0)))))))))))))</f>
        <v>20</v>
      </c>
      <c r="CC15" s="24">
        <f t="shared" ref="CC15:CC25" si="58">IF(OR(AW15="",AG15=""),"",AW15*(IF(OR(AG15="A",AG15="a"),4,(IF(OR(AG451="B",AG15="b"),3,(IF(OR(AG15="C",AG15="c"),2,(IF(OR(AG15="D",AG15="d"),1.5,(IF(OR(AG15="E",AG15="e"),1,(IF(OR(AG15="F",AG15="f"),0)))))))))))))</f>
        <v>4</v>
      </c>
      <c r="CD15" s="24">
        <f t="shared" ref="CD15:CD25" si="59">IF(OR(AX15="",AH15=""),"",AX15*(IF(OR(AH15="A",AH15="a"),4,(IF(OR(AH451="B",AH15="b"),3,(IF(OR(AH15="C",AH15="c"),2,(IF(OR(AH15="D",AH15="d"),1.5,(IF(OR(AH15="E",AH15="e"),1,(IF(OR(AH15="F",AH15="f"),0)))))))))))))</f>
        <v>5</v>
      </c>
      <c r="CE15" s="24">
        <f t="shared" ref="CE15:CE25" si="60">IF(OR(AY15="",AI15=""),"",AY15*(IF(OR(AI15="A",AI15="a"),4,(IF(OR(AI451="B",AI15="b"),3,(IF(OR(AI15="C",AI15="c"),2,(IF(OR(AI15="D",AI15="d"),1.5,(IF(OR(AI15="E",AI15="e"),1,(IF(OR(AI15="F",AI15="f"),0)))))))))))))</f>
        <v>4.5</v>
      </c>
      <c r="CF15" s="24">
        <f t="shared" ref="CF15:CF25" si="61">IF(OR(AZ15="",AJ15=""),"",AZ15*(IF(OR(AJ15="A",AJ15="a"),4,(IF(OR(AJ451="B",AJ15="b"),3,(IF(OR(AJ15="C",AJ15="c"),2,(IF(OR(AJ15="D",AJ15="d"),1.5,(IF(OR(AJ15="E",AJ15="e"),1,(IF(OR(AJ15="F",AJ15="f"),0)))))))))))))</f>
        <v>3</v>
      </c>
      <c r="CG15" s="24">
        <f t="shared" ref="CG15:CG25" si="62">IF(OR(BA15="",AK15=""),"",BA15*(IF(OR(AK15="A",AK15="a"),4,(IF(OR(AK451="B",AK15="b"),3,(IF(OR(AK15="C",AK15="c"),2,(IF(OR(AK15="D",AK15="d"),1.5,(IF(OR(AK15="E",AK15="e"),1,(IF(OR(AK15="F",AK15="f"),0)))))))))))))</f>
        <v>8</v>
      </c>
      <c r="CH15" s="24">
        <f t="shared" ref="CH15:CH25" si="63">IF(OR(BB15="",AL15=""),"",BB15*(IF(OR(AL15="A",AL15="a"),4,(IF(OR(AL451="B",AL15="b"),3,(IF(OR(AL15="C",AL15="c"),2,(IF(OR(AL15="D",AL15="d"),1.5,(IF(OR(AL15="E",AL15="e"),1,(IF(OR(AL15="F",AL15="f"),0)))))))))))))</f>
        <v>8</v>
      </c>
      <c r="CI15" s="24">
        <f>IF(B15="","",SUM(AM15:AU15))</f>
        <v>20</v>
      </c>
      <c r="CJ15" s="26">
        <f t="shared" ref="CJ15:CJ25" si="64">IF(C15="","",SUM(BC15:BK15))</f>
        <v>1667.1666666666667</v>
      </c>
      <c r="CK15" s="26">
        <f>IF(D15="","",SUM(BS15:CA15))</f>
        <v>56.5</v>
      </c>
      <c r="CL15" s="26">
        <f>IF(OR(CI15="",CJ15=""),"",CJ15/CI15)</f>
        <v>83.358333333333334</v>
      </c>
      <c r="CM15" s="24" t="str">
        <f>IF(CL15="","",IF(CL15&gt;=90,"A",IF(CL15&gt;=80,"B",IF(CL15&gt;=70,"C",IF(CL15&gt;=60,"D",IF(CL15&gt;=50,"E",IF(CL15&gt;=0,"F","")))))))</f>
        <v>B</v>
      </c>
      <c r="CN15" s="26">
        <f t="shared" ref="CN15:CN25" si="65">IF(B15="","",CK15/CI15)</f>
        <v>2.8250000000000002</v>
      </c>
      <c r="CO15" s="24">
        <f t="shared" ref="CO15:CO25" si="66">IF(B15="","",SUM(AV15:BB15))</f>
        <v>20</v>
      </c>
      <c r="CP15" s="26">
        <f t="shared" ref="CP15:CP25" si="67">IF(B15="","",SUM(BL15:BR15))</f>
        <v>1557.7609090909091</v>
      </c>
      <c r="CQ15" s="26">
        <f t="shared" ref="CQ15:CQ25" si="68">IF(B15="","",SUM(CB15:CH15))</f>
        <v>52.5</v>
      </c>
      <c r="CR15" s="26">
        <f>IF(OR(CO15="",CP15=""),"",CP15/CO15)</f>
        <v>77.888045454545448</v>
      </c>
      <c r="CS15" s="24" t="str">
        <f>IF(CR15="","",IF(CR15&gt;=90,"A",IF(CR15&gt;=80,"B",IF(CR15&gt;=70,"C",IF(CR15&gt;=60,"D",IF(CR15&gt;=50,"E",IF(CR15&gt;=0,"F","")))))))</f>
        <v>C</v>
      </c>
      <c r="CT15" s="27">
        <f t="shared" ref="CT15:CT25" si="69">IF(B15="","",CQ15/CO15)</f>
        <v>2.625</v>
      </c>
      <c r="CU15" s="24">
        <f>IF(SUM(AM15:BB15)=0,"",IF(OR(B15="",F15="I",F15="II",F15="M",F15="A"),(SUM(AM15:BB15)),IF(OR(B15="",F15="III"),(SUM(CI15,CO15)))))</f>
        <v>40</v>
      </c>
      <c r="CV15" s="26">
        <f>IF(SUM(BC15:BR15)=
0,"",IF(OR(C15="",F15="I",F15="II",F15="M",F15="A"),(SUM(BC15:BR15)),IF(OR(C15="",F15="III"),(SUM(CJ15,CP15)))))</f>
        <v>3224.9275757575756</v>
      </c>
      <c r="CW15" s="26">
        <f>IF(SUM(BS15:CH15)=
0,"",IF(OR(D15="",F15="I",F15="II",F15="M",F15="A"),(SUM(BS15:CH15)),IF(OR(D15="",F15="III"),(SUM(CK15,CQ15)))))</f>
        <v>109</v>
      </c>
      <c r="CX15" s="26">
        <f>IF(OR(CU15=0,CV15=0),0,IF(OR(CU15="",CV15=""),"",CV15/CU15))</f>
        <v>80.623189393939384</v>
      </c>
      <c r="CY15" s="24" t="str">
        <f>IF(CX15="","",IF(CX15&gt;=90,"A",IF(CX15&gt;=80,"B",IF(CX15&gt;=70,"C",IF(CX15&gt;=60,"D",IF(CX15&gt;=50,"E",IF(CX15&gt;=0,"F","")))))))</f>
        <v>B</v>
      </c>
      <c r="CZ15" s="26">
        <f t="shared" ref="CZ15:CZ25" si="70">IF(B15="","",CW15/CU15)</f>
        <v>2.7250000000000001</v>
      </c>
      <c r="DA15" s="24">
        <f t="shared" ref="DA15:DA25" si="71">IF(OR(B15="",CX15=""),"",RANK(CX15,$CX$15:$CX$25))</f>
        <v>7</v>
      </c>
      <c r="DB15" s="24" t="str">
        <f t="shared" ref="DB15:DB25" si="72">IF(B15="","",$C$9)</f>
        <v>6A</v>
      </c>
      <c r="DC15" s="24">
        <f t="shared" ref="DC15:DC25" si="73">IF(B15="","",MAX($A$15:$A$25))</f>
        <v>11</v>
      </c>
      <c r="DD15" s="24">
        <f>IF(B15="","",'Q1'!$C$8)</f>
        <v>50</v>
      </c>
      <c r="DE15" s="24">
        <f>IF(A15="","",'Q1'!DE15)</f>
        <v>0</v>
      </c>
      <c r="DF15" s="24">
        <f>IF(B15="","",'Q1'!DF15)</f>
        <v>0</v>
      </c>
      <c r="DG15" s="24">
        <f>IF(B15="","",'Q1'!DG15)</f>
        <v>0</v>
      </c>
      <c r="DH15" s="24">
        <f t="shared" ref="DH15:DH25" si="74">IF(B15="","",DF15+DG15)</f>
        <v>0</v>
      </c>
      <c r="DI15" s="25">
        <f t="shared" ref="DI15:DI25" si="75">IF(B15="","",(DD15-DH15)/DD15)</f>
        <v>1</v>
      </c>
      <c r="DJ15" s="26">
        <f>IF('Q2'!G15="","",'Q2'!G15)</f>
        <v>86</v>
      </c>
      <c r="DK15" s="26">
        <f>IF('Q2'!H15="","",'Q2'!H15)</f>
        <v>89.2</v>
      </c>
      <c r="DL15" s="26">
        <f>IF('Q2'!I15="","",'Q2'!I15)</f>
        <v>88.800000000000011</v>
      </c>
      <c r="DM15" s="26">
        <f>IF('Q2'!J15="","",'Q2'!J15)</f>
        <v>86</v>
      </c>
      <c r="DN15" s="26">
        <f>IF('Q2'!K15="","",'Q2'!K15)</f>
        <v>87.566666666666663</v>
      </c>
      <c r="DO15" s="26">
        <f>IF('Q2'!L15="","",'Q2'!L15)</f>
        <v>87.76666666666668</v>
      </c>
      <c r="DP15" s="26">
        <f>IF('Q2'!M15="","",'Q2'!M15)</f>
        <v>87.866666666666674</v>
      </c>
      <c r="DQ15" s="26">
        <f>IF('Q2'!N15="","",'Q2'!N15)</f>
        <v>100</v>
      </c>
      <c r="DR15" s="26">
        <f>IF('Q2'!O15="","",'Q2'!O15)</f>
        <v>100</v>
      </c>
      <c r="DS15" s="26">
        <f>IF('Q2'!P15="","",'Q2'!P15)</f>
        <v>90.4</v>
      </c>
      <c r="DT15" s="26">
        <f>IF('Q2'!Q15="","",'Q2'!Q15)</f>
        <v>90.4</v>
      </c>
      <c r="DU15" s="26">
        <f>IF('Q2'!R15="","",'Q2'!R15)</f>
        <v>64.58</v>
      </c>
      <c r="DV15" s="26">
        <f>IF('Q2'!S15="","",'Q2'!S15)</f>
        <v>54.666666666666664</v>
      </c>
      <c r="DW15" s="26">
        <f>IF('Q2'!T15="","",'Q2'!T15)</f>
        <v>93.333333333333343</v>
      </c>
      <c r="DX15" s="26">
        <f>IF('Q2'!U15="","",'Q2'!U15)</f>
        <v>94.166666666666671</v>
      </c>
      <c r="DY15" s="26">
        <f>IF('Q2'!V15="","",'Q2'!V15)</f>
        <v>91</v>
      </c>
      <c r="DZ15" s="26" t="str">
        <f t="shared" ref="DZ15:DZ25" si="76">IF(DJ15="","",IF(DJ15&gt;=90,"A",IF(DJ15&gt;=80,"B",IF(DJ15&gt;=70,"C",IF(DJ15&gt;=60,"D",IF(DJ15&gt;=50,"E",IF(DJ15&gt;=0,"F","")))))))</f>
        <v>B</v>
      </c>
      <c r="EA15" s="26" t="str">
        <f t="shared" ref="EA15:EA25" si="77">IF(DK15="","",IF(DK15&gt;=90,"A",IF(DK15&gt;=80,"B",IF(DK15&gt;=70,"C",IF(DK15&gt;=60,"D",IF(DK15&gt;=50,"E",IF(DK15&gt;=0,"F","")))))))</f>
        <v>B</v>
      </c>
      <c r="EB15" s="26" t="str">
        <f t="shared" ref="EB15:EB25" si="78">IF(DL15="","",IF(DL15&gt;=90,"A",IF(DL15&gt;=80,"B",IF(DL15&gt;=70,"C",IF(DL15&gt;=60,"D",IF(DL15&gt;=50,"E",IF(DL15&gt;=0,"F","")))))))</f>
        <v>B</v>
      </c>
      <c r="EC15" s="26" t="str">
        <f t="shared" ref="EC15:EC25" si="79">IF(DM15="","",IF(DM15&gt;=90,"A",IF(DM15&gt;=80,"B",IF(DM15&gt;=70,"C",IF(DM15&gt;=60,"D",IF(DM15&gt;=50,"E",IF(DM15&gt;=0,"F","")))))))</f>
        <v>B</v>
      </c>
      <c r="ED15" s="26" t="str">
        <f t="shared" ref="ED15:ED25" si="80">IF(DN15="","",IF(DN15&gt;=90,"A",IF(DN15&gt;=80,"B",IF(DN15&gt;=70,"C",IF(DN15&gt;=60,"D",IF(DN15&gt;=50,"E",IF(DN15&gt;=0,"F","")))))))</f>
        <v>B</v>
      </c>
      <c r="EE15" s="26" t="str">
        <f t="shared" ref="EE15:EE25" si="81">IF(DO15="","",IF(DO15&gt;=90,"A",IF(DO15&gt;=80,"B",IF(DO15&gt;=70,"C",IF(DO15&gt;=60,"D",IF(DO15&gt;=50,"E",IF(DO15&gt;=0,"F","")))))))</f>
        <v>B</v>
      </c>
      <c r="EF15" s="26" t="str">
        <f t="shared" ref="EF15:EF25" si="82">IF(DP15="","",IF(DP15&gt;=90,"A",IF(DP15&gt;=80,"B",IF(DP15&gt;=70,"C",IF(DP15&gt;=60,"D",IF(DP15&gt;=50,"E",IF(DP15&gt;=0,"F","")))))))</f>
        <v>B</v>
      </c>
      <c r="EG15" s="26" t="str">
        <f t="shared" ref="EG15:EG25" si="83">IF(DQ15="","",IF(DQ15&gt;=90,"A",IF(DQ15&gt;=80,"B",IF(DQ15&gt;=70,"C",IF(DQ15&gt;=60,"D",IF(DQ15&gt;=50,"E",IF(DQ15&gt;=0,"F","")))))))</f>
        <v>A</v>
      </c>
      <c r="EH15" s="26" t="str">
        <f t="shared" ref="EH15:EH25" si="84">IF(DR15="","",IF(DR15&gt;=90,"A",IF(DR15&gt;=80,"B",IF(DR15&gt;=70,"C",IF(DR15&gt;=60,"D",IF(DR15&gt;=50,"E",IF(DR15&gt;=0,"F","")))))))</f>
        <v>A</v>
      </c>
      <c r="EI15" s="24" t="str">
        <f t="shared" ref="EI15:EI25" si="85">IF(DS15="","",IF(DS15&gt;=90,"A",IF(DS15&gt;=80,"B",IF(DS15&gt;=70,"C",IF(DS15&gt;=60,"D",IF(DS15&gt;=50,"E",IF(DS15&gt;=0,"F","")))))))</f>
        <v>A</v>
      </c>
      <c r="EJ15" s="24" t="str">
        <f t="shared" ref="EJ15:EJ25" si="86">IF(DT15="","",IF(DT15&gt;=90,"A",IF(DT15&gt;=80,"B",IF(DT15&gt;=70,"C",IF(DT15&gt;=60,"D",IF(DT15&gt;=50,"E",IF(DT15&gt;=0,"F","")))))))</f>
        <v>A</v>
      </c>
      <c r="EK15" s="24" t="str">
        <f t="shared" ref="EK15:EK25" si="87">IF(DU15="","",IF(DU15&gt;=90,"A",IF(DU15&gt;=80,"B",IF(DU15&gt;=70,"C",IF(DU15&gt;=60,"D",IF(DU15&gt;=50,"E",IF(DU15&gt;=0,"F","")))))))</f>
        <v>D</v>
      </c>
      <c r="EL15" s="24" t="str">
        <f t="shared" ref="EL15:EL25" si="88">IF(DV15="","",IF(DV15&gt;=90,"A",IF(DV15&gt;=80,"B",IF(DV15&gt;=70,"C",IF(DV15&gt;=60,"D",IF(DV15&gt;=50,"E",IF(DV15&gt;=0,"F","")))))))</f>
        <v>E</v>
      </c>
      <c r="EM15" s="24" t="str">
        <f t="shared" ref="EM15:EM25" si="89">IF(DW15="","",IF(DW15&gt;=90,"A",IF(DW15&gt;=80,"B",IF(DW15&gt;=70,"C",IF(DW15&gt;=60,"D",IF(DW15&gt;=50,"E",IF(DW15&gt;=0,"F","")))))))</f>
        <v>A</v>
      </c>
      <c r="EN15" s="24" t="str">
        <f t="shared" ref="EN15:EN25" si="90">IF(DX15="","",IF(DX15&gt;=90,"A",IF(DX15&gt;=80,"B",IF(DX15&gt;=70,"C",IF(DX15&gt;=60,"D",IF(DX15&gt;=50,"E",IF(DX15&gt;=0,"F","")))))))</f>
        <v>A</v>
      </c>
      <c r="EO15" s="24" t="str">
        <f t="shared" ref="EO15:EO25" si="91">IF(DY15="","",IF(DY15&gt;=90,"A",IF(DY15&gt;=80,"B",IF(DY15&gt;=70,"C",IF(DY15&gt;=60,"D",IF(DY15&gt;=50,"E",IF(DY15&gt;=0,"F","")))))))</f>
        <v>A</v>
      </c>
      <c r="EP15" s="24">
        <f t="shared" ref="EP15:EP25" si="92">IF(DJ15="","",$EP$14)</f>
        <v>2</v>
      </c>
      <c r="EQ15" s="24">
        <f t="shared" ref="EQ15:EQ25" si="93">IF(DK15="","",$EQ$14)</f>
        <v>2</v>
      </c>
      <c r="ER15" s="24">
        <f t="shared" ref="ER15:ER25" si="94">IF(DL15="","",$ER$14)</f>
        <v>3</v>
      </c>
      <c r="ES15" s="24">
        <f t="shared" ref="ES15:ES25" si="95">IF(DM15="","",$ES$14)</f>
        <v>1</v>
      </c>
      <c r="ET15" s="24">
        <f t="shared" ref="ET15:ET25" si="96">IF(DN15="","",$ET$14)</f>
        <v>5</v>
      </c>
      <c r="EU15" s="24">
        <f t="shared" ref="EU15:EU25" si="97">IF(DO15="","",$EU$14)</f>
        <v>3</v>
      </c>
      <c r="EV15" s="24">
        <f t="shared" ref="EV15:EV25" si="98">IF(DP15="","",$EV$14)</f>
        <v>2</v>
      </c>
      <c r="EW15" s="24">
        <f t="shared" ref="EW15:EW25" si="99">IF(DQ15="","",$EW$14)</f>
        <v>1</v>
      </c>
      <c r="EX15" s="24">
        <f t="shared" ref="EX15:EX25" si="100">IF(DR15="","",$EX$14)</f>
        <v>1</v>
      </c>
      <c r="EY15" s="24">
        <f t="shared" ref="EY15:EY25" si="101">IF(DS15="","",$EY$14)</f>
        <v>5</v>
      </c>
      <c r="EZ15" s="24">
        <f t="shared" ref="EZ15:EZ25" si="102">IF(DT15="","",$EZ$14)</f>
        <v>1</v>
      </c>
      <c r="FA15" s="24">
        <f t="shared" ref="FA15:FA25" si="103">IF(DU15="","",$FA$14)</f>
        <v>5</v>
      </c>
      <c r="FB15" s="24">
        <f t="shared" ref="FB15:FB25" si="104">IF(DV15="","",$FB$14)</f>
        <v>3</v>
      </c>
      <c r="FC15" s="24">
        <f t="shared" ref="FC15:FC25" si="105">IF(DW15="","",$FC$14)</f>
        <v>2</v>
      </c>
      <c r="FD15" s="24">
        <f t="shared" ref="FD15:FD25" si="106">IF(DX15="","",$FD$14)</f>
        <v>2</v>
      </c>
      <c r="FE15" s="24">
        <f t="shared" ref="FE15:FE25" si="107">IF(DY15="","",$FE$14)</f>
        <v>2</v>
      </c>
      <c r="FF15" s="26">
        <f t="shared" ref="FF15:FF25" si="108">IF(OR(DJ15="",EP15=""),"",PRODUCT(DJ15,EP15))</f>
        <v>172</v>
      </c>
      <c r="FG15" s="26">
        <f t="shared" ref="FG15:FG25" si="109">IF(OR(DK15="",EQ15=""),"",PRODUCT(DK15,EQ15))</f>
        <v>178.4</v>
      </c>
      <c r="FH15" s="26">
        <f t="shared" ref="FH15:FH25" si="110">IF(OR(DL15="",ER15=""),"",PRODUCT(DL15,ER15))</f>
        <v>266.40000000000003</v>
      </c>
      <c r="FI15" s="26">
        <f t="shared" ref="FI15:FI25" si="111">IF(OR(DM15="",ES15=""),"",PRODUCT(DM15,ES15))</f>
        <v>86</v>
      </c>
      <c r="FJ15" s="26">
        <f t="shared" ref="FJ15:FJ25" si="112">IF(OR(DN15="",ET15=""),"",PRODUCT(DN15,ET15))</f>
        <v>437.83333333333331</v>
      </c>
      <c r="FK15" s="26">
        <f t="shared" ref="FK15:FK25" si="113">IF(OR(DO15="",EU15=""),"",PRODUCT(DO15,EU15))</f>
        <v>263.30000000000007</v>
      </c>
      <c r="FL15" s="26">
        <f t="shared" ref="FL15:FL25" si="114">IF(OR(DP15="",EV15=""),"",PRODUCT(DP15,EV15))</f>
        <v>175.73333333333335</v>
      </c>
      <c r="FM15" s="26">
        <f t="shared" ref="FM15:FM25" si="115">IF(OR(DQ15="",EW15=""),"",PRODUCT(DQ15,EW15))</f>
        <v>100</v>
      </c>
      <c r="FN15" s="26">
        <f t="shared" ref="FN15:FN25" si="116">IF(OR(DR15="",EX15=""),"",PRODUCT(DR15,EX15))</f>
        <v>100</v>
      </c>
      <c r="FO15" s="26">
        <f t="shared" ref="FO15:FO25" si="117">IF(OR(DS15="",EY15=""),"",PRODUCT(DS15,EY15))</f>
        <v>452</v>
      </c>
      <c r="FP15" s="26">
        <f t="shared" ref="FP15:FP25" si="118">IF(OR(DT15="",EZ15=""),"",PRODUCT(DT15,EZ15))</f>
        <v>90.4</v>
      </c>
      <c r="FQ15" s="26">
        <f t="shared" ref="FQ15:FQ25" si="119">IF(OR(DU15="",FA15=""),"",PRODUCT(DU15,FA15))</f>
        <v>322.89999999999998</v>
      </c>
      <c r="FR15" s="26">
        <f t="shared" ref="FR15:FR25" si="120">IF(OR(DV15="",FB15=""),"",PRODUCT(DV15,FB15))</f>
        <v>164</v>
      </c>
      <c r="FS15" s="26">
        <f t="shared" ref="FS15:FS25" si="121">IF(OR(DW15="",FC15=""),"",PRODUCT(DW15,FC15))</f>
        <v>186.66666666666669</v>
      </c>
      <c r="FT15" s="26">
        <f t="shared" ref="FT15:FT25" si="122">IF(OR(DX15="",FD15=""),"",PRODUCT(DX15,FD15))</f>
        <v>188.33333333333334</v>
      </c>
      <c r="FU15" s="26">
        <f t="shared" ref="FU15:FU25" si="123">IF(OR(DY15="",FE15=""),"",PRODUCT(DY15,FE15))</f>
        <v>182</v>
      </c>
      <c r="FV15" s="24">
        <f t="shared" ref="FV15:FV25" si="124">IF(OR(EP15="",DZ15=""),"",EP15*(IF(OR(DZ15="A",DZ15="a"),4,(IF(OR(DZ451="B",DZ15="b"),3,(IF(OR(DZ15="C",DZ15="c"),2,(IF(OR(DZ15="D",DZ15="d"),1.5,(IF(OR(DZ15="E",DZ15="e"),1,(IF(OR(DZ15="F",DZ15="f"),0)))))))))))))</f>
        <v>6</v>
      </c>
      <c r="FW15" s="24">
        <f t="shared" ref="FW15:FW25" si="125">IF(OR(EQ15="",EA15=""),"",EQ15*(IF(OR(EA15="A",EA15="a"),4,(IF(OR(EA451="B",EA15="b"),3,(IF(OR(EA15="C",EA15="c"),2,(IF(OR(EA15="D",EA15="d"),1.5,(IF(OR(EA15="E",EA15="e"),1,(IF(OR(EA15="F",EA15="f"),0)))))))))))))</f>
        <v>6</v>
      </c>
      <c r="FX15" s="24">
        <f t="shared" ref="FX15:FX25" si="126">IF(OR(ER15="",EB15=""),"",ER15*(IF(OR(EB15="A",EB15="a"),4,(IF(OR(EB451="B",EB15="b"),3,(IF(OR(EB15="C",EB15="c"),2,(IF(OR(EB15="D",EB15="d"),1.5,(IF(OR(EB15="E",EB15="e"),1,(IF(OR(EB15="F",EB15="f"),0)))))))))))))</f>
        <v>9</v>
      </c>
      <c r="FY15" s="24">
        <f t="shared" ref="FY15:FY25" si="127">IF(OR(ES15="",EC15=""),"",ES15*(IF(OR(EC15="A",EC15="a"),4,(IF(OR(EC451="B",EC15="b"),3,(IF(OR(EC15="C",EC15="c"),2,(IF(OR(EC15="D",EC15="d"),1.5,(IF(OR(EC15="E",EC15="e"),1,(IF(OR(EC15="F",EC15="f"),0)))))))))))))</f>
        <v>3</v>
      </c>
      <c r="FZ15" s="24">
        <f t="shared" ref="FZ15:FZ25" si="128">IF(OR(ET15="",ED15=""),"",ET15*(IF(OR(ED15="A",ED15="a"),4,(IF(OR(ED451="B",ED15="b"),3,(IF(OR(ED15="C",ED15="c"),2,(IF(OR(ED15="D",ED15="d"),1.5,(IF(OR(ED15="E",ED15="e"),1,(IF(OR(ED15="F",ED15="f"),0)))))))))))))</f>
        <v>15</v>
      </c>
      <c r="GA15" s="24">
        <f t="shared" ref="GA15:GA25" si="129">IF(OR(EU15="",EE15=""),"",EU15*(IF(OR(EE15="A",EE15="a"),4,(IF(OR(EE451="B",EE15="b"),3,(IF(OR(EE15="C",EE15="c"),2,(IF(OR(EE15="D",EE15="d"),1.5,(IF(OR(EE15="E",EE15="e"),1,(IF(OR(EE15="F",EE15="f"),0)))))))))))))</f>
        <v>9</v>
      </c>
      <c r="GB15" s="24">
        <f t="shared" ref="GB15:GB25" si="130">IF(OR(EV15="",EF15=""),"",EV15*(IF(OR(EF15="A",EF15="a"),4,(IF(OR(EF451="B",EF15="b"),3,(IF(OR(EF15="C",EF15="c"),2,(IF(OR(EF15="D",EF15="d"),1.5,(IF(OR(EF15="E",EF15="e"),1,(IF(OR(EF15="F",EF15="f"),0)))))))))))))</f>
        <v>6</v>
      </c>
      <c r="GC15" s="24">
        <f t="shared" ref="GC15:GC25" si="131">IF(OR(EW15="",EG15=""),"",EW15*(IF(OR(EG15="A",EG15="a"),4,(IF(OR(EG451="B",EG15="b"),3,(IF(OR(EG15="C",EG15="c"),2,(IF(OR(EG15="D",EG15="d"),1.5,(IF(OR(EG15="E",EG15="e"),1,(IF(OR(EG15="F",EG15="f"),0)))))))))))))</f>
        <v>4</v>
      </c>
      <c r="GD15" s="24">
        <f t="shared" ref="GD15:GD25" si="132">IF(OR(EX15="",EH15=""),"",EX15*(IF(OR(EH15="A",EH15="a"),4,(IF(OR(EH451="B",EH15="b"),3,(IF(OR(EH15="C",EH15="c"),2,(IF(OR(EH15="D",EH15="d"),1.5,(IF(OR(EH15="E",EH15="e"),1,(IF(OR(EH15="F",EH15="f"),0)))))))))))))</f>
        <v>4</v>
      </c>
      <c r="GE15" s="24">
        <f t="shared" ref="GE15:GE25" si="133">IF(OR(EY15="",EI15=""),"",EY15*(IF(OR(EI15="A",EI15="a"),4,(IF(OR(EI451="B",EI15="b"),3,(IF(OR(EI15="C",EI15="c"),2,(IF(OR(EI15="D",EI15="d"),1.5,(IF(OR(EI15="E",EI15="e"),1,(IF(OR(EI15="F",EI15="f"),0)))))))))))))</f>
        <v>20</v>
      </c>
      <c r="GF15" s="24">
        <f t="shared" ref="GF15:GF25" si="134">IF(OR(EZ15="",EJ15=""),"",EZ15*(IF(OR(EJ15="A",EJ15="a"),4,(IF(OR(EJ451="B",EJ15="b"),3,(IF(OR(EJ15="C",EJ15="c"),2,(IF(OR(EJ15="D",EJ15="d"),1.5,(IF(OR(EJ15="E",EJ15="e"),1,(IF(OR(EJ15="F",EJ15="f"),0)))))))))))))</f>
        <v>4</v>
      </c>
      <c r="GG15" s="24">
        <f t="shared" ref="GG15:GG25" si="135">IF(OR(FA15="",EK15=""),"",FA15*(IF(OR(EK15="A",EK15="a"),4,(IF(OR(EK451="B",EK15="b"),3,(IF(OR(EK15="C",EK15="c"),2,(IF(OR(EK15="D",EK15="d"),1.5,(IF(OR(EK15="E",EK15="e"),1,(IF(OR(EK15="F",EK15="f"),0)))))))))))))</f>
        <v>7.5</v>
      </c>
      <c r="GH15" s="24">
        <f t="shared" ref="GH15:GH25" si="136">IF(OR(FB15="",EL15=""),"",FB15*(IF(OR(EL15="A",EL15="a"),4,(IF(OR(EL451="B",EL15="b"),3,(IF(OR(EL15="C",EL15="c"),2,(IF(OR(EL15="D",EL15="d"),1.5,(IF(OR(EL15="E",EL15="e"),1,(IF(OR(EL15="F",EL15="f"),0)))))))))))))</f>
        <v>3</v>
      </c>
      <c r="GI15" s="24">
        <f t="shared" ref="GI15:GI25" si="137">IF(OR(FC15="",EM15=""),"",FC15*(IF(OR(EM15="A",EM15="a"),4,(IF(OR(EM451="B",EM15="b"),3,(IF(OR(EM15="C",EM15="c"),2,(IF(OR(EM15="D",EM15="d"),1.5,(IF(OR(EM15="E",EM15="e"),1,(IF(OR(EM15="F",EM15="f"),0)))))))))))))</f>
        <v>8</v>
      </c>
      <c r="GJ15" s="24">
        <f t="shared" ref="GJ15:GJ25" si="138">IF(OR(FD15="",EN15=""),"",FD15*(IF(OR(EN15="A",EN15="a"),4,(IF(OR(EN451="B",EN15="b"),3,(IF(OR(EN15="C",EN15="c"),2,(IF(OR(EN15="D",EN15="d"),1.5,(IF(OR(EN15="E",EN15="e"),1,(IF(OR(EN15="F",EN15="f"),0)))))))))))))</f>
        <v>8</v>
      </c>
      <c r="GK15" s="24">
        <f t="shared" ref="GK15:GK25" si="139">IF(OR(FE15="",EO15=""),"",FE15*(IF(OR(EO15="A",EO15="a"),4,(IF(OR(EO451="B",EO15="b"),3,(IF(OR(EO15="C",EO15="c"),2,(IF(OR(EO15="D",EO15="d"),1.5,(IF(OR(EO15="E",EO15="e"),1,(IF(OR(EO15="F",EO15="f"),0)))))))))))))</f>
        <v>8</v>
      </c>
      <c r="GL15" s="24">
        <f t="shared" ref="GL15:GL25" si="140">IF(BW15="","",SUM(EP15:EX15))</f>
        <v>20</v>
      </c>
      <c r="GM15" s="24">
        <f t="shared" ref="GM15:GM25" si="141">IF(OR(BW15="",CA15="I",CA15="II",CA15="M",CA15="A"),"",IF(OR(BW15="",CB15=""),"",SUM(FF15:FN15)))</f>
        <v>1779.6666666666667</v>
      </c>
      <c r="GN15" s="26">
        <f t="shared" ref="GN15:GN25" si="142">IF(BW15="","",SUM(FV15:GD15))</f>
        <v>62</v>
      </c>
      <c r="GO15" s="26">
        <f>IF(OR(GL15="",GM15=""),"",GM15/GL15)</f>
        <v>88.983333333333334</v>
      </c>
      <c r="GP15" s="24" t="str">
        <f>IF(GO15="","",IF(GO15&gt;=90,"A",IF(GO15&gt;=80,"B",IF(GO15&gt;=70,"C",IF(GO15&gt;=60,"D",IF(GO15&gt;=50,"E",IF(GO15&gt;=0,"F","")))))))</f>
        <v>B</v>
      </c>
      <c r="GQ15" s="26">
        <f t="shared" ref="GQ15:GQ25" si="143">IF(BW15="","",GN15/GL15)</f>
        <v>3.1</v>
      </c>
      <c r="GR15" s="24">
        <f t="shared" ref="GR15:GR25" si="144">IF(B15="","",SUM(EY15:FE15))</f>
        <v>20</v>
      </c>
      <c r="GS15" s="26">
        <f t="shared" ref="GS15:GS25" si="145">IF(B15="","",SUM(FO15:FU15))</f>
        <v>1586.3</v>
      </c>
      <c r="GT15" s="26">
        <f t="shared" ref="GT15:GT25" si="146">IF(B15="","",SUM(GE15:GK15))</f>
        <v>58.5</v>
      </c>
      <c r="GU15" s="26">
        <f>IF(OR(GR15="",GS15=""),"",GS15/GR15)</f>
        <v>79.314999999999998</v>
      </c>
      <c r="GV15" s="24" t="str">
        <f>IF(GU15="","",IF(GU15&gt;=90,"A",IF(GU15&gt;=80,"B",IF(GU15&gt;=70,"C",IF(GU15&gt;=60,"D",IF(GU15&gt;=50,"E",IF(GU15&gt;=0,"F","")))))))</f>
        <v>C</v>
      </c>
      <c r="GW15" s="27">
        <f t="shared" ref="GW15:GW25" si="147">IF(B15="","",GT15/GR15)</f>
        <v>2.9249999999999998</v>
      </c>
      <c r="GX15" s="24">
        <f t="shared" ref="GX15:GX25" si="148">IF(SUM(EP15:FE15)=0,"",IF(OR(F15="",F15="I",F15="II",F15="M",F15="A"),(SUM(EP15:FE15)),IF(OR(F15="",F15="III"),(SUM(GL15,GR15)))))</f>
        <v>40</v>
      </c>
      <c r="GY15" s="27">
        <f t="shared" ref="GY15:GY25" si="149">IF(SUM(EP15:FE15)=0,"",IF(OR(B15="",F15="I",F15="II",F15="M",F15="A"),(SUM(FF15:FU15)),IF(OR(B15="",F15="III"),(SUM(GM15,GS15)))))</f>
        <v>3365.9666666666672</v>
      </c>
      <c r="GZ15" s="27">
        <f>IF(SUM(EP15:FE15)=0,"",IF(OR(B15="",F15="I",15="II",F15="M",F15="A"),(SUM(FV15:GK15)),IF(OR(B15="",F15="II"),(SUM(GT15,GN15)))))</f>
        <v>120.5</v>
      </c>
      <c r="HA15" s="26">
        <f>IF(OR(GX15=0,GY15=0),0,IF(OR(GX15="",GY15=""),"",GY15/GX15))</f>
        <v>84.149166666666673</v>
      </c>
      <c r="HB15" s="27" t="str">
        <f>IF(HA15="","",IF(HA15&gt;=90,"A",IF(HA15&gt;=80,"B",IF(HA15&gt;=70,"C",IF(HA15&gt;=60,"D",IF(HA15&gt;=50,"E",IF(HA15&gt;=0,"F","")))))))</f>
        <v>B</v>
      </c>
      <c r="HC15" s="26">
        <f t="shared" ref="HC15:HC25" si="150">IF(BW15="","",GZ15/GX15)</f>
        <v>3.0125000000000002</v>
      </c>
      <c r="HD15" s="24">
        <f t="shared" ref="HD15:HD25" si="151">IF(OR(B15="",HA15=""),"",RANK(HA15,$HA$15:$HA$25))</f>
        <v>6</v>
      </c>
      <c r="HE15" s="24" t="str">
        <f t="shared" ref="HE15:HE25" si="152">IF(B15="","",$C$9)</f>
        <v>6A</v>
      </c>
      <c r="HF15" s="24">
        <f t="shared" ref="HF15:HF25" si="153">IF(B15="","",MAX($A$15:$A$25))</f>
        <v>11</v>
      </c>
      <c r="HG15" s="24">
        <f>IF(B15="","",'Q2'!$C$8)</f>
        <v>50</v>
      </c>
      <c r="HH15" s="24">
        <f>IF(A15="","",'Q2'!DE15)</f>
        <v>0</v>
      </c>
      <c r="HI15" s="24">
        <f>IF(B15="","",'Q2'!DF15)</f>
        <v>0</v>
      </c>
      <c r="HJ15" s="24">
        <f>IF(B15="","",'Q2'!DG15)</f>
        <v>0</v>
      </c>
      <c r="HK15" s="24">
        <f t="shared" ref="HK15:HK25" si="154">IF(B15="","",HI15+HJ15)</f>
        <v>0</v>
      </c>
      <c r="HL15" s="25">
        <f t="shared" ref="HL15:HL25" si="155">IF(B15="","",(HG15-HK15)/HG15)</f>
        <v>1</v>
      </c>
      <c r="HM15" s="7">
        <v>80</v>
      </c>
      <c r="HN15" s="7">
        <v>70</v>
      </c>
      <c r="HO15" s="7">
        <v>90</v>
      </c>
      <c r="HP15" s="7">
        <v>90</v>
      </c>
      <c r="HQ15" s="7">
        <v>80</v>
      </c>
      <c r="HR15" s="7">
        <v>85</v>
      </c>
      <c r="HS15" s="7">
        <v>75</v>
      </c>
      <c r="HT15" s="7"/>
      <c r="HU15" s="7"/>
      <c r="HV15" s="7">
        <v>76</v>
      </c>
      <c r="HW15" s="7"/>
      <c r="HX15" s="7">
        <v>51</v>
      </c>
      <c r="HY15" s="7">
        <v>28</v>
      </c>
      <c r="HZ15" s="7">
        <v>91</v>
      </c>
      <c r="IA15" s="7">
        <v>89.5</v>
      </c>
      <c r="IB15" s="7">
        <v>72</v>
      </c>
      <c r="IC15" s="7" t="str">
        <f t="shared" ref="IC15:IC25" si="156">IF(HM15="","",IF(HM15&gt;=90,"A",IF(HM15&gt;=80,"B",IF(HM15&gt;=70,"C",IF(HM15&gt;=60,"D",IF(HM15&gt;=50,"E",IF(HM15&gt;=0,"F","")))))))</f>
        <v>B</v>
      </c>
      <c r="ID15" s="7" t="str">
        <f t="shared" ref="ID15:ID25" si="157">IF(HN15="","",IF(HN15&gt;=90,"A",IF(HN15&gt;=80,"B",IF(HN15&gt;=70,"C",IF(HN15&gt;=60,"D",IF(HN15&gt;=50,"E",IF(HN15&gt;=0,"F","")))))))</f>
        <v>C</v>
      </c>
      <c r="IE15" s="7" t="str">
        <f t="shared" ref="IE15:IE25" si="158">IF(HO15="","",IF(HO15&gt;=90,"A",IF(HO15&gt;=80,"B",IF(HO15&gt;=70,"C",IF(HO15&gt;=60,"D",IF(HO15&gt;=50,"E",IF(HO15&gt;=0,"F","")))))))</f>
        <v>A</v>
      </c>
      <c r="IF15" s="7" t="str">
        <f t="shared" ref="IF15:IF25" si="159">IF(HP15="","",IF(HP15&gt;=90,"A",IF(HP15&gt;=80,"B",IF(HP15&gt;=70,"C",IF(HP15&gt;=60,"D",IF(HP15&gt;=50,"E",IF(HP15&gt;=0,"F","")))))))</f>
        <v>A</v>
      </c>
      <c r="IG15" s="7" t="str">
        <f t="shared" ref="IG15:IG25" si="160">IF(HQ15="","",IF(HQ15&gt;=90,"A",IF(HQ15&gt;=80,"B",IF(HQ15&gt;=70,"C",IF(HQ15&gt;=60,"D",IF(HQ15&gt;=50,"E",IF(HQ15&gt;=0,"F","")))))))</f>
        <v>B</v>
      </c>
      <c r="IH15" s="7" t="str">
        <f t="shared" ref="IH15:IH25" si="161">IF(HR15="","",IF(HR15&gt;=90,"A",IF(HR15&gt;=80,"B",IF(HR15&gt;=70,"C",IF(HR15&gt;=60,"D",IF(HR15&gt;=50,"E",IF(HR15&gt;=0,"F","")))))))</f>
        <v>B</v>
      </c>
      <c r="II15" s="7" t="str">
        <f t="shared" ref="II15:II25" si="162">IF(HS15="","",IF(HS15&gt;=90,"A",IF(HS15&gt;=80,"B",IF(HS15&gt;=70,"C",IF(HS15&gt;=60,"D",IF(HS15&gt;=50,"E",IF(HS15&gt;=0,"F","")))))))</f>
        <v>C</v>
      </c>
      <c r="IJ15" s="7" t="str">
        <f t="shared" ref="IJ15:IJ25" si="163">IF(HT15="","",IF(HT15&gt;=90,"A",IF(HT15&gt;=80,"B",IF(HT15&gt;=70,"C",IF(HT15&gt;=60,"D",IF(HT15&gt;=50,"E",IF(HT15&gt;=0,"F","")))))))</f>
        <v/>
      </c>
      <c r="IK15" s="7" t="str">
        <f t="shared" ref="IK15:IK25" si="164">IF(HU15="","",IF(HU15&gt;=90,"A",IF(HU15&gt;=80,"B",IF(HU15&gt;=70,"C",IF(HU15&gt;=60,"D",IF(HU15&gt;=50,"E",IF(HU15&gt;=0,"F","")))))))</f>
        <v/>
      </c>
      <c r="IL15" s="24" t="str">
        <f t="shared" ref="IL15:IL25" si="165">IF(HV15="","",IF(HV15&gt;=90,"A",IF(HV15&gt;=80,"B",IF(HV15&gt;=70,"C",IF(HV15&gt;=60,"D",IF(HV15&gt;=50,"E",IF(HV15&gt;=0,"F","")))))))</f>
        <v>C</v>
      </c>
      <c r="IM15" s="24" t="str">
        <f t="shared" ref="IM15:IM25" si="166">IF(HW15="","",IF(HW15&gt;=90,"A",IF(HW15&gt;=80,"B",IF(HW15&gt;=70,"C",IF(HW15&gt;=60,"D",IF(HW15&gt;=50,"E",IF(HW15&gt;=0,"F","")))))))</f>
        <v/>
      </c>
      <c r="IN15" s="24" t="str">
        <f t="shared" ref="IN15:IN25" si="167">IF(HX15="","",IF(HX15&gt;=90,"A",IF(HX15&gt;=80,"B",IF(HX15&gt;=70,"C",IF(HX15&gt;=60,"D",IF(HX15&gt;=50,"E",IF(HX15&gt;=0,"F","")))))))</f>
        <v>E</v>
      </c>
      <c r="IO15" s="24" t="str">
        <f t="shared" ref="IO15:IO25" si="168">IF(HY15="","",IF(HY15&gt;=90,"A",IF(HY15&gt;=80,"B",IF(HY15&gt;=70,"C",IF(HY15&gt;=60,"D",IF(HY15&gt;=50,"E",IF(HY15&gt;=0,"F","")))))))</f>
        <v>F</v>
      </c>
      <c r="IP15" s="24" t="str">
        <f t="shared" ref="IP15:IP25" si="169">IF(HZ15="","",IF(HZ15&gt;=90,"A",IF(HZ15&gt;=80,"B",IF(HZ15&gt;=70,"C",IF(HZ15&gt;=60,"D",IF(HZ15&gt;=50,"E",IF(HZ15&gt;=0,"F","")))))))</f>
        <v>A</v>
      </c>
      <c r="IQ15" s="24" t="str">
        <f t="shared" ref="IQ15:IQ25" si="170">IF(IA15="","",IF(IA15&gt;=90,"A",IF(IA15&gt;=80,"B",IF(IA15&gt;=70,"C",IF(IA15&gt;=60,"D",IF(IA15&gt;=50,"E",IF(IA15&gt;=0,"F","")))))))</f>
        <v>B</v>
      </c>
      <c r="IR15" s="24" t="str">
        <f t="shared" ref="IR15:IR25" si="171">IF(IB15="","",IF(IB15&gt;=90,"A",IF(IB15&gt;=80,"B",IF(IB15&gt;=70,"C",IF(IB15&gt;=60,"D",IF(IB15&gt;=50,"E",IF(IB15&gt;=0,"F","")))))))</f>
        <v>C</v>
      </c>
      <c r="IS15" s="24">
        <f t="shared" ref="IS15:IS25" si="172">IF(HM15="","",$IS$14)</f>
        <v>2</v>
      </c>
      <c r="IT15" s="24">
        <f t="shared" ref="IT15:IT25" si="173">IF(HN15="","",$IT$14)</f>
        <v>2</v>
      </c>
      <c r="IU15" s="24">
        <f t="shared" ref="IU15:IU25" si="174">IF(HO15="","",$IU$14)</f>
        <v>3</v>
      </c>
      <c r="IV15" s="24">
        <f t="shared" ref="IV15:IV25" si="175">IF(HP15="","",$IV$14)</f>
        <v>1</v>
      </c>
      <c r="IW15" s="24">
        <f t="shared" ref="IW15:IW25" si="176">IF(HQ15="","",$IW$14)</f>
        <v>5</v>
      </c>
      <c r="IX15" s="24">
        <f t="shared" ref="IX15:IX25" si="177">IF(HR15="","",$IX$14)</f>
        <v>3</v>
      </c>
      <c r="IY15" s="24">
        <f t="shared" ref="IY15:IY25" si="178">IF(HS15="","",$IY$14)</f>
        <v>2</v>
      </c>
      <c r="IZ15" s="24" t="str">
        <f t="shared" ref="IZ15:IZ25" si="179">IF(HT15="","",$IZ$14)</f>
        <v/>
      </c>
      <c r="JA15" s="24" t="str">
        <f t="shared" ref="JA15:JA25" si="180">IF(HU15="","",$JA$14)</f>
        <v/>
      </c>
      <c r="JB15" s="24">
        <f t="shared" ref="JB15:JB25" si="181">IF(HV15="","",$JB$14)</f>
        <v>5</v>
      </c>
      <c r="JC15" s="24" t="str">
        <f t="shared" ref="JC15:JC25" si="182">IF(HW15="","",$JC$14)</f>
        <v/>
      </c>
      <c r="JD15" s="24">
        <f t="shared" ref="JD15:JD25" si="183">IF(HX15="","",$JD$14)</f>
        <v>5</v>
      </c>
      <c r="JE15" s="24">
        <f t="shared" ref="JE15:JE25" si="184">IF(HY15="","",$JE$14)</f>
        <v>3</v>
      </c>
      <c r="JF15" s="24">
        <f t="shared" ref="JF15:JF25" si="185">IF(HZ15="","",$JF$14)</f>
        <v>2</v>
      </c>
      <c r="JG15" s="24">
        <f t="shared" ref="JG15:JG25" si="186">IF(IA15="","",$JG$14)</f>
        <v>2</v>
      </c>
      <c r="JH15" s="24">
        <f t="shared" ref="JH15:JH25" si="187">IF(IB15="","",$JH$14)</f>
        <v>2</v>
      </c>
      <c r="JI15" s="26">
        <f t="shared" ref="JI15:JI25" si="188">IF(OR(HM15="",IS15=""),"",PRODUCT(HM15,IS15))</f>
        <v>160</v>
      </c>
      <c r="JJ15" s="26">
        <f t="shared" ref="JJ15:JJ25" si="189">IF(OR(HN15="",IT15=""),"",PRODUCT(HN15,IT15))</f>
        <v>140</v>
      </c>
      <c r="JK15" s="26">
        <f t="shared" ref="JK15:JK25" si="190">IF(OR(HO15="",IU15=""),"",PRODUCT(HO15,IU15))</f>
        <v>270</v>
      </c>
      <c r="JL15" s="26">
        <f t="shared" ref="JL15:JL25" si="191">IF(OR(HP15="",IV15=""),"",PRODUCT(HP15,IV15))</f>
        <v>90</v>
      </c>
      <c r="JM15" s="26">
        <f t="shared" ref="JM15:JM25" si="192">IF(OR(HQ15="",IW15=""),"",PRODUCT(HQ15,IW15))</f>
        <v>400</v>
      </c>
      <c r="JN15" s="26">
        <f t="shared" ref="JN15:JN25" si="193">IF(OR(HR15="",IX15=""),"",PRODUCT(HR15,IX15))</f>
        <v>255</v>
      </c>
      <c r="JO15" s="26">
        <f t="shared" ref="JO15:JO25" si="194">IF(OR(HS15="",IY15=""),"",PRODUCT(HS15,IY15))</f>
        <v>150</v>
      </c>
      <c r="JP15" s="26" t="str">
        <f t="shared" ref="JP15:JP25" si="195">IF(OR(HT15="",IZ15=""),"",PRODUCT(HT15,IZ15))</f>
        <v/>
      </c>
      <c r="JQ15" s="24">
        <f t="shared" ref="JQ15:JQ25" si="196">IF(OR(HV15="",JB15=""),"",PRODUCT(HV15,JB15))</f>
        <v>380</v>
      </c>
      <c r="JR15" s="24" t="str">
        <f t="shared" ref="JR15:JR25" si="197">IF(OR(HW15="",JC15=""),"",PRODUCT(HW15,JC15))</f>
        <v/>
      </c>
      <c r="JS15" s="24">
        <f t="shared" ref="JS15:JS25" si="198">IF(OR(HX15="",JD15=""),"",PRODUCT(HX15,JD15))</f>
        <v>255</v>
      </c>
      <c r="JT15" s="24">
        <f t="shared" ref="JT15:JT25" si="199">IF(OR(HY15="",JE15=""),"",PRODUCT(HY15,JE15))</f>
        <v>84</v>
      </c>
      <c r="JU15" s="24">
        <f t="shared" ref="JU15:JU25" si="200">IF(OR(HZ15="",JF15=""),"",PRODUCT(HZ15,JF15))</f>
        <v>182</v>
      </c>
      <c r="JV15" s="24">
        <f t="shared" ref="JV15:JV25" si="201">IF(OR(IA15="",JG15=""),"",PRODUCT(IA15,JG15))</f>
        <v>179</v>
      </c>
      <c r="JW15" s="24">
        <f t="shared" ref="JW15:JW25" si="202">IF(OR(IB15="",JH15=""),"",PRODUCT(IB15,JH15))</f>
        <v>144</v>
      </c>
      <c r="JX15" s="24">
        <f t="shared" ref="JX15:JX25" si="203">IF(OR(IS15="",IC15=""),"",IS15*(IF(OR(IC15="A",IC15="a"),4,(IF(OR(IC451="B",IC15="b"),3,(IF(OR(IC15="C",IC15="c"),2,(IF(OR(IC15="D",IC15="d"),1.5,(IF(OR(IC15="E",IC15="e"),1,(IF(OR(IC15="F",IC15="f"),0)))))))))))))</f>
        <v>6</v>
      </c>
      <c r="JY15" s="24">
        <f t="shared" ref="JY15:JY25" si="204">IF(OR(IT15="",ID15=""),"",IT15*(IF(OR(ID15="A",ID15="a"),4,(IF(OR(ID451="B",ID15="b"),3,(IF(OR(ID15="C",ID15="c"),2,(IF(OR(ID15="D",ID15="d"),1.5,(IF(OR(ID15="E",ID15="e"),1,(IF(OR(ID15="F",ID15="f"),0)))))))))))))</f>
        <v>4</v>
      </c>
      <c r="JZ15" s="24">
        <f t="shared" ref="JZ15:JZ25" si="205">IF(OR(IU15="",IE15=""),"",IU15*(IF(OR(IE15="A",IE15="a"),4,(IF(OR(IE451="B",IE15="b"),3,(IF(OR(IE15="C",IE15="c"),2,(IF(OR(IE15="D",IE15="d"),1.5,(IF(OR(IE15="E",IE15="e"),1,(IF(OR(IE15="F",IE15="f"),0)))))))))))))</f>
        <v>12</v>
      </c>
      <c r="KA15" s="24">
        <f t="shared" ref="KA15:KA25" si="206">IF(OR(IV15="",IF15=""),"",IV15*(IF(OR(IF15="A",IF15="a"),4,(IF(OR(IF451="B",IF15="b"),3,(IF(OR(IF15="C",IF15="c"),2,(IF(OR(IF15="D",IF15="d"),1.5,(IF(OR(IF15="E",IF15="e"),1,(IF(OR(IF15="F",IF15="f"),0)))))))))))))</f>
        <v>4</v>
      </c>
      <c r="KB15" s="24">
        <f t="shared" ref="KB15:KB25" si="207">IF(OR(IW15="",IG15=""),"",IW15*(IF(OR(IG15="A",IG15="a"),4,(IF(OR(IG451="B",IG15="b"),3,(IF(OR(IG15="C",IG15="c"),2,(IF(OR(IG15="D",IG15="d"),1.5,(IF(OR(IG15="E",IG15="e"),1,(IF(OR(IG15="F",IG15="f"),0)))))))))))))</f>
        <v>15</v>
      </c>
      <c r="KC15" s="24">
        <f t="shared" ref="KC15:KC25" si="208">IF(OR(IX15="",IH15=""),"",IX15*(IF(OR(IH15="A",IH15="a"),4,(IF(OR(IH451="B",IH15="b"),3,(IF(OR(IH15="C",IH15="c"),2,(IF(OR(IH15="D",IH15="d"),1.5,(IF(OR(IH15="E",IH15="e"),1,(IF(OR(IH15="F",IH15="f"),0)))))))))))))</f>
        <v>9</v>
      </c>
      <c r="KD15" s="24">
        <f t="shared" ref="KD15:KD25" si="209">IF(OR(IY15="",II15=""),"",IY15*(IF(OR(II15="A",II15="a"),4,(IF(OR(II451="B",II15="b"),3,(IF(OR(II15="C",II15="c"),2,(IF(OR(II15="D",II15="d"),1.5,(IF(OR(II15="E",II15="e"),1,(IF(OR(II15="F",II15="f"),0)))))))))))))</f>
        <v>4</v>
      </c>
      <c r="KE15" s="24" t="str">
        <f t="shared" ref="KE15:KE25" si="210">IF(OR(IZ15="",IJ15=""),"",IZ15*(IF(OR(IJ15="A",IJ15="a"),4,(IF(OR(IJ451="B",IJ15="b"),3,(IF(OR(IJ15="C",IJ15="c"),2,(IF(OR(IJ15="D",IJ15="d"),1.5,(IF(OR(IJ15="E",IJ15="e"),1,(IF(OR(IJ15="F",IJ15="f"),0)))))))))))))</f>
        <v/>
      </c>
      <c r="KF15" s="24" t="str">
        <f t="shared" ref="KF15:KF25" si="211">IF(OR(JA15="",IK15=""),"",JA15*(IF(OR(IK15="A",IK15="a"),4,(IF(OR(IK451="B",IK15="b"),3,(IF(OR(IK15="C",IK15="c"),2,(IF(OR(IK15="D",IK15="d"),1.5,(IF(OR(IK15="E",IK15="e"),1,(IF(OR(IK15="F",IK15="f"),0)))))))))))))</f>
        <v/>
      </c>
      <c r="KG15" s="24">
        <f t="shared" ref="KG15:KG25" si="212">IF(OR(JB15="",IL15=""),"",JB15*(IF(OR(IL15="A",IL15="a"),4,(IF(OR(IL451="B",IL15="b"),3,(IF(OR(IL15="C",IL15="c"),2,(IF(OR(IL15="D",IL15="d"),1.5,(IF(OR(IL15="E",IL15="e"),1,(IF(OR(IL15="F",IL15="f"),0)))))))))))))</f>
        <v>10</v>
      </c>
      <c r="KH15" s="24" t="str">
        <f t="shared" ref="KH15:KH25" si="213">IF(OR(JC15="",IM15=""),"",JC15*(IF(OR(IM15="A",IM15="a"),4,(IF(OR(IM451="B",IM15="b"),3,(IF(OR(IM15="C",IM15="c"),2,(IF(OR(IM15="D",IM15="d"),1.5,(IF(OR(IM15="E",IM15="e"),1,(IF(OR(IM15="F",IM15="f"),0)))))))))))))</f>
        <v/>
      </c>
      <c r="KI15" s="24">
        <f t="shared" ref="KI15:KI25" si="214">IF(OR(JD15="",IN15=""),"",JD15*(IF(OR(IN15="A",IN15="a"),4,(IF(OR(IN451="B",IN15="b"),3,(IF(OR(IN15="C",IN15="c"),2,(IF(OR(IN15="D",IN15="d"),1.5,(IF(OR(IN15="E",IN15="e"),1,(IF(OR(IN15="F",IN15="f"),0)))))))))))))</f>
        <v>5</v>
      </c>
      <c r="KJ15" s="24">
        <f t="shared" ref="KJ15:KJ25" si="215">IF(OR(JE15="",IO15=""),"",JE15*(IF(OR(IO15="A",IO15="a"),4,(IF(OR(IO451="B",IO15="b"),3,(IF(OR(IO15="C",IO15="c"),2,(IF(OR(IO15="D",IO15="d"),1.5,(IF(OR(IO15="E",IO15="e"),1,(IF(OR(IO15="F",IO15="f"),0)))))))))))))</f>
        <v>0</v>
      </c>
      <c r="KK15" s="24">
        <f t="shared" ref="KK15:KK25" si="216">IF(OR(JF15="",IP15=""),"",JF15*(IF(OR(IP15="A",IP15="a"),4,(IF(OR(IP451="B",IP15="b"),3,(IF(OR(IP15="C",IP15="c"),2,(IF(OR(IP15="D",IP15="d"),1.5,(IF(OR(IP15="E",IP15="e"),1,(IF(OR(IP15="F",IP15="f"),0)))))))))))))</f>
        <v>8</v>
      </c>
      <c r="KL15" s="24">
        <f t="shared" ref="KL15:KL25" si="217">IF(OR(JG15="",IQ15=""),"",JG15*(IF(OR(IQ15="A",IQ15="a"),4,(IF(OR(IQ451="B",IQ15="b"),3,(IF(OR(IQ15="C",IQ15="c"),2,(IF(OR(IQ15="D",IQ15="d"),1.5,(IF(OR(IQ15="E",IQ15="e"),1,(IF(OR(IQ15="F",IQ15="f"),0)))))))))))))</f>
        <v>6</v>
      </c>
      <c r="KM15" s="24">
        <f t="shared" ref="KM15:KM25" si="218">IF(OR(JH15="",IR15=""),"",JH15*(IF(OR(IR15="A",IR15="a"),4,(IF(OR(IR451="B",IR15="b"),3,(IF(OR(IR15="C",IR15="c"),2,(IF(OR(IR15="D",IR15="d"),1.5,(IF(OR(IR15="E",IR15="e"),1,(IF(OR(IR15="F",IR15="f"),0)))))))))))))</f>
        <v>4</v>
      </c>
      <c r="KN15" s="24">
        <f t="shared" ref="KN15:KN25" si="219">IF(FZ15="","",SUM(IS15:JA15))</f>
        <v>18</v>
      </c>
      <c r="KO15" s="26">
        <f t="shared" ref="KO15:KO25" si="220">IF(OR(FZ15="",GD15="I",GD15="II",GD15="M",GD15="A"),"",IF(OR(FZ15="",GE15=""),"",SUM(JI15:JP15)))</f>
        <v>1465</v>
      </c>
      <c r="KP15" s="26">
        <f t="shared" ref="KP15:KP25" si="221">IF(FZ15="","",SUM(JX15:KF15))</f>
        <v>54</v>
      </c>
      <c r="KQ15" s="26">
        <f>IF(OR(KN15="",KO15=""),"",KO15/KN15)</f>
        <v>81.388888888888886</v>
      </c>
      <c r="KR15" s="24" t="str">
        <f>IF(KQ15="","",IF(KQ15&gt;=90,"A",IF(KQ15&gt;=80,"B",IF(KQ15&gt;=70,"C",IF(KQ15&gt;=60,"D",IF(KQ15&gt;=50,"E",IF(KQ15&gt;=0,"F","")))))))</f>
        <v>B</v>
      </c>
      <c r="KS15" s="26">
        <f t="shared" ref="KS15:KS25" si="222">IF(FZ15="","",KP15/KN15)</f>
        <v>3</v>
      </c>
      <c r="KT15" s="24">
        <f t="shared" ref="KT15:KT25" si="223">IF(B15="","",SUM(JB15:JH15))</f>
        <v>19</v>
      </c>
      <c r="KU15" s="24">
        <f t="shared" ref="KU15:KU25" si="224">IF(B15="","",SUM(JQ15:JW15))</f>
        <v>1224</v>
      </c>
      <c r="KV15" s="26">
        <f t="shared" ref="KV15:KV25" si="225">IF(B15="","",SUM(KG15:KM15))</f>
        <v>33</v>
      </c>
      <c r="KW15" s="26">
        <f>IF(OR(KT15="",KU15=""),"",KU15/KT15)</f>
        <v>64.421052631578945</v>
      </c>
      <c r="KX15" s="24" t="str">
        <f>IF(KW15="","",IF(KW15&gt;=90,"A",IF(KW15&gt;=80,"B",IF(KW15&gt;=70,"C",IF(KW15&gt;=60,"D",IF(KW15&gt;=50,"E",IF(KW15&gt;=0,"F","")))))))</f>
        <v>D</v>
      </c>
      <c r="KY15" s="27">
        <f t="shared" ref="KY15:KY25" si="226">IF(B15="","",KV15/KT15)</f>
        <v>1.736842105263158</v>
      </c>
      <c r="KZ15" s="24">
        <f t="shared" ref="KZ15:KZ25" si="227">IF(SUM(IS15:JH15)=0,"",IF(OR(F15="",F15="I",F15="II",F15="M",F15="A"),(SUM(IS15:JH15)),IF(OR(F15="",F15="III"),(SUM(KN15,KT15)))))</f>
        <v>37</v>
      </c>
      <c r="LA15" s="27">
        <f t="shared" ref="LA15:LA25" si="228">IF(SUM(IS15:JH15)=0,"",IF(OR(F15="",F15="I",F15="II",F15="M",F15="A"),(SUM(JI15:JW15)),IF(OR(F15="",F15="III"),(SUM(KO15,KU15)))))</f>
        <v>2689</v>
      </c>
      <c r="LB15" s="27">
        <f t="shared" ref="LB15:LB25" si="229">IF(SUM(IS15:JH15)=0,"",IF(OR(B15="",F15="I",F15="II",F15="M",F15="A"),(SUM(JX15:KM15)),IF(OR(B15="",F15="III"),(SUM(KV15,KP15)))))</f>
        <v>87</v>
      </c>
      <c r="LC15" s="26">
        <f>IF(OR(KZ15=0,LA15=0),0,IF(OR(KZ15="",LA15=""),"",LA15/KZ15))</f>
        <v>72.675675675675677</v>
      </c>
      <c r="LD15" s="24" t="str">
        <f>IF(LC15="","",IF(LC15&gt;=90,"A",IF(LC15&gt;=80,"B",IF(LC15&gt;=70,"C",IF(LC15&gt;=60,"D",IF(LC15&gt;=50,"E",IF(LC15&gt;=0,"F","")))))))</f>
        <v>C</v>
      </c>
      <c r="LE15" s="26">
        <f t="shared" ref="LE15:LE25" si="230">IF(FZ15="","",LB15/KZ15)</f>
        <v>2.3513513513513513</v>
      </c>
      <c r="LF15" s="24">
        <f t="shared" ref="LF15:LF25" si="231">IF(OR(B15="",LC15=""),"",RANK(LC15,$LC$15:$LC$25))</f>
        <v>6</v>
      </c>
      <c r="LG15" s="24" t="str">
        <f t="shared" ref="LG15:LG25" si="232">IF(B15="","",$C$9)</f>
        <v>6A</v>
      </c>
      <c r="LH15" s="24">
        <f t="shared" ref="LH15:LH25" si="233">IF(B15="","",COUNTA($B$15:$B$25))</f>
        <v>11</v>
      </c>
      <c r="LI15" s="26">
        <f>IF('Q2'!G15="","",SUM((AVERAGE('Q1'!G15,'Q2'!G15)*0.5))+(HM15*0.5))</f>
        <v>79.5</v>
      </c>
      <c r="LJ15" s="26">
        <f>IF('Q2'!H15="","",SUM((AVERAGE('Q1'!H15,'Q2'!H15)*0.5))+(HN15*0.5))</f>
        <v>78.966666666666669</v>
      </c>
      <c r="LK15" s="26">
        <f>IF('Q2'!I15="","",SUM((AVERAGE('Q1'!I15,'Q2'!I15)*0.5))+(HO15*0.5))</f>
        <v>88.866666666666674</v>
      </c>
      <c r="LL15" s="26">
        <f>IF('Q2'!J15="","",SUM((AVERAGE('Q1'!J15,'Q2'!J15)*0.5))+(HP15*0.5))</f>
        <v>83.5</v>
      </c>
      <c r="LM15" s="26">
        <f>IF('Q2'!K15="","",SUM((AVERAGE('Q1'!K15,'Q2'!K15)*0.5))+(HQ15*0.5))</f>
        <v>82.416666666666671</v>
      </c>
      <c r="LN15" s="26">
        <f>IF('Q2'!L15="","",SUM((AVERAGE('Q1'!L15,'Q2'!L15)*0.5))+(HR15*0.5))</f>
        <v>86.108333333333334</v>
      </c>
      <c r="LO15" s="26">
        <f>IF('Q2'!M15="","",SUM((AVERAGE('Q1'!M15,'Q2'!M15)*0.5))+(HS15*0.5))</f>
        <v>81.13333333333334</v>
      </c>
      <c r="LP15" s="26">
        <f>IF('Q2'!N15="","",SUM((AVERAGE('Q1'!N15,'Q2'!N15)*1)))</f>
        <v>94.5</v>
      </c>
      <c r="LQ15" s="26">
        <f>IF('Q2'!O15="","",SUM((AVERAGE('Q1'!O15,'Q2'!O15)*1)))</f>
        <v>94.5</v>
      </c>
      <c r="LR15" s="26">
        <f>IF('Q2'!P15="","",SUM((AVERAGE('Q1'!P15,'Q2'!P15)*0.5))+(HV15*0.5))</f>
        <v>83.946666666666673</v>
      </c>
      <c r="LS15" s="26">
        <f>IF('Q2'!Q15="","",SUM((AVERAGE('Q1'!Q15,'Q2'!Q15)*1))+(HW15*1))</f>
        <v>91.893333333333345</v>
      </c>
      <c r="LT15" s="26">
        <f>IF('Q2'!R15="","",SUM((AVERAGE('Q1'!R15,'Q2'!R15)*0.5))+(HX15*0.5))</f>
        <v>56.412500000000001</v>
      </c>
      <c r="LU15" s="26">
        <f>IF('Q2'!S15="","",SUM((AVERAGE('Q1'!S15,'Q2'!S15)*0.5))+(HY15*0.5))</f>
        <v>42.757575757575758</v>
      </c>
      <c r="LV15" s="26">
        <f>IF('Q2'!T15="","",SUM((AVERAGE('Q1'!T15,'Q2'!T15)*0.5))+(HZ15*0.5))</f>
        <v>85.333333333333343</v>
      </c>
      <c r="LW15" s="26">
        <f>IF('Q2'!U15="","",SUM((AVERAGE('Q1'!U15,'Q2'!U15)*0.5))+(IA15*0.5))</f>
        <v>92.416666666666671</v>
      </c>
      <c r="LX15" s="26">
        <f>IF('Q2'!V15="","",SUM((AVERAGE('Q1'!V15,'Q2'!V15)*0.5))+(IB15*0.5))</f>
        <v>83.25</v>
      </c>
      <c r="LY15" s="26" t="str">
        <f t="shared" ref="LY15:LY25" si="234">IF(LI15="","",IF(LI15&gt;=90,"A",IF(LI15&gt;=80,"B",IF(LI15&gt;=70,"C",IF(LI15&gt;=60,"D",IF(LI15&gt;=50,"E",IF(LI15&gt;=0,"F","")))))))</f>
        <v>C</v>
      </c>
      <c r="LZ15" s="26" t="str">
        <f t="shared" ref="LZ15:LZ25" si="235">IF(LJ15="","",IF(LJ15&gt;=90,"A",IF(LJ15&gt;=80,"B",IF(LJ15&gt;=70,"C",IF(LJ15&gt;=60,"D",IF(LJ15&gt;=50,"E",IF(LJ15&gt;=0,"F","")))))))</f>
        <v>C</v>
      </c>
      <c r="MA15" s="26" t="str">
        <f t="shared" ref="MA15:MA25" si="236">IF(LK15="","",IF(LK15&gt;=90,"A",IF(LK15&gt;=80,"B",IF(LK15&gt;=70,"C",IF(LK15&gt;=60,"D",IF(LK15&gt;=50,"E",IF(LK15&gt;=0,"F","")))))))</f>
        <v>B</v>
      </c>
      <c r="MB15" s="26" t="str">
        <f t="shared" ref="MB15:MB25" si="237">IF(LL15="","",IF(LL15&gt;=90,"A",IF(LL15&gt;=80,"B",IF(LL15&gt;=70,"C",IF(LL15&gt;=60,"D",IF(LL15&gt;=50,"E",IF(LL15&gt;=0,"F","")))))))</f>
        <v>B</v>
      </c>
      <c r="MC15" s="26" t="str">
        <f t="shared" ref="MC15:MC25" si="238">IF(LM15="","",IF(LM15&gt;=90,"A",IF(LM15&gt;=80,"B",IF(LM15&gt;=70,"C",IF(LM15&gt;=60,"D",IF(LM15&gt;=50,"E",IF(LM15&gt;=0,"F","")))))))</f>
        <v>B</v>
      </c>
      <c r="MD15" s="26" t="str">
        <f t="shared" ref="MD15:MD25" si="239">IF(LN15="","",IF(LN15&gt;=90,"A",IF(LN15&gt;=80,"B",IF(LN15&gt;=70,"C",IF(LN15&gt;=60,"D",IF(LN15&gt;=50,"E",IF(LN15&gt;=0,"F","")))))))</f>
        <v>B</v>
      </c>
      <c r="ME15" s="26" t="str">
        <f t="shared" ref="ME15:ME25" si="240">IF(LO15="","",IF(LO15&gt;=90,"A",IF(LO15&gt;=80,"B",IF(LO15&gt;=70,"C",IF(LO15&gt;=60,"D",IF(LO15&gt;=50,"E",IF(LO15&gt;=0,"F","")))))))</f>
        <v>B</v>
      </c>
      <c r="MF15" s="26" t="str">
        <f t="shared" ref="MF15:MF25" si="241">IF(LP15="","",IF(LP15&gt;=90,"A",IF(LP15&gt;=80,"B",IF(LP15&gt;=70,"C",IF(LP15&gt;=60,"D",IF(LP15&gt;=50,"E",IF(LP15&gt;=0,"F","")))))))</f>
        <v>A</v>
      </c>
      <c r="MG15" s="26" t="str">
        <f t="shared" ref="MG15:MG25" si="242">IF(LQ15="","",IF(LQ15&gt;=90,"A",IF(LQ15&gt;=80,"B",IF(LQ15&gt;=70,"C",IF(LQ15&gt;=60,"D",IF(LQ15&gt;=50,"E",IF(LQ15&gt;=0,"F","")))))))</f>
        <v>A</v>
      </c>
      <c r="MH15" s="24" t="str">
        <f t="shared" ref="MH15:MH25" si="243">IF(LR15="","",IF(LR15&gt;=90,"A",IF(LR15&gt;=80,"B",IF(LR15&gt;=70,"C",IF(LR15&gt;=60,"D",IF(LR15&gt;=50,"E",IF(LR15&gt;=0,"F","")))))))</f>
        <v>B</v>
      </c>
      <c r="MI15" s="24" t="str">
        <f t="shared" ref="MI15:MI25" si="244">IF(LS15="","",IF(LS15&gt;=90,"A",IF(LS15&gt;=80,"B",IF(LS15&gt;=70,"C",IF(LS15&gt;=60,"D",IF(LS15&gt;=50,"E",IF(LS15&gt;=0,"F","")))))))</f>
        <v>A</v>
      </c>
      <c r="MJ15" s="24" t="str">
        <f t="shared" ref="MJ15:MJ25" si="245">IF(LT15="","",IF(LT15&gt;=90,"A",IF(LT15&gt;=80,"B",IF(LT15&gt;=70,"C",IF(LT15&gt;=60,"D",IF(LT15&gt;=50,"E",IF(LT15&gt;=0,"F","")))))))</f>
        <v>E</v>
      </c>
      <c r="MK15" s="24" t="str">
        <f t="shared" ref="MK15:MK25" si="246">IF(LU15="","",IF(LU15&gt;=90,"A",IF(LU15&gt;=80,"B",IF(LU15&gt;=70,"C",IF(LU15&gt;=60,"D",IF(LU15&gt;=50,"E",IF(LU15&gt;=0,"F","")))))))</f>
        <v>F</v>
      </c>
      <c r="ML15" s="24" t="str">
        <f t="shared" ref="ML15:ML25" si="247">IF(LV15="","",IF(LV15&gt;=90,"A",IF(LV15&gt;=80,"B",IF(LV15&gt;=70,"C",IF(LV15&gt;=60,"D",IF(LV15&gt;=50,"E",IF(LV15&gt;=0,"F","")))))))</f>
        <v>B</v>
      </c>
      <c r="MM15" s="24" t="str">
        <f t="shared" ref="MM15:MM25" si="248">IF(LW15="","",IF(LW15&gt;=90,"A",IF(LW15&gt;=80,"B",IF(LW15&gt;=70,"C",IF(LW15&gt;=60,"D",IF(LW15&gt;=50,"E",IF(LW15&gt;=0,"F","")))))))</f>
        <v>A</v>
      </c>
      <c r="MN15" s="24" t="str">
        <f t="shared" ref="MN15:MN25" si="249">IF(LX15="","",IF(LX15&gt;=90,"A",IF(LX15&gt;=80,"B",IF(LX15&gt;=70,"C",IF(LX15&gt;=60,"D",IF(LX15&gt;=50,"E",IF(LX15&gt;=0,"F","")))))))</f>
        <v>B</v>
      </c>
      <c r="MO15" s="24">
        <f t="shared" ref="MO15:MO25" si="250">IF(LI15="","",$MO$14)</f>
        <v>2</v>
      </c>
      <c r="MP15" s="24">
        <f t="shared" ref="MP15:MP25" si="251">IF(LJ15="","",$MP$14)</f>
        <v>2</v>
      </c>
      <c r="MQ15" s="24">
        <f t="shared" ref="MQ15:MQ25" si="252">IF(LK15="","",$MQ$14)</f>
        <v>3</v>
      </c>
      <c r="MR15" s="24">
        <f t="shared" ref="MR15:MR25" si="253">IF(LL15="","",$MR$14)</f>
        <v>1</v>
      </c>
      <c r="MS15" s="24">
        <f t="shared" ref="MS15:MS25" si="254">IF(LM15="","",$MS$14)</f>
        <v>5</v>
      </c>
      <c r="MT15" s="24">
        <f t="shared" ref="MT15:MT25" si="255">IF(LN15="","",$MT$14)</f>
        <v>3</v>
      </c>
      <c r="MU15" s="24">
        <f t="shared" ref="MU15:MU25" si="256">IF(LO15="","",$MU$14)</f>
        <v>2</v>
      </c>
      <c r="MV15" s="24">
        <f t="shared" ref="MV15:MV25" si="257">IF(LP15="","",$MV$14)</f>
        <v>1</v>
      </c>
      <c r="MW15" s="24">
        <f t="shared" ref="MW15:MW25" si="258">IF(LQ15="","",$MW$14)</f>
        <v>1</v>
      </c>
      <c r="MX15" s="24">
        <f t="shared" ref="MX15:MX25" si="259">IF(LR15="","",$MX$14)</f>
        <v>5</v>
      </c>
      <c r="MY15" s="24">
        <f t="shared" ref="MY15:MY25" si="260">IF(LS15="","",$MY$14)</f>
        <v>1</v>
      </c>
      <c r="MZ15" s="24">
        <f t="shared" ref="MZ15:MZ25" si="261">IF(LT15="","",$MZ$14)</f>
        <v>5</v>
      </c>
      <c r="NA15" s="24">
        <f t="shared" ref="NA15:NA25" si="262">IF(LU15="","",$NA$14)</f>
        <v>3</v>
      </c>
      <c r="NB15" s="24">
        <f t="shared" ref="NB15:NB25" si="263">IF(LV15="","",$NB$14)</f>
        <v>2</v>
      </c>
      <c r="NC15" s="24">
        <f t="shared" ref="NC15:NC25" si="264">IF(LW15="","",$NC$14)</f>
        <v>2</v>
      </c>
      <c r="ND15" s="24">
        <f t="shared" ref="ND15:ND25" si="265">IF(LX15="","",$ND$14)</f>
        <v>2</v>
      </c>
      <c r="NE15" s="26">
        <f t="shared" ref="NE15:NE25" si="266">IF(OR(LI15="",MO15=""),"",PRODUCT(LI15,MO15))</f>
        <v>159</v>
      </c>
      <c r="NF15" s="26">
        <f t="shared" ref="NF15:NF25" si="267">IF(OR(LJ15="",MP15=""),"",PRODUCT(LJ15,MP15))</f>
        <v>157.93333333333334</v>
      </c>
      <c r="NG15" s="26">
        <f t="shared" ref="NG15:NG25" si="268">IF(OR(LK15="",MQ15=""),"",PRODUCT(LK15,MQ15))</f>
        <v>266.60000000000002</v>
      </c>
      <c r="NH15" s="26">
        <f t="shared" ref="NH15:NH25" si="269">IF(OR(LL15="",MR15=""),"",PRODUCT(LL15,MR15))</f>
        <v>83.5</v>
      </c>
      <c r="NI15" s="26">
        <f t="shared" ref="NI15:NI25" si="270">IF(OR(LM15="",MS15=""),"",PRODUCT(LM15,MS15))</f>
        <v>412.08333333333337</v>
      </c>
      <c r="NJ15" s="26">
        <f t="shared" ref="NJ15:NJ25" si="271">IF(OR(LN15="",MT15=""),"",PRODUCT(LN15,MT15))</f>
        <v>258.32499999999999</v>
      </c>
      <c r="NK15" s="26">
        <f t="shared" ref="NK15:NK25" si="272">IF(OR(LO15="",MU15=""),"",PRODUCT(LO15,MU15))</f>
        <v>162.26666666666668</v>
      </c>
      <c r="NL15" s="26">
        <f t="shared" ref="NL15:NL25" si="273">IF(OR(LP15="",MV15=""),"",PRODUCT(LP15,MV15))</f>
        <v>94.5</v>
      </c>
      <c r="NM15" s="26">
        <f t="shared" ref="NM15:NM25" si="274">IF(OR(LQ15="",MW15=""),"",PRODUCT(LQ15,MW15))</f>
        <v>94.5</v>
      </c>
      <c r="NN15" s="26">
        <f t="shared" ref="NN15:NN25" si="275">IF(OR(LR15="",MX15=""),"",PRODUCT(LR15,MX15))</f>
        <v>419.73333333333335</v>
      </c>
      <c r="NO15" s="26">
        <f t="shared" ref="NO15:NO25" si="276">IF(OR(LS15="",MY15=""),"",PRODUCT(LS15,MY15))</f>
        <v>91.893333333333345</v>
      </c>
      <c r="NP15" s="26">
        <f t="shared" ref="NP15:NP25" si="277">IF(OR(LT15="",MZ15=""),"",PRODUCT(LT15,MZ15))</f>
        <v>282.0625</v>
      </c>
      <c r="NQ15" s="26">
        <f t="shared" ref="NQ15:NQ25" si="278">IF(OR(LU15="",NA15=""),"",PRODUCT(LU15,NA15))</f>
        <v>128.27272727272728</v>
      </c>
      <c r="NR15" s="26">
        <f t="shared" ref="NR15:NR25" si="279">IF(OR(LV15="",NB15=""),"",PRODUCT(LV15,NB15))</f>
        <v>170.66666666666669</v>
      </c>
      <c r="NS15" s="26">
        <f t="shared" ref="NS15:NS25" si="280">IF(OR(LW15="",NC15=""),"",PRODUCT(LW15,NC15))</f>
        <v>184.83333333333334</v>
      </c>
      <c r="NT15" s="26">
        <f t="shared" ref="NT15:NT25" si="281">IF(OR(LX15="",ND15=""),"",PRODUCT(LX15,ND15))</f>
        <v>166.5</v>
      </c>
      <c r="NU15" s="24">
        <f t="shared" ref="NU15:NU25" si="282">IF(OR(MO15="",LY15=""),"",MO15*(IF(OR(LY15="A",LY15="a"),4,(IF(OR(LY451="B",LY15="b"),3,(IF(OR(LY15="C",LY15="c"),2,(IF(OR(LY15="D",LY15="d"),1.5,(IF(OR(LY15="E",LY15="e"),1,(IF(OR(LY15="F",LY15="f"),0)))))))))))))</f>
        <v>4</v>
      </c>
      <c r="NV15" s="24">
        <f t="shared" ref="NV15:NV25" si="283">IF(OR(MP15="",LZ15=""),"",MP15*(IF(OR(LZ15="A",LZ15="a"),4,(IF(OR(LZ451="B",LZ15="b"),3,(IF(OR(LZ15="C",LZ15="c"),2,(IF(OR(LZ15="D",LZ15="d"),1.5,(IF(OR(LZ15="E",LZ15="e"),1,(IF(OR(LZ15="F",LZ15="f"),0)))))))))))))</f>
        <v>4</v>
      </c>
      <c r="NW15" s="24">
        <f t="shared" ref="NW15:NW25" si="284">IF(OR(MQ15="",MA15=""),"",MQ15*(IF(OR(MA15="A",MA15="a"),4,(IF(OR(MA451="B",MA15="b"),3,(IF(OR(MA15="C",MA15="c"),2,(IF(OR(MA15="D",MA15="d"),1.5,(IF(OR(MA15="E",MA15="e"),1,(IF(OR(MA15="F",MA15="f"),0)))))))))))))</f>
        <v>9</v>
      </c>
      <c r="NX15" s="24">
        <f t="shared" ref="NX15:NX25" si="285">IF(OR(MR15="",MB15=""),"",MR15*(IF(OR(MB15="A",MB15="a"),4,(IF(OR(MB451="B",MB15="b"),3,(IF(OR(MB15="C",MB15="c"),2,(IF(OR(MB15="D",MB15="d"),1.5,(IF(OR(MB15="E",MB15="e"),1,(IF(OR(MB15="F",MB15="f"),0)))))))))))))</f>
        <v>3</v>
      </c>
      <c r="NY15" s="24">
        <f t="shared" ref="NY15:NY25" si="286">IF(OR(MS15="",MC15=""),"",MS15*(IF(OR(MC15="A",MC15="a"),4,(IF(OR(MC451="B",MC15="b"),3,(IF(OR(MC15="C",MC15="c"),2,(IF(OR(MC15="D",MC15="d"),1.5,(IF(OR(MC15="E",MC15="e"),1,(IF(OR(MC15="F",MC15="f"),0)))))))))))))</f>
        <v>15</v>
      </c>
      <c r="NZ15" s="24">
        <f t="shared" ref="NZ15:NZ25" si="287">IF(OR(MT15="",MD15=""),"",MT15*(IF(OR(MD15="A",MD15="a"),4,(IF(OR(MD451="B",MD15="b"),3,(IF(OR(MD15="C",MD15="c"),2,(IF(OR(MD15="D",MD15="d"),1.5,(IF(OR(MD15="E",MD15="e"),1,(IF(OR(MD15="F",MD15="f"),0)))))))))))))</f>
        <v>9</v>
      </c>
      <c r="OA15" s="24">
        <f t="shared" ref="OA15:OA25" si="288">IF(OR(MU15="",ME15=""),"",MU15*(IF(OR(ME15="A",ME15="a"),4,(IF(OR(ME451="B",ME15="b"),3,(IF(OR(ME15="C",ME15="c"),2,(IF(OR(ME15="D",ME15="d"),1.5,(IF(OR(ME15="E",ME15="e"),1,(IF(OR(ME15="F",ME15="f"),0)))))))))))))</f>
        <v>6</v>
      </c>
      <c r="OB15" s="24">
        <f t="shared" ref="OB15:OB25" si="289">IF(OR(MV15="",MF15=""),"",MV15*(IF(OR(MF15="A",MF15="a"),4,(IF(OR(MF451="B",MF15="b"),3,(IF(OR(MF15="C",MF15="c"),2,(IF(OR(MF15="D",MF15="d"),1.5,(IF(OR(MF15="E",MF15="e"),1,(IF(OR(MF15="F",MF15="f"),0)))))))))))))</f>
        <v>4</v>
      </c>
      <c r="OC15" s="24">
        <f t="shared" ref="OC15:OC25" si="290">IF(OR(MW15="",MG15=""),"",MW15*(IF(OR(MG15="A",MG15="a"),4,(IF(OR(MG451="B",MG15="b"),3,(IF(OR(MG15="C",MG15="c"),2,(IF(OR(MG15="D",MG15="d"),1.5,(IF(OR(MG15="E",MG15="e"),1,(IF(OR(MG15="F",MG15="f"),0)))))))))))))</f>
        <v>4</v>
      </c>
      <c r="OD15" s="24">
        <f t="shared" ref="OD15:OD25" si="291">IF(OR(MX15="",MH15=""),"",MX15*(IF(OR(MH15="A",MH15="a"),4,(IF(OR(MH451="B",MH15="b"),3,(IF(OR(MH15="C",MH15="c"),2,(IF(OR(MH15="D",MH15="d"),1.5,(IF(OR(MH15="E",MH15="e"),1,(IF(OR(MH15="F",MH15="f"),0)))))))))))))</f>
        <v>15</v>
      </c>
      <c r="OE15" s="24">
        <f t="shared" ref="OE15:OE25" si="292">IF(OR(MY15="",MI15=""),"",MY15*(IF(OR(MI15="A",MI15="a"),4,(IF(OR(MI451="B",MI15="b"),3,(IF(OR(MI15="C",MI15="c"),2,(IF(OR(MI15="D",MI15="d"),1.5,(IF(OR(MI15="E",MI15="e"),1,(IF(OR(MI15="F",MI15="f"),0)))))))))))))</f>
        <v>4</v>
      </c>
      <c r="OF15" s="24">
        <f t="shared" ref="OF15:OF25" si="293">IF(OR(MZ15="",MJ15=""),"",MZ15*(IF(OR(MJ15="A",MJ15="a"),4,(IF(OR(MJ451="B",MJ15="b"),3,(IF(OR(MJ15="C",MJ15="c"),2,(IF(OR(MJ15="D",MJ15="d"),1.5,(IF(OR(MJ15="E",MJ15="e"),1,(IF(OR(MJ15="F",MJ15="f"),0)))))))))))))</f>
        <v>5</v>
      </c>
      <c r="OG15" s="24">
        <f t="shared" ref="OG15:OG25" si="294">IF(OR(NA15="",MK15=""),"",NA15*(IF(OR(MK15="A",MK15="a"),4,(IF(OR(MK451="B",MK15="b"),3,(IF(OR(MK15="C",MK15="c"),2,(IF(OR(MK15="D",MK15="d"),1.5,(IF(OR(MK15="E",MK15="e"),1,(IF(OR(MK15="F",MK15="f"),0)))))))))))))</f>
        <v>0</v>
      </c>
      <c r="OH15" s="24">
        <f t="shared" ref="OH15:OH25" si="295">IF(OR(NB15="",ML15=""),"",NB15*(IF(OR(ML15="A",ML15="a"),4,(IF(OR(ML451="B",ML15="b"),3,(IF(OR(ML15="C",ML15="c"),2,(IF(OR(ML15="D",ML15="d"),1.5,(IF(OR(ML15="E",ML15="e"),1,(IF(OR(ML15="F",ML15="f"),0)))))))))))))</f>
        <v>6</v>
      </c>
      <c r="OI15" s="24">
        <f t="shared" ref="OI15:OI25" si="296">IF(OR(NC15="",MM15=""),"",NC15*(IF(OR(MM15="A",MM15="a"),4,(IF(OR(MM451="B",MM15="b"),3,(IF(OR(MM15="C",MM15="c"),2,(IF(OR(MM15="D",MM15="d"),1.5,(IF(OR(MM15="E",MM15="e"),1,(IF(OR(MM15="F",MM15="f"),0)))))))))))))</f>
        <v>8</v>
      </c>
      <c r="OJ15" s="24">
        <f t="shared" ref="OJ15:OJ25" si="297">IF(OR(ND15="",MN15=""),"",ND15*(IF(OR(MN15="A",MN15="a"),4,(IF(OR(MN451="B",MN15="b"),3,(IF(OR(MN15="C",MN15="c"),2,(IF(OR(MN15="D",MN15="d"),1.5,(IF(OR(MN15="E",MN15="e"),1,(IF(OR(MN15="F",MN15="f"),0)))))))))))))</f>
        <v>6</v>
      </c>
      <c r="OK15" s="24">
        <f t="shared" ref="OK15:OK25" si="298">IF(B15="","",SUM(MO15:MW15))</f>
        <v>20</v>
      </c>
      <c r="OL15" s="24">
        <f t="shared" ref="OL15:OL25" si="299">IF(B15="","",SUM(NE15:NM15))</f>
        <v>1688.7083333333335</v>
      </c>
      <c r="OM15" s="26">
        <f t="shared" ref="OM15:OM25" si="300">IF(B15="","",SUM(NU15:OC15))</f>
        <v>58</v>
      </c>
      <c r="ON15" s="26">
        <f>IF(OR(OK15="",OL15=""),"",OL15/OK15)</f>
        <v>84.435416666666669</v>
      </c>
      <c r="OO15" s="24" t="str">
        <f>IF(ON15="","",IF(ON15&gt;=90,"A",IF(ON15&gt;=80,"B",IF(ON15&gt;=70,"C",IF(ON15&gt;=60,"D",IF(ON15&gt;=50,"E",IF(ON15&gt;=0,"F","")))))))</f>
        <v>B</v>
      </c>
      <c r="OP15" s="26">
        <f t="shared" ref="OP15:OP25" si="301">IF(B15="","",OM15/OK15)</f>
        <v>2.9</v>
      </c>
      <c r="OQ15" s="24">
        <f t="shared" ref="OQ15:OQ25" si="302">IF(B15="","",SUM(MX15:ND15))</f>
        <v>20</v>
      </c>
      <c r="OR15" s="26">
        <f t="shared" ref="OR15:OR25" si="303">IF(B15="","",SUM(NN15:NT15))</f>
        <v>1443.9618939393938</v>
      </c>
      <c r="OS15" s="26">
        <f t="shared" ref="OS15:OS25" si="304">IF(B15="","",SUM(OD15:OJ15))</f>
        <v>44</v>
      </c>
      <c r="OT15" s="26">
        <f>IF(OR(OQ15="",OR15=""),"",OR15/OQ15)</f>
        <v>72.19809469696969</v>
      </c>
      <c r="OU15" s="24" t="str">
        <f>IF(OT15="","",IF(OT15&gt;=90,"A",IF(OT15&gt;=80,"B",IF(OT15&gt;=70,"C",IF(OT15&gt;=60,"D",IF(OT15&gt;=50,"E",IF(OT15&gt;=0,"F","")))))))</f>
        <v>C</v>
      </c>
      <c r="OV15" s="27">
        <f t="shared" ref="OV15:OV25" si="305">IF(B15="","",OS15/OQ15)</f>
        <v>2.2000000000000002</v>
      </c>
      <c r="OW15" s="24">
        <f t="shared" ref="OW15:OW25" si="306">IF(SUM(MO15:ND15)=0,"",IF(OR(B15="",F15="I",F15="II",F15="M",F15="A"),(SUM(MO15:ND15)),IF(OR(B15="",F15="III"),(SUM(OK15,OQ15)))))</f>
        <v>40</v>
      </c>
      <c r="OX15" s="27">
        <f t="shared" ref="OX15:OX25" si="307">IF(SUM(MO15:ND15)=0,"",IF(OR(B15="",F15="I",F15="II",F15="M",F15="A"),(SUM(NE15:NT15)),IF(OR(B15="",F15="III"),(SUM(OL15,OR15)))))</f>
        <v>3132.6702272727275</v>
      </c>
      <c r="OY15" s="27">
        <f t="shared" ref="OY15:OY25" si="308">IF(SUM(MO15:ND15)=0,"",IF(OR(B15="",F15="I",F15="II",F15="M",F15="A"),(SUM(NU15:OJ15)),IF(OR(B15="",F15="III"),(SUM(OS15,OM15)))))</f>
        <v>102</v>
      </c>
      <c r="OZ15" s="26">
        <f>IF(OR(OW15=0,OX15=0),0,IF(OR(OW15="",OX15=""),"",OX15/OW15))</f>
        <v>78.316755681818194</v>
      </c>
      <c r="PA15" s="27" t="str">
        <f>IF(OZ15="","",IF(OZ15&gt;=90,"A",IF(OZ15&gt;=80,"B",IF(OZ15&gt;=70,"C",IF(OZ15&gt;=60,"D",IF(OZ15&gt;=50,"E",IF(OZ15&gt;=0,"F","")))))))</f>
        <v>C</v>
      </c>
      <c r="PB15" s="26">
        <f t="shared" ref="PB15:PB25" si="309">IF(JU15="","",OY15/OW15)</f>
        <v>2.5499999999999998</v>
      </c>
      <c r="PC15" s="24">
        <f t="shared" ref="PC15:PC25" si="310">IF(OR(B15="",OZ15=""),"",RANK(OZ15,$OZ$15:$OZ$25))</f>
        <v>6</v>
      </c>
      <c r="PD15" s="24" t="str">
        <f t="shared" ref="PD15:PD25" si="311">IF(B15="","",$C$9)</f>
        <v>6A</v>
      </c>
      <c r="PE15" s="24">
        <f t="shared" ref="PE15:PE25" si="312">IF(B15="","",MAX($A$15:$A$25))</f>
        <v>11</v>
      </c>
      <c r="PF15" s="24">
        <f t="shared" ref="PF15:PF25" si="313">IF(B15="","",$C$8)</f>
        <v>100</v>
      </c>
      <c r="PG15" s="24">
        <f t="shared" ref="PG15:PG25" si="314">IF($B$15="","",DE15+HH15)</f>
        <v>0</v>
      </c>
      <c r="PH15" s="24">
        <f t="shared" ref="PH15:PH25" si="315">IF($B$15="","",DF15+HI15)</f>
        <v>0</v>
      </c>
      <c r="PI15" s="24">
        <f t="shared" ref="PI15:PI25" si="316">IF($B$15="","",DG15+HJ15)</f>
        <v>0</v>
      </c>
      <c r="PJ15" s="24">
        <f t="shared" ref="PJ15:PJ25" si="317">IF(B15="","",PH15+PI15)</f>
        <v>0</v>
      </c>
      <c r="PK15" s="25">
        <f t="shared" ref="PK15:PK25" si="318">IF(B15="","",(PF15-PJ15)/PF15)</f>
        <v>1</v>
      </c>
    </row>
    <row r="16" spans="1:427" ht="27" customHeight="1" x14ac:dyDescent="0.35">
      <c r="A16" s="24">
        <f>IF(B16="","",A15+1)</f>
        <v>2</v>
      </c>
      <c r="B16" s="28" t="str">
        <f>IF('Q1'!B16="","",'Q1'!B16)</f>
        <v>Ly Sovannarith</v>
      </c>
      <c r="C16" s="30" t="str">
        <f>IF('Q1'!C16="","",'Q1'!C16)</f>
        <v>លី សុវណ្ណារិទ្ធ</v>
      </c>
      <c r="D16" s="28">
        <v>2</v>
      </c>
      <c r="E16" s="24" t="s">
        <v>124</v>
      </c>
      <c r="F16" s="24" t="str">
        <f>IF('Q1'!F16="","",'Q1'!F16)</f>
        <v>I</v>
      </c>
      <c r="G16" s="26">
        <f>IF('Q1'!G16="","",'Q1'!G16)</f>
        <v>73.333333333333343</v>
      </c>
      <c r="H16" s="26">
        <f>IF('Q1'!H16="","",'Q1'!H16)</f>
        <v>90.066666666666677</v>
      </c>
      <c r="I16" s="26">
        <f>IF('Q1'!I16="","",'Q1'!I16)</f>
        <v>90.066666666666677</v>
      </c>
      <c r="J16" s="26">
        <f>IF('Q1'!J16="","",'Q1'!J16)</f>
        <v>72</v>
      </c>
      <c r="K16" s="26">
        <f>IF('Q1'!K16="","",'Q1'!K16)</f>
        <v>87.600000000000009</v>
      </c>
      <c r="L16" s="26">
        <f>IF('Q1'!L16="","",'Q1'!L16)</f>
        <v>89.966666666666683</v>
      </c>
      <c r="M16" s="26">
        <f>IF('Q1'!M16="","",'Q1'!M16)</f>
        <v>90.066666666666677</v>
      </c>
      <c r="N16" s="26">
        <f>IF('Q1'!N16="","",'Q1'!N16)</f>
        <v>90</v>
      </c>
      <c r="O16" s="26">
        <f>IF('Q1'!O16="","",'Q1'!O16)</f>
        <v>90</v>
      </c>
      <c r="P16" s="26">
        <f>IF('Q1'!P16="","",'Q1'!P16)</f>
        <v>90.506666666666675</v>
      </c>
      <c r="Q16" s="26">
        <f>IF('Q1'!Q16="","",'Q1'!Q16)</f>
        <v>90.506666666666675</v>
      </c>
      <c r="R16" s="26">
        <f>IF('Q1'!R16="","",'Q1'!R16)</f>
        <v>57.73</v>
      </c>
      <c r="S16" s="26">
        <f>IF('Q1'!S16="","",'Q1'!S16)</f>
        <v>65.969696969696969</v>
      </c>
      <c r="T16" s="26">
        <f>IF('Q1'!T16="","",'Q1'!T16)</f>
        <v>72.2</v>
      </c>
      <c r="U16" s="26">
        <f>IF('Q1'!U16="","",'Q1'!U16)</f>
        <v>87.666666666666671</v>
      </c>
      <c r="V16" s="26">
        <f>IF('Q1'!V16="","",'Q1'!V16)</f>
        <v>79</v>
      </c>
      <c r="W16" s="26" t="str">
        <f t="shared" si="0"/>
        <v>C</v>
      </c>
      <c r="X16" s="26" t="str">
        <f t="shared" si="1"/>
        <v>A</v>
      </c>
      <c r="Y16" s="26" t="str">
        <f t="shared" si="2"/>
        <v>A</v>
      </c>
      <c r="Z16" s="26" t="str">
        <f t="shared" si="3"/>
        <v>C</v>
      </c>
      <c r="AA16" s="26" t="str">
        <f t="shared" si="4"/>
        <v>B</v>
      </c>
      <c r="AB16" s="26" t="str">
        <f t="shared" si="5"/>
        <v>B</v>
      </c>
      <c r="AC16" s="26" t="str">
        <f t="shared" si="6"/>
        <v>A</v>
      </c>
      <c r="AD16" s="26" t="str">
        <f t="shared" si="7"/>
        <v>A</v>
      </c>
      <c r="AE16" s="26" t="str">
        <f t="shared" si="8"/>
        <v>A</v>
      </c>
      <c r="AF16" s="24" t="str">
        <f t="shared" si="9"/>
        <v>A</v>
      </c>
      <c r="AG16" s="24" t="str">
        <f t="shared" si="10"/>
        <v>A</v>
      </c>
      <c r="AH16" s="24" t="str">
        <f t="shared" si="11"/>
        <v>E</v>
      </c>
      <c r="AI16" s="24" t="str">
        <f t="shared" si="12"/>
        <v>D</v>
      </c>
      <c r="AJ16" s="24" t="str">
        <f t="shared" si="13"/>
        <v>C</v>
      </c>
      <c r="AK16" s="24" t="str">
        <f t="shared" si="14"/>
        <v>B</v>
      </c>
      <c r="AL16" s="24" t="str">
        <f t="shared" si="15"/>
        <v>C</v>
      </c>
      <c r="AM16" s="24">
        <f t="shared" si="16"/>
        <v>2</v>
      </c>
      <c r="AN16" s="24">
        <f t="shared" si="17"/>
        <v>2</v>
      </c>
      <c r="AO16" s="24">
        <f t="shared" si="18"/>
        <v>3</v>
      </c>
      <c r="AP16" s="24">
        <f t="shared" si="19"/>
        <v>1</v>
      </c>
      <c r="AQ16" s="24">
        <f t="shared" si="20"/>
        <v>5</v>
      </c>
      <c r="AR16" s="24">
        <f t="shared" si="21"/>
        <v>3</v>
      </c>
      <c r="AS16" s="24">
        <f t="shared" si="22"/>
        <v>2</v>
      </c>
      <c r="AT16" s="24">
        <f t="shared" si="23"/>
        <v>1</v>
      </c>
      <c r="AU16" s="24">
        <f t="shared" si="24"/>
        <v>1</v>
      </c>
      <c r="AV16" s="24">
        <f t="shared" si="25"/>
        <v>5</v>
      </c>
      <c r="AW16" s="24">
        <f t="shared" si="26"/>
        <v>1</v>
      </c>
      <c r="AX16" s="24">
        <f t="shared" si="27"/>
        <v>5</v>
      </c>
      <c r="AY16" s="24">
        <f t="shared" si="28"/>
        <v>3</v>
      </c>
      <c r="AZ16" s="24">
        <f t="shared" si="29"/>
        <v>2</v>
      </c>
      <c r="BA16" s="24">
        <f t="shared" si="30"/>
        <v>2</v>
      </c>
      <c r="BB16" s="24">
        <f t="shared" si="31"/>
        <v>2</v>
      </c>
      <c r="BC16" s="26">
        <f t="shared" si="32"/>
        <v>146.66666666666669</v>
      </c>
      <c r="BD16" s="26">
        <f t="shared" si="33"/>
        <v>180.13333333333335</v>
      </c>
      <c r="BE16" s="26">
        <f t="shared" si="34"/>
        <v>270.20000000000005</v>
      </c>
      <c r="BF16" s="26">
        <f t="shared" si="35"/>
        <v>72</v>
      </c>
      <c r="BG16" s="26">
        <f t="shared" si="36"/>
        <v>438.00000000000006</v>
      </c>
      <c r="BH16" s="26">
        <f t="shared" si="37"/>
        <v>269.90000000000003</v>
      </c>
      <c r="BI16" s="26">
        <f t="shared" si="38"/>
        <v>180.13333333333335</v>
      </c>
      <c r="BJ16" s="26">
        <f t="shared" si="39"/>
        <v>90</v>
      </c>
      <c r="BK16" s="26">
        <f t="shared" si="40"/>
        <v>90</v>
      </c>
      <c r="BL16" s="26">
        <f t="shared" si="41"/>
        <v>452.53333333333336</v>
      </c>
      <c r="BM16" s="26">
        <f t="shared" si="42"/>
        <v>90.506666666666675</v>
      </c>
      <c r="BN16" s="26">
        <f t="shared" si="43"/>
        <v>288.64999999999998</v>
      </c>
      <c r="BO16" s="26">
        <f t="shared" si="44"/>
        <v>197.90909090909091</v>
      </c>
      <c r="BP16" s="26">
        <f t="shared" si="45"/>
        <v>144.4</v>
      </c>
      <c r="BQ16" s="26">
        <f t="shared" si="46"/>
        <v>175.33333333333334</v>
      </c>
      <c r="BR16" s="26">
        <f t="shared" si="47"/>
        <v>158</v>
      </c>
      <c r="BS16" s="24">
        <f t="shared" si="48"/>
        <v>4</v>
      </c>
      <c r="BT16" s="24">
        <f t="shared" si="49"/>
        <v>8</v>
      </c>
      <c r="BU16" s="24">
        <f t="shared" si="50"/>
        <v>12</v>
      </c>
      <c r="BV16" s="24">
        <f t="shared" si="51"/>
        <v>2</v>
      </c>
      <c r="BW16" s="24">
        <f t="shared" si="52"/>
        <v>15</v>
      </c>
      <c r="BX16" s="24">
        <f t="shared" si="53"/>
        <v>9</v>
      </c>
      <c r="BY16" s="24">
        <f t="shared" si="54"/>
        <v>8</v>
      </c>
      <c r="BZ16" s="24">
        <f t="shared" si="55"/>
        <v>4</v>
      </c>
      <c r="CA16" s="24">
        <f t="shared" si="56"/>
        <v>4</v>
      </c>
      <c r="CB16" s="24">
        <f t="shared" si="57"/>
        <v>20</v>
      </c>
      <c r="CC16" s="24">
        <f t="shared" si="58"/>
        <v>4</v>
      </c>
      <c r="CD16" s="24">
        <f t="shared" si="59"/>
        <v>5</v>
      </c>
      <c r="CE16" s="24">
        <f t="shared" si="60"/>
        <v>4.5</v>
      </c>
      <c r="CF16" s="24">
        <f t="shared" si="61"/>
        <v>4</v>
      </c>
      <c r="CG16" s="24">
        <f t="shared" si="62"/>
        <v>6</v>
      </c>
      <c r="CH16" s="24">
        <f t="shared" si="63"/>
        <v>4</v>
      </c>
      <c r="CI16" s="24">
        <f t="shared" ref="CI16:CI25" si="319">IF(B16="","",SUM(AM16:AU16))</f>
        <v>20</v>
      </c>
      <c r="CJ16" s="26">
        <f t="shared" si="64"/>
        <v>1737.0333333333338</v>
      </c>
      <c r="CK16" s="26">
        <f t="shared" ref="CK16:CK25" si="320">IF(D16="","",SUM(BS16:CA16))</f>
        <v>66</v>
      </c>
      <c r="CL16" s="26">
        <f t="shared" ref="CL16:CL25" si="321">IF(OR(CI16="",CJ16=""),"",CJ16/CI16)</f>
        <v>86.851666666666688</v>
      </c>
      <c r="CM16" s="24" t="str">
        <f t="shared" ref="CM16:CM25" si="322">IF(CL16="","",IF(CL16&gt;=90,"A",IF(CL16&gt;=80,"B",IF(CL16&gt;=70,"C",IF(CL16&gt;=60,"D",IF(CL16&gt;=50,"E",IF(CL16&gt;=0,"F","")))))))</f>
        <v>B</v>
      </c>
      <c r="CN16" s="26">
        <f t="shared" si="65"/>
        <v>3.3</v>
      </c>
      <c r="CO16" s="24">
        <f t="shared" si="66"/>
        <v>20</v>
      </c>
      <c r="CP16" s="26">
        <f t="shared" si="67"/>
        <v>1507.3324242424244</v>
      </c>
      <c r="CQ16" s="26">
        <f t="shared" si="68"/>
        <v>47.5</v>
      </c>
      <c r="CR16" s="26">
        <f t="shared" ref="CR16:CR25" si="323">IF(OR(CO16="",CP16=""),"",CP16/CO16)</f>
        <v>75.366621212121217</v>
      </c>
      <c r="CS16" s="24" t="str">
        <f t="shared" ref="CS16:CS25" si="324">IF(CR16="","",IF(CR16&gt;=90,"A",IF(CR16&gt;=80,"B",IF(CR16&gt;=70,"C",IF(CR16&gt;=60,"D",IF(CR16&gt;=50,"E",IF(CR16&gt;=0,"F","")))))))</f>
        <v>C</v>
      </c>
      <c r="CT16" s="27">
        <f t="shared" si="69"/>
        <v>2.375</v>
      </c>
      <c r="CU16" s="24">
        <f t="shared" ref="CU16:CU25" si="325">IF(SUM(AM16:BB16)=0,"",IF(OR(B16="",F16="I",F16="II",F16="M",F16="A"),(SUM(AM16:BB16)),IF(OR(B16="",F16="III"),(SUM(CI16,CO16)))))</f>
        <v>40</v>
      </c>
      <c r="CV16" s="26">
        <f t="shared" ref="CV16:CV25" si="326">IF(SUM(BC16:BR16)=
0,"",IF(OR(C16="",F16="I",F16="II",F16="M",F16="A"),(SUM(BC16:BR16)),IF(OR(C16="",F16="III"),(SUM(CJ16,CP16)))))</f>
        <v>3244.3657575757584</v>
      </c>
      <c r="CW16" s="26">
        <f t="shared" ref="CW16:CW25" si="327">IF(SUM(BS16:CH16)=
0,"",IF(OR(D16="",F16="I",F16="II",F16="M",F16="A"),(SUM(BS16:CH16)),IF(OR(D16="",F16="III"),(SUM(CK16,CQ16)))))</f>
        <v>113.5</v>
      </c>
      <c r="CX16" s="26">
        <f t="shared" ref="CX16:CX25" si="328">IF(OR(CU16=0,CV16=0),0,IF(OR(CU16="",CV16=""),"",CV16/CU16))</f>
        <v>81.109143939393959</v>
      </c>
      <c r="CY16" s="24" t="str">
        <f t="shared" ref="CY16:CY25" si="329">IF(CX16="","",IF(CX16&gt;=90,"A",IF(CX16&gt;=80,"B",IF(CX16&gt;=70,"C",IF(CX16&gt;=60,"D",IF(CX16&gt;=50,"E",IF(CX16&gt;=0,"F","")))))))</f>
        <v>B</v>
      </c>
      <c r="CZ16" s="26">
        <f t="shared" si="70"/>
        <v>2.8374999999999999</v>
      </c>
      <c r="DA16" s="24">
        <f t="shared" si="71"/>
        <v>4</v>
      </c>
      <c r="DB16" s="24" t="str">
        <f t="shared" si="72"/>
        <v>6A</v>
      </c>
      <c r="DC16" s="24">
        <f t="shared" si="73"/>
        <v>11</v>
      </c>
      <c r="DD16" s="24">
        <f>IF(B16="","",'Q1'!$C$8)</f>
        <v>50</v>
      </c>
      <c r="DE16" s="24">
        <f>IF(A16="","",'Q1'!DE16)</f>
        <v>0</v>
      </c>
      <c r="DF16" s="24">
        <f>IF(B16="","",'Q1'!DF16)</f>
        <v>0</v>
      </c>
      <c r="DG16" s="24">
        <f>IF(B16="","",'Q1'!DG16)</f>
        <v>0</v>
      </c>
      <c r="DH16" s="24">
        <f t="shared" si="74"/>
        <v>0</v>
      </c>
      <c r="DI16" s="25">
        <f t="shared" si="75"/>
        <v>1</v>
      </c>
      <c r="DJ16" s="26">
        <f>IF('Q2'!G16="","",'Q2'!G16)</f>
        <v>88.666666666666671</v>
      </c>
      <c r="DK16" s="26">
        <f>IF('Q2'!H16="","",'Q2'!H16)</f>
        <v>91.933333333333337</v>
      </c>
      <c r="DL16" s="26">
        <f>IF('Q2'!I16="","",'Q2'!I16)</f>
        <v>93.26666666666668</v>
      </c>
      <c r="DM16" s="26">
        <f>IF('Q2'!J16="","",'Q2'!J16)</f>
        <v>91.333333333333343</v>
      </c>
      <c r="DN16" s="26">
        <f>IF('Q2'!K16="","",'Q2'!K16)</f>
        <v>94.7</v>
      </c>
      <c r="DO16" s="26">
        <f>IF('Q2'!L16="","",'Q2'!L16)</f>
        <v>87.600000000000009</v>
      </c>
      <c r="DP16" s="26">
        <f>IF('Q2'!M16="","",'Q2'!M16)</f>
        <v>90.3</v>
      </c>
      <c r="DQ16" s="26">
        <f>IF('Q2'!N16="","",'Q2'!N16)</f>
        <v>100</v>
      </c>
      <c r="DR16" s="26">
        <f>IF('Q2'!O16="","",'Q2'!O16)</f>
        <v>100</v>
      </c>
      <c r="DS16" s="26">
        <f>IF('Q2'!P16="","",'Q2'!P16)</f>
        <v>87.45</v>
      </c>
      <c r="DT16" s="26">
        <f>IF('Q2'!Q16="","",'Q2'!Q16)</f>
        <v>87.45</v>
      </c>
      <c r="DU16" s="26">
        <f>IF('Q2'!R16="","",'Q2'!R16)</f>
        <v>63.5</v>
      </c>
      <c r="DV16" s="26">
        <f>IF('Q2'!S16="","",'Q2'!S16)</f>
        <v>60</v>
      </c>
      <c r="DW16" s="26">
        <f>IF('Q2'!T16="","",'Q2'!T16)</f>
        <v>100</v>
      </c>
      <c r="DX16" s="26">
        <f>IF('Q2'!U16="","",'Q2'!U16)</f>
        <v>93.666666666666671</v>
      </c>
      <c r="DY16" s="26">
        <f>IF('Q2'!V16="","",'Q2'!V16)</f>
        <v>89.466666666666669</v>
      </c>
      <c r="DZ16" s="26" t="str">
        <f t="shared" si="76"/>
        <v>B</v>
      </c>
      <c r="EA16" s="26" t="str">
        <f t="shared" si="77"/>
        <v>A</v>
      </c>
      <c r="EB16" s="26" t="str">
        <f t="shared" si="78"/>
        <v>A</v>
      </c>
      <c r="EC16" s="26" t="str">
        <f t="shared" si="79"/>
        <v>A</v>
      </c>
      <c r="ED16" s="26" t="str">
        <f t="shared" si="80"/>
        <v>A</v>
      </c>
      <c r="EE16" s="26" t="str">
        <f t="shared" si="81"/>
        <v>B</v>
      </c>
      <c r="EF16" s="26" t="str">
        <f t="shared" si="82"/>
        <v>A</v>
      </c>
      <c r="EG16" s="26" t="str">
        <f t="shared" si="83"/>
        <v>A</v>
      </c>
      <c r="EH16" s="26" t="str">
        <f t="shared" si="84"/>
        <v>A</v>
      </c>
      <c r="EI16" s="24" t="str">
        <f t="shared" si="85"/>
        <v>B</v>
      </c>
      <c r="EJ16" s="24" t="str">
        <f t="shared" si="86"/>
        <v>B</v>
      </c>
      <c r="EK16" s="24" t="str">
        <f t="shared" si="87"/>
        <v>D</v>
      </c>
      <c r="EL16" s="24" t="str">
        <f t="shared" si="88"/>
        <v>D</v>
      </c>
      <c r="EM16" s="24" t="str">
        <f t="shared" si="89"/>
        <v>A</v>
      </c>
      <c r="EN16" s="24" t="str">
        <f t="shared" si="90"/>
        <v>A</v>
      </c>
      <c r="EO16" s="24" t="str">
        <f t="shared" si="91"/>
        <v>B</v>
      </c>
      <c r="EP16" s="24">
        <f t="shared" si="92"/>
        <v>2</v>
      </c>
      <c r="EQ16" s="24">
        <f t="shared" si="93"/>
        <v>2</v>
      </c>
      <c r="ER16" s="24">
        <f t="shared" si="94"/>
        <v>3</v>
      </c>
      <c r="ES16" s="24">
        <f t="shared" si="95"/>
        <v>1</v>
      </c>
      <c r="ET16" s="24">
        <f t="shared" si="96"/>
        <v>5</v>
      </c>
      <c r="EU16" s="24">
        <f t="shared" si="97"/>
        <v>3</v>
      </c>
      <c r="EV16" s="24">
        <f t="shared" si="98"/>
        <v>2</v>
      </c>
      <c r="EW16" s="24">
        <f t="shared" si="99"/>
        <v>1</v>
      </c>
      <c r="EX16" s="24">
        <f t="shared" si="100"/>
        <v>1</v>
      </c>
      <c r="EY16" s="24">
        <f t="shared" si="101"/>
        <v>5</v>
      </c>
      <c r="EZ16" s="24">
        <f t="shared" si="102"/>
        <v>1</v>
      </c>
      <c r="FA16" s="24">
        <f t="shared" si="103"/>
        <v>5</v>
      </c>
      <c r="FB16" s="24">
        <f t="shared" si="104"/>
        <v>3</v>
      </c>
      <c r="FC16" s="24">
        <f t="shared" si="105"/>
        <v>2</v>
      </c>
      <c r="FD16" s="24">
        <f t="shared" si="106"/>
        <v>2</v>
      </c>
      <c r="FE16" s="24">
        <f t="shared" si="107"/>
        <v>2</v>
      </c>
      <c r="FF16" s="26">
        <f t="shared" si="108"/>
        <v>177.33333333333334</v>
      </c>
      <c r="FG16" s="26">
        <f t="shared" si="109"/>
        <v>183.86666666666667</v>
      </c>
      <c r="FH16" s="26">
        <f t="shared" si="110"/>
        <v>279.80000000000007</v>
      </c>
      <c r="FI16" s="26">
        <f t="shared" si="111"/>
        <v>91.333333333333343</v>
      </c>
      <c r="FJ16" s="26">
        <f t="shared" si="112"/>
        <v>473.5</v>
      </c>
      <c r="FK16" s="26">
        <f t="shared" si="113"/>
        <v>262.8</v>
      </c>
      <c r="FL16" s="26">
        <f t="shared" si="114"/>
        <v>180.6</v>
      </c>
      <c r="FM16" s="26">
        <f t="shared" si="115"/>
        <v>100</v>
      </c>
      <c r="FN16" s="26">
        <f t="shared" si="116"/>
        <v>100</v>
      </c>
      <c r="FO16" s="26">
        <f t="shared" si="117"/>
        <v>437.25</v>
      </c>
      <c r="FP16" s="26">
        <f t="shared" si="118"/>
        <v>87.45</v>
      </c>
      <c r="FQ16" s="26">
        <f t="shared" si="119"/>
        <v>317.5</v>
      </c>
      <c r="FR16" s="26">
        <f t="shared" si="120"/>
        <v>180</v>
      </c>
      <c r="FS16" s="26">
        <f t="shared" si="121"/>
        <v>200</v>
      </c>
      <c r="FT16" s="26">
        <f t="shared" si="122"/>
        <v>187.33333333333334</v>
      </c>
      <c r="FU16" s="26">
        <f t="shared" si="123"/>
        <v>178.93333333333334</v>
      </c>
      <c r="FV16" s="24">
        <f t="shared" si="124"/>
        <v>6</v>
      </c>
      <c r="FW16" s="24">
        <f t="shared" si="125"/>
        <v>8</v>
      </c>
      <c r="FX16" s="24">
        <f t="shared" si="126"/>
        <v>12</v>
      </c>
      <c r="FY16" s="24">
        <f t="shared" si="127"/>
        <v>4</v>
      </c>
      <c r="FZ16" s="24">
        <f t="shared" si="128"/>
        <v>20</v>
      </c>
      <c r="GA16" s="24">
        <f t="shared" si="129"/>
        <v>9</v>
      </c>
      <c r="GB16" s="24">
        <f t="shared" si="130"/>
        <v>8</v>
      </c>
      <c r="GC16" s="24">
        <f t="shared" si="131"/>
        <v>4</v>
      </c>
      <c r="GD16" s="24">
        <f t="shared" si="132"/>
        <v>4</v>
      </c>
      <c r="GE16" s="24">
        <f t="shared" si="133"/>
        <v>15</v>
      </c>
      <c r="GF16" s="24">
        <f t="shared" si="134"/>
        <v>3</v>
      </c>
      <c r="GG16" s="24">
        <f t="shared" si="135"/>
        <v>7.5</v>
      </c>
      <c r="GH16" s="24">
        <f t="shared" si="136"/>
        <v>4.5</v>
      </c>
      <c r="GI16" s="24">
        <f t="shared" si="137"/>
        <v>8</v>
      </c>
      <c r="GJ16" s="24">
        <f t="shared" si="138"/>
        <v>8</v>
      </c>
      <c r="GK16" s="24">
        <f t="shared" si="139"/>
        <v>6</v>
      </c>
      <c r="GL16" s="24">
        <f t="shared" si="140"/>
        <v>20</v>
      </c>
      <c r="GM16" s="24">
        <f t="shared" si="141"/>
        <v>1849.2333333333333</v>
      </c>
      <c r="GN16" s="26">
        <f t="shared" si="142"/>
        <v>75</v>
      </c>
      <c r="GO16" s="26">
        <f t="shared" ref="GO16:GO25" si="330">IF(OR(GL16="",GM16=""),"",GM16/GL16)</f>
        <v>92.461666666666673</v>
      </c>
      <c r="GP16" s="24" t="str">
        <f t="shared" ref="GP16:GP25" si="331">IF(GO16="","",IF(GO16&gt;=90,"A",IF(GO16&gt;=80,"B",IF(GO16&gt;=70,"C",IF(GO16&gt;=60,"D",IF(GO16&gt;=50,"E",IF(GO16&gt;=0,"F","")))))))</f>
        <v>A</v>
      </c>
      <c r="GQ16" s="26">
        <f t="shared" si="143"/>
        <v>3.75</v>
      </c>
      <c r="GR16" s="24">
        <f t="shared" si="144"/>
        <v>20</v>
      </c>
      <c r="GS16" s="26">
        <f t="shared" si="145"/>
        <v>1588.4666666666667</v>
      </c>
      <c r="GT16" s="26">
        <f t="shared" si="146"/>
        <v>52</v>
      </c>
      <c r="GU16" s="26">
        <f t="shared" ref="GU16:GU25" si="332">IF(OR(GR16="",GS16=""),"",GS16/GR16)</f>
        <v>79.423333333333332</v>
      </c>
      <c r="GV16" s="24" t="str">
        <f t="shared" ref="GV16:GV25" si="333">IF(GU16="","",IF(GU16&gt;=90,"A",IF(GU16&gt;=80,"B",IF(GU16&gt;=70,"C",IF(GU16&gt;=60,"D",IF(GU16&gt;=50,"E",IF(GU16&gt;=0,"F","")))))))</f>
        <v>C</v>
      </c>
      <c r="GW16" s="27">
        <f t="shared" si="147"/>
        <v>2.6</v>
      </c>
      <c r="GX16" s="24">
        <f t="shared" si="148"/>
        <v>40</v>
      </c>
      <c r="GY16" s="27">
        <f t="shared" si="149"/>
        <v>3437.7000000000003</v>
      </c>
      <c r="GZ16" s="27">
        <f t="shared" ref="GZ16:GZ25" si="334">IF(SUM(EP16:FE16)=0,"",IF(OR(B16="",F16="I",15="II",F16="M",F16="A"),(SUM(FV16:GK16)),IF(OR(B16="",F16="II"),(SUM(GT16,GN16)))))</f>
        <v>127</v>
      </c>
      <c r="HA16" s="26">
        <f t="shared" ref="HA16:HA25" si="335">IF(OR(GX16=0,GY16=0),0,IF(OR(GX16="",GY16=""),"",GY16/GX16))</f>
        <v>85.94250000000001</v>
      </c>
      <c r="HB16" s="27" t="str">
        <f t="shared" ref="HB16:HB25" si="336">IF(HA16="","",IF(HA16&gt;=90,"A",IF(HA16&gt;=80,"B",IF(HA16&gt;=70,"C",IF(HA16&gt;=60,"D",IF(HA16&gt;=50,"E",IF(HA16&gt;=0,"F","")))))))</f>
        <v>B</v>
      </c>
      <c r="HC16" s="26">
        <f t="shared" si="150"/>
        <v>3.1749999999999998</v>
      </c>
      <c r="HD16" s="24">
        <f t="shared" si="151"/>
        <v>4</v>
      </c>
      <c r="HE16" s="24" t="str">
        <f t="shared" si="152"/>
        <v>6A</v>
      </c>
      <c r="HF16" s="24">
        <f t="shared" si="153"/>
        <v>11</v>
      </c>
      <c r="HG16" s="24">
        <f>IF(B16="","",'Q2'!$C$8)</f>
        <v>50</v>
      </c>
      <c r="HH16" s="24">
        <f>IF(A16="","",'Q2'!DE16)</f>
        <v>0</v>
      </c>
      <c r="HI16" s="24">
        <f>IF(B16="","",'Q2'!DF16)</f>
        <v>0</v>
      </c>
      <c r="HJ16" s="24">
        <f>IF(B16="","",'Q2'!DG16)</f>
        <v>0</v>
      </c>
      <c r="HK16" s="24">
        <f t="shared" si="154"/>
        <v>0</v>
      </c>
      <c r="HL16" s="25">
        <f t="shared" si="155"/>
        <v>1</v>
      </c>
      <c r="HM16" s="7">
        <v>80</v>
      </c>
      <c r="HN16" s="7">
        <v>75</v>
      </c>
      <c r="HO16" s="7">
        <v>95</v>
      </c>
      <c r="HP16" s="7">
        <v>75</v>
      </c>
      <c r="HQ16" s="7">
        <v>90</v>
      </c>
      <c r="HR16" s="7">
        <v>75</v>
      </c>
      <c r="HS16" s="7">
        <v>80</v>
      </c>
      <c r="HT16" s="7"/>
      <c r="HU16" s="7"/>
      <c r="HV16" s="7">
        <v>72</v>
      </c>
      <c r="HW16" s="7"/>
      <c r="HX16" s="7">
        <v>51</v>
      </c>
      <c r="HY16" s="7">
        <v>39</v>
      </c>
      <c r="HZ16" s="7">
        <v>87.5</v>
      </c>
      <c r="IA16" s="7">
        <v>93</v>
      </c>
      <c r="IB16" s="7">
        <v>65</v>
      </c>
      <c r="IC16" s="7" t="str">
        <f t="shared" si="156"/>
        <v>B</v>
      </c>
      <c r="ID16" s="7" t="str">
        <f t="shared" si="157"/>
        <v>C</v>
      </c>
      <c r="IE16" s="7" t="str">
        <f t="shared" si="158"/>
        <v>A</v>
      </c>
      <c r="IF16" s="7" t="str">
        <f t="shared" si="159"/>
        <v>C</v>
      </c>
      <c r="IG16" s="7" t="str">
        <f t="shared" si="160"/>
        <v>A</v>
      </c>
      <c r="IH16" s="7" t="str">
        <f t="shared" si="161"/>
        <v>C</v>
      </c>
      <c r="II16" s="7" t="str">
        <f t="shared" si="162"/>
        <v>B</v>
      </c>
      <c r="IJ16" s="7" t="str">
        <f t="shared" si="163"/>
        <v/>
      </c>
      <c r="IK16" s="7" t="str">
        <f t="shared" si="164"/>
        <v/>
      </c>
      <c r="IL16" s="24" t="str">
        <f t="shared" si="165"/>
        <v>C</v>
      </c>
      <c r="IM16" s="24" t="str">
        <f t="shared" si="166"/>
        <v/>
      </c>
      <c r="IN16" s="24" t="str">
        <f t="shared" si="167"/>
        <v>E</v>
      </c>
      <c r="IO16" s="24" t="str">
        <f t="shared" si="168"/>
        <v>F</v>
      </c>
      <c r="IP16" s="24" t="str">
        <f t="shared" si="169"/>
        <v>B</v>
      </c>
      <c r="IQ16" s="24" t="str">
        <f t="shared" si="170"/>
        <v>A</v>
      </c>
      <c r="IR16" s="24" t="str">
        <f t="shared" si="171"/>
        <v>D</v>
      </c>
      <c r="IS16" s="24">
        <f t="shared" si="172"/>
        <v>2</v>
      </c>
      <c r="IT16" s="24">
        <f t="shared" si="173"/>
        <v>2</v>
      </c>
      <c r="IU16" s="24">
        <f t="shared" si="174"/>
        <v>3</v>
      </c>
      <c r="IV16" s="24">
        <f t="shared" si="175"/>
        <v>1</v>
      </c>
      <c r="IW16" s="24">
        <f t="shared" si="176"/>
        <v>5</v>
      </c>
      <c r="IX16" s="24">
        <f t="shared" si="177"/>
        <v>3</v>
      </c>
      <c r="IY16" s="24">
        <f t="shared" si="178"/>
        <v>2</v>
      </c>
      <c r="IZ16" s="24" t="str">
        <f t="shared" si="179"/>
        <v/>
      </c>
      <c r="JA16" s="24" t="str">
        <f t="shared" si="180"/>
        <v/>
      </c>
      <c r="JB16" s="24">
        <f t="shared" si="181"/>
        <v>5</v>
      </c>
      <c r="JC16" s="24" t="str">
        <f t="shared" si="182"/>
        <v/>
      </c>
      <c r="JD16" s="24">
        <f t="shared" si="183"/>
        <v>5</v>
      </c>
      <c r="JE16" s="24">
        <f t="shared" si="184"/>
        <v>3</v>
      </c>
      <c r="JF16" s="24">
        <f t="shared" si="185"/>
        <v>2</v>
      </c>
      <c r="JG16" s="24">
        <f t="shared" si="186"/>
        <v>2</v>
      </c>
      <c r="JH16" s="24">
        <f t="shared" si="187"/>
        <v>2</v>
      </c>
      <c r="JI16" s="26">
        <f t="shared" si="188"/>
        <v>160</v>
      </c>
      <c r="JJ16" s="26">
        <f t="shared" si="189"/>
        <v>150</v>
      </c>
      <c r="JK16" s="26">
        <f t="shared" si="190"/>
        <v>285</v>
      </c>
      <c r="JL16" s="26">
        <f t="shared" si="191"/>
        <v>75</v>
      </c>
      <c r="JM16" s="26">
        <f t="shared" si="192"/>
        <v>450</v>
      </c>
      <c r="JN16" s="26">
        <f t="shared" si="193"/>
        <v>225</v>
      </c>
      <c r="JO16" s="26">
        <f t="shared" si="194"/>
        <v>160</v>
      </c>
      <c r="JP16" s="26" t="str">
        <f t="shared" si="195"/>
        <v/>
      </c>
      <c r="JQ16" s="24">
        <f t="shared" si="196"/>
        <v>360</v>
      </c>
      <c r="JR16" s="24" t="str">
        <f t="shared" si="197"/>
        <v/>
      </c>
      <c r="JS16" s="24">
        <f t="shared" si="198"/>
        <v>255</v>
      </c>
      <c r="JT16" s="24">
        <f t="shared" si="199"/>
        <v>117</v>
      </c>
      <c r="JU16" s="24">
        <f t="shared" si="200"/>
        <v>175</v>
      </c>
      <c r="JV16" s="24">
        <f t="shared" si="201"/>
        <v>186</v>
      </c>
      <c r="JW16" s="24">
        <f t="shared" si="202"/>
        <v>130</v>
      </c>
      <c r="JX16" s="24">
        <f t="shared" si="203"/>
        <v>6</v>
      </c>
      <c r="JY16" s="24">
        <f t="shared" si="204"/>
        <v>4</v>
      </c>
      <c r="JZ16" s="24">
        <f t="shared" si="205"/>
        <v>12</v>
      </c>
      <c r="KA16" s="24">
        <f t="shared" si="206"/>
        <v>2</v>
      </c>
      <c r="KB16" s="24">
        <f t="shared" si="207"/>
        <v>20</v>
      </c>
      <c r="KC16" s="24">
        <f t="shared" si="208"/>
        <v>6</v>
      </c>
      <c r="KD16" s="24">
        <f t="shared" si="209"/>
        <v>6</v>
      </c>
      <c r="KE16" s="24" t="str">
        <f t="shared" si="210"/>
        <v/>
      </c>
      <c r="KF16" s="24" t="str">
        <f t="shared" si="211"/>
        <v/>
      </c>
      <c r="KG16" s="24">
        <f t="shared" si="212"/>
        <v>10</v>
      </c>
      <c r="KH16" s="24" t="str">
        <f t="shared" si="213"/>
        <v/>
      </c>
      <c r="KI16" s="24">
        <f t="shared" si="214"/>
        <v>5</v>
      </c>
      <c r="KJ16" s="24">
        <f t="shared" si="215"/>
        <v>0</v>
      </c>
      <c r="KK16" s="24">
        <f t="shared" si="216"/>
        <v>6</v>
      </c>
      <c r="KL16" s="24">
        <f t="shared" si="217"/>
        <v>8</v>
      </c>
      <c r="KM16" s="24">
        <f t="shared" si="218"/>
        <v>3</v>
      </c>
      <c r="KN16" s="24">
        <f t="shared" si="219"/>
        <v>18</v>
      </c>
      <c r="KO16" s="26">
        <f t="shared" si="220"/>
        <v>1505</v>
      </c>
      <c r="KP16" s="26">
        <f t="shared" si="221"/>
        <v>56</v>
      </c>
      <c r="KQ16" s="26">
        <f t="shared" ref="KQ16:KQ25" si="337">IF(OR(KN16="",KO16=""),"",KO16/KN16)</f>
        <v>83.611111111111114</v>
      </c>
      <c r="KR16" s="24" t="str">
        <f t="shared" ref="KR16:KR25" si="338">IF(KQ16="","",IF(KQ16&gt;=90,"A",IF(KQ16&gt;=80,"B",IF(KQ16&gt;=70,"C",IF(KQ16&gt;=60,"D",IF(KQ16&gt;=50,"E",IF(KQ16&gt;=0,"F","")))))))</f>
        <v>B</v>
      </c>
      <c r="KS16" s="26">
        <f t="shared" si="222"/>
        <v>3.1111111111111112</v>
      </c>
      <c r="KT16" s="24">
        <f t="shared" si="223"/>
        <v>19</v>
      </c>
      <c r="KU16" s="24">
        <f t="shared" si="224"/>
        <v>1223</v>
      </c>
      <c r="KV16" s="26">
        <f t="shared" si="225"/>
        <v>32</v>
      </c>
      <c r="KW16" s="26">
        <f t="shared" ref="KW16:KW25" si="339">IF(OR(KT16="",KU16=""),"",KU16/KT16)</f>
        <v>64.368421052631575</v>
      </c>
      <c r="KX16" s="24" t="str">
        <f t="shared" ref="KX16:KX25" si="340">IF(KW16="","",IF(KW16&gt;=90,"A",IF(KW16&gt;=80,"B",IF(KW16&gt;=70,"C",IF(KW16&gt;=60,"D",IF(KW16&gt;=50,"E",IF(KW16&gt;=0,"F","")))))))</f>
        <v>D</v>
      </c>
      <c r="KY16" s="27">
        <f t="shared" si="226"/>
        <v>1.6842105263157894</v>
      </c>
      <c r="KZ16" s="24">
        <f t="shared" si="227"/>
        <v>37</v>
      </c>
      <c r="LA16" s="27">
        <f t="shared" si="228"/>
        <v>2728</v>
      </c>
      <c r="LB16" s="27">
        <f t="shared" si="229"/>
        <v>88</v>
      </c>
      <c r="LC16" s="26">
        <f t="shared" ref="LC16:LC25" si="341">IF(OR(KZ16=0,LA16=0),0,IF(OR(KZ16="",LA16=""),"",LA16/KZ16))</f>
        <v>73.729729729729726</v>
      </c>
      <c r="LD16" s="24" t="str">
        <f t="shared" ref="LD16:LD25" si="342">IF(LC16="","",IF(LC16&gt;=90,"A",IF(LC16&gt;=80,"B",IF(LC16&gt;=70,"C",IF(LC16&gt;=60,"D",IF(LC16&gt;=50,"E",IF(LC16&gt;=0,"F","")))))))</f>
        <v>C</v>
      </c>
      <c r="LE16" s="26">
        <f t="shared" si="230"/>
        <v>2.3783783783783785</v>
      </c>
      <c r="LF16" s="24">
        <f t="shared" si="231"/>
        <v>4</v>
      </c>
      <c r="LG16" s="24" t="str">
        <f t="shared" si="232"/>
        <v>6A</v>
      </c>
      <c r="LH16" s="24">
        <f t="shared" si="233"/>
        <v>11</v>
      </c>
      <c r="LI16" s="26">
        <f>IF('Q2'!G16="","",SUM((AVERAGE('Q1'!G16,'Q2'!G16)*0.5))+(HM16*0.5))</f>
        <v>80.5</v>
      </c>
      <c r="LJ16" s="26">
        <f>IF('Q2'!H16="","",SUM((AVERAGE('Q1'!H16,'Q2'!H16)*0.5))+(HN16*0.5))</f>
        <v>83</v>
      </c>
      <c r="LK16" s="26">
        <f>IF('Q2'!I16="","",SUM((AVERAGE('Q1'!I16,'Q2'!I16)*0.5))+(HO16*0.5))</f>
        <v>93.333333333333343</v>
      </c>
      <c r="LL16" s="26">
        <f>IF('Q2'!J16="","",SUM((AVERAGE('Q1'!J16,'Q2'!J16)*0.5))+(HP16*0.5))</f>
        <v>78.333333333333343</v>
      </c>
      <c r="LM16" s="26">
        <f>IF('Q2'!K16="","",SUM((AVERAGE('Q1'!K16,'Q2'!K16)*0.5))+(HQ16*0.5))</f>
        <v>90.575000000000003</v>
      </c>
      <c r="LN16" s="26">
        <f>IF('Q2'!L16="","",SUM((AVERAGE('Q1'!L16,'Q2'!L16)*0.5))+(HR16*0.5))</f>
        <v>81.89166666666668</v>
      </c>
      <c r="LO16" s="26">
        <f>IF('Q2'!M16="","",SUM((AVERAGE('Q1'!M16,'Q2'!M16)*0.5))+(HS16*0.5))</f>
        <v>85.091666666666669</v>
      </c>
      <c r="LP16" s="26">
        <f>IF('Q2'!N16="","",SUM((AVERAGE('Q1'!N16,'Q2'!N16)*1)))</f>
        <v>95</v>
      </c>
      <c r="LQ16" s="26">
        <f>IF('Q2'!O16="","",SUM((AVERAGE('Q1'!O16,'Q2'!O16)*1)))</f>
        <v>95</v>
      </c>
      <c r="LR16" s="26">
        <f>IF('Q2'!P16="","",SUM((AVERAGE('Q1'!P16,'Q2'!P16)*0.5))+(HV16*0.5))</f>
        <v>80.489166666666677</v>
      </c>
      <c r="LS16" s="26">
        <f>IF('Q2'!Q16="","",SUM((AVERAGE('Q1'!Q16,'Q2'!Q16)*1))+(HW16*1))</f>
        <v>88.978333333333339</v>
      </c>
      <c r="LT16" s="26">
        <f>IF('Q2'!R16="","",SUM((AVERAGE('Q1'!R16,'Q2'!R16)*0.5))+(HX16*0.5))</f>
        <v>55.807499999999997</v>
      </c>
      <c r="LU16" s="26">
        <f>IF('Q2'!S16="","",SUM((AVERAGE('Q1'!S16,'Q2'!S16)*0.5))+(HY16*0.5))</f>
        <v>50.992424242424242</v>
      </c>
      <c r="LV16" s="26">
        <f>IF('Q2'!T16="","",SUM((AVERAGE('Q1'!T16,'Q2'!T16)*0.5))+(HZ16*0.5))</f>
        <v>86.8</v>
      </c>
      <c r="LW16" s="26">
        <f>IF('Q2'!U16="","",SUM((AVERAGE('Q1'!U16,'Q2'!U16)*0.5))+(IA16*0.5))</f>
        <v>91.833333333333343</v>
      </c>
      <c r="LX16" s="26">
        <f>IF('Q2'!V16="","",SUM((AVERAGE('Q1'!V16,'Q2'!V16)*0.5))+(IB16*0.5))</f>
        <v>74.616666666666674</v>
      </c>
      <c r="LY16" s="26" t="str">
        <f t="shared" si="234"/>
        <v>B</v>
      </c>
      <c r="LZ16" s="26" t="str">
        <f t="shared" si="235"/>
        <v>B</v>
      </c>
      <c r="MA16" s="26" t="str">
        <f t="shared" si="236"/>
        <v>A</v>
      </c>
      <c r="MB16" s="26" t="str">
        <f t="shared" si="237"/>
        <v>C</v>
      </c>
      <c r="MC16" s="26" t="str">
        <f t="shared" si="238"/>
        <v>A</v>
      </c>
      <c r="MD16" s="26" t="str">
        <f t="shared" si="239"/>
        <v>B</v>
      </c>
      <c r="ME16" s="26" t="str">
        <f t="shared" si="240"/>
        <v>B</v>
      </c>
      <c r="MF16" s="26" t="str">
        <f t="shared" si="241"/>
        <v>A</v>
      </c>
      <c r="MG16" s="26" t="str">
        <f t="shared" si="242"/>
        <v>A</v>
      </c>
      <c r="MH16" s="24" t="str">
        <f t="shared" si="243"/>
        <v>B</v>
      </c>
      <c r="MI16" s="24" t="str">
        <f t="shared" si="244"/>
        <v>B</v>
      </c>
      <c r="MJ16" s="24" t="str">
        <f t="shared" si="245"/>
        <v>E</v>
      </c>
      <c r="MK16" s="24" t="str">
        <f t="shared" si="246"/>
        <v>E</v>
      </c>
      <c r="ML16" s="24" t="str">
        <f t="shared" si="247"/>
        <v>B</v>
      </c>
      <c r="MM16" s="24" t="str">
        <f t="shared" si="248"/>
        <v>A</v>
      </c>
      <c r="MN16" s="24" t="str">
        <f t="shared" si="249"/>
        <v>C</v>
      </c>
      <c r="MO16" s="24">
        <f t="shared" si="250"/>
        <v>2</v>
      </c>
      <c r="MP16" s="24">
        <f t="shared" si="251"/>
        <v>2</v>
      </c>
      <c r="MQ16" s="24">
        <f t="shared" si="252"/>
        <v>3</v>
      </c>
      <c r="MR16" s="24">
        <f t="shared" si="253"/>
        <v>1</v>
      </c>
      <c r="MS16" s="24">
        <f t="shared" si="254"/>
        <v>5</v>
      </c>
      <c r="MT16" s="24">
        <f t="shared" si="255"/>
        <v>3</v>
      </c>
      <c r="MU16" s="24">
        <f t="shared" si="256"/>
        <v>2</v>
      </c>
      <c r="MV16" s="24">
        <f t="shared" si="257"/>
        <v>1</v>
      </c>
      <c r="MW16" s="24">
        <f t="shared" si="258"/>
        <v>1</v>
      </c>
      <c r="MX16" s="24">
        <f t="shared" si="259"/>
        <v>5</v>
      </c>
      <c r="MY16" s="24">
        <f t="shared" si="260"/>
        <v>1</v>
      </c>
      <c r="MZ16" s="24">
        <f t="shared" si="261"/>
        <v>5</v>
      </c>
      <c r="NA16" s="24">
        <f t="shared" si="262"/>
        <v>3</v>
      </c>
      <c r="NB16" s="24">
        <f t="shared" si="263"/>
        <v>2</v>
      </c>
      <c r="NC16" s="24">
        <f t="shared" si="264"/>
        <v>2</v>
      </c>
      <c r="ND16" s="24">
        <f t="shared" si="265"/>
        <v>2</v>
      </c>
      <c r="NE16" s="26">
        <f t="shared" si="266"/>
        <v>161</v>
      </c>
      <c r="NF16" s="26">
        <f t="shared" si="267"/>
        <v>166</v>
      </c>
      <c r="NG16" s="26">
        <f t="shared" si="268"/>
        <v>280</v>
      </c>
      <c r="NH16" s="26">
        <f t="shared" si="269"/>
        <v>78.333333333333343</v>
      </c>
      <c r="NI16" s="26">
        <f t="shared" si="270"/>
        <v>452.875</v>
      </c>
      <c r="NJ16" s="26">
        <f t="shared" si="271"/>
        <v>245.67500000000004</v>
      </c>
      <c r="NK16" s="26">
        <f t="shared" si="272"/>
        <v>170.18333333333334</v>
      </c>
      <c r="NL16" s="26">
        <f t="shared" si="273"/>
        <v>95</v>
      </c>
      <c r="NM16" s="26">
        <f t="shared" si="274"/>
        <v>95</v>
      </c>
      <c r="NN16" s="26">
        <f t="shared" si="275"/>
        <v>402.44583333333338</v>
      </c>
      <c r="NO16" s="26">
        <f t="shared" si="276"/>
        <v>88.978333333333339</v>
      </c>
      <c r="NP16" s="26">
        <f t="shared" si="277"/>
        <v>279.03749999999997</v>
      </c>
      <c r="NQ16" s="26">
        <f t="shared" si="278"/>
        <v>152.97727272727272</v>
      </c>
      <c r="NR16" s="26">
        <f t="shared" si="279"/>
        <v>173.6</v>
      </c>
      <c r="NS16" s="26">
        <f t="shared" si="280"/>
        <v>183.66666666666669</v>
      </c>
      <c r="NT16" s="26">
        <f t="shared" si="281"/>
        <v>149.23333333333335</v>
      </c>
      <c r="NU16" s="24">
        <f t="shared" si="282"/>
        <v>6</v>
      </c>
      <c r="NV16" s="24">
        <f t="shared" si="283"/>
        <v>6</v>
      </c>
      <c r="NW16" s="24">
        <f t="shared" si="284"/>
        <v>12</v>
      </c>
      <c r="NX16" s="24">
        <f t="shared" si="285"/>
        <v>2</v>
      </c>
      <c r="NY16" s="24">
        <f t="shared" si="286"/>
        <v>20</v>
      </c>
      <c r="NZ16" s="24">
        <f t="shared" si="287"/>
        <v>9</v>
      </c>
      <c r="OA16" s="24">
        <f t="shared" si="288"/>
        <v>6</v>
      </c>
      <c r="OB16" s="24">
        <f t="shared" si="289"/>
        <v>4</v>
      </c>
      <c r="OC16" s="24">
        <f t="shared" si="290"/>
        <v>4</v>
      </c>
      <c r="OD16" s="24">
        <f t="shared" si="291"/>
        <v>15</v>
      </c>
      <c r="OE16" s="24">
        <f t="shared" si="292"/>
        <v>3</v>
      </c>
      <c r="OF16" s="24">
        <f t="shared" si="293"/>
        <v>5</v>
      </c>
      <c r="OG16" s="24">
        <f t="shared" si="294"/>
        <v>3</v>
      </c>
      <c r="OH16" s="24">
        <f t="shared" si="295"/>
        <v>6</v>
      </c>
      <c r="OI16" s="24">
        <f t="shared" si="296"/>
        <v>8</v>
      </c>
      <c r="OJ16" s="24">
        <f t="shared" si="297"/>
        <v>4</v>
      </c>
      <c r="OK16" s="24">
        <f t="shared" si="298"/>
        <v>20</v>
      </c>
      <c r="OL16" s="24">
        <f t="shared" si="299"/>
        <v>1744.0666666666668</v>
      </c>
      <c r="OM16" s="26">
        <f t="shared" si="300"/>
        <v>69</v>
      </c>
      <c r="ON16" s="26">
        <f t="shared" ref="ON16:ON27" si="343">IF(OR(OK16="",OL16=""),"",OL16/OK16)</f>
        <v>87.203333333333347</v>
      </c>
      <c r="OO16" s="24" t="str">
        <f t="shared" ref="OO16:OO25" si="344">IF(ON16="","",IF(ON16&gt;=90,"A",IF(ON16&gt;=80,"B",IF(ON16&gt;=70,"C",IF(ON16&gt;=60,"D",IF(ON16&gt;=50,"E",IF(ON16&gt;=0,"F","")))))))</f>
        <v>B</v>
      </c>
      <c r="OP16" s="26">
        <f t="shared" si="301"/>
        <v>3.45</v>
      </c>
      <c r="OQ16" s="24">
        <f t="shared" si="302"/>
        <v>20</v>
      </c>
      <c r="OR16" s="26">
        <f t="shared" si="303"/>
        <v>1429.9389393939396</v>
      </c>
      <c r="OS16" s="26">
        <f t="shared" si="304"/>
        <v>44</v>
      </c>
      <c r="OT16" s="26">
        <f t="shared" ref="OT16:OT25" si="345">IF(OR(OQ16="",OR16=""),"",OR16/OQ16)</f>
        <v>71.496946969696978</v>
      </c>
      <c r="OU16" s="24" t="str">
        <f t="shared" ref="OU16:OU25" si="346">IF(OT16="","",IF(OT16&gt;=90,"A",IF(OT16&gt;=80,"B",IF(OT16&gt;=70,"C",IF(OT16&gt;=60,"D",IF(OT16&gt;=50,"E",IF(OT16&gt;=0,"F","")))))))</f>
        <v>C</v>
      </c>
      <c r="OV16" s="27">
        <f t="shared" si="305"/>
        <v>2.2000000000000002</v>
      </c>
      <c r="OW16" s="24">
        <f t="shared" si="306"/>
        <v>40</v>
      </c>
      <c r="OX16" s="27">
        <f t="shared" si="307"/>
        <v>3174.0056060606057</v>
      </c>
      <c r="OY16" s="27">
        <f t="shared" si="308"/>
        <v>113</v>
      </c>
      <c r="OZ16" s="26">
        <f t="shared" ref="OZ16:OZ25" si="347">IF(OR(OW16=0,OX16=0),0,IF(OR(OW16="",OX16=""),"",OX16/OW16))</f>
        <v>79.350140151515149</v>
      </c>
      <c r="PA16" s="27" t="str">
        <f t="shared" ref="PA16:PA25" si="348">IF(OZ16="","",IF(OZ16&gt;=90,"A",IF(OZ16&gt;=80,"B",IF(OZ16&gt;=70,"C",IF(OZ16&gt;=60,"D",IF(OZ16&gt;=50,"E",IF(OZ16&gt;=0,"F","")))))))</f>
        <v>C</v>
      </c>
      <c r="PB16" s="26">
        <f t="shared" si="309"/>
        <v>2.8250000000000002</v>
      </c>
      <c r="PC16" s="24">
        <f t="shared" si="310"/>
        <v>5</v>
      </c>
      <c r="PD16" s="24" t="str">
        <f t="shared" si="311"/>
        <v>6A</v>
      </c>
      <c r="PE16" s="24">
        <f t="shared" si="312"/>
        <v>11</v>
      </c>
      <c r="PF16" s="24">
        <f t="shared" si="313"/>
        <v>100</v>
      </c>
      <c r="PG16" s="24">
        <f t="shared" si="314"/>
        <v>0</v>
      </c>
      <c r="PH16" s="24">
        <f t="shared" si="315"/>
        <v>0</v>
      </c>
      <c r="PI16" s="24">
        <f t="shared" si="316"/>
        <v>0</v>
      </c>
      <c r="PJ16" s="24">
        <f t="shared" si="317"/>
        <v>0</v>
      </c>
      <c r="PK16" s="25">
        <f t="shared" si="318"/>
        <v>1</v>
      </c>
    </row>
    <row r="17" spans="1:427" ht="27" customHeight="1" x14ac:dyDescent="0.35">
      <c r="A17" s="24">
        <f t="shared" ref="A17:A27" si="349">IF(B17="","",A16+1)</f>
        <v>3</v>
      </c>
      <c r="B17" s="28" t="str">
        <f>IF('Q1'!B17="","",'Q1'!B17)</f>
        <v>Phal Mengly</v>
      </c>
      <c r="C17" s="30" t="str">
        <f>IF('Q1'!C17="","",'Q1'!C17)</f>
        <v>ផល ម៉េងលី</v>
      </c>
      <c r="D17" s="28">
        <v>3</v>
      </c>
      <c r="E17" s="24" t="s">
        <v>124</v>
      </c>
      <c r="F17" s="24" t="str">
        <f>IF('Q1'!F17="","",'Q1'!F17)</f>
        <v>I</v>
      </c>
      <c r="G17" s="26">
        <f>IF('Q1'!G17="","",'Q1'!G17)</f>
        <v>76</v>
      </c>
      <c r="H17" s="26">
        <f>IF('Q1'!H17="","",'Q1'!H17)</f>
        <v>85.866666666666674</v>
      </c>
      <c r="I17" s="26">
        <f>IF('Q1'!I17="","",'Q1'!I17)</f>
        <v>85.866666666666674</v>
      </c>
      <c r="J17" s="26">
        <f>IF('Q1'!J17="","",'Q1'!J17)</f>
        <v>64</v>
      </c>
      <c r="K17" s="26">
        <f>IF('Q1'!K17="","",'Q1'!K17)</f>
        <v>85.5</v>
      </c>
      <c r="L17" s="26">
        <f>IF('Q1'!L17="","",'Q1'!L17)</f>
        <v>85.2</v>
      </c>
      <c r="M17" s="26">
        <f>IF('Q1'!M17="","",'Q1'!M17)</f>
        <v>85.866666666666674</v>
      </c>
      <c r="N17" s="26">
        <f>IF('Q1'!N17="","",'Q1'!N17)</f>
        <v>91.666666666666671</v>
      </c>
      <c r="O17" s="26">
        <f>IF('Q1'!O17="","",'Q1'!O17)</f>
        <v>91.666666666666671</v>
      </c>
      <c r="P17" s="26">
        <f>IF('Q1'!P17="","",'Q1'!P17)</f>
        <v>93.146666666666675</v>
      </c>
      <c r="Q17" s="26">
        <f>IF('Q1'!Q17="","",'Q1'!Q17)</f>
        <v>93.146666666666675</v>
      </c>
      <c r="R17" s="26">
        <f>IF('Q1'!R17="","",'Q1'!R17)</f>
        <v>66.73</v>
      </c>
      <c r="S17" s="26">
        <f>IF('Q1'!S17="","",'Q1'!S17)</f>
        <v>58.45454545454546</v>
      </c>
      <c r="T17" s="26">
        <f>IF('Q1'!T17="","",'Q1'!T17)</f>
        <v>63</v>
      </c>
      <c r="U17" s="26">
        <f>IF('Q1'!U17="","",'Q1'!U17)</f>
        <v>89.800000000000011</v>
      </c>
      <c r="V17" s="26">
        <f>IF('Q1'!V17="","",'Q1'!V17)</f>
        <v>91</v>
      </c>
      <c r="W17" s="26" t="str">
        <f t="shared" si="0"/>
        <v>C</v>
      </c>
      <c r="X17" s="26" t="str">
        <f t="shared" si="1"/>
        <v>B</v>
      </c>
      <c r="Y17" s="26" t="str">
        <f t="shared" si="2"/>
        <v>B</v>
      </c>
      <c r="Z17" s="26" t="str">
        <f t="shared" si="3"/>
        <v>D</v>
      </c>
      <c r="AA17" s="26" t="str">
        <f t="shared" si="4"/>
        <v>B</v>
      </c>
      <c r="AB17" s="26" t="str">
        <f t="shared" si="5"/>
        <v>B</v>
      </c>
      <c r="AC17" s="26" t="str">
        <f t="shared" si="6"/>
        <v>B</v>
      </c>
      <c r="AD17" s="26" t="str">
        <f t="shared" si="7"/>
        <v>A</v>
      </c>
      <c r="AE17" s="26" t="str">
        <f t="shared" si="8"/>
        <v>A</v>
      </c>
      <c r="AF17" s="24" t="str">
        <f t="shared" si="9"/>
        <v>A</v>
      </c>
      <c r="AG17" s="24" t="str">
        <f t="shared" si="10"/>
        <v>A</v>
      </c>
      <c r="AH17" s="24" t="str">
        <f t="shared" si="11"/>
        <v>D</v>
      </c>
      <c r="AI17" s="24" t="str">
        <f t="shared" si="12"/>
        <v>E</v>
      </c>
      <c r="AJ17" s="24" t="str">
        <f t="shared" si="13"/>
        <v>D</v>
      </c>
      <c r="AK17" s="24" t="str">
        <f t="shared" si="14"/>
        <v>B</v>
      </c>
      <c r="AL17" s="24" t="str">
        <f t="shared" si="15"/>
        <v>A</v>
      </c>
      <c r="AM17" s="24">
        <f t="shared" si="16"/>
        <v>2</v>
      </c>
      <c r="AN17" s="24">
        <f t="shared" si="17"/>
        <v>2</v>
      </c>
      <c r="AO17" s="24">
        <f t="shared" si="18"/>
        <v>3</v>
      </c>
      <c r="AP17" s="24">
        <f t="shared" si="19"/>
        <v>1</v>
      </c>
      <c r="AQ17" s="24">
        <f t="shared" si="20"/>
        <v>5</v>
      </c>
      <c r="AR17" s="24">
        <f t="shared" si="21"/>
        <v>3</v>
      </c>
      <c r="AS17" s="24">
        <f t="shared" si="22"/>
        <v>2</v>
      </c>
      <c r="AT17" s="24">
        <f t="shared" si="23"/>
        <v>1</v>
      </c>
      <c r="AU17" s="24">
        <f t="shared" si="24"/>
        <v>1</v>
      </c>
      <c r="AV17" s="24">
        <f t="shared" si="25"/>
        <v>5</v>
      </c>
      <c r="AW17" s="24">
        <f t="shared" si="26"/>
        <v>1</v>
      </c>
      <c r="AX17" s="24">
        <f t="shared" si="27"/>
        <v>5</v>
      </c>
      <c r="AY17" s="24">
        <f t="shared" si="28"/>
        <v>3</v>
      </c>
      <c r="AZ17" s="24">
        <f t="shared" si="29"/>
        <v>2</v>
      </c>
      <c r="BA17" s="24">
        <f t="shared" si="30"/>
        <v>2</v>
      </c>
      <c r="BB17" s="24">
        <f t="shared" si="31"/>
        <v>2</v>
      </c>
      <c r="BC17" s="26">
        <f t="shared" si="32"/>
        <v>152</v>
      </c>
      <c r="BD17" s="26">
        <f t="shared" si="33"/>
        <v>171.73333333333335</v>
      </c>
      <c r="BE17" s="26">
        <f t="shared" si="34"/>
        <v>257.60000000000002</v>
      </c>
      <c r="BF17" s="26">
        <f t="shared" si="35"/>
        <v>64</v>
      </c>
      <c r="BG17" s="26">
        <f t="shared" si="36"/>
        <v>427.5</v>
      </c>
      <c r="BH17" s="26">
        <f t="shared" si="37"/>
        <v>255.60000000000002</v>
      </c>
      <c r="BI17" s="26">
        <f t="shared" si="38"/>
        <v>171.73333333333335</v>
      </c>
      <c r="BJ17" s="26">
        <f t="shared" si="39"/>
        <v>91.666666666666671</v>
      </c>
      <c r="BK17" s="26">
        <f t="shared" si="40"/>
        <v>91.666666666666671</v>
      </c>
      <c r="BL17" s="26">
        <f t="shared" si="41"/>
        <v>465.73333333333335</v>
      </c>
      <c r="BM17" s="26">
        <f t="shared" si="42"/>
        <v>93.146666666666675</v>
      </c>
      <c r="BN17" s="26">
        <f t="shared" si="43"/>
        <v>333.65000000000003</v>
      </c>
      <c r="BO17" s="26">
        <f t="shared" si="44"/>
        <v>175.36363636363637</v>
      </c>
      <c r="BP17" s="26">
        <f t="shared" si="45"/>
        <v>126</v>
      </c>
      <c r="BQ17" s="26">
        <f t="shared" si="46"/>
        <v>179.60000000000002</v>
      </c>
      <c r="BR17" s="26">
        <f t="shared" si="47"/>
        <v>182</v>
      </c>
      <c r="BS17" s="24">
        <f t="shared" si="48"/>
        <v>4</v>
      </c>
      <c r="BT17" s="24">
        <f t="shared" si="49"/>
        <v>6</v>
      </c>
      <c r="BU17" s="24">
        <f t="shared" si="50"/>
        <v>9</v>
      </c>
      <c r="BV17" s="24">
        <f t="shared" si="51"/>
        <v>1.5</v>
      </c>
      <c r="BW17" s="24">
        <f t="shared" si="52"/>
        <v>15</v>
      </c>
      <c r="BX17" s="24">
        <f t="shared" si="53"/>
        <v>9</v>
      </c>
      <c r="BY17" s="24">
        <f t="shared" si="54"/>
        <v>6</v>
      </c>
      <c r="BZ17" s="24">
        <f t="shared" si="55"/>
        <v>4</v>
      </c>
      <c r="CA17" s="24">
        <f t="shared" si="56"/>
        <v>4</v>
      </c>
      <c r="CB17" s="24">
        <f t="shared" si="57"/>
        <v>20</v>
      </c>
      <c r="CC17" s="24">
        <f t="shared" si="58"/>
        <v>4</v>
      </c>
      <c r="CD17" s="24">
        <f t="shared" si="59"/>
        <v>7.5</v>
      </c>
      <c r="CE17" s="24">
        <f t="shared" si="60"/>
        <v>3</v>
      </c>
      <c r="CF17" s="24">
        <f t="shared" si="61"/>
        <v>3</v>
      </c>
      <c r="CG17" s="24">
        <f t="shared" si="62"/>
        <v>6</v>
      </c>
      <c r="CH17" s="24">
        <f t="shared" si="63"/>
        <v>8</v>
      </c>
      <c r="CI17" s="24">
        <f t="shared" si="319"/>
        <v>20</v>
      </c>
      <c r="CJ17" s="26">
        <f t="shared" si="64"/>
        <v>1683.5000000000002</v>
      </c>
      <c r="CK17" s="26">
        <f t="shared" si="320"/>
        <v>58.5</v>
      </c>
      <c r="CL17" s="26">
        <f t="shared" si="321"/>
        <v>84.175000000000011</v>
      </c>
      <c r="CM17" s="24" t="str">
        <f t="shared" si="322"/>
        <v>B</v>
      </c>
      <c r="CN17" s="26">
        <f t="shared" si="65"/>
        <v>2.9249999999999998</v>
      </c>
      <c r="CO17" s="24">
        <f t="shared" si="66"/>
        <v>20</v>
      </c>
      <c r="CP17" s="26">
        <f t="shared" si="67"/>
        <v>1555.4936363636361</v>
      </c>
      <c r="CQ17" s="26">
        <f t="shared" si="68"/>
        <v>51.5</v>
      </c>
      <c r="CR17" s="26">
        <f t="shared" si="323"/>
        <v>77.774681818181804</v>
      </c>
      <c r="CS17" s="24" t="str">
        <f t="shared" si="324"/>
        <v>C</v>
      </c>
      <c r="CT17" s="27">
        <f t="shared" si="69"/>
        <v>2.5750000000000002</v>
      </c>
      <c r="CU17" s="24">
        <f t="shared" si="325"/>
        <v>40</v>
      </c>
      <c r="CV17" s="26">
        <f t="shared" si="326"/>
        <v>3238.9936363636366</v>
      </c>
      <c r="CW17" s="26">
        <f t="shared" si="327"/>
        <v>110</v>
      </c>
      <c r="CX17" s="26">
        <f t="shared" si="328"/>
        <v>80.974840909090915</v>
      </c>
      <c r="CY17" s="24" t="str">
        <f t="shared" si="329"/>
        <v>B</v>
      </c>
      <c r="CZ17" s="26">
        <f t="shared" si="70"/>
        <v>2.75</v>
      </c>
      <c r="DA17" s="24">
        <f t="shared" si="71"/>
        <v>5</v>
      </c>
      <c r="DB17" s="24" t="str">
        <f t="shared" si="72"/>
        <v>6A</v>
      </c>
      <c r="DC17" s="24">
        <f t="shared" si="73"/>
        <v>11</v>
      </c>
      <c r="DD17" s="24">
        <f>IF(B17="","",'Q1'!$C$8)</f>
        <v>50</v>
      </c>
      <c r="DE17" s="24">
        <f>IF(A17="","",'Q1'!DE17)</f>
        <v>0</v>
      </c>
      <c r="DF17" s="24">
        <f>IF(B17="","",'Q1'!DF17)</f>
        <v>0</v>
      </c>
      <c r="DG17" s="24">
        <f>IF(B17="","",'Q1'!DG17)</f>
        <v>1</v>
      </c>
      <c r="DH17" s="24">
        <f t="shared" si="74"/>
        <v>1</v>
      </c>
      <c r="DI17" s="25">
        <f t="shared" si="75"/>
        <v>0.98</v>
      </c>
      <c r="DJ17" s="26">
        <f>IF('Q2'!G17="","",'Q2'!G17)</f>
        <v>90.333333333333343</v>
      </c>
      <c r="DK17" s="26">
        <f>IF('Q2'!H17="","",'Q2'!H17)</f>
        <v>92.300000000000011</v>
      </c>
      <c r="DL17" s="26">
        <f>IF('Q2'!I17="","",'Q2'!I17)</f>
        <v>91.633333333333326</v>
      </c>
      <c r="DM17" s="26">
        <f>IF('Q2'!J17="","",'Q2'!J17)</f>
        <v>90.333333333333343</v>
      </c>
      <c r="DN17" s="26">
        <f>IF('Q2'!K17="","",'Q2'!K17)</f>
        <v>91.733333333333348</v>
      </c>
      <c r="DO17" s="26">
        <f>IF('Q2'!L17="","",'Q2'!L17)</f>
        <v>92.4</v>
      </c>
      <c r="DP17" s="26">
        <f>IF('Q2'!M17="","",'Q2'!M17)</f>
        <v>91.733333333333334</v>
      </c>
      <c r="DQ17" s="26">
        <f>IF('Q2'!N17="","",'Q2'!N17)</f>
        <v>100</v>
      </c>
      <c r="DR17" s="26">
        <f>IF('Q2'!O17="","",'Q2'!O17)</f>
        <v>100</v>
      </c>
      <c r="DS17" s="26">
        <f>IF('Q2'!P17="","",'Q2'!P17)</f>
        <v>81.34</v>
      </c>
      <c r="DT17" s="26">
        <f>IF('Q2'!Q17="","",'Q2'!Q17)</f>
        <v>81.34</v>
      </c>
      <c r="DU17" s="26">
        <f>IF('Q2'!R17="","",'Q2'!R17)</f>
        <v>76.14</v>
      </c>
      <c r="DV17" s="26">
        <f>IF('Q2'!S17="","",'Q2'!S17)</f>
        <v>45.5</v>
      </c>
      <c r="DW17" s="26">
        <f>IF('Q2'!T17="","",'Q2'!T17)</f>
        <v>96</v>
      </c>
      <c r="DX17" s="26">
        <f>IF('Q2'!U17="","",'Q2'!U17)</f>
        <v>85.5</v>
      </c>
      <c r="DY17" s="26">
        <f>IF('Q2'!V17="","",'Q2'!V17)</f>
        <v>83.166666666666671</v>
      </c>
      <c r="DZ17" s="26" t="str">
        <f t="shared" si="76"/>
        <v>A</v>
      </c>
      <c r="EA17" s="26" t="str">
        <f t="shared" si="77"/>
        <v>A</v>
      </c>
      <c r="EB17" s="26" t="str">
        <f t="shared" si="78"/>
        <v>A</v>
      </c>
      <c r="EC17" s="26" t="str">
        <f t="shared" si="79"/>
        <v>A</v>
      </c>
      <c r="ED17" s="26" t="str">
        <f t="shared" si="80"/>
        <v>A</v>
      </c>
      <c r="EE17" s="26" t="str">
        <f t="shared" si="81"/>
        <v>A</v>
      </c>
      <c r="EF17" s="26" t="str">
        <f t="shared" si="82"/>
        <v>A</v>
      </c>
      <c r="EG17" s="26" t="str">
        <f t="shared" si="83"/>
        <v>A</v>
      </c>
      <c r="EH17" s="26" t="str">
        <f t="shared" si="84"/>
        <v>A</v>
      </c>
      <c r="EI17" s="24" t="str">
        <f t="shared" si="85"/>
        <v>B</v>
      </c>
      <c r="EJ17" s="24" t="str">
        <f t="shared" si="86"/>
        <v>B</v>
      </c>
      <c r="EK17" s="24" t="str">
        <f t="shared" si="87"/>
        <v>C</v>
      </c>
      <c r="EL17" s="24" t="str">
        <f t="shared" si="88"/>
        <v>F</v>
      </c>
      <c r="EM17" s="24" t="str">
        <f t="shared" si="89"/>
        <v>A</v>
      </c>
      <c r="EN17" s="24" t="str">
        <f t="shared" si="90"/>
        <v>B</v>
      </c>
      <c r="EO17" s="24" t="str">
        <f t="shared" si="91"/>
        <v>B</v>
      </c>
      <c r="EP17" s="24">
        <f t="shared" si="92"/>
        <v>2</v>
      </c>
      <c r="EQ17" s="24">
        <f t="shared" si="93"/>
        <v>2</v>
      </c>
      <c r="ER17" s="24">
        <f t="shared" si="94"/>
        <v>3</v>
      </c>
      <c r="ES17" s="24">
        <f t="shared" si="95"/>
        <v>1</v>
      </c>
      <c r="ET17" s="24">
        <f t="shared" si="96"/>
        <v>5</v>
      </c>
      <c r="EU17" s="24">
        <f t="shared" si="97"/>
        <v>3</v>
      </c>
      <c r="EV17" s="24">
        <f t="shared" si="98"/>
        <v>2</v>
      </c>
      <c r="EW17" s="24">
        <f t="shared" si="99"/>
        <v>1</v>
      </c>
      <c r="EX17" s="24">
        <f t="shared" si="100"/>
        <v>1</v>
      </c>
      <c r="EY17" s="24">
        <f t="shared" si="101"/>
        <v>5</v>
      </c>
      <c r="EZ17" s="24">
        <f t="shared" si="102"/>
        <v>1</v>
      </c>
      <c r="FA17" s="24">
        <f t="shared" si="103"/>
        <v>5</v>
      </c>
      <c r="FB17" s="24">
        <f t="shared" si="104"/>
        <v>3</v>
      </c>
      <c r="FC17" s="24">
        <f t="shared" si="105"/>
        <v>2</v>
      </c>
      <c r="FD17" s="24">
        <f t="shared" si="106"/>
        <v>2</v>
      </c>
      <c r="FE17" s="24">
        <f t="shared" si="107"/>
        <v>2</v>
      </c>
      <c r="FF17" s="26">
        <f t="shared" si="108"/>
        <v>180.66666666666669</v>
      </c>
      <c r="FG17" s="26">
        <f t="shared" si="109"/>
        <v>184.60000000000002</v>
      </c>
      <c r="FH17" s="26">
        <f t="shared" si="110"/>
        <v>274.89999999999998</v>
      </c>
      <c r="FI17" s="26">
        <f t="shared" si="111"/>
        <v>90.333333333333343</v>
      </c>
      <c r="FJ17" s="26">
        <f t="shared" si="112"/>
        <v>458.66666666666674</v>
      </c>
      <c r="FK17" s="26">
        <f t="shared" si="113"/>
        <v>277.20000000000005</v>
      </c>
      <c r="FL17" s="26">
        <f t="shared" si="114"/>
        <v>183.46666666666667</v>
      </c>
      <c r="FM17" s="26">
        <f t="shared" si="115"/>
        <v>100</v>
      </c>
      <c r="FN17" s="26">
        <f t="shared" si="116"/>
        <v>100</v>
      </c>
      <c r="FO17" s="26">
        <f t="shared" si="117"/>
        <v>406.70000000000005</v>
      </c>
      <c r="FP17" s="26">
        <f t="shared" si="118"/>
        <v>81.34</v>
      </c>
      <c r="FQ17" s="26">
        <f t="shared" si="119"/>
        <v>380.7</v>
      </c>
      <c r="FR17" s="26">
        <f t="shared" si="120"/>
        <v>136.5</v>
      </c>
      <c r="FS17" s="26">
        <f t="shared" si="121"/>
        <v>192</v>
      </c>
      <c r="FT17" s="26">
        <f t="shared" si="122"/>
        <v>171</v>
      </c>
      <c r="FU17" s="26">
        <f t="shared" si="123"/>
        <v>166.33333333333334</v>
      </c>
      <c r="FV17" s="24">
        <f t="shared" si="124"/>
        <v>8</v>
      </c>
      <c r="FW17" s="24">
        <f t="shared" si="125"/>
        <v>8</v>
      </c>
      <c r="FX17" s="24">
        <f t="shared" si="126"/>
        <v>12</v>
      </c>
      <c r="FY17" s="24">
        <f t="shared" si="127"/>
        <v>4</v>
      </c>
      <c r="FZ17" s="24">
        <f t="shared" si="128"/>
        <v>20</v>
      </c>
      <c r="GA17" s="24">
        <f t="shared" si="129"/>
        <v>12</v>
      </c>
      <c r="GB17" s="24">
        <f t="shared" si="130"/>
        <v>8</v>
      </c>
      <c r="GC17" s="24">
        <f t="shared" si="131"/>
        <v>4</v>
      </c>
      <c r="GD17" s="24">
        <f t="shared" si="132"/>
        <v>4</v>
      </c>
      <c r="GE17" s="24">
        <f t="shared" si="133"/>
        <v>15</v>
      </c>
      <c r="GF17" s="24">
        <f t="shared" si="134"/>
        <v>3</v>
      </c>
      <c r="GG17" s="24">
        <f t="shared" si="135"/>
        <v>10</v>
      </c>
      <c r="GH17" s="24">
        <f t="shared" si="136"/>
        <v>0</v>
      </c>
      <c r="GI17" s="24">
        <f t="shared" si="137"/>
        <v>8</v>
      </c>
      <c r="GJ17" s="24">
        <f t="shared" si="138"/>
        <v>6</v>
      </c>
      <c r="GK17" s="24">
        <f t="shared" si="139"/>
        <v>6</v>
      </c>
      <c r="GL17" s="24">
        <f t="shared" si="140"/>
        <v>20</v>
      </c>
      <c r="GM17" s="24">
        <f t="shared" si="141"/>
        <v>1849.8333333333337</v>
      </c>
      <c r="GN17" s="26">
        <f t="shared" si="142"/>
        <v>80</v>
      </c>
      <c r="GO17" s="26">
        <f t="shared" si="330"/>
        <v>92.491666666666688</v>
      </c>
      <c r="GP17" s="24" t="str">
        <f t="shared" si="331"/>
        <v>A</v>
      </c>
      <c r="GQ17" s="26">
        <f t="shared" si="143"/>
        <v>4</v>
      </c>
      <c r="GR17" s="24">
        <f t="shared" si="144"/>
        <v>20</v>
      </c>
      <c r="GS17" s="26">
        <f t="shared" si="145"/>
        <v>1534.5733333333333</v>
      </c>
      <c r="GT17" s="26">
        <f t="shared" si="146"/>
        <v>48</v>
      </c>
      <c r="GU17" s="26">
        <f t="shared" si="332"/>
        <v>76.728666666666669</v>
      </c>
      <c r="GV17" s="24" t="str">
        <f t="shared" si="333"/>
        <v>C</v>
      </c>
      <c r="GW17" s="27">
        <f t="shared" si="147"/>
        <v>2.4</v>
      </c>
      <c r="GX17" s="24">
        <f t="shared" si="148"/>
        <v>40</v>
      </c>
      <c r="GY17" s="27">
        <f t="shared" si="149"/>
        <v>3384.4066666666672</v>
      </c>
      <c r="GZ17" s="27">
        <f t="shared" si="334"/>
        <v>128</v>
      </c>
      <c r="HA17" s="26">
        <f t="shared" si="335"/>
        <v>84.610166666666686</v>
      </c>
      <c r="HB17" s="27" t="str">
        <f t="shared" si="336"/>
        <v>B</v>
      </c>
      <c r="HC17" s="26">
        <f t="shared" si="150"/>
        <v>3.2</v>
      </c>
      <c r="HD17" s="24">
        <f t="shared" si="151"/>
        <v>5</v>
      </c>
      <c r="HE17" s="24" t="str">
        <f t="shared" si="152"/>
        <v>6A</v>
      </c>
      <c r="HF17" s="24">
        <f t="shared" si="153"/>
        <v>11</v>
      </c>
      <c r="HG17" s="24">
        <f>IF(B17="","",'Q2'!$C$8)</f>
        <v>50</v>
      </c>
      <c r="HH17" s="24">
        <f>IF(A17="","",'Q2'!DE17)</f>
        <v>0</v>
      </c>
      <c r="HI17" s="24">
        <f>IF(B17="","",'Q2'!DF17)</f>
        <v>0</v>
      </c>
      <c r="HJ17" s="24">
        <f>IF(B17="","",'Q2'!DG17)</f>
        <v>0</v>
      </c>
      <c r="HK17" s="24">
        <f t="shared" si="154"/>
        <v>0</v>
      </c>
      <c r="HL17" s="25">
        <f t="shared" si="155"/>
        <v>1</v>
      </c>
      <c r="HM17" s="7">
        <v>75</v>
      </c>
      <c r="HN17" s="7">
        <v>90</v>
      </c>
      <c r="HO17" s="7">
        <v>90</v>
      </c>
      <c r="HP17" s="7">
        <v>85</v>
      </c>
      <c r="HQ17" s="7">
        <v>100</v>
      </c>
      <c r="HR17" s="7">
        <v>90</v>
      </c>
      <c r="HS17" s="7">
        <v>70</v>
      </c>
      <c r="HT17" s="7"/>
      <c r="HU17" s="7"/>
      <c r="HV17" s="7">
        <v>76</v>
      </c>
      <c r="HW17" s="7"/>
      <c r="HX17" s="7">
        <v>78</v>
      </c>
      <c r="HY17" s="7">
        <v>14</v>
      </c>
      <c r="HZ17" s="7">
        <v>86</v>
      </c>
      <c r="IA17" s="7">
        <v>88</v>
      </c>
      <c r="IB17" s="7">
        <v>61</v>
      </c>
      <c r="IC17" s="7" t="str">
        <f t="shared" si="156"/>
        <v>C</v>
      </c>
      <c r="ID17" s="7" t="str">
        <f t="shared" si="157"/>
        <v>A</v>
      </c>
      <c r="IE17" s="7" t="str">
        <f t="shared" si="158"/>
        <v>A</v>
      </c>
      <c r="IF17" s="7" t="str">
        <f t="shared" si="159"/>
        <v>B</v>
      </c>
      <c r="IG17" s="7" t="str">
        <f t="shared" si="160"/>
        <v>A</v>
      </c>
      <c r="IH17" s="7" t="str">
        <f t="shared" si="161"/>
        <v>A</v>
      </c>
      <c r="II17" s="7" t="str">
        <f t="shared" si="162"/>
        <v>C</v>
      </c>
      <c r="IJ17" s="7" t="str">
        <f t="shared" si="163"/>
        <v/>
      </c>
      <c r="IK17" s="7" t="str">
        <f t="shared" si="164"/>
        <v/>
      </c>
      <c r="IL17" s="24" t="str">
        <f t="shared" si="165"/>
        <v>C</v>
      </c>
      <c r="IM17" s="24" t="str">
        <f t="shared" si="166"/>
        <v/>
      </c>
      <c r="IN17" s="24" t="str">
        <f t="shared" si="167"/>
        <v>C</v>
      </c>
      <c r="IO17" s="24" t="str">
        <f t="shared" si="168"/>
        <v>F</v>
      </c>
      <c r="IP17" s="24" t="str">
        <f t="shared" si="169"/>
        <v>B</v>
      </c>
      <c r="IQ17" s="24" t="str">
        <f t="shared" si="170"/>
        <v>B</v>
      </c>
      <c r="IR17" s="24" t="str">
        <f t="shared" si="171"/>
        <v>D</v>
      </c>
      <c r="IS17" s="24">
        <f t="shared" si="172"/>
        <v>2</v>
      </c>
      <c r="IT17" s="24">
        <f t="shared" si="173"/>
        <v>2</v>
      </c>
      <c r="IU17" s="24">
        <f t="shared" si="174"/>
        <v>3</v>
      </c>
      <c r="IV17" s="24">
        <f t="shared" si="175"/>
        <v>1</v>
      </c>
      <c r="IW17" s="24">
        <f t="shared" si="176"/>
        <v>5</v>
      </c>
      <c r="IX17" s="24">
        <f t="shared" si="177"/>
        <v>3</v>
      </c>
      <c r="IY17" s="24">
        <f t="shared" si="178"/>
        <v>2</v>
      </c>
      <c r="IZ17" s="24" t="str">
        <f t="shared" si="179"/>
        <v/>
      </c>
      <c r="JA17" s="24" t="str">
        <f t="shared" si="180"/>
        <v/>
      </c>
      <c r="JB17" s="24">
        <f t="shared" si="181"/>
        <v>5</v>
      </c>
      <c r="JC17" s="24" t="str">
        <f t="shared" si="182"/>
        <v/>
      </c>
      <c r="JD17" s="24">
        <f t="shared" si="183"/>
        <v>5</v>
      </c>
      <c r="JE17" s="24">
        <f t="shared" si="184"/>
        <v>3</v>
      </c>
      <c r="JF17" s="24">
        <f t="shared" si="185"/>
        <v>2</v>
      </c>
      <c r="JG17" s="24">
        <f t="shared" si="186"/>
        <v>2</v>
      </c>
      <c r="JH17" s="24">
        <f t="shared" si="187"/>
        <v>2</v>
      </c>
      <c r="JI17" s="26">
        <f t="shared" si="188"/>
        <v>150</v>
      </c>
      <c r="JJ17" s="26">
        <f t="shared" si="189"/>
        <v>180</v>
      </c>
      <c r="JK17" s="26">
        <f t="shared" si="190"/>
        <v>270</v>
      </c>
      <c r="JL17" s="26">
        <f t="shared" si="191"/>
        <v>85</v>
      </c>
      <c r="JM17" s="26">
        <f t="shared" si="192"/>
        <v>500</v>
      </c>
      <c r="JN17" s="26">
        <f t="shared" si="193"/>
        <v>270</v>
      </c>
      <c r="JO17" s="26">
        <f t="shared" si="194"/>
        <v>140</v>
      </c>
      <c r="JP17" s="26" t="str">
        <f t="shared" si="195"/>
        <v/>
      </c>
      <c r="JQ17" s="24">
        <f t="shared" si="196"/>
        <v>380</v>
      </c>
      <c r="JR17" s="24" t="str">
        <f t="shared" si="197"/>
        <v/>
      </c>
      <c r="JS17" s="24">
        <f t="shared" si="198"/>
        <v>390</v>
      </c>
      <c r="JT17" s="24">
        <f t="shared" si="199"/>
        <v>42</v>
      </c>
      <c r="JU17" s="24">
        <f t="shared" si="200"/>
        <v>172</v>
      </c>
      <c r="JV17" s="24">
        <f t="shared" si="201"/>
        <v>176</v>
      </c>
      <c r="JW17" s="24">
        <f t="shared" si="202"/>
        <v>122</v>
      </c>
      <c r="JX17" s="24">
        <f t="shared" si="203"/>
        <v>4</v>
      </c>
      <c r="JY17" s="24">
        <f t="shared" si="204"/>
        <v>8</v>
      </c>
      <c r="JZ17" s="24">
        <f t="shared" si="205"/>
        <v>12</v>
      </c>
      <c r="KA17" s="24">
        <f t="shared" si="206"/>
        <v>3</v>
      </c>
      <c r="KB17" s="24">
        <f t="shared" si="207"/>
        <v>20</v>
      </c>
      <c r="KC17" s="24">
        <f t="shared" si="208"/>
        <v>12</v>
      </c>
      <c r="KD17" s="24">
        <f t="shared" si="209"/>
        <v>4</v>
      </c>
      <c r="KE17" s="24" t="str">
        <f t="shared" si="210"/>
        <v/>
      </c>
      <c r="KF17" s="24" t="str">
        <f t="shared" si="211"/>
        <v/>
      </c>
      <c r="KG17" s="24">
        <f t="shared" si="212"/>
        <v>10</v>
      </c>
      <c r="KH17" s="24" t="str">
        <f t="shared" si="213"/>
        <v/>
      </c>
      <c r="KI17" s="24">
        <f t="shared" si="214"/>
        <v>10</v>
      </c>
      <c r="KJ17" s="24">
        <f t="shared" si="215"/>
        <v>0</v>
      </c>
      <c r="KK17" s="24">
        <f t="shared" si="216"/>
        <v>6</v>
      </c>
      <c r="KL17" s="24">
        <f t="shared" si="217"/>
        <v>6</v>
      </c>
      <c r="KM17" s="24">
        <f t="shared" si="218"/>
        <v>3</v>
      </c>
      <c r="KN17" s="24">
        <f t="shared" si="219"/>
        <v>18</v>
      </c>
      <c r="KO17" s="26">
        <f t="shared" si="220"/>
        <v>1595</v>
      </c>
      <c r="KP17" s="26">
        <f t="shared" si="221"/>
        <v>63</v>
      </c>
      <c r="KQ17" s="26">
        <f t="shared" si="337"/>
        <v>88.611111111111114</v>
      </c>
      <c r="KR17" s="24" t="str">
        <f t="shared" si="338"/>
        <v>B</v>
      </c>
      <c r="KS17" s="26">
        <f t="shared" si="222"/>
        <v>3.5</v>
      </c>
      <c r="KT17" s="24">
        <f t="shared" si="223"/>
        <v>19</v>
      </c>
      <c r="KU17" s="24">
        <f t="shared" si="224"/>
        <v>1282</v>
      </c>
      <c r="KV17" s="26">
        <f t="shared" si="225"/>
        <v>35</v>
      </c>
      <c r="KW17" s="26">
        <f t="shared" si="339"/>
        <v>67.473684210526315</v>
      </c>
      <c r="KX17" s="24" t="str">
        <f t="shared" si="340"/>
        <v>D</v>
      </c>
      <c r="KY17" s="27">
        <f t="shared" si="226"/>
        <v>1.8421052631578947</v>
      </c>
      <c r="KZ17" s="24">
        <f t="shared" si="227"/>
        <v>37</v>
      </c>
      <c r="LA17" s="27">
        <f t="shared" si="228"/>
        <v>2877</v>
      </c>
      <c r="LB17" s="27">
        <f t="shared" si="229"/>
        <v>98</v>
      </c>
      <c r="LC17" s="26">
        <f t="shared" si="341"/>
        <v>77.756756756756758</v>
      </c>
      <c r="LD17" s="24" t="str">
        <f t="shared" si="342"/>
        <v>C</v>
      </c>
      <c r="LE17" s="26">
        <f t="shared" si="230"/>
        <v>2.6486486486486487</v>
      </c>
      <c r="LF17" s="24">
        <f t="shared" si="231"/>
        <v>3</v>
      </c>
      <c r="LG17" s="24" t="str">
        <f t="shared" si="232"/>
        <v>6A</v>
      </c>
      <c r="LH17" s="24">
        <f t="shared" si="233"/>
        <v>11</v>
      </c>
      <c r="LI17" s="26">
        <f>IF('Q2'!G17="","",SUM((AVERAGE('Q1'!G17,'Q2'!G17)*0.5))+(HM17*0.5))</f>
        <v>79.083333333333343</v>
      </c>
      <c r="LJ17" s="26">
        <f>IF('Q2'!H17="","",SUM((AVERAGE('Q1'!H17,'Q2'!H17)*0.5))+(HN17*0.5))</f>
        <v>89.541666666666671</v>
      </c>
      <c r="LK17" s="26">
        <f>IF('Q2'!I17="","",SUM((AVERAGE('Q1'!I17,'Q2'!I17)*0.5))+(HO17*0.5))</f>
        <v>89.375</v>
      </c>
      <c r="LL17" s="26">
        <f>IF('Q2'!J17="","",SUM((AVERAGE('Q1'!J17,'Q2'!J17)*0.5))+(HP17*0.5))</f>
        <v>81.083333333333343</v>
      </c>
      <c r="LM17" s="26">
        <f>IF('Q2'!K17="","",SUM((AVERAGE('Q1'!K17,'Q2'!K17)*0.5))+(HQ17*0.5))</f>
        <v>94.308333333333337</v>
      </c>
      <c r="LN17" s="26">
        <f>IF('Q2'!L17="","",SUM((AVERAGE('Q1'!L17,'Q2'!L17)*0.5))+(HR17*0.5))</f>
        <v>89.4</v>
      </c>
      <c r="LO17" s="26">
        <f>IF('Q2'!M17="","",SUM((AVERAGE('Q1'!M17,'Q2'!M17)*0.5))+(HS17*0.5))</f>
        <v>79.400000000000006</v>
      </c>
      <c r="LP17" s="26">
        <f>IF('Q2'!N17="","",SUM((AVERAGE('Q1'!N17,'Q2'!N17)*1)))</f>
        <v>95.833333333333343</v>
      </c>
      <c r="LQ17" s="26">
        <f>IF('Q2'!O17="","",SUM((AVERAGE('Q1'!O17,'Q2'!O17)*1)))</f>
        <v>95.833333333333343</v>
      </c>
      <c r="LR17" s="26">
        <f>IF('Q2'!P17="","",SUM((AVERAGE('Q1'!P17,'Q2'!P17)*0.5))+(HV17*0.5))</f>
        <v>81.62166666666667</v>
      </c>
      <c r="LS17" s="26">
        <f>IF('Q2'!Q17="","",SUM((AVERAGE('Q1'!Q17,'Q2'!Q17)*1))+(HW17*1))</f>
        <v>87.243333333333339</v>
      </c>
      <c r="LT17" s="26">
        <f>IF('Q2'!R17="","",SUM((AVERAGE('Q1'!R17,'Q2'!R17)*0.5))+(HX17*0.5))</f>
        <v>74.717500000000001</v>
      </c>
      <c r="LU17" s="26">
        <f>IF('Q2'!S17="","",SUM((AVERAGE('Q1'!S17,'Q2'!S17)*0.5))+(HY17*0.5))</f>
        <v>32.988636363636367</v>
      </c>
      <c r="LV17" s="26">
        <f>IF('Q2'!T17="","",SUM((AVERAGE('Q1'!T17,'Q2'!T17)*0.5))+(HZ17*0.5))</f>
        <v>82.75</v>
      </c>
      <c r="LW17" s="26">
        <f>IF('Q2'!U17="","",SUM((AVERAGE('Q1'!U17,'Q2'!U17)*0.5))+(IA17*0.5))</f>
        <v>87.825000000000003</v>
      </c>
      <c r="LX17" s="26">
        <f>IF('Q2'!V17="","",SUM((AVERAGE('Q1'!V17,'Q2'!V17)*0.5))+(IB17*0.5))</f>
        <v>74.041666666666671</v>
      </c>
      <c r="LY17" s="26" t="str">
        <f t="shared" si="234"/>
        <v>C</v>
      </c>
      <c r="LZ17" s="26" t="str">
        <f t="shared" si="235"/>
        <v>B</v>
      </c>
      <c r="MA17" s="26" t="str">
        <f t="shared" si="236"/>
        <v>B</v>
      </c>
      <c r="MB17" s="26" t="str">
        <f t="shared" si="237"/>
        <v>B</v>
      </c>
      <c r="MC17" s="26" t="str">
        <f t="shared" si="238"/>
        <v>A</v>
      </c>
      <c r="MD17" s="26" t="str">
        <f t="shared" si="239"/>
        <v>B</v>
      </c>
      <c r="ME17" s="26" t="str">
        <f t="shared" si="240"/>
        <v>C</v>
      </c>
      <c r="MF17" s="26" t="str">
        <f t="shared" si="241"/>
        <v>A</v>
      </c>
      <c r="MG17" s="26" t="str">
        <f t="shared" si="242"/>
        <v>A</v>
      </c>
      <c r="MH17" s="24" t="str">
        <f t="shared" si="243"/>
        <v>B</v>
      </c>
      <c r="MI17" s="24" t="str">
        <f t="shared" si="244"/>
        <v>B</v>
      </c>
      <c r="MJ17" s="24" t="str">
        <f t="shared" si="245"/>
        <v>C</v>
      </c>
      <c r="MK17" s="24" t="str">
        <f t="shared" si="246"/>
        <v>F</v>
      </c>
      <c r="ML17" s="24" t="str">
        <f t="shared" si="247"/>
        <v>B</v>
      </c>
      <c r="MM17" s="24" t="str">
        <f t="shared" si="248"/>
        <v>B</v>
      </c>
      <c r="MN17" s="24" t="str">
        <f t="shared" si="249"/>
        <v>C</v>
      </c>
      <c r="MO17" s="24">
        <f t="shared" si="250"/>
        <v>2</v>
      </c>
      <c r="MP17" s="24">
        <f t="shared" si="251"/>
        <v>2</v>
      </c>
      <c r="MQ17" s="24">
        <f t="shared" si="252"/>
        <v>3</v>
      </c>
      <c r="MR17" s="24">
        <f t="shared" si="253"/>
        <v>1</v>
      </c>
      <c r="MS17" s="24">
        <f t="shared" si="254"/>
        <v>5</v>
      </c>
      <c r="MT17" s="24">
        <f t="shared" si="255"/>
        <v>3</v>
      </c>
      <c r="MU17" s="24">
        <f t="shared" si="256"/>
        <v>2</v>
      </c>
      <c r="MV17" s="24">
        <f t="shared" si="257"/>
        <v>1</v>
      </c>
      <c r="MW17" s="24">
        <f t="shared" si="258"/>
        <v>1</v>
      </c>
      <c r="MX17" s="24">
        <f t="shared" si="259"/>
        <v>5</v>
      </c>
      <c r="MY17" s="24">
        <f t="shared" si="260"/>
        <v>1</v>
      </c>
      <c r="MZ17" s="24">
        <f t="shared" si="261"/>
        <v>5</v>
      </c>
      <c r="NA17" s="24">
        <f t="shared" si="262"/>
        <v>3</v>
      </c>
      <c r="NB17" s="24">
        <f t="shared" si="263"/>
        <v>2</v>
      </c>
      <c r="NC17" s="24">
        <f t="shared" si="264"/>
        <v>2</v>
      </c>
      <c r="ND17" s="24">
        <f t="shared" si="265"/>
        <v>2</v>
      </c>
      <c r="NE17" s="26">
        <f t="shared" si="266"/>
        <v>158.16666666666669</v>
      </c>
      <c r="NF17" s="26">
        <f t="shared" si="267"/>
        <v>179.08333333333334</v>
      </c>
      <c r="NG17" s="26">
        <f t="shared" si="268"/>
        <v>268.125</v>
      </c>
      <c r="NH17" s="26">
        <f t="shared" si="269"/>
        <v>81.083333333333343</v>
      </c>
      <c r="NI17" s="26">
        <f t="shared" si="270"/>
        <v>471.54166666666669</v>
      </c>
      <c r="NJ17" s="26">
        <f t="shared" si="271"/>
        <v>268.20000000000005</v>
      </c>
      <c r="NK17" s="26">
        <f t="shared" si="272"/>
        <v>158.80000000000001</v>
      </c>
      <c r="NL17" s="26">
        <f t="shared" si="273"/>
        <v>95.833333333333343</v>
      </c>
      <c r="NM17" s="26">
        <f t="shared" si="274"/>
        <v>95.833333333333343</v>
      </c>
      <c r="NN17" s="26">
        <f t="shared" si="275"/>
        <v>408.10833333333335</v>
      </c>
      <c r="NO17" s="26">
        <f t="shared" si="276"/>
        <v>87.243333333333339</v>
      </c>
      <c r="NP17" s="26">
        <f t="shared" si="277"/>
        <v>373.58749999999998</v>
      </c>
      <c r="NQ17" s="26">
        <f t="shared" si="278"/>
        <v>98.965909090909093</v>
      </c>
      <c r="NR17" s="26">
        <f t="shared" si="279"/>
        <v>165.5</v>
      </c>
      <c r="NS17" s="26">
        <f t="shared" si="280"/>
        <v>175.65</v>
      </c>
      <c r="NT17" s="26">
        <f t="shared" si="281"/>
        <v>148.08333333333334</v>
      </c>
      <c r="NU17" s="24">
        <f t="shared" si="282"/>
        <v>4</v>
      </c>
      <c r="NV17" s="24">
        <f t="shared" si="283"/>
        <v>6</v>
      </c>
      <c r="NW17" s="24">
        <f t="shared" si="284"/>
        <v>9</v>
      </c>
      <c r="NX17" s="24">
        <f t="shared" si="285"/>
        <v>3</v>
      </c>
      <c r="NY17" s="24">
        <f t="shared" si="286"/>
        <v>20</v>
      </c>
      <c r="NZ17" s="24">
        <f t="shared" si="287"/>
        <v>9</v>
      </c>
      <c r="OA17" s="24">
        <f t="shared" si="288"/>
        <v>4</v>
      </c>
      <c r="OB17" s="24">
        <f t="shared" si="289"/>
        <v>4</v>
      </c>
      <c r="OC17" s="24">
        <f t="shared" si="290"/>
        <v>4</v>
      </c>
      <c r="OD17" s="24">
        <f t="shared" si="291"/>
        <v>15</v>
      </c>
      <c r="OE17" s="24">
        <f t="shared" si="292"/>
        <v>3</v>
      </c>
      <c r="OF17" s="24">
        <f t="shared" si="293"/>
        <v>10</v>
      </c>
      <c r="OG17" s="24">
        <f t="shared" si="294"/>
        <v>0</v>
      </c>
      <c r="OH17" s="24">
        <f t="shared" si="295"/>
        <v>6</v>
      </c>
      <c r="OI17" s="24">
        <f t="shared" si="296"/>
        <v>6</v>
      </c>
      <c r="OJ17" s="24">
        <f t="shared" si="297"/>
        <v>4</v>
      </c>
      <c r="OK17" s="24">
        <f t="shared" si="298"/>
        <v>20</v>
      </c>
      <c r="OL17" s="24">
        <f t="shared" si="299"/>
        <v>1776.6666666666665</v>
      </c>
      <c r="OM17" s="26">
        <f t="shared" si="300"/>
        <v>63</v>
      </c>
      <c r="ON17" s="26">
        <f t="shared" si="343"/>
        <v>88.833333333333329</v>
      </c>
      <c r="OO17" s="24" t="str">
        <f t="shared" si="344"/>
        <v>B</v>
      </c>
      <c r="OP17" s="26">
        <f t="shared" si="301"/>
        <v>3.15</v>
      </c>
      <c r="OQ17" s="24">
        <f t="shared" si="302"/>
        <v>20</v>
      </c>
      <c r="OR17" s="26">
        <f t="shared" si="303"/>
        <v>1457.1384090909091</v>
      </c>
      <c r="OS17" s="26">
        <f t="shared" si="304"/>
        <v>44</v>
      </c>
      <c r="OT17" s="26">
        <f t="shared" si="345"/>
        <v>72.85692045454546</v>
      </c>
      <c r="OU17" s="24" t="str">
        <f t="shared" si="346"/>
        <v>C</v>
      </c>
      <c r="OV17" s="27">
        <f t="shared" si="305"/>
        <v>2.2000000000000002</v>
      </c>
      <c r="OW17" s="24">
        <f t="shared" si="306"/>
        <v>40</v>
      </c>
      <c r="OX17" s="27">
        <f t="shared" si="307"/>
        <v>3233.8050757575757</v>
      </c>
      <c r="OY17" s="27">
        <f t="shared" si="308"/>
        <v>107</v>
      </c>
      <c r="OZ17" s="26">
        <f t="shared" si="347"/>
        <v>80.845126893939394</v>
      </c>
      <c r="PA17" s="27" t="str">
        <f t="shared" si="348"/>
        <v>B</v>
      </c>
      <c r="PB17" s="26">
        <f t="shared" si="309"/>
        <v>2.6749999999999998</v>
      </c>
      <c r="PC17" s="24">
        <f t="shared" si="310"/>
        <v>3</v>
      </c>
      <c r="PD17" s="24" t="str">
        <f t="shared" si="311"/>
        <v>6A</v>
      </c>
      <c r="PE17" s="24">
        <f t="shared" si="312"/>
        <v>11</v>
      </c>
      <c r="PF17" s="24">
        <f t="shared" si="313"/>
        <v>100</v>
      </c>
      <c r="PG17" s="24">
        <f t="shared" si="314"/>
        <v>0</v>
      </c>
      <c r="PH17" s="24">
        <f t="shared" si="315"/>
        <v>0</v>
      </c>
      <c r="PI17" s="24">
        <f t="shared" si="316"/>
        <v>1</v>
      </c>
      <c r="PJ17" s="24">
        <f t="shared" si="317"/>
        <v>1</v>
      </c>
      <c r="PK17" s="25">
        <f t="shared" si="318"/>
        <v>0.99</v>
      </c>
    </row>
    <row r="18" spans="1:427" ht="27" customHeight="1" x14ac:dyDescent="0.35">
      <c r="A18" s="24">
        <f t="shared" si="349"/>
        <v>4</v>
      </c>
      <c r="B18" s="28" t="str">
        <f>IF('Q1'!B18="","",'Q1'!B18)</f>
        <v>Song Santharasatya</v>
      </c>
      <c r="C18" s="30" t="str">
        <f>IF('Q1'!C18="","",'Q1'!C18)</f>
        <v>សុង សន្ទរសត្យា</v>
      </c>
      <c r="D18" s="28">
        <v>4</v>
      </c>
      <c r="E18" s="24" t="s">
        <v>124</v>
      </c>
      <c r="F18" s="24" t="str">
        <f>IF('Q1'!F18="","",'Q1'!F18)</f>
        <v>I</v>
      </c>
      <c r="G18" s="26">
        <f>IF('Q1'!G18="","",'Q1'!G18)</f>
        <v>70.666666666666671</v>
      </c>
      <c r="H18" s="26">
        <f>IF('Q1'!H18="","",'Q1'!H18)</f>
        <v>89.066666666666677</v>
      </c>
      <c r="I18" s="26">
        <f>IF('Q1'!I18="","",'Q1'!I18)</f>
        <v>89.066666666666677</v>
      </c>
      <c r="J18" s="26">
        <f>IF('Q1'!J18="","",'Q1'!J18)</f>
        <v>73.333333333333343</v>
      </c>
      <c r="K18" s="26">
        <f>IF('Q1'!K18="","",'Q1'!K18)</f>
        <v>86.600000000000009</v>
      </c>
      <c r="L18" s="26">
        <f>IF('Q1'!L18="","",'Q1'!L18)</f>
        <v>89.066666666666677</v>
      </c>
      <c r="M18" s="26">
        <f>IF('Q1'!M18="","",'Q1'!M18)</f>
        <v>89.066666666666677</v>
      </c>
      <c r="N18" s="26">
        <f>IF('Q1'!N18="","",'Q1'!N18)</f>
        <v>88.666666666666671</v>
      </c>
      <c r="O18" s="26">
        <f>IF('Q1'!O18="","",'Q1'!O18)</f>
        <v>88.666666666666671</v>
      </c>
      <c r="P18" s="26">
        <f>IF('Q1'!P18="","",'Q1'!P18)</f>
        <v>96.4</v>
      </c>
      <c r="Q18" s="26">
        <f>IF('Q1'!Q18="","",'Q1'!Q18)</f>
        <v>96.4</v>
      </c>
      <c r="R18" s="26">
        <f>IF('Q1'!R18="","",'Q1'!R18)</f>
        <v>78.069999999999993</v>
      </c>
      <c r="S18" s="26">
        <f>IF('Q1'!S18="","",'Q1'!S18)</f>
        <v>90.600000000000009</v>
      </c>
      <c r="T18" s="26">
        <f>IF('Q1'!T18="","",'Q1'!T18)</f>
        <v>70.2</v>
      </c>
      <c r="U18" s="26">
        <f>IF('Q1'!U18="","",'Q1'!U18)</f>
        <v>97.800000000000011</v>
      </c>
      <c r="V18" s="26">
        <f>IF('Q1'!V18="","",'Q1'!V18)</f>
        <v>91</v>
      </c>
      <c r="W18" s="26" t="str">
        <f t="shared" si="0"/>
        <v>C</v>
      </c>
      <c r="X18" s="26" t="str">
        <f t="shared" si="1"/>
        <v>B</v>
      </c>
      <c r="Y18" s="26" t="str">
        <f t="shared" si="2"/>
        <v>B</v>
      </c>
      <c r="Z18" s="26" t="str">
        <f t="shared" si="3"/>
        <v>C</v>
      </c>
      <c r="AA18" s="26" t="str">
        <f t="shared" si="4"/>
        <v>B</v>
      </c>
      <c r="AB18" s="26" t="str">
        <f t="shared" si="5"/>
        <v>B</v>
      </c>
      <c r="AC18" s="26" t="str">
        <f t="shared" si="6"/>
        <v>B</v>
      </c>
      <c r="AD18" s="26" t="str">
        <f t="shared" si="7"/>
        <v>B</v>
      </c>
      <c r="AE18" s="26" t="str">
        <f t="shared" si="8"/>
        <v>B</v>
      </c>
      <c r="AF18" s="24" t="str">
        <f t="shared" si="9"/>
        <v>A</v>
      </c>
      <c r="AG18" s="24" t="str">
        <f t="shared" si="10"/>
        <v>A</v>
      </c>
      <c r="AH18" s="24" t="str">
        <f t="shared" si="11"/>
        <v>C</v>
      </c>
      <c r="AI18" s="24" t="str">
        <f t="shared" si="12"/>
        <v>A</v>
      </c>
      <c r="AJ18" s="24" t="str">
        <f t="shared" si="13"/>
        <v>C</v>
      </c>
      <c r="AK18" s="24" t="str">
        <f t="shared" si="14"/>
        <v>A</v>
      </c>
      <c r="AL18" s="24" t="str">
        <f t="shared" si="15"/>
        <v>A</v>
      </c>
      <c r="AM18" s="24">
        <f t="shared" si="16"/>
        <v>2</v>
      </c>
      <c r="AN18" s="24">
        <f t="shared" si="17"/>
        <v>2</v>
      </c>
      <c r="AO18" s="24">
        <f t="shared" si="18"/>
        <v>3</v>
      </c>
      <c r="AP18" s="24">
        <f t="shared" si="19"/>
        <v>1</v>
      </c>
      <c r="AQ18" s="24">
        <f t="shared" si="20"/>
        <v>5</v>
      </c>
      <c r="AR18" s="24">
        <f t="shared" si="21"/>
        <v>3</v>
      </c>
      <c r="AS18" s="24">
        <f t="shared" si="22"/>
        <v>2</v>
      </c>
      <c r="AT18" s="24">
        <f t="shared" si="23"/>
        <v>1</v>
      </c>
      <c r="AU18" s="24">
        <f t="shared" si="24"/>
        <v>1</v>
      </c>
      <c r="AV18" s="24">
        <f t="shared" si="25"/>
        <v>5</v>
      </c>
      <c r="AW18" s="24">
        <f t="shared" si="26"/>
        <v>1</v>
      </c>
      <c r="AX18" s="24">
        <f t="shared" si="27"/>
        <v>5</v>
      </c>
      <c r="AY18" s="24">
        <f t="shared" si="28"/>
        <v>3</v>
      </c>
      <c r="AZ18" s="24">
        <f t="shared" si="29"/>
        <v>2</v>
      </c>
      <c r="BA18" s="24">
        <f t="shared" si="30"/>
        <v>2</v>
      </c>
      <c r="BB18" s="24">
        <f t="shared" si="31"/>
        <v>2</v>
      </c>
      <c r="BC18" s="26">
        <f t="shared" si="32"/>
        <v>141.33333333333334</v>
      </c>
      <c r="BD18" s="26">
        <f t="shared" si="33"/>
        <v>178.13333333333335</v>
      </c>
      <c r="BE18" s="26">
        <f t="shared" si="34"/>
        <v>267.20000000000005</v>
      </c>
      <c r="BF18" s="26">
        <f t="shared" si="35"/>
        <v>73.333333333333343</v>
      </c>
      <c r="BG18" s="26">
        <f t="shared" si="36"/>
        <v>433.00000000000006</v>
      </c>
      <c r="BH18" s="26">
        <f t="shared" si="37"/>
        <v>267.20000000000005</v>
      </c>
      <c r="BI18" s="26">
        <f t="shared" si="38"/>
        <v>178.13333333333335</v>
      </c>
      <c r="BJ18" s="26">
        <f t="shared" si="39"/>
        <v>88.666666666666671</v>
      </c>
      <c r="BK18" s="26">
        <f t="shared" si="40"/>
        <v>88.666666666666671</v>
      </c>
      <c r="BL18" s="26">
        <f t="shared" si="41"/>
        <v>482</v>
      </c>
      <c r="BM18" s="26">
        <f t="shared" si="42"/>
        <v>96.4</v>
      </c>
      <c r="BN18" s="26">
        <f t="shared" si="43"/>
        <v>390.34999999999997</v>
      </c>
      <c r="BO18" s="26">
        <f t="shared" si="44"/>
        <v>271.8</v>
      </c>
      <c r="BP18" s="26">
        <f t="shared" si="45"/>
        <v>140.4</v>
      </c>
      <c r="BQ18" s="26">
        <f t="shared" si="46"/>
        <v>195.60000000000002</v>
      </c>
      <c r="BR18" s="26">
        <f t="shared" si="47"/>
        <v>182</v>
      </c>
      <c r="BS18" s="24">
        <f t="shared" si="48"/>
        <v>4</v>
      </c>
      <c r="BT18" s="24">
        <f t="shared" si="49"/>
        <v>6</v>
      </c>
      <c r="BU18" s="24">
        <f t="shared" si="50"/>
        <v>9</v>
      </c>
      <c r="BV18" s="24">
        <f t="shared" si="51"/>
        <v>2</v>
      </c>
      <c r="BW18" s="24">
        <f t="shared" si="52"/>
        <v>15</v>
      </c>
      <c r="BX18" s="24">
        <f t="shared" si="53"/>
        <v>9</v>
      </c>
      <c r="BY18" s="24">
        <f t="shared" si="54"/>
        <v>6</v>
      </c>
      <c r="BZ18" s="24">
        <f t="shared" si="55"/>
        <v>3</v>
      </c>
      <c r="CA18" s="24">
        <f t="shared" si="56"/>
        <v>3</v>
      </c>
      <c r="CB18" s="24">
        <f t="shared" si="57"/>
        <v>20</v>
      </c>
      <c r="CC18" s="24">
        <f t="shared" si="58"/>
        <v>4</v>
      </c>
      <c r="CD18" s="24">
        <f t="shared" si="59"/>
        <v>10</v>
      </c>
      <c r="CE18" s="24">
        <f t="shared" si="60"/>
        <v>12</v>
      </c>
      <c r="CF18" s="24">
        <f t="shared" si="61"/>
        <v>4</v>
      </c>
      <c r="CG18" s="24">
        <f t="shared" si="62"/>
        <v>8</v>
      </c>
      <c r="CH18" s="24">
        <f t="shared" si="63"/>
        <v>8</v>
      </c>
      <c r="CI18" s="24">
        <f t="shared" si="319"/>
        <v>20</v>
      </c>
      <c r="CJ18" s="26">
        <f t="shared" si="64"/>
        <v>1715.6666666666672</v>
      </c>
      <c r="CK18" s="26">
        <f t="shared" si="320"/>
        <v>57</v>
      </c>
      <c r="CL18" s="26">
        <f t="shared" si="321"/>
        <v>85.78333333333336</v>
      </c>
      <c r="CM18" s="24" t="str">
        <f t="shared" si="322"/>
        <v>B</v>
      </c>
      <c r="CN18" s="26">
        <f t="shared" si="65"/>
        <v>2.85</v>
      </c>
      <c r="CO18" s="24">
        <f t="shared" si="66"/>
        <v>20</v>
      </c>
      <c r="CP18" s="26">
        <f t="shared" si="67"/>
        <v>1758.5500000000002</v>
      </c>
      <c r="CQ18" s="26">
        <f t="shared" si="68"/>
        <v>66</v>
      </c>
      <c r="CR18" s="26">
        <f t="shared" si="323"/>
        <v>87.927500000000009</v>
      </c>
      <c r="CS18" s="24" t="str">
        <f t="shared" si="324"/>
        <v>B</v>
      </c>
      <c r="CT18" s="27">
        <f t="shared" si="69"/>
        <v>3.3</v>
      </c>
      <c r="CU18" s="24">
        <f t="shared" si="325"/>
        <v>40</v>
      </c>
      <c r="CV18" s="26">
        <f t="shared" si="326"/>
        <v>3474.2166666666672</v>
      </c>
      <c r="CW18" s="26">
        <f t="shared" si="327"/>
        <v>123</v>
      </c>
      <c r="CX18" s="26">
        <f t="shared" si="328"/>
        <v>86.855416666666684</v>
      </c>
      <c r="CY18" s="24" t="str">
        <f t="shared" si="329"/>
        <v>B</v>
      </c>
      <c r="CZ18" s="26">
        <f t="shared" si="70"/>
        <v>3.0750000000000002</v>
      </c>
      <c r="DA18" s="24">
        <f t="shared" si="71"/>
        <v>1</v>
      </c>
      <c r="DB18" s="24" t="str">
        <f t="shared" si="72"/>
        <v>6A</v>
      </c>
      <c r="DC18" s="24">
        <f t="shared" si="73"/>
        <v>11</v>
      </c>
      <c r="DD18" s="24">
        <f>IF(B18="","",'Q1'!$C$8)</f>
        <v>50</v>
      </c>
      <c r="DE18" s="24">
        <f>IF(A18="","",'Q1'!DE18)</f>
        <v>0</v>
      </c>
      <c r="DF18" s="24">
        <f>IF(B18="","",'Q1'!DF18)</f>
        <v>0</v>
      </c>
      <c r="DG18" s="24">
        <f>IF(B18="","",'Q1'!DG18)</f>
        <v>0</v>
      </c>
      <c r="DH18" s="24">
        <f t="shared" si="74"/>
        <v>0</v>
      </c>
      <c r="DI18" s="25">
        <f t="shared" si="75"/>
        <v>1</v>
      </c>
      <c r="DJ18" s="26">
        <f>IF('Q2'!G18="","",'Q2'!G18)</f>
        <v>92.666666666666671</v>
      </c>
      <c r="DK18" s="26">
        <f>IF('Q2'!H18="","",'Q2'!H18)</f>
        <v>92.033333333333331</v>
      </c>
      <c r="DL18" s="26">
        <f>IF('Q2'!I18="","",'Q2'!I18)</f>
        <v>91.466666666666669</v>
      </c>
      <c r="DM18" s="26">
        <f>IF('Q2'!J18="","",'Q2'!J18)</f>
        <v>90</v>
      </c>
      <c r="DN18" s="26">
        <f>IF('Q2'!K18="","",'Q2'!K18)</f>
        <v>91.666666666666671</v>
      </c>
      <c r="DO18" s="26">
        <f>IF('Q2'!L18="","",'Q2'!L18)</f>
        <v>91.933333333333337</v>
      </c>
      <c r="DP18" s="26">
        <f>IF('Q2'!M18="","",'Q2'!M18)</f>
        <v>92.133333333333326</v>
      </c>
      <c r="DQ18" s="26">
        <f>IF('Q2'!N18="","",'Q2'!N18)</f>
        <v>100</v>
      </c>
      <c r="DR18" s="26">
        <f>IF('Q2'!O18="","",'Q2'!O18)</f>
        <v>100</v>
      </c>
      <c r="DS18" s="26">
        <f>IF('Q2'!P18="","",'Q2'!P18)</f>
        <v>95.51</v>
      </c>
      <c r="DT18" s="26">
        <f>IF('Q2'!Q18="","",'Q2'!Q18)</f>
        <v>95.51</v>
      </c>
      <c r="DU18" s="26">
        <f>IF('Q2'!R18="","",'Q2'!R18)</f>
        <v>79.400000000000006</v>
      </c>
      <c r="DV18" s="26">
        <f>IF('Q2'!S18="","",'Q2'!S18)</f>
        <v>83.5</v>
      </c>
      <c r="DW18" s="26">
        <f>IF('Q2'!T18="","",'Q2'!T18)</f>
        <v>98.666666666666671</v>
      </c>
      <c r="DX18" s="26">
        <f>IF('Q2'!U18="","",'Q2'!U18)</f>
        <v>94.666666666666671</v>
      </c>
      <c r="DY18" s="26">
        <f>IF('Q2'!V18="","",'Q2'!V18)</f>
        <v>92</v>
      </c>
      <c r="DZ18" s="26" t="str">
        <f t="shared" si="76"/>
        <v>A</v>
      </c>
      <c r="EA18" s="26" t="str">
        <f t="shared" si="77"/>
        <v>A</v>
      </c>
      <c r="EB18" s="26" t="str">
        <f t="shared" si="78"/>
        <v>A</v>
      </c>
      <c r="EC18" s="26" t="str">
        <f t="shared" si="79"/>
        <v>A</v>
      </c>
      <c r="ED18" s="26" t="str">
        <f t="shared" si="80"/>
        <v>A</v>
      </c>
      <c r="EE18" s="26" t="str">
        <f t="shared" si="81"/>
        <v>A</v>
      </c>
      <c r="EF18" s="26" t="str">
        <f t="shared" si="82"/>
        <v>A</v>
      </c>
      <c r="EG18" s="26" t="str">
        <f t="shared" si="83"/>
        <v>A</v>
      </c>
      <c r="EH18" s="26" t="str">
        <f t="shared" si="84"/>
        <v>A</v>
      </c>
      <c r="EI18" s="24" t="str">
        <f t="shared" si="85"/>
        <v>A</v>
      </c>
      <c r="EJ18" s="24" t="str">
        <f t="shared" si="86"/>
        <v>A</v>
      </c>
      <c r="EK18" s="24" t="str">
        <f t="shared" si="87"/>
        <v>C</v>
      </c>
      <c r="EL18" s="24" t="str">
        <f t="shared" si="88"/>
        <v>B</v>
      </c>
      <c r="EM18" s="24" t="str">
        <f t="shared" si="89"/>
        <v>A</v>
      </c>
      <c r="EN18" s="24" t="str">
        <f t="shared" si="90"/>
        <v>A</v>
      </c>
      <c r="EO18" s="24" t="str">
        <f t="shared" si="91"/>
        <v>A</v>
      </c>
      <c r="EP18" s="24">
        <f t="shared" si="92"/>
        <v>2</v>
      </c>
      <c r="EQ18" s="24">
        <f t="shared" si="93"/>
        <v>2</v>
      </c>
      <c r="ER18" s="24">
        <f t="shared" si="94"/>
        <v>3</v>
      </c>
      <c r="ES18" s="24">
        <f t="shared" si="95"/>
        <v>1</v>
      </c>
      <c r="ET18" s="24">
        <f t="shared" si="96"/>
        <v>5</v>
      </c>
      <c r="EU18" s="24">
        <f t="shared" si="97"/>
        <v>3</v>
      </c>
      <c r="EV18" s="24">
        <f t="shared" si="98"/>
        <v>2</v>
      </c>
      <c r="EW18" s="24">
        <f t="shared" si="99"/>
        <v>1</v>
      </c>
      <c r="EX18" s="24">
        <f t="shared" si="100"/>
        <v>1</v>
      </c>
      <c r="EY18" s="24">
        <f t="shared" si="101"/>
        <v>5</v>
      </c>
      <c r="EZ18" s="24">
        <f t="shared" si="102"/>
        <v>1</v>
      </c>
      <c r="FA18" s="24">
        <f t="shared" si="103"/>
        <v>5</v>
      </c>
      <c r="FB18" s="24">
        <f t="shared" si="104"/>
        <v>3</v>
      </c>
      <c r="FC18" s="24">
        <f t="shared" si="105"/>
        <v>2</v>
      </c>
      <c r="FD18" s="24">
        <f t="shared" si="106"/>
        <v>2</v>
      </c>
      <c r="FE18" s="24">
        <f t="shared" si="107"/>
        <v>2</v>
      </c>
      <c r="FF18" s="26">
        <f t="shared" si="108"/>
        <v>185.33333333333334</v>
      </c>
      <c r="FG18" s="26">
        <f t="shared" si="109"/>
        <v>184.06666666666666</v>
      </c>
      <c r="FH18" s="26">
        <f t="shared" si="110"/>
        <v>274.39999999999998</v>
      </c>
      <c r="FI18" s="26">
        <f t="shared" si="111"/>
        <v>90</v>
      </c>
      <c r="FJ18" s="26">
        <f t="shared" si="112"/>
        <v>458.33333333333337</v>
      </c>
      <c r="FK18" s="26">
        <f t="shared" si="113"/>
        <v>275.8</v>
      </c>
      <c r="FL18" s="26">
        <f t="shared" si="114"/>
        <v>184.26666666666665</v>
      </c>
      <c r="FM18" s="26">
        <f t="shared" si="115"/>
        <v>100</v>
      </c>
      <c r="FN18" s="26">
        <f t="shared" si="116"/>
        <v>100</v>
      </c>
      <c r="FO18" s="26">
        <f t="shared" si="117"/>
        <v>477.55</v>
      </c>
      <c r="FP18" s="26">
        <f t="shared" si="118"/>
        <v>95.51</v>
      </c>
      <c r="FQ18" s="26">
        <f t="shared" si="119"/>
        <v>397</v>
      </c>
      <c r="FR18" s="26">
        <f t="shared" si="120"/>
        <v>250.5</v>
      </c>
      <c r="FS18" s="26">
        <f t="shared" si="121"/>
        <v>197.33333333333334</v>
      </c>
      <c r="FT18" s="26">
        <f t="shared" si="122"/>
        <v>189.33333333333334</v>
      </c>
      <c r="FU18" s="26">
        <f t="shared" si="123"/>
        <v>184</v>
      </c>
      <c r="FV18" s="24">
        <f t="shared" si="124"/>
        <v>8</v>
      </c>
      <c r="FW18" s="24">
        <f t="shared" si="125"/>
        <v>8</v>
      </c>
      <c r="FX18" s="24">
        <f t="shared" si="126"/>
        <v>12</v>
      </c>
      <c r="FY18" s="24">
        <f t="shared" si="127"/>
        <v>4</v>
      </c>
      <c r="FZ18" s="24">
        <f t="shared" si="128"/>
        <v>20</v>
      </c>
      <c r="GA18" s="24">
        <f t="shared" si="129"/>
        <v>12</v>
      </c>
      <c r="GB18" s="24">
        <f t="shared" si="130"/>
        <v>8</v>
      </c>
      <c r="GC18" s="24">
        <f t="shared" si="131"/>
        <v>4</v>
      </c>
      <c r="GD18" s="24">
        <f t="shared" si="132"/>
        <v>4</v>
      </c>
      <c r="GE18" s="24">
        <f t="shared" si="133"/>
        <v>20</v>
      </c>
      <c r="GF18" s="24">
        <f t="shared" si="134"/>
        <v>4</v>
      </c>
      <c r="GG18" s="24">
        <f t="shared" si="135"/>
        <v>10</v>
      </c>
      <c r="GH18" s="24">
        <f t="shared" si="136"/>
        <v>9</v>
      </c>
      <c r="GI18" s="24">
        <f t="shared" si="137"/>
        <v>8</v>
      </c>
      <c r="GJ18" s="24">
        <f t="shared" si="138"/>
        <v>8</v>
      </c>
      <c r="GK18" s="24">
        <f t="shared" si="139"/>
        <v>8</v>
      </c>
      <c r="GL18" s="24">
        <f t="shared" si="140"/>
        <v>20</v>
      </c>
      <c r="GM18" s="24">
        <f t="shared" si="141"/>
        <v>1852.1999999999998</v>
      </c>
      <c r="GN18" s="26">
        <f t="shared" si="142"/>
        <v>80</v>
      </c>
      <c r="GO18" s="26">
        <f t="shared" si="330"/>
        <v>92.609999999999985</v>
      </c>
      <c r="GP18" s="24" t="str">
        <f t="shared" si="331"/>
        <v>A</v>
      </c>
      <c r="GQ18" s="26">
        <f t="shared" si="143"/>
        <v>4</v>
      </c>
      <c r="GR18" s="24">
        <f t="shared" si="144"/>
        <v>20</v>
      </c>
      <c r="GS18" s="26">
        <f t="shared" si="145"/>
        <v>1791.2266666666665</v>
      </c>
      <c r="GT18" s="26">
        <f t="shared" si="146"/>
        <v>67</v>
      </c>
      <c r="GU18" s="26">
        <f t="shared" si="332"/>
        <v>89.561333333333323</v>
      </c>
      <c r="GV18" s="24" t="str">
        <f t="shared" si="333"/>
        <v>B</v>
      </c>
      <c r="GW18" s="27">
        <f t="shared" si="147"/>
        <v>3.35</v>
      </c>
      <c r="GX18" s="24">
        <f t="shared" si="148"/>
        <v>40</v>
      </c>
      <c r="GY18" s="27">
        <f t="shared" si="149"/>
        <v>3643.4266666666672</v>
      </c>
      <c r="GZ18" s="27">
        <f t="shared" si="334"/>
        <v>147</v>
      </c>
      <c r="HA18" s="26">
        <f t="shared" si="335"/>
        <v>91.085666666666683</v>
      </c>
      <c r="HB18" s="27" t="str">
        <f t="shared" si="336"/>
        <v>A</v>
      </c>
      <c r="HC18" s="26">
        <f t="shared" si="150"/>
        <v>3.6749999999999998</v>
      </c>
      <c r="HD18" s="24">
        <f t="shared" si="151"/>
        <v>1</v>
      </c>
      <c r="HE18" s="24" t="str">
        <f t="shared" si="152"/>
        <v>6A</v>
      </c>
      <c r="HF18" s="24">
        <f t="shared" si="153"/>
        <v>11</v>
      </c>
      <c r="HG18" s="24">
        <f>IF(B18="","",'Q2'!$C$8)</f>
        <v>50</v>
      </c>
      <c r="HH18" s="24">
        <f>IF(A18="","",'Q2'!DE18)</f>
        <v>0</v>
      </c>
      <c r="HI18" s="24">
        <f>IF(B18="","",'Q2'!DF18)</f>
        <v>0</v>
      </c>
      <c r="HJ18" s="24">
        <f>IF(B18="","",'Q2'!DG18)</f>
        <v>0</v>
      </c>
      <c r="HK18" s="24">
        <f t="shared" si="154"/>
        <v>0</v>
      </c>
      <c r="HL18" s="25">
        <f t="shared" si="155"/>
        <v>1</v>
      </c>
      <c r="HM18" s="7">
        <v>55</v>
      </c>
      <c r="HN18" s="7">
        <v>90</v>
      </c>
      <c r="HO18" s="7">
        <v>95</v>
      </c>
      <c r="HP18" s="7">
        <v>90</v>
      </c>
      <c r="HQ18" s="7">
        <v>95</v>
      </c>
      <c r="HR18" s="7">
        <v>95</v>
      </c>
      <c r="HS18" s="7">
        <v>70</v>
      </c>
      <c r="HT18" s="7"/>
      <c r="HU18" s="7"/>
      <c r="HV18" s="7">
        <v>86</v>
      </c>
      <c r="HW18" s="7"/>
      <c r="HX18" s="7">
        <v>86</v>
      </c>
      <c r="HY18" s="7">
        <v>98</v>
      </c>
      <c r="HZ18" s="7">
        <v>95</v>
      </c>
      <c r="IA18" s="7">
        <v>97.5</v>
      </c>
      <c r="IB18" s="7">
        <v>85</v>
      </c>
      <c r="IC18" s="7" t="str">
        <f t="shared" si="156"/>
        <v>E</v>
      </c>
      <c r="ID18" s="7" t="str">
        <f t="shared" si="157"/>
        <v>A</v>
      </c>
      <c r="IE18" s="7" t="str">
        <f t="shared" si="158"/>
        <v>A</v>
      </c>
      <c r="IF18" s="7" t="str">
        <f t="shared" si="159"/>
        <v>A</v>
      </c>
      <c r="IG18" s="7" t="str">
        <f t="shared" si="160"/>
        <v>A</v>
      </c>
      <c r="IH18" s="7" t="str">
        <f t="shared" si="161"/>
        <v>A</v>
      </c>
      <c r="II18" s="7" t="str">
        <f t="shared" si="162"/>
        <v>C</v>
      </c>
      <c r="IJ18" s="7" t="str">
        <f t="shared" si="163"/>
        <v/>
      </c>
      <c r="IK18" s="7" t="str">
        <f t="shared" si="164"/>
        <v/>
      </c>
      <c r="IL18" s="24" t="str">
        <f t="shared" si="165"/>
        <v>B</v>
      </c>
      <c r="IM18" s="24" t="str">
        <f t="shared" si="166"/>
        <v/>
      </c>
      <c r="IN18" s="24" t="str">
        <f t="shared" si="167"/>
        <v>B</v>
      </c>
      <c r="IO18" s="24" t="str">
        <f t="shared" si="168"/>
        <v>A</v>
      </c>
      <c r="IP18" s="24" t="str">
        <f t="shared" si="169"/>
        <v>A</v>
      </c>
      <c r="IQ18" s="24" t="str">
        <f t="shared" si="170"/>
        <v>A</v>
      </c>
      <c r="IR18" s="24" t="str">
        <f t="shared" si="171"/>
        <v>B</v>
      </c>
      <c r="IS18" s="24">
        <f t="shared" si="172"/>
        <v>2</v>
      </c>
      <c r="IT18" s="24">
        <f t="shared" si="173"/>
        <v>2</v>
      </c>
      <c r="IU18" s="24">
        <f t="shared" si="174"/>
        <v>3</v>
      </c>
      <c r="IV18" s="24">
        <f t="shared" si="175"/>
        <v>1</v>
      </c>
      <c r="IW18" s="24">
        <f t="shared" si="176"/>
        <v>5</v>
      </c>
      <c r="IX18" s="24">
        <f t="shared" si="177"/>
        <v>3</v>
      </c>
      <c r="IY18" s="24">
        <f t="shared" si="178"/>
        <v>2</v>
      </c>
      <c r="IZ18" s="24" t="str">
        <f t="shared" si="179"/>
        <v/>
      </c>
      <c r="JA18" s="24" t="str">
        <f t="shared" si="180"/>
        <v/>
      </c>
      <c r="JB18" s="24">
        <f t="shared" si="181"/>
        <v>5</v>
      </c>
      <c r="JC18" s="24" t="str">
        <f t="shared" si="182"/>
        <v/>
      </c>
      <c r="JD18" s="24">
        <f t="shared" si="183"/>
        <v>5</v>
      </c>
      <c r="JE18" s="24">
        <f t="shared" si="184"/>
        <v>3</v>
      </c>
      <c r="JF18" s="24">
        <f t="shared" si="185"/>
        <v>2</v>
      </c>
      <c r="JG18" s="24">
        <f t="shared" si="186"/>
        <v>2</v>
      </c>
      <c r="JH18" s="24">
        <f t="shared" si="187"/>
        <v>2</v>
      </c>
      <c r="JI18" s="26">
        <f t="shared" si="188"/>
        <v>110</v>
      </c>
      <c r="JJ18" s="26">
        <f t="shared" si="189"/>
        <v>180</v>
      </c>
      <c r="JK18" s="26">
        <f t="shared" si="190"/>
        <v>285</v>
      </c>
      <c r="JL18" s="26">
        <f t="shared" si="191"/>
        <v>90</v>
      </c>
      <c r="JM18" s="26">
        <f t="shared" si="192"/>
        <v>475</v>
      </c>
      <c r="JN18" s="26">
        <f t="shared" si="193"/>
        <v>285</v>
      </c>
      <c r="JO18" s="26">
        <f t="shared" si="194"/>
        <v>140</v>
      </c>
      <c r="JP18" s="26" t="str">
        <f t="shared" si="195"/>
        <v/>
      </c>
      <c r="JQ18" s="24">
        <f t="shared" si="196"/>
        <v>430</v>
      </c>
      <c r="JR18" s="24" t="str">
        <f t="shared" si="197"/>
        <v/>
      </c>
      <c r="JS18" s="24">
        <f t="shared" si="198"/>
        <v>430</v>
      </c>
      <c r="JT18" s="24">
        <f t="shared" si="199"/>
        <v>294</v>
      </c>
      <c r="JU18" s="24">
        <f t="shared" si="200"/>
        <v>190</v>
      </c>
      <c r="JV18" s="24">
        <f t="shared" si="201"/>
        <v>195</v>
      </c>
      <c r="JW18" s="24">
        <f t="shared" si="202"/>
        <v>170</v>
      </c>
      <c r="JX18" s="24">
        <f t="shared" si="203"/>
        <v>2</v>
      </c>
      <c r="JY18" s="24">
        <f t="shared" si="204"/>
        <v>8</v>
      </c>
      <c r="JZ18" s="24">
        <f t="shared" si="205"/>
        <v>12</v>
      </c>
      <c r="KA18" s="24">
        <f t="shared" si="206"/>
        <v>4</v>
      </c>
      <c r="KB18" s="24">
        <f t="shared" si="207"/>
        <v>20</v>
      </c>
      <c r="KC18" s="24">
        <f t="shared" si="208"/>
        <v>12</v>
      </c>
      <c r="KD18" s="24">
        <f t="shared" si="209"/>
        <v>4</v>
      </c>
      <c r="KE18" s="24" t="str">
        <f t="shared" si="210"/>
        <v/>
      </c>
      <c r="KF18" s="24" t="str">
        <f t="shared" si="211"/>
        <v/>
      </c>
      <c r="KG18" s="24">
        <f t="shared" si="212"/>
        <v>15</v>
      </c>
      <c r="KH18" s="24" t="str">
        <f t="shared" si="213"/>
        <v/>
      </c>
      <c r="KI18" s="24">
        <f t="shared" si="214"/>
        <v>15</v>
      </c>
      <c r="KJ18" s="24">
        <f t="shared" si="215"/>
        <v>12</v>
      </c>
      <c r="KK18" s="24">
        <f t="shared" si="216"/>
        <v>8</v>
      </c>
      <c r="KL18" s="24">
        <f t="shared" si="217"/>
        <v>8</v>
      </c>
      <c r="KM18" s="24">
        <f t="shared" si="218"/>
        <v>6</v>
      </c>
      <c r="KN18" s="24">
        <f t="shared" si="219"/>
        <v>18</v>
      </c>
      <c r="KO18" s="26">
        <f t="shared" si="220"/>
        <v>1565</v>
      </c>
      <c r="KP18" s="26">
        <f t="shared" si="221"/>
        <v>62</v>
      </c>
      <c r="KQ18" s="26">
        <f t="shared" si="337"/>
        <v>86.944444444444443</v>
      </c>
      <c r="KR18" s="24" t="str">
        <f t="shared" si="338"/>
        <v>B</v>
      </c>
      <c r="KS18" s="26">
        <f t="shared" si="222"/>
        <v>3.4444444444444446</v>
      </c>
      <c r="KT18" s="24">
        <f t="shared" si="223"/>
        <v>19</v>
      </c>
      <c r="KU18" s="24">
        <f t="shared" si="224"/>
        <v>1709</v>
      </c>
      <c r="KV18" s="26">
        <f t="shared" si="225"/>
        <v>64</v>
      </c>
      <c r="KW18" s="26">
        <f t="shared" si="339"/>
        <v>89.94736842105263</v>
      </c>
      <c r="KX18" s="24" t="str">
        <f t="shared" si="340"/>
        <v>B</v>
      </c>
      <c r="KY18" s="27">
        <f t="shared" si="226"/>
        <v>3.3684210526315788</v>
      </c>
      <c r="KZ18" s="24">
        <f t="shared" si="227"/>
        <v>37</v>
      </c>
      <c r="LA18" s="27">
        <f t="shared" si="228"/>
        <v>3274</v>
      </c>
      <c r="LB18" s="27">
        <f t="shared" si="229"/>
        <v>126</v>
      </c>
      <c r="LC18" s="26">
        <f t="shared" si="341"/>
        <v>88.486486486486484</v>
      </c>
      <c r="LD18" s="24" t="str">
        <f t="shared" si="342"/>
        <v>B</v>
      </c>
      <c r="LE18" s="26">
        <f t="shared" si="230"/>
        <v>3.4054054054054053</v>
      </c>
      <c r="LF18" s="24">
        <f t="shared" si="231"/>
        <v>1</v>
      </c>
      <c r="LG18" s="24" t="str">
        <f t="shared" si="232"/>
        <v>6A</v>
      </c>
      <c r="LH18" s="24">
        <f t="shared" si="233"/>
        <v>11</v>
      </c>
      <c r="LI18" s="26">
        <f>IF('Q2'!G18="","",SUM((AVERAGE('Q1'!G18,'Q2'!G18)*0.5))+(HM18*0.5))</f>
        <v>68.333333333333343</v>
      </c>
      <c r="LJ18" s="26">
        <f>IF('Q2'!H18="","",SUM((AVERAGE('Q1'!H18,'Q2'!H18)*0.5))+(HN18*0.5))</f>
        <v>90.275000000000006</v>
      </c>
      <c r="LK18" s="26">
        <f>IF('Q2'!I18="","",SUM((AVERAGE('Q1'!I18,'Q2'!I18)*0.5))+(HO18*0.5))</f>
        <v>92.63333333333334</v>
      </c>
      <c r="LL18" s="26">
        <f>IF('Q2'!J18="","",SUM((AVERAGE('Q1'!J18,'Q2'!J18)*0.5))+(HP18*0.5))</f>
        <v>85.833333333333343</v>
      </c>
      <c r="LM18" s="26">
        <f>IF('Q2'!K18="","",SUM((AVERAGE('Q1'!K18,'Q2'!K18)*0.5))+(HQ18*0.5))</f>
        <v>92.066666666666663</v>
      </c>
      <c r="LN18" s="26">
        <f>IF('Q2'!L18="","",SUM((AVERAGE('Q1'!L18,'Q2'!L18)*0.5))+(HR18*0.5))</f>
        <v>92.75</v>
      </c>
      <c r="LO18" s="26">
        <f>IF('Q2'!M18="","",SUM((AVERAGE('Q1'!M18,'Q2'!M18)*0.5))+(HS18*0.5))</f>
        <v>80.3</v>
      </c>
      <c r="LP18" s="26">
        <f>IF('Q2'!N18="","",SUM((AVERAGE('Q1'!N18,'Q2'!N18)*1)))</f>
        <v>94.333333333333343</v>
      </c>
      <c r="LQ18" s="26">
        <f>IF('Q2'!O18="","",SUM((AVERAGE('Q1'!O18,'Q2'!O18)*1)))</f>
        <v>94.333333333333343</v>
      </c>
      <c r="LR18" s="26">
        <f>IF('Q2'!P18="","",SUM((AVERAGE('Q1'!P18,'Q2'!P18)*0.5))+(HV18*0.5))</f>
        <v>90.977500000000006</v>
      </c>
      <c r="LS18" s="26">
        <f>IF('Q2'!Q18="","",SUM((AVERAGE('Q1'!Q18,'Q2'!Q18)*1))+(HW18*1))</f>
        <v>95.955000000000013</v>
      </c>
      <c r="LT18" s="26">
        <f>IF('Q2'!R18="","",SUM((AVERAGE('Q1'!R18,'Q2'!R18)*0.5))+(HX18*0.5))</f>
        <v>82.367500000000007</v>
      </c>
      <c r="LU18" s="26">
        <f>IF('Q2'!S18="","",SUM((AVERAGE('Q1'!S18,'Q2'!S18)*0.5))+(HY18*0.5))</f>
        <v>92.525000000000006</v>
      </c>
      <c r="LV18" s="26">
        <f>IF('Q2'!T18="","",SUM((AVERAGE('Q1'!T18,'Q2'!T18)*0.5))+(HZ18*0.5))</f>
        <v>89.716666666666669</v>
      </c>
      <c r="LW18" s="26">
        <f>IF('Q2'!U18="","",SUM((AVERAGE('Q1'!U18,'Q2'!U18)*0.5))+(IA18*0.5))</f>
        <v>96.866666666666674</v>
      </c>
      <c r="LX18" s="26">
        <f>IF('Q2'!V18="","",SUM((AVERAGE('Q1'!V18,'Q2'!V18)*0.5))+(IB18*0.5))</f>
        <v>88.25</v>
      </c>
      <c r="LY18" s="26" t="str">
        <f t="shared" si="234"/>
        <v>D</v>
      </c>
      <c r="LZ18" s="26" t="str">
        <f t="shared" si="235"/>
        <v>A</v>
      </c>
      <c r="MA18" s="26" t="str">
        <f t="shared" si="236"/>
        <v>A</v>
      </c>
      <c r="MB18" s="26" t="str">
        <f t="shared" si="237"/>
        <v>B</v>
      </c>
      <c r="MC18" s="26" t="str">
        <f t="shared" si="238"/>
        <v>A</v>
      </c>
      <c r="MD18" s="26" t="str">
        <f t="shared" si="239"/>
        <v>A</v>
      </c>
      <c r="ME18" s="26" t="str">
        <f t="shared" si="240"/>
        <v>B</v>
      </c>
      <c r="MF18" s="26" t="str">
        <f t="shared" si="241"/>
        <v>A</v>
      </c>
      <c r="MG18" s="26" t="str">
        <f t="shared" si="242"/>
        <v>A</v>
      </c>
      <c r="MH18" s="24" t="str">
        <f t="shared" si="243"/>
        <v>A</v>
      </c>
      <c r="MI18" s="24" t="str">
        <f t="shared" si="244"/>
        <v>A</v>
      </c>
      <c r="MJ18" s="24" t="str">
        <f t="shared" si="245"/>
        <v>B</v>
      </c>
      <c r="MK18" s="24" t="str">
        <f t="shared" si="246"/>
        <v>A</v>
      </c>
      <c r="ML18" s="24" t="str">
        <f t="shared" si="247"/>
        <v>B</v>
      </c>
      <c r="MM18" s="24" t="str">
        <f t="shared" si="248"/>
        <v>A</v>
      </c>
      <c r="MN18" s="24" t="str">
        <f t="shared" si="249"/>
        <v>B</v>
      </c>
      <c r="MO18" s="24">
        <f t="shared" si="250"/>
        <v>2</v>
      </c>
      <c r="MP18" s="24">
        <f t="shared" si="251"/>
        <v>2</v>
      </c>
      <c r="MQ18" s="24">
        <f t="shared" si="252"/>
        <v>3</v>
      </c>
      <c r="MR18" s="24">
        <f t="shared" si="253"/>
        <v>1</v>
      </c>
      <c r="MS18" s="24">
        <f t="shared" si="254"/>
        <v>5</v>
      </c>
      <c r="MT18" s="24">
        <f t="shared" si="255"/>
        <v>3</v>
      </c>
      <c r="MU18" s="24">
        <f t="shared" si="256"/>
        <v>2</v>
      </c>
      <c r="MV18" s="24">
        <f t="shared" si="257"/>
        <v>1</v>
      </c>
      <c r="MW18" s="24">
        <f t="shared" si="258"/>
        <v>1</v>
      </c>
      <c r="MX18" s="24">
        <f t="shared" si="259"/>
        <v>5</v>
      </c>
      <c r="MY18" s="24">
        <f t="shared" si="260"/>
        <v>1</v>
      </c>
      <c r="MZ18" s="24">
        <f t="shared" si="261"/>
        <v>5</v>
      </c>
      <c r="NA18" s="24">
        <f t="shared" si="262"/>
        <v>3</v>
      </c>
      <c r="NB18" s="24">
        <f t="shared" si="263"/>
        <v>2</v>
      </c>
      <c r="NC18" s="24">
        <f t="shared" si="264"/>
        <v>2</v>
      </c>
      <c r="ND18" s="24">
        <f t="shared" si="265"/>
        <v>2</v>
      </c>
      <c r="NE18" s="26">
        <f t="shared" si="266"/>
        <v>136.66666666666669</v>
      </c>
      <c r="NF18" s="26">
        <f t="shared" si="267"/>
        <v>180.55</v>
      </c>
      <c r="NG18" s="26">
        <f t="shared" si="268"/>
        <v>277.90000000000003</v>
      </c>
      <c r="NH18" s="26">
        <f t="shared" si="269"/>
        <v>85.833333333333343</v>
      </c>
      <c r="NI18" s="26">
        <f t="shared" si="270"/>
        <v>460.33333333333331</v>
      </c>
      <c r="NJ18" s="26">
        <f t="shared" si="271"/>
        <v>278.25</v>
      </c>
      <c r="NK18" s="26">
        <f t="shared" si="272"/>
        <v>160.6</v>
      </c>
      <c r="NL18" s="26">
        <f t="shared" si="273"/>
        <v>94.333333333333343</v>
      </c>
      <c r="NM18" s="26">
        <f t="shared" si="274"/>
        <v>94.333333333333343</v>
      </c>
      <c r="NN18" s="26">
        <f t="shared" si="275"/>
        <v>454.88750000000005</v>
      </c>
      <c r="NO18" s="26">
        <f t="shared" si="276"/>
        <v>95.955000000000013</v>
      </c>
      <c r="NP18" s="26">
        <f t="shared" si="277"/>
        <v>411.83750000000003</v>
      </c>
      <c r="NQ18" s="26">
        <f t="shared" si="278"/>
        <v>277.57500000000005</v>
      </c>
      <c r="NR18" s="26">
        <f t="shared" si="279"/>
        <v>179.43333333333334</v>
      </c>
      <c r="NS18" s="26">
        <f t="shared" si="280"/>
        <v>193.73333333333335</v>
      </c>
      <c r="NT18" s="26">
        <f t="shared" si="281"/>
        <v>176.5</v>
      </c>
      <c r="NU18" s="24">
        <f t="shared" si="282"/>
        <v>3</v>
      </c>
      <c r="NV18" s="24">
        <f t="shared" si="283"/>
        <v>8</v>
      </c>
      <c r="NW18" s="24">
        <f t="shared" si="284"/>
        <v>12</v>
      </c>
      <c r="NX18" s="24">
        <f t="shared" si="285"/>
        <v>3</v>
      </c>
      <c r="NY18" s="24">
        <f t="shared" si="286"/>
        <v>20</v>
      </c>
      <c r="NZ18" s="24">
        <f t="shared" si="287"/>
        <v>12</v>
      </c>
      <c r="OA18" s="24">
        <f t="shared" si="288"/>
        <v>6</v>
      </c>
      <c r="OB18" s="24">
        <f t="shared" si="289"/>
        <v>4</v>
      </c>
      <c r="OC18" s="24">
        <f t="shared" si="290"/>
        <v>4</v>
      </c>
      <c r="OD18" s="24">
        <f t="shared" si="291"/>
        <v>20</v>
      </c>
      <c r="OE18" s="24">
        <f t="shared" si="292"/>
        <v>4</v>
      </c>
      <c r="OF18" s="24">
        <f t="shared" si="293"/>
        <v>15</v>
      </c>
      <c r="OG18" s="24">
        <f t="shared" si="294"/>
        <v>12</v>
      </c>
      <c r="OH18" s="24">
        <f t="shared" si="295"/>
        <v>6</v>
      </c>
      <c r="OI18" s="24">
        <f t="shared" si="296"/>
        <v>8</v>
      </c>
      <c r="OJ18" s="24">
        <f t="shared" si="297"/>
        <v>6</v>
      </c>
      <c r="OK18" s="24">
        <f t="shared" si="298"/>
        <v>20</v>
      </c>
      <c r="OL18" s="24">
        <f t="shared" si="299"/>
        <v>1768.8</v>
      </c>
      <c r="OM18" s="26">
        <f t="shared" si="300"/>
        <v>72</v>
      </c>
      <c r="ON18" s="26">
        <f t="shared" si="343"/>
        <v>88.44</v>
      </c>
      <c r="OO18" s="24" t="str">
        <f t="shared" si="344"/>
        <v>B</v>
      </c>
      <c r="OP18" s="26">
        <f t="shared" si="301"/>
        <v>3.6</v>
      </c>
      <c r="OQ18" s="24">
        <f t="shared" si="302"/>
        <v>20</v>
      </c>
      <c r="OR18" s="26">
        <f t="shared" si="303"/>
        <v>1789.9216666666669</v>
      </c>
      <c r="OS18" s="26">
        <f t="shared" si="304"/>
        <v>71</v>
      </c>
      <c r="OT18" s="26">
        <f t="shared" si="345"/>
        <v>89.496083333333345</v>
      </c>
      <c r="OU18" s="24" t="str">
        <f t="shared" si="346"/>
        <v>B</v>
      </c>
      <c r="OV18" s="27">
        <f t="shared" si="305"/>
        <v>3.55</v>
      </c>
      <c r="OW18" s="24">
        <f t="shared" si="306"/>
        <v>40</v>
      </c>
      <c r="OX18" s="27">
        <f t="shared" si="307"/>
        <v>3558.7216666666673</v>
      </c>
      <c r="OY18" s="27">
        <f t="shared" si="308"/>
        <v>143</v>
      </c>
      <c r="OZ18" s="26">
        <f t="shared" si="347"/>
        <v>88.968041666666679</v>
      </c>
      <c r="PA18" s="27" t="str">
        <f t="shared" si="348"/>
        <v>B</v>
      </c>
      <c r="PB18" s="26">
        <f t="shared" si="309"/>
        <v>3.5750000000000002</v>
      </c>
      <c r="PC18" s="24">
        <f t="shared" si="310"/>
        <v>1</v>
      </c>
      <c r="PD18" s="24" t="str">
        <f t="shared" si="311"/>
        <v>6A</v>
      </c>
      <c r="PE18" s="24">
        <f t="shared" si="312"/>
        <v>11</v>
      </c>
      <c r="PF18" s="24">
        <f t="shared" si="313"/>
        <v>100</v>
      </c>
      <c r="PG18" s="24">
        <f t="shared" si="314"/>
        <v>0</v>
      </c>
      <c r="PH18" s="24">
        <f t="shared" si="315"/>
        <v>0</v>
      </c>
      <c r="PI18" s="24">
        <f t="shared" si="316"/>
        <v>0</v>
      </c>
      <c r="PJ18" s="24">
        <f t="shared" si="317"/>
        <v>0</v>
      </c>
      <c r="PK18" s="25">
        <f t="shared" si="318"/>
        <v>1</v>
      </c>
    </row>
    <row r="19" spans="1:427" ht="27" customHeight="1" x14ac:dyDescent="0.35">
      <c r="A19" s="24">
        <f t="shared" si="349"/>
        <v>5</v>
      </c>
      <c r="B19" s="28" t="str">
        <f>IF('Q1'!B19="","",'Q1'!B19)</f>
        <v>Heng Bunpiseth</v>
      </c>
      <c r="C19" s="30" t="str">
        <f>IF('Q1'!C19="","",'Q1'!C19)</f>
        <v>ហេង ប៊ុនពិសិដ្ឋ</v>
      </c>
      <c r="D19" s="28">
        <v>5</v>
      </c>
      <c r="E19" s="24" t="s">
        <v>124</v>
      </c>
      <c r="F19" s="24" t="str">
        <f>IF('Q1'!F19="","",'Q1'!F19)</f>
        <v>I</v>
      </c>
      <c r="G19" s="26">
        <f>IF('Q1'!G19="","",'Q1'!G19)</f>
        <v>57.333333333333343</v>
      </c>
      <c r="H19" s="26">
        <f>IF('Q1'!H19="","",'Q1'!H19)</f>
        <v>71.76666666666668</v>
      </c>
      <c r="I19" s="26">
        <f>IF('Q1'!I19="","",'Q1'!I19)</f>
        <v>72.366666666666674</v>
      </c>
      <c r="J19" s="26">
        <f>IF('Q1'!J19="","",'Q1'!J19)</f>
        <v>57.333333333333343</v>
      </c>
      <c r="K19" s="26">
        <f>IF('Q1'!K19="","",'Q1'!K19)</f>
        <v>67.400000000000006</v>
      </c>
      <c r="L19" s="26">
        <f>IF('Q1'!L19="","",'Q1'!L19)</f>
        <v>70.406666666666666</v>
      </c>
      <c r="M19" s="26">
        <f>IF('Q1'!M19="","",'Q1'!M19)</f>
        <v>71.76666666666668</v>
      </c>
      <c r="N19" s="26">
        <f>IF('Q1'!N19="","",'Q1'!N19)</f>
        <v>67.333333333333343</v>
      </c>
      <c r="O19" s="26">
        <f>IF('Q1'!O19="","",'Q1'!O19)</f>
        <v>67.333333333333343</v>
      </c>
      <c r="P19" s="26">
        <f>IF('Q1'!P19="","",'Q1'!P19)</f>
        <v>90.54000000000002</v>
      </c>
      <c r="Q19" s="26">
        <f>IF('Q1'!Q19="","",'Q1'!Q19)</f>
        <v>90.54000000000002</v>
      </c>
      <c r="R19" s="26">
        <f>IF('Q1'!R19="","",'Q1'!R19)</f>
        <v>51</v>
      </c>
      <c r="S19" s="26">
        <f>IF('Q1'!S19="","",'Q1'!S19)</f>
        <v>54.606060606060609</v>
      </c>
      <c r="T19" s="26">
        <f>IF('Q1'!T19="","",'Q1'!T19)</f>
        <v>41.6</v>
      </c>
      <c r="U19" s="26">
        <f>IF('Q1'!U19="","",'Q1'!U19)</f>
        <v>82.666666666666671</v>
      </c>
      <c r="V19" s="26">
        <f>IF('Q1'!V19="","",'Q1'!V19)</f>
        <v>79</v>
      </c>
      <c r="W19" s="26" t="str">
        <f t="shared" si="0"/>
        <v>E</v>
      </c>
      <c r="X19" s="26" t="str">
        <f t="shared" si="1"/>
        <v>C</v>
      </c>
      <c r="Y19" s="26" t="str">
        <f t="shared" si="2"/>
        <v>C</v>
      </c>
      <c r="Z19" s="26" t="str">
        <f t="shared" si="3"/>
        <v>E</v>
      </c>
      <c r="AA19" s="26" t="str">
        <f t="shared" si="4"/>
        <v>D</v>
      </c>
      <c r="AB19" s="26" t="str">
        <f t="shared" si="5"/>
        <v>C</v>
      </c>
      <c r="AC19" s="26" t="str">
        <f t="shared" si="6"/>
        <v>C</v>
      </c>
      <c r="AD19" s="26" t="str">
        <f t="shared" si="7"/>
        <v>D</v>
      </c>
      <c r="AE19" s="26" t="str">
        <f t="shared" si="8"/>
        <v>D</v>
      </c>
      <c r="AF19" s="24" t="str">
        <f t="shared" si="9"/>
        <v>A</v>
      </c>
      <c r="AG19" s="24" t="str">
        <f t="shared" si="10"/>
        <v>A</v>
      </c>
      <c r="AH19" s="24" t="str">
        <f t="shared" si="11"/>
        <v>E</v>
      </c>
      <c r="AI19" s="24" t="str">
        <f t="shared" si="12"/>
        <v>E</v>
      </c>
      <c r="AJ19" s="24" t="str">
        <f t="shared" si="13"/>
        <v>F</v>
      </c>
      <c r="AK19" s="24" t="str">
        <f t="shared" si="14"/>
        <v>B</v>
      </c>
      <c r="AL19" s="24" t="str">
        <f t="shared" si="15"/>
        <v>C</v>
      </c>
      <c r="AM19" s="24">
        <f t="shared" si="16"/>
        <v>2</v>
      </c>
      <c r="AN19" s="24">
        <f t="shared" si="17"/>
        <v>2</v>
      </c>
      <c r="AO19" s="24">
        <f t="shared" si="18"/>
        <v>3</v>
      </c>
      <c r="AP19" s="24">
        <f t="shared" si="19"/>
        <v>1</v>
      </c>
      <c r="AQ19" s="24">
        <f t="shared" si="20"/>
        <v>5</v>
      </c>
      <c r="AR19" s="24">
        <f t="shared" si="21"/>
        <v>3</v>
      </c>
      <c r="AS19" s="24">
        <f t="shared" si="22"/>
        <v>2</v>
      </c>
      <c r="AT19" s="24">
        <f t="shared" si="23"/>
        <v>1</v>
      </c>
      <c r="AU19" s="24">
        <f t="shared" si="24"/>
        <v>1</v>
      </c>
      <c r="AV19" s="24">
        <f t="shared" si="25"/>
        <v>5</v>
      </c>
      <c r="AW19" s="24">
        <f t="shared" si="26"/>
        <v>1</v>
      </c>
      <c r="AX19" s="24">
        <f t="shared" si="27"/>
        <v>5</v>
      </c>
      <c r="AY19" s="24">
        <f t="shared" si="28"/>
        <v>3</v>
      </c>
      <c r="AZ19" s="24">
        <f t="shared" si="29"/>
        <v>2</v>
      </c>
      <c r="BA19" s="24">
        <f t="shared" si="30"/>
        <v>2</v>
      </c>
      <c r="BB19" s="24">
        <f t="shared" si="31"/>
        <v>2</v>
      </c>
      <c r="BC19" s="26">
        <f t="shared" si="32"/>
        <v>114.66666666666669</v>
      </c>
      <c r="BD19" s="26">
        <f t="shared" si="33"/>
        <v>143.53333333333336</v>
      </c>
      <c r="BE19" s="26">
        <f t="shared" si="34"/>
        <v>217.10000000000002</v>
      </c>
      <c r="BF19" s="26">
        <f t="shared" si="35"/>
        <v>57.333333333333343</v>
      </c>
      <c r="BG19" s="26">
        <f t="shared" si="36"/>
        <v>337</v>
      </c>
      <c r="BH19" s="26">
        <f t="shared" si="37"/>
        <v>211.22</v>
      </c>
      <c r="BI19" s="26">
        <f t="shared" si="38"/>
        <v>143.53333333333336</v>
      </c>
      <c r="BJ19" s="26">
        <f t="shared" si="39"/>
        <v>67.333333333333343</v>
      </c>
      <c r="BK19" s="26">
        <f t="shared" si="40"/>
        <v>67.333333333333343</v>
      </c>
      <c r="BL19" s="26">
        <f t="shared" si="41"/>
        <v>452.7000000000001</v>
      </c>
      <c r="BM19" s="26">
        <f t="shared" si="42"/>
        <v>90.54000000000002</v>
      </c>
      <c r="BN19" s="26">
        <f t="shared" si="43"/>
        <v>255</v>
      </c>
      <c r="BO19" s="26">
        <f t="shared" si="44"/>
        <v>163.81818181818181</v>
      </c>
      <c r="BP19" s="26">
        <f t="shared" si="45"/>
        <v>83.2</v>
      </c>
      <c r="BQ19" s="26">
        <f t="shared" si="46"/>
        <v>165.33333333333334</v>
      </c>
      <c r="BR19" s="26">
        <f t="shared" si="47"/>
        <v>158</v>
      </c>
      <c r="BS19" s="24">
        <f t="shared" si="48"/>
        <v>2</v>
      </c>
      <c r="BT19" s="24">
        <f t="shared" si="49"/>
        <v>4</v>
      </c>
      <c r="BU19" s="24">
        <f t="shared" si="50"/>
        <v>6</v>
      </c>
      <c r="BV19" s="24">
        <f t="shared" si="51"/>
        <v>1</v>
      </c>
      <c r="BW19" s="24">
        <f t="shared" si="52"/>
        <v>7.5</v>
      </c>
      <c r="BX19" s="24">
        <f t="shared" si="53"/>
        <v>6</v>
      </c>
      <c r="BY19" s="24">
        <f t="shared" si="54"/>
        <v>4</v>
      </c>
      <c r="BZ19" s="24">
        <f t="shared" si="55"/>
        <v>1.5</v>
      </c>
      <c r="CA19" s="24">
        <f t="shared" si="56"/>
        <v>1.5</v>
      </c>
      <c r="CB19" s="24">
        <f t="shared" si="57"/>
        <v>20</v>
      </c>
      <c r="CC19" s="24">
        <f t="shared" si="58"/>
        <v>4</v>
      </c>
      <c r="CD19" s="24">
        <f t="shared" si="59"/>
        <v>5</v>
      </c>
      <c r="CE19" s="24">
        <f t="shared" si="60"/>
        <v>3</v>
      </c>
      <c r="CF19" s="24">
        <f t="shared" si="61"/>
        <v>0</v>
      </c>
      <c r="CG19" s="24">
        <f t="shared" si="62"/>
        <v>6</v>
      </c>
      <c r="CH19" s="24">
        <f t="shared" si="63"/>
        <v>4</v>
      </c>
      <c r="CI19" s="24">
        <f t="shared" si="319"/>
        <v>20</v>
      </c>
      <c r="CJ19" s="26">
        <f t="shared" si="64"/>
        <v>1359.0533333333333</v>
      </c>
      <c r="CK19" s="26">
        <f t="shared" si="320"/>
        <v>33.5</v>
      </c>
      <c r="CL19" s="26">
        <f t="shared" si="321"/>
        <v>67.952666666666659</v>
      </c>
      <c r="CM19" s="24" t="str">
        <f t="shared" si="322"/>
        <v>D</v>
      </c>
      <c r="CN19" s="26">
        <f t="shared" si="65"/>
        <v>1.675</v>
      </c>
      <c r="CO19" s="24">
        <f t="shared" si="66"/>
        <v>20</v>
      </c>
      <c r="CP19" s="26">
        <f t="shared" si="67"/>
        <v>1368.5915151515153</v>
      </c>
      <c r="CQ19" s="26">
        <f t="shared" si="68"/>
        <v>42</v>
      </c>
      <c r="CR19" s="26">
        <f t="shared" si="323"/>
        <v>68.429575757575762</v>
      </c>
      <c r="CS19" s="24" t="str">
        <f t="shared" si="324"/>
        <v>D</v>
      </c>
      <c r="CT19" s="27">
        <f t="shared" si="69"/>
        <v>2.1</v>
      </c>
      <c r="CU19" s="24">
        <f t="shared" si="325"/>
        <v>40</v>
      </c>
      <c r="CV19" s="26">
        <f t="shared" si="326"/>
        <v>2727.6448484848484</v>
      </c>
      <c r="CW19" s="26">
        <f t="shared" si="327"/>
        <v>75.5</v>
      </c>
      <c r="CX19" s="26">
        <f t="shared" si="328"/>
        <v>68.191121212121203</v>
      </c>
      <c r="CY19" s="24" t="str">
        <f t="shared" si="329"/>
        <v>D</v>
      </c>
      <c r="CZ19" s="26">
        <f t="shared" si="70"/>
        <v>1.8875</v>
      </c>
      <c r="DA19" s="24">
        <f t="shared" si="71"/>
        <v>8</v>
      </c>
      <c r="DB19" s="24" t="str">
        <f t="shared" si="72"/>
        <v>6A</v>
      </c>
      <c r="DC19" s="24">
        <f t="shared" si="73"/>
        <v>11</v>
      </c>
      <c r="DD19" s="24">
        <f>IF(B19="","",'Q1'!$C$8)</f>
        <v>50</v>
      </c>
      <c r="DE19" s="24">
        <f>IF(A19="","",'Q1'!DE19)</f>
        <v>0</v>
      </c>
      <c r="DF19" s="24">
        <f>IF(B19="","",'Q1'!DF19)</f>
        <v>0</v>
      </c>
      <c r="DG19" s="24">
        <f>IF(B19="","",'Q1'!DG19)</f>
        <v>0</v>
      </c>
      <c r="DH19" s="24">
        <f t="shared" si="74"/>
        <v>0</v>
      </c>
      <c r="DI19" s="25">
        <f t="shared" si="75"/>
        <v>1</v>
      </c>
      <c r="DJ19" s="26">
        <f>IF('Q2'!G19="","",'Q2'!G19)</f>
        <v>76.333333333333343</v>
      </c>
      <c r="DK19" s="26">
        <f>IF('Q2'!H19="","",'Q2'!H19)</f>
        <v>79.599999999999994</v>
      </c>
      <c r="DL19" s="26">
        <f>IF('Q2'!I19="","",'Q2'!I19)</f>
        <v>82.166666666666671</v>
      </c>
      <c r="DM19" s="26">
        <f>IF('Q2'!J19="","",'Q2'!J19)</f>
        <v>80.333333333333343</v>
      </c>
      <c r="DN19" s="26">
        <f>IF('Q2'!K19="","",'Q2'!K19)</f>
        <v>82.866666666666674</v>
      </c>
      <c r="DO19" s="26">
        <f>IF('Q2'!L19="","",'Q2'!L19)</f>
        <v>78.933333333333337</v>
      </c>
      <c r="DP19" s="26">
        <f>IF('Q2'!M19="","",'Q2'!M19)</f>
        <v>81.599999999999994</v>
      </c>
      <c r="DQ19" s="26">
        <f>IF('Q2'!N19="","",'Q2'!N19)</f>
        <v>100</v>
      </c>
      <c r="DR19" s="26">
        <f>IF('Q2'!O19="","",'Q2'!O19)</f>
        <v>100</v>
      </c>
      <c r="DS19" s="26">
        <f>IF('Q2'!P19="","",'Q2'!P19)</f>
        <v>82.19</v>
      </c>
      <c r="DT19" s="26">
        <f>IF('Q2'!Q19="","",'Q2'!Q19)</f>
        <v>82.19</v>
      </c>
      <c r="DU19" s="26">
        <f>IF('Q2'!R19="","",'Q2'!R19)</f>
        <v>58.58</v>
      </c>
      <c r="DV19" s="26">
        <f>IF('Q2'!S19="","",'Q2'!S19)</f>
        <v>55.466666666666669</v>
      </c>
      <c r="DW19" s="26">
        <f>IF('Q2'!T19="","",'Q2'!T19)</f>
        <v>79.333333333333343</v>
      </c>
      <c r="DX19" s="26">
        <f>IF('Q2'!U19="","",'Q2'!U19)</f>
        <v>82.166666666666657</v>
      </c>
      <c r="DY19" s="26">
        <f>IF('Q2'!V19="","",'Q2'!V19)</f>
        <v>88.833333333333343</v>
      </c>
      <c r="DZ19" s="26" t="str">
        <f t="shared" si="76"/>
        <v>C</v>
      </c>
      <c r="EA19" s="26" t="str">
        <f t="shared" si="77"/>
        <v>C</v>
      </c>
      <c r="EB19" s="26" t="str">
        <f t="shared" si="78"/>
        <v>B</v>
      </c>
      <c r="EC19" s="26" t="str">
        <f t="shared" si="79"/>
        <v>B</v>
      </c>
      <c r="ED19" s="26" t="str">
        <f t="shared" si="80"/>
        <v>B</v>
      </c>
      <c r="EE19" s="26" t="str">
        <f t="shared" si="81"/>
        <v>C</v>
      </c>
      <c r="EF19" s="26" t="str">
        <f t="shared" si="82"/>
        <v>B</v>
      </c>
      <c r="EG19" s="26" t="str">
        <f t="shared" si="83"/>
        <v>A</v>
      </c>
      <c r="EH19" s="26" t="str">
        <f t="shared" si="84"/>
        <v>A</v>
      </c>
      <c r="EI19" s="24" t="str">
        <f t="shared" si="85"/>
        <v>B</v>
      </c>
      <c r="EJ19" s="24" t="str">
        <f t="shared" si="86"/>
        <v>B</v>
      </c>
      <c r="EK19" s="24" t="str">
        <f t="shared" si="87"/>
        <v>E</v>
      </c>
      <c r="EL19" s="24" t="str">
        <f t="shared" si="88"/>
        <v>E</v>
      </c>
      <c r="EM19" s="24" t="str">
        <f t="shared" si="89"/>
        <v>C</v>
      </c>
      <c r="EN19" s="24" t="str">
        <f t="shared" si="90"/>
        <v>B</v>
      </c>
      <c r="EO19" s="24" t="str">
        <f t="shared" si="91"/>
        <v>B</v>
      </c>
      <c r="EP19" s="24">
        <f t="shared" si="92"/>
        <v>2</v>
      </c>
      <c r="EQ19" s="24">
        <f t="shared" si="93"/>
        <v>2</v>
      </c>
      <c r="ER19" s="24">
        <f t="shared" si="94"/>
        <v>3</v>
      </c>
      <c r="ES19" s="24">
        <f t="shared" si="95"/>
        <v>1</v>
      </c>
      <c r="ET19" s="24">
        <f t="shared" si="96"/>
        <v>5</v>
      </c>
      <c r="EU19" s="24">
        <f t="shared" si="97"/>
        <v>3</v>
      </c>
      <c r="EV19" s="24">
        <f t="shared" si="98"/>
        <v>2</v>
      </c>
      <c r="EW19" s="24">
        <f t="shared" si="99"/>
        <v>1</v>
      </c>
      <c r="EX19" s="24">
        <f t="shared" si="100"/>
        <v>1</v>
      </c>
      <c r="EY19" s="24">
        <f t="shared" si="101"/>
        <v>5</v>
      </c>
      <c r="EZ19" s="24">
        <f t="shared" si="102"/>
        <v>1</v>
      </c>
      <c r="FA19" s="24">
        <f t="shared" si="103"/>
        <v>5</v>
      </c>
      <c r="FB19" s="24">
        <f t="shared" si="104"/>
        <v>3</v>
      </c>
      <c r="FC19" s="24">
        <f t="shared" si="105"/>
        <v>2</v>
      </c>
      <c r="FD19" s="24">
        <f t="shared" si="106"/>
        <v>2</v>
      </c>
      <c r="FE19" s="24">
        <f t="shared" si="107"/>
        <v>2</v>
      </c>
      <c r="FF19" s="26">
        <f t="shared" si="108"/>
        <v>152.66666666666669</v>
      </c>
      <c r="FG19" s="26">
        <f t="shared" si="109"/>
        <v>159.19999999999999</v>
      </c>
      <c r="FH19" s="26">
        <f t="shared" si="110"/>
        <v>246.5</v>
      </c>
      <c r="FI19" s="26">
        <f t="shared" si="111"/>
        <v>80.333333333333343</v>
      </c>
      <c r="FJ19" s="26">
        <f t="shared" si="112"/>
        <v>414.33333333333337</v>
      </c>
      <c r="FK19" s="26">
        <f t="shared" si="113"/>
        <v>236.8</v>
      </c>
      <c r="FL19" s="26">
        <f t="shared" si="114"/>
        <v>163.19999999999999</v>
      </c>
      <c r="FM19" s="26">
        <f t="shared" si="115"/>
        <v>100</v>
      </c>
      <c r="FN19" s="26">
        <f t="shared" si="116"/>
        <v>100</v>
      </c>
      <c r="FO19" s="26">
        <f t="shared" si="117"/>
        <v>410.95</v>
      </c>
      <c r="FP19" s="26">
        <f t="shared" si="118"/>
        <v>82.19</v>
      </c>
      <c r="FQ19" s="26">
        <f t="shared" si="119"/>
        <v>292.89999999999998</v>
      </c>
      <c r="FR19" s="26">
        <f t="shared" si="120"/>
        <v>166.4</v>
      </c>
      <c r="FS19" s="26">
        <f t="shared" si="121"/>
        <v>158.66666666666669</v>
      </c>
      <c r="FT19" s="26">
        <f t="shared" si="122"/>
        <v>164.33333333333331</v>
      </c>
      <c r="FU19" s="26">
        <f t="shared" si="123"/>
        <v>177.66666666666669</v>
      </c>
      <c r="FV19" s="24">
        <f t="shared" si="124"/>
        <v>4</v>
      </c>
      <c r="FW19" s="24">
        <f t="shared" si="125"/>
        <v>4</v>
      </c>
      <c r="FX19" s="24">
        <f t="shared" si="126"/>
        <v>9</v>
      </c>
      <c r="FY19" s="24">
        <f t="shared" si="127"/>
        <v>3</v>
      </c>
      <c r="FZ19" s="24">
        <f t="shared" si="128"/>
        <v>15</v>
      </c>
      <c r="GA19" s="24">
        <f t="shared" si="129"/>
        <v>6</v>
      </c>
      <c r="GB19" s="24">
        <f t="shared" si="130"/>
        <v>6</v>
      </c>
      <c r="GC19" s="24">
        <f t="shared" si="131"/>
        <v>4</v>
      </c>
      <c r="GD19" s="24">
        <f t="shared" si="132"/>
        <v>4</v>
      </c>
      <c r="GE19" s="24">
        <f t="shared" si="133"/>
        <v>15</v>
      </c>
      <c r="GF19" s="24">
        <f t="shared" si="134"/>
        <v>3</v>
      </c>
      <c r="GG19" s="24">
        <f t="shared" si="135"/>
        <v>5</v>
      </c>
      <c r="GH19" s="24">
        <f t="shared" si="136"/>
        <v>3</v>
      </c>
      <c r="GI19" s="24">
        <f t="shared" si="137"/>
        <v>4</v>
      </c>
      <c r="GJ19" s="24">
        <f t="shared" si="138"/>
        <v>6</v>
      </c>
      <c r="GK19" s="24">
        <f t="shared" si="139"/>
        <v>6</v>
      </c>
      <c r="GL19" s="24">
        <f t="shared" si="140"/>
        <v>20</v>
      </c>
      <c r="GM19" s="24">
        <f t="shared" si="141"/>
        <v>1653.0333333333333</v>
      </c>
      <c r="GN19" s="26">
        <f t="shared" si="142"/>
        <v>55</v>
      </c>
      <c r="GO19" s="26">
        <f t="shared" si="330"/>
        <v>82.651666666666671</v>
      </c>
      <c r="GP19" s="24" t="str">
        <f t="shared" si="331"/>
        <v>B</v>
      </c>
      <c r="GQ19" s="26">
        <f t="shared" si="143"/>
        <v>2.75</v>
      </c>
      <c r="GR19" s="24">
        <f t="shared" si="144"/>
        <v>20</v>
      </c>
      <c r="GS19" s="26">
        <f t="shared" si="145"/>
        <v>1453.1066666666666</v>
      </c>
      <c r="GT19" s="26">
        <f t="shared" si="146"/>
        <v>42</v>
      </c>
      <c r="GU19" s="26">
        <f t="shared" si="332"/>
        <v>72.655333333333331</v>
      </c>
      <c r="GV19" s="24" t="str">
        <f t="shared" si="333"/>
        <v>C</v>
      </c>
      <c r="GW19" s="27">
        <f t="shared" si="147"/>
        <v>2.1</v>
      </c>
      <c r="GX19" s="24">
        <f t="shared" si="148"/>
        <v>40</v>
      </c>
      <c r="GY19" s="27">
        <f t="shared" si="149"/>
        <v>3106.14</v>
      </c>
      <c r="GZ19" s="27">
        <f t="shared" si="334"/>
        <v>97</v>
      </c>
      <c r="HA19" s="26">
        <f t="shared" si="335"/>
        <v>77.653499999999994</v>
      </c>
      <c r="HB19" s="27" t="str">
        <f t="shared" si="336"/>
        <v>C</v>
      </c>
      <c r="HC19" s="26">
        <f t="shared" si="150"/>
        <v>2.4249999999999998</v>
      </c>
      <c r="HD19" s="24">
        <f t="shared" si="151"/>
        <v>8</v>
      </c>
      <c r="HE19" s="24" t="str">
        <f t="shared" si="152"/>
        <v>6A</v>
      </c>
      <c r="HF19" s="24">
        <f t="shared" si="153"/>
        <v>11</v>
      </c>
      <c r="HG19" s="24">
        <f>IF(B19="","",'Q2'!$C$8)</f>
        <v>50</v>
      </c>
      <c r="HH19" s="24">
        <f>IF(A19="","",'Q2'!DE19)</f>
        <v>0</v>
      </c>
      <c r="HI19" s="24">
        <f>IF(B19="","",'Q2'!DF19)</f>
        <v>0</v>
      </c>
      <c r="HJ19" s="24">
        <f>IF(B19="","",'Q2'!DG19)</f>
        <v>0</v>
      </c>
      <c r="HK19" s="24">
        <f t="shared" si="154"/>
        <v>0</v>
      </c>
      <c r="HL19" s="25">
        <f t="shared" si="155"/>
        <v>1</v>
      </c>
      <c r="HM19" s="7">
        <v>55</v>
      </c>
      <c r="HN19" s="7">
        <v>60</v>
      </c>
      <c r="HO19" s="7">
        <v>80</v>
      </c>
      <c r="HP19" s="7">
        <v>70</v>
      </c>
      <c r="HQ19" s="7">
        <v>80</v>
      </c>
      <c r="HR19" s="7">
        <v>60</v>
      </c>
      <c r="HS19" s="7">
        <v>50</v>
      </c>
      <c r="HT19" s="7"/>
      <c r="HU19" s="7"/>
      <c r="HV19" s="7">
        <v>70</v>
      </c>
      <c r="HW19" s="7"/>
      <c r="HX19" s="7">
        <v>45</v>
      </c>
      <c r="HY19" s="7">
        <v>49</v>
      </c>
      <c r="HZ19" s="7">
        <v>64</v>
      </c>
      <c r="IA19" s="7">
        <v>78.5</v>
      </c>
      <c r="IB19" s="7">
        <v>52</v>
      </c>
      <c r="IC19" s="7" t="str">
        <f t="shared" si="156"/>
        <v>E</v>
      </c>
      <c r="ID19" s="7" t="str">
        <f t="shared" si="157"/>
        <v>D</v>
      </c>
      <c r="IE19" s="7" t="str">
        <f t="shared" si="158"/>
        <v>B</v>
      </c>
      <c r="IF19" s="7" t="str">
        <f t="shared" si="159"/>
        <v>C</v>
      </c>
      <c r="IG19" s="7" t="str">
        <f t="shared" si="160"/>
        <v>B</v>
      </c>
      <c r="IH19" s="7" t="str">
        <f t="shared" si="161"/>
        <v>D</v>
      </c>
      <c r="II19" s="7" t="str">
        <f t="shared" si="162"/>
        <v>E</v>
      </c>
      <c r="IJ19" s="7" t="str">
        <f t="shared" si="163"/>
        <v/>
      </c>
      <c r="IK19" s="7" t="str">
        <f t="shared" si="164"/>
        <v/>
      </c>
      <c r="IL19" s="24" t="str">
        <f t="shared" si="165"/>
        <v>C</v>
      </c>
      <c r="IM19" s="24" t="str">
        <f t="shared" si="166"/>
        <v/>
      </c>
      <c r="IN19" s="24" t="str">
        <f t="shared" si="167"/>
        <v>F</v>
      </c>
      <c r="IO19" s="24" t="str">
        <f t="shared" si="168"/>
        <v>F</v>
      </c>
      <c r="IP19" s="24" t="str">
        <f t="shared" si="169"/>
        <v>D</v>
      </c>
      <c r="IQ19" s="24" t="str">
        <f t="shared" si="170"/>
        <v>C</v>
      </c>
      <c r="IR19" s="24" t="str">
        <f t="shared" si="171"/>
        <v>E</v>
      </c>
      <c r="IS19" s="24">
        <f t="shared" si="172"/>
        <v>2</v>
      </c>
      <c r="IT19" s="24">
        <f t="shared" si="173"/>
        <v>2</v>
      </c>
      <c r="IU19" s="24">
        <f t="shared" si="174"/>
        <v>3</v>
      </c>
      <c r="IV19" s="24">
        <f t="shared" si="175"/>
        <v>1</v>
      </c>
      <c r="IW19" s="24">
        <f t="shared" si="176"/>
        <v>5</v>
      </c>
      <c r="IX19" s="24">
        <f t="shared" si="177"/>
        <v>3</v>
      </c>
      <c r="IY19" s="24">
        <f t="shared" si="178"/>
        <v>2</v>
      </c>
      <c r="IZ19" s="24" t="str">
        <f t="shared" si="179"/>
        <v/>
      </c>
      <c r="JA19" s="24" t="str">
        <f t="shared" si="180"/>
        <v/>
      </c>
      <c r="JB19" s="24">
        <f t="shared" si="181"/>
        <v>5</v>
      </c>
      <c r="JC19" s="24" t="str">
        <f t="shared" si="182"/>
        <v/>
      </c>
      <c r="JD19" s="24">
        <f t="shared" si="183"/>
        <v>5</v>
      </c>
      <c r="JE19" s="24">
        <f t="shared" si="184"/>
        <v>3</v>
      </c>
      <c r="JF19" s="24">
        <f t="shared" si="185"/>
        <v>2</v>
      </c>
      <c r="JG19" s="24">
        <f t="shared" si="186"/>
        <v>2</v>
      </c>
      <c r="JH19" s="24">
        <f t="shared" si="187"/>
        <v>2</v>
      </c>
      <c r="JI19" s="26">
        <f t="shared" si="188"/>
        <v>110</v>
      </c>
      <c r="JJ19" s="26">
        <f t="shared" si="189"/>
        <v>120</v>
      </c>
      <c r="JK19" s="26">
        <f t="shared" si="190"/>
        <v>240</v>
      </c>
      <c r="JL19" s="26">
        <f t="shared" si="191"/>
        <v>70</v>
      </c>
      <c r="JM19" s="26">
        <f t="shared" si="192"/>
        <v>400</v>
      </c>
      <c r="JN19" s="26">
        <f t="shared" si="193"/>
        <v>180</v>
      </c>
      <c r="JO19" s="26">
        <f t="shared" si="194"/>
        <v>100</v>
      </c>
      <c r="JP19" s="26" t="str">
        <f t="shared" si="195"/>
        <v/>
      </c>
      <c r="JQ19" s="24">
        <f t="shared" si="196"/>
        <v>350</v>
      </c>
      <c r="JR19" s="24" t="str">
        <f t="shared" si="197"/>
        <v/>
      </c>
      <c r="JS19" s="24">
        <f t="shared" si="198"/>
        <v>225</v>
      </c>
      <c r="JT19" s="24">
        <f t="shared" si="199"/>
        <v>147</v>
      </c>
      <c r="JU19" s="24">
        <f t="shared" si="200"/>
        <v>128</v>
      </c>
      <c r="JV19" s="24">
        <f t="shared" si="201"/>
        <v>157</v>
      </c>
      <c r="JW19" s="24">
        <f t="shared" si="202"/>
        <v>104</v>
      </c>
      <c r="JX19" s="24">
        <f t="shared" si="203"/>
        <v>2</v>
      </c>
      <c r="JY19" s="24">
        <f t="shared" si="204"/>
        <v>3</v>
      </c>
      <c r="JZ19" s="24">
        <f t="shared" si="205"/>
        <v>9</v>
      </c>
      <c r="KA19" s="24">
        <f t="shared" si="206"/>
        <v>2</v>
      </c>
      <c r="KB19" s="24">
        <f t="shared" si="207"/>
        <v>15</v>
      </c>
      <c r="KC19" s="24">
        <f t="shared" si="208"/>
        <v>4.5</v>
      </c>
      <c r="KD19" s="24">
        <f t="shared" si="209"/>
        <v>2</v>
      </c>
      <c r="KE19" s="24" t="str">
        <f t="shared" si="210"/>
        <v/>
      </c>
      <c r="KF19" s="24" t="str">
        <f t="shared" si="211"/>
        <v/>
      </c>
      <c r="KG19" s="24">
        <f t="shared" si="212"/>
        <v>10</v>
      </c>
      <c r="KH19" s="24" t="str">
        <f t="shared" si="213"/>
        <v/>
      </c>
      <c r="KI19" s="24">
        <f t="shared" si="214"/>
        <v>0</v>
      </c>
      <c r="KJ19" s="24">
        <f t="shared" si="215"/>
        <v>0</v>
      </c>
      <c r="KK19" s="24">
        <f t="shared" si="216"/>
        <v>3</v>
      </c>
      <c r="KL19" s="24">
        <f t="shared" si="217"/>
        <v>4</v>
      </c>
      <c r="KM19" s="24">
        <f t="shared" si="218"/>
        <v>2</v>
      </c>
      <c r="KN19" s="24">
        <f t="shared" si="219"/>
        <v>18</v>
      </c>
      <c r="KO19" s="26">
        <f t="shared" si="220"/>
        <v>1220</v>
      </c>
      <c r="KP19" s="26">
        <f t="shared" si="221"/>
        <v>37.5</v>
      </c>
      <c r="KQ19" s="26">
        <f t="shared" si="337"/>
        <v>67.777777777777771</v>
      </c>
      <c r="KR19" s="24" t="str">
        <f t="shared" si="338"/>
        <v>D</v>
      </c>
      <c r="KS19" s="26">
        <f t="shared" si="222"/>
        <v>2.0833333333333335</v>
      </c>
      <c r="KT19" s="24">
        <f t="shared" si="223"/>
        <v>19</v>
      </c>
      <c r="KU19" s="24">
        <f t="shared" si="224"/>
        <v>1111</v>
      </c>
      <c r="KV19" s="26">
        <f t="shared" si="225"/>
        <v>19</v>
      </c>
      <c r="KW19" s="26">
        <f t="shared" si="339"/>
        <v>58.473684210526315</v>
      </c>
      <c r="KX19" s="24" t="str">
        <f t="shared" si="340"/>
        <v>E</v>
      </c>
      <c r="KY19" s="27">
        <f t="shared" si="226"/>
        <v>1</v>
      </c>
      <c r="KZ19" s="24">
        <f t="shared" si="227"/>
        <v>37</v>
      </c>
      <c r="LA19" s="27">
        <f t="shared" si="228"/>
        <v>2331</v>
      </c>
      <c r="LB19" s="27">
        <f t="shared" si="229"/>
        <v>56.5</v>
      </c>
      <c r="LC19" s="26">
        <f t="shared" si="341"/>
        <v>63</v>
      </c>
      <c r="LD19" s="24" t="str">
        <f t="shared" si="342"/>
        <v>D</v>
      </c>
      <c r="LE19" s="26">
        <f t="shared" si="230"/>
        <v>1.527027027027027</v>
      </c>
      <c r="LF19" s="24">
        <f t="shared" si="231"/>
        <v>8</v>
      </c>
      <c r="LG19" s="24" t="str">
        <f t="shared" si="232"/>
        <v>6A</v>
      </c>
      <c r="LH19" s="24">
        <f t="shared" si="233"/>
        <v>11</v>
      </c>
      <c r="LI19" s="26">
        <f>IF('Q2'!G19="","",SUM((AVERAGE('Q1'!G19,'Q2'!G19)*0.5))+(HM19*0.5))</f>
        <v>60.916666666666671</v>
      </c>
      <c r="LJ19" s="26">
        <f>IF('Q2'!H19="","",SUM((AVERAGE('Q1'!H19,'Q2'!H19)*0.5))+(HN19*0.5))</f>
        <v>67.841666666666669</v>
      </c>
      <c r="LK19" s="26">
        <f>IF('Q2'!I19="","",SUM((AVERAGE('Q1'!I19,'Q2'!I19)*0.5))+(HO19*0.5))</f>
        <v>78.63333333333334</v>
      </c>
      <c r="LL19" s="26">
        <f>IF('Q2'!J19="","",SUM((AVERAGE('Q1'!J19,'Q2'!J19)*0.5))+(HP19*0.5))</f>
        <v>69.416666666666671</v>
      </c>
      <c r="LM19" s="26">
        <f>IF('Q2'!K19="","",SUM((AVERAGE('Q1'!K19,'Q2'!K19)*0.5))+(HQ19*0.5))</f>
        <v>77.566666666666663</v>
      </c>
      <c r="LN19" s="26">
        <f>IF('Q2'!L19="","",SUM((AVERAGE('Q1'!L19,'Q2'!L19)*0.5))+(HR19*0.5))</f>
        <v>67.335000000000008</v>
      </c>
      <c r="LO19" s="26">
        <f>IF('Q2'!M19="","",SUM((AVERAGE('Q1'!M19,'Q2'!M19)*0.5))+(HS19*0.5))</f>
        <v>63.341666666666669</v>
      </c>
      <c r="LP19" s="26">
        <f>IF('Q2'!N19="","",SUM((AVERAGE('Q1'!N19,'Q2'!N19)*1)))</f>
        <v>83.666666666666671</v>
      </c>
      <c r="LQ19" s="26">
        <f>IF('Q2'!O19="","",SUM((AVERAGE('Q1'!O19,'Q2'!O19)*1)))</f>
        <v>83.666666666666671</v>
      </c>
      <c r="LR19" s="26">
        <f>IF('Q2'!P19="","",SUM((AVERAGE('Q1'!P19,'Q2'!P19)*0.5))+(HV19*0.5))</f>
        <v>78.182500000000005</v>
      </c>
      <c r="LS19" s="26">
        <f>IF('Q2'!Q19="","",SUM((AVERAGE('Q1'!Q19,'Q2'!Q19)*1))+(HW19*1))</f>
        <v>86.365000000000009</v>
      </c>
      <c r="LT19" s="26">
        <f>IF('Q2'!R19="","",SUM((AVERAGE('Q1'!R19,'Q2'!R19)*0.5))+(HX19*0.5))</f>
        <v>49.894999999999996</v>
      </c>
      <c r="LU19" s="26">
        <f>IF('Q2'!S19="","",SUM((AVERAGE('Q1'!S19,'Q2'!S19)*0.5))+(HY19*0.5))</f>
        <v>52.018181818181816</v>
      </c>
      <c r="LV19" s="26">
        <f>IF('Q2'!T19="","",SUM((AVERAGE('Q1'!T19,'Q2'!T19)*0.5))+(HZ19*0.5))</f>
        <v>62.233333333333334</v>
      </c>
      <c r="LW19" s="26">
        <f>IF('Q2'!U19="","",SUM((AVERAGE('Q1'!U19,'Q2'!U19)*0.5))+(IA19*0.5))</f>
        <v>80.458333333333329</v>
      </c>
      <c r="LX19" s="26">
        <f>IF('Q2'!V19="","",SUM((AVERAGE('Q1'!V19,'Q2'!V19)*0.5))+(IB19*0.5))</f>
        <v>67.958333333333343</v>
      </c>
      <c r="LY19" s="26" t="str">
        <f t="shared" si="234"/>
        <v>D</v>
      </c>
      <c r="LZ19" s="26" t="str">
        <f t="shared" si="235"/>
        <v>D</v>
      </c>
      <c r="MA19" s="26" t="str">
        <f t="shared" si="236"/>
        <v>C</v>
      </c>
      <c r="MB19" s="26" t="str">
        <f t="shared" si="237"/>
        <v>D</v>
      </c>
      <c r="MC19" s="26" t="str">
        <f t="shared" si="238"/>
        <v>C</v>
      </c>
      <c r="MD19" s="26" t="str">
        <f t="shared" si="239"/>
        <v>D</v>
      </c>
      <c r="ME19" s="26" t="str">
        <f t="shared" si="240"/>
        <v>D</v>
      </c>
      <c r="MF19" s="26" t="str">
        <f t="shared" si="241"/>
        <v>B</v>
      </c>
      <c r="MG19" s="26" t="str">
        <f t="shared" si="242"/>
        <v>B</v>
      </c>
      <c r="MH19" s="24" t="str">
        <f t="shared" si="243"/>
        <v>C</v>
      </c>
      <c r="MI19" s="24" t="str">
        <f t="shared" si="244"/>
        <v>B</v>
      </c>
      <c r="MJ19" s="24" t="str">
        <f t="shared" si="245"/>
        <v>F</v>
      </c>
      <c r="MK19" s="24" t="str">
        <f t="shared" si="246"/>
        <v>E</v>
      </c>
      <c r="ML19" s="24" t="str">
        <f t="shared" si="247"/>
        <v>D</v>
      </c>
      <c r="MM19" s="24" t="str">
        <f t="shared" si="248"/>
        <v>B</v>
      </c>
      <c r="MN19" s="24" t="str">
        <f t="shared" si="249"/>
        <v>D</v>
      </c>
      <c r="MO19" s="24">
        <f t="shared" si="250"/>
        <v>2</v>
      </c>
      <c r="MP19" s="24">
        <f t="shared" si="251"/>
        <v>2</v>
      </c>
      <c r="MQ19" s="24">
        <f t="shared" si="252"/>
        <v>3</v>
      </c>
      <c r="MR19" s="24">
        <f t="shared" si="253"/>
        <v>1</v>
      </c>
      <c r="MS19" s="24">
        <f t="shared" si="254"/>
        <v>5</v>
      </c>
      <c r="MT19" s="24">
        <f t="shared" si="255"/>
        <v>3</v>
      </c>
      <c r="MU19" s="24">
        <f t="shared" si="256"/>
        <v>2</v>
      </c>
      <c r="MV19" s="24">
        <f t="shared" si="257"/>
        <v>1</v>
      </c>
      <c r="MW19" s="24">
        <f t="shared" si="258"/>
        <v>1</v>
      </c>
      <c r="MX19" s="24">
        <f t="shared" si="259"/>
        <v>5</v>
      </c>
      <c r="MY19" s="24">
        <f t="shared" si="260"/>
        <v>1</v>
      </c>
      <c r="MZ19" s="24">
        <f t="shared" si="261"/>
        <v>5</v>
      </c>
      <c r="NA19" s="24">
        <f t="shared" si="262"/>
        <v>3</v>
      </c>
      <c r="NB19" s="24">
        <f t="shared" si="263"/>
        <v>2</v>
      </c>
      <c r="NC19" s="24">
        <f t="shared" si="264"/>
        <v>2</v>
      </c>
      <c r="ND19" s="24">
        <f t="shared" si="265"/>
        <v>2</v>
      </c>
      <c r="NE19" s="26">
        <f t="shared" si="266"/>
        <v>121.83333333333334</v>
      </c>
      <c r="NF19" s="26">
        <f t="shared" si="267"/>
        <v>135.68333333333334</v>
      </c>
      <c r="NG19" s="26">
        <f t="shared" si="268"/>
        <v>235.90000000000003</v>
      </c>
      <c r="NH19" s="26">
        <f t="shared" si="269"/>
        <v>69.416666666666671</v>
      </c>
      <c r="NI19" s="26">
        <f t="shared" si="270"/>
        <v>387.83333333333331</v>
      </c>
      <c r="NJ19" s="26">
        <f t="shared" si="271"/>
        <v>202.00500000000002</v>
      </c>
      <c r="NK19" s="26">
        <f t="shared" si="272"/>
        <v>126.68333333333334</v>
      </c>
      <c r="NL19" s="26">
        <f t="shared" si="273"/>
        <v>83.666666666666671</v>
      </c>
      <c r="NM19" s="26">
        <f t="shared" si="274"/>
        <v>83.666666666666671</v>
      </c>
      <c r="NN19" s="26">
        <f t="shared" si="275"/>
        <v>390.91250000000002</v>
      </c>
      <c r="NO19" s="26">
        <f t="shared" si="276"/>
        <v>86.365000000000009</v>
      </c>
      <c r="NP19" s="26">
        <f t="shared" si="277"/>
        <v>249.47499999999997</v>
      </c>
      <c r="NQ19" s="26">
        <f t="shared" si="278"/>
        <v>156.05454545454546</v>
      </c>
      <c r="NR19" s="26">
        <f t="shared" si="279"/>
        <v>124.46666666666667</v>
      </c>
      <c r="NS19" s="26">
        <f t="shared" si="280"/>
        <v>160.91666666666666</v>
      </c>
      <c r="NT19" s="26">
        <f t="shared" si="281"/>
        <v>135.91666666666669</v>
      </c>
      <c r="NU19" s="24">
        <f t="shared" si="282"/>
        <v>3</v>
      </c>
      <c r="NV19" s="24">
        <f t="shared" si="283"/>
        <v>3</v>
      </c>
      <c r="NW19" s="24">
        <f t="shared" si="284"/>
        <v>6</v>
      </c>
      <c r="NX19" s="24">
        <f t="shared" si="285"/>
        <v>1.5</v>
      </c>
      <c r="NY19" s="24">
        <f t="shared" si="286"/>
        <v>10</v>
      </c>
      <c r="NZ19" s="24">
        <f t="shared" si="287"/>
        <v>4.5</v>
      </c>
      <c r="OA19" s="24">
        <f t="shared" si="288"/>
        <v>3</v>
      </c>
      <c r="OB19" s="24">
        <f t="shared" si="289"/>
        <v>3</v>
      </c>
      <c r="OC19" s="24">
        <f t="shared" si="290"/>
        <v>3</v>
      </c>
      <c r="OD19" s="24">
        <f t="shared" si="291"/>
        <v>10</v>
      </c>
      <c r="OE19" s="24">
        <f t="shared" si="292"/>
        <v>3</v>
      </c>
      <c r="OF19" s="24">
        <f t="shared" si="293"/>
        <v>0</v>
      </c>
      <c r="OG19" s="24">
        <f t="shared" si="294"/>
        <v>3</v>
      </c>
      <c r="OH19" s="24">
        <f t="shared" si="295"/>
        <v>3</v>
      </c>
      <c r="OI19" s="24">
        <f t="shared" si="296"/>
        <v>6</v>
      </c>
      <c r="OJ19" s="24">
        <f t="shared" si="297"/>
        <v>3</v>
      </c>
      <c r="OK19" s="24">
        <f t="shared" si="298"/>
        <v>20</v>
      </c>
      <c r="OL19" s="24">
        <f t="shared" si="299"/>
        <v>1446.6883333333337</v>
      </c>
      <c r="OM19" s="26">
        <f t="shared" si="300"/>
        <v>37</v>
      </c>
      <c r="ON19" s="26">
        <f t="shared" si="343"/>
        <v>72.334416666666684</v>
      </c>
      <c r="OO19" s="24" t="str">
        <f t="shared" si="344"/>
        <v>C</v>
      </c>
      <c r="OP19" s="26">
        <f t="shared" si="301"/>
        <v>1.85</v>
      </c>
      <c r="OQ19" s="24">
        <f t="shared" si="302"/>
        <v>20</v>
      </c>
      <c r="OR19" s="26">
        <f t="shared" si="303"/>
        <v>1304.1070454545456</v>
      </c>
      <c r="OS19" s="26">
        <f t="shared" si="304"/>
        <v>28</v>
      </c>
      <c r="OT19" s="26">
        <f t="shared" si="345"/>
        <v>65.205352272727282</v>
      </c>
      <c r="OU19" s="24" t="str">
        <f t="shared" si="346"/>
        <v>D</v>
      </c>
      <c r="OV19" s="27">
        <f t="shared" si="305"/>
        <v>1.4</v>
      </c>
      <c r="OW19" s="24">
        <f t="shared" si="306"/>
        <v>40</v>
      </c>
      <c r="OX19" s="27">
        <f t="shared" si="307"/>
        <v>2750.7953787878791</v>
      </c>
      <c r="OY19" s="27">
        <f t="shared" si="308"/>
        <v>65</v>
      </c>
      <c r="OZ19" s="26">
        <f t="shared" si="347"/>
        <v>68.769884469696976</v>
      </c>
      <c r="PA19" s="27" t="str">
        <f t="shared" si="348"/>
        <v>D</v>
      </c>
      <c r="PB19" s="26">
        <f t="shared" si="309"/>
        <v>1.625</v>
      </c>
      <c r="PC19" s="24">
        <f t="shared" si="310"/>
        <v>8</v>
      </c>
      <c r="PD19" s="24" t="str">
        <f t="shared" si="311"/>
        <v>6A</v>
      </c>
      <c r="PE19" s="24">
        <f t="shared" si="312"/>
        <v>11</v>
      </c>
      <c r="PF19" s="24">
        <f t="shared" si="313"/>
        <v>100</v>
      </c>
      <c r="PG19" s="24">
        <f t="shared" si="314"/>
        <v>0</v>
      </c>
      <c r="PH19" s="24">
        <f t="shared" si="315"/>
        <v>0</v>
      </c>
      <c r="PI19" s="24">
        <f t="shared" si="316"/>
        <v>0</v>
      </c>
      <c r="PJ19" s="24">
        <f t="shared" si="317"/>
        <v>0</v>
      </c>
      <c r="PK19" s="25">
        <f t="shared" si="318"/>
        <v>1</v>
      </c>
    </row>
    <row r="20" spans="1:427" ht="27" customHeight="1" x14ac:dyDescent="0.35">
      <c r="A20" s="24">
        <f t="shared" si="349"/>
        <v>6</v>
      </c>
      <c r="B20" s="28" t="str">
        <f>IF('Q1'!B20="","",'Q1'!B20)</f>
        <v>Pheng Meili</v>
      </c>
      <c r="C20" s="30" t="str">
        <f>IF('Q1'!C20="","",'Q1'!C20)</f>
        <v>ផេង ម៉ីលី</v>
      </c>
      <c r="D20" s="28">
        <v>6</v>
      </c>
      <c r="E20" s="24" t="s">
        <v>125</v>
      </c>
      <c r="F20" s="24" t="str">
        <f>IF('Q1'!F20="","",'Q1'!F20)</f>
        <v>I</v>
      </c>
      <c r="G20" s="26">
        <f>IF('Q1'!G20="","",'Q1'!G20)</f>
        <v>69.333333333333343</v>
      </c>
      <c r="H20" s="26">
        <f>IF('Q1'!H20="","",'Q1'!H20)</f>
        <v>88.366666666666674</v>
      </c>
      <c r="I20" s="26">
        <f>IF('Q1'!I20="","",'Q1'!I20)</f>
        <v>88.366666666666674</v>
      </c>
      <c r="J20" s="26">
        <f>IF('Q1'!J20="","",'Q1'!J20)</f>
        <v>70.666666666666671</v>
      </c>
      <c r="K20" s="26">
        <f>IF('Q1'!K20="","",'Q1'!K20)</f>
        <v>83.600000000000009</v>
      </c>
      <c r="L20" s="26">
        <f>IF('Q1'!L20="","",'Q1'!L20)</f>
        <v>88.366666666666674</v>
      </c>
      <c r="M20" s="26">
        <f>IF('Q1'!M20="","",'Q1'!M20)</f>
        <v>88.366666666666674</v>
      </c>
      <c r="N20" s="26">
        <f>IF('Q1'!N20="","",'Q1'!N20)</f>
        <v>90.833333333333343</v>
      </c>
      <c r="O20" s="26">
        <f>IF('Q1'!O20="","",'Q1'!O20)</f>
        <v>90.833333333333343</v>
      </c>
      <c r="P20" s="26">
        <f>IF('Q1'!P20="","",'Q1'!P20)</f>
        <v>96.56</v>
      </c>
      <c r="Q20" s="26">
        <f>IF('Q1'!Q20="","",'Q1'!Q20)</f>
        <v>96.56</v>
      </c>
      <c r="R20" s="26">
        <f>IF('Q1'!R20="","",'Q1'!R20)</f>
        <v>73.930000000000007</v>
      </c>
      <c r="S20" s="26">
        <f>IF('Q1'!S20="","",'Q1'!S20)</f>
        <v>84.333333333333343</v>
      </c>
      <c r="T20" s="26">
        <f>IF('Q1'!T20="","",'Q1'!T20)</f>
        <v>81</v>
      </c>
      <c r="U20" s="26">
        <f>IF('Q1'!U20="","",'Q1'!U20)</f>
        <v>92.666666666666671</v>
      </c>
      <c r="V20" s="26">
        <f>IF('Q1'!V20="","",'Q1'!V20)</f>
        <v>96</v>
      </c>
      <c r="W20" s="26" t="str">
        <f t="shared" si="0"/>
        <v>D</v>
      </c>
      <c r="X20" s="26" t="str">
        <f t="shared" si="1"/>
        <v>B</v>
      </c>
      <c r="Y20" s="26" t="str">
        <f t="shared" si="2"/>
        <v>B</v>
      </c>
      <c r="Z20" s="26" t="str">
        <f t="shared" si="3"/>
        <v>C</v>
      </c>
      <c r="AA20" s="26" t="str">
        <f t="shared" si="4"/>
        <v>B</v>
      </c>
      <c r="AB20" s="26" t="str">
        <f t="shared" si="5"/>
        <v>B</v>
      </c>
      <c r="AC20" s="26" t="str">
        <f t="shared" si="6"/>
        <v>B</v>
      </c>
      <c r="AD20" s="26" t="str">
        <f t="shared" si="7"/>
        <v>A</v>
      </c>
      <c r="AE20" s="26" t="str">
        <f t="shared" si="8"/>
        <v>A</v>
      </c>
      <c r="AF20" s="24" t="str">
        <f t="shared" si="9"/>
        <v>A</v>
      </c>
      <c r="AG20" s="24" t="str">
        <f t="shared" si="10"/>
        <v>A</v>
      </c>
      <c r="AH20" s="24" t="str">
        <f t="shared" si="11"/>
        <v>C</v>
      </c>
      <c r="AI20" s="24" t="str">
        <f t="shared" si="12"/>
        <v>B</v>
      </c>
      <c r="AJ20" s="24" t="str">
        <f t="shared" si="13"/>
        <v>B</v>
      </c>
      <c r="AK20" s="24" t="str">
        <f t="shared" si="14"/>
        <v>A</v>
      </c>
      <c r="AL20" s="24" t="str">
        <f t="shared" si="15"/>
        <v>A</v>
      </c>
      <c r="AM20" s="24">
        <f t="shared" si="16"/>
        <v>2</v>
      </c>
      <c r="AN20" s="24">
        <f t="shared" si="17"/>
        <v>2</v>
      </c>
      <c r="AO20" s="24">
        <f t="shared" si="18"/>
        <v>3</v>
      </c>
      <c r="AP20" s="24">
        <f t="shared" si="19"/>
        <v>1</v>
      </c>
      <c r="AQ20" s="24">
        <f t="shared" si="20"/>
        <v>5</v>
      </c>
      <c r="AR20" s="24">
        <f t="shared" si="21"/>
        <v>3</v>
      </c>
      <c r="AS20" s="24">
        <f t="shared" si="22"/>
        <v>2</v>
      </c>
      <c r="AT20" s="24">
        <f t="shared" si="23"/>
        <v>1</v>
      </c>
      <c r="AU20" s="24">
        <f t="shared" si="24"/>
        <v>1</v>
      </c>
      <c r="AV20" s="24">
        <f t="shared" si="25"/>
        <v>5</v>
      </c>
      <c r="AW20" s="24">
        <f t="shared" si="26"/>
        <v>1</v>
      </c>
      <c r="AX20" s="24">
        <f t="shared" si="27"/>
        <v>5</v>
      </c>
      <c r="AY20" s="24">
        <f t="shared" si="28"/>
        <v>3</v>
      </c>
      <c r="AZ20" s="24">
        <f t="shared" si="29"/>
        <v>2</v>
      </c>
      <c r="BA20" s="24">
        <f t="shared" si="30"/>
        <v>2</v>
      </c>
      <c r="BB20" s="24">
        <f t="shared" si="31"/>
        <v>2</v>
      </c>
      <c r="BC20" s="26">
        <f t="shared" si="32"/>
        <v>138.66666666666669</v>
      </c>
      <c r="BD20" s="26">
        <f t="shared" si="33"/>
        <v>176.73333333333335</v>
      </c>
      <c r="BE20" s="26">
        <f t="shared" si="34"/>
        <v>265.10000000000002</v>
      </c>
      <c r="BF20" s="26">
        <f t="shared" si="35"/>
        <v>70.666666666666671</v>
      </c>
      <c r="BG20" s="26">
        <f t="shared" si="36"/>
        <v>418.00000000000006</v>
      </c>
      <c r="BH20" s="26">
        <f t="shared" si="37"/>
        <v>265.10000000000002</v>
      </c>
      <c r="BI20" s="26">
        <f t="shared" si="38"/>
        <v>176.73333333333335</v>
      </c>
      <c r="BJ20" s="26">
        <f t="shared" si="39"/>
        <v>90.833333333333343</v>
      </c>
      <c r="BK20" s="26">
        <f t="shared" si="40"/>
        <v>90.833333333333343</v>
      </c>
      <c r="BL20" s="26">
        <f t="shared" si="41"/>
        <v>482.8</v>
      </c>
      <c r="BM20" s="26">
        <f t="shared" si="42"/>
        <v>96.56</v>
      </c>
      <c r="BN20" s="26">
        <f t="shared" si="43"/>
        <v>369.65000000000003</v>
      </c>
      <c r="BO20" s="26">
        <f t="shared" si="44"/>
        <v>253.00000000000003</v>
      </c>
      <c r="BP20" s="26">
        <f t="shared" si="45"/>
        <v>162</v>
      </c>
      <c r="BQ20" s="26">
        <f t="shared" si="46"/>
        <v>185.33333333333334</v>
      </c>
      <c r="BR20" s="26">
        <f t="shared" si="47"/>
        <v>192</v>
      </c>
      <c r="BS20" s="24">
        <f t="shared" si="48"/>
        <v>3</v>
      </c>
      <c r="BT20" s="24">
        <f t="shared" si="49"/>
        <v>6</v>
      </c>
      <c r="BU20" s="24">
        <f t="shared" si="50"/>
        <v>9</v>
      </c>
      <c r="BV20" s="24">
        <f t="shared" si="51"/>
        <v>2</v>
      </c>
      <c r="BW20" s="24">
        <f t="shared" si="52"/>
        <v>15</v>
      </c>
      <c r="BX20" s="24">
        <f t="shared" si="53"/>
        <v>9</v>
      </c>
      <c r="BY20" s="24">
        <f t="shared" si="54"/>
        <v>6</v>
      </c>
      <c r="BZ20" s="24">
        <f t="shared" si="55"/>
        <v>4</v>
      </c>
      <c r="CA20" s="24">
        <f t="shared" si="56"/>
        <v>4</v>
      </c>
      <c r="CB20" s="24">
        <f t="shared" si="57"/>
        <v>20</v>
      </c>
      <c r="CC20" s="24">
        <f t="shared" si="58"/>
        <v>4</v>
      </c>
      <c r="CD20" s="24">
        <f t="shared" si="59"/>
        <v>10</v>
      </c>
      <c r="CE20" s="24">
        <f t="shared" si="60"/>
        <v>9</v>
      </c>
      <c r="CF20" s="24">
        <f t="shared" si="61"/>
        <v>6</v>
      </c>
      <c r="CG20" s="24">
        <f t="shared" si="62"/>
        <v>8</v>
      </c>
      <c r="CH20" s="24">
        <f t="shared" si="63"/>
        <v>8</v>
      </c>
      <c r="CI20" s="24">
        <f t="shared" si="319"/>
        <v>20</v>
      </c>
      <c r="CJ20" s="26">
        <f t="shared" si="64"/>
        <v>1692.6666666666667</v>
      </c>
      <c r="CK20" s="26">
        <f t="shared" si="320"/>
        <v>58</v>
      </c>
      <c r="CL20" s="26">
        <f t="shared" si="321"/>
        <v>84.63333333333334</v>
      </c>
      <c r="CM20" s="24" t="str">
        <f t="shared" si="322"/>
        <v>B</v>
      </c>
      <c r="CN20" s="26">
        <f t="shared" si="65"/>
        <v>2.9</v>
      </c>
      <c r="CO20" s="24">
        <f t="shared" si="66"/>
        <v>20</v>
      </c>
      <c r="CP20" s="26">
        <f t="shared" si="67"/>
        <v>1741.3433333333332</v>
      </c>
      <c r="CQ20" s="26">
        <f t="shared" si="68"/>
        <v>65</v>
      </c>
      <c r="CR20" s="26">
        <f t="shared" si="323"/>
        <v>87.067166666666665</v>
      </c>
      <c r="CS20" s="24" t="str">
        <f t="shared" si="324"/>
        <v>B</v>
      </c>
      <c r="CT20" s="27">
        <f t="shared" si="69"/>
        <v>3.25</v>
      </c>
      <c r="CU20" s="24">
        <f t="shared" si="325"/>
        <v>40</v>
      </c>
      <c r="CV20" s="26">
        <f t="shared" si="326"/>
        <v>3434.01</v>
      </c>
      <c r="CW20" s="26">
        <f t="shared" si="327"/>
        <v>123</v>
      </c>
      <c r="CX20" s="26">
        <f t="shared" si="328"/>
        <v>85.850250000000003</v>
      </c>
      <c r="CY20" s="24" t="str">
        <f t="shared" si="329"/>
        <v>B</v>
      </c>
      <c r="CZ20" s="26">
        <f t="shared" si="70"/>
        <v>3.0750000000000002</v>
      </c>
      <c r="DA20" s="24">
        <f t="shared" si="71"/>
        <v>3</v>
      </c>
      <c r="DB20" s="24" t="str">
        <f t="shared" si="72"/>
        <v>6A</v>
      </c>
      <c r="DC20" s="24">
        <f t="shared" si="73"/>
        <v>11</v>
      </c>
      <c r="DD20" s="24">
        <f>IF(B20="","",'Q1'!$C$8)</f>
        <v>50</v>
      </c>
      <c r="DE20" s="24">
        <f>IF(A20="","",'Q1'!DE20)</f>
        <v>0</v>
      </c>
      <c r="DF20" s="24">
        <f>IF(B20="","",'Q1'!DF20)</f>
        <v>0</v>
      </c>
      <c r="DG20" s="24">
        <f>IF(B20="","",'Q1'!DG20)</f>
        <v>0</v>
      </c>
      <c r="DH20" s="24">
        <f t="shared" si="74"/>
        <v>0</v>
      </c>
      <c r="DI20" s="25">
        <f t="shared" si="75"/>
        <v>1</v>
      </c>
      <c r="DJ20" s="26">
        <f>IF('Q2'!G20="","",'Q2'!G20)</f>
        <v>90</v>
      </c>
      <c r="DK20" s="26">
        <f>IF('Q2'!H20="","",'Q2'!H20)</f>
        <v>90.7</v>
      </c>
      <c r="DL20" s="26">
        <f>IF('Q2'!I20="","",'Q2'!I20)</f>
        <v>90.7</v>
      </c>
      <c r="DM20" s="26">
        <f>IF('Q2'!J20="","",'Q2'!J20)</f>
        <v>88.666666666666671</v>
      </c>
      <c r="DN20" s="26">
        <f>IF('Q2'!K20="","",'Q2'!K20)</f>
        <v>91.466666666666669</v>
      </c>
      <c r="DO20" s="26">
        <f>IF('Q2'!L20="","",'Q2'!L20)</f>
        <v>91.833333333333343</v>
      </c>
      <c r="DP20" s="26">
        <f>IF('Q2'!M20="","",'Q2'!M20)</f>
        <v>91.366666666666674</v>
      </c>
      <c r="DQ20" s="26">
        <f>IF('Q2'!N20="","",'Q2'!N20)</f>
        <v>100</v>
      </c>
      <c r="DR20" s="26">
        <f>IF('Q2'!O20="","",'Q2'!O20)</f>
        <v>100</v>
      </c>
      <c r="DS20" s="26">
        <f>IF('Q2'!P20="","",'Q2'!P20)</f>
        <v>94.82</v>
      </c>
      <c r="DT20" s="26">
        <f>IF('Q2'!Q20="","",'Q2'!Q20)</f>
        <v>94.82</v>
      </c>
      <c r="DU20" s="26">
        <f>IF('Q2'!R20="","",'Q2'!R20)</f>
        <v>60.28</v>
      </c>
      <c r="DV20" s="26">
        <f>IF('Q2'!S20="","",'Q2'!S20)</f>
        <v>61.13333333333334</v>
      </c>
      <c r="DW20" s="26">
        <f>IF('Q2'!T20="","",'Q2'!T20)</f>
        <v>93.333333333333343</v>
      </c>
      <c r="DX20" s="26">
        <f>IF('Q2'!U20="","",'Q2'!U20)</f>
        <v>93.833333333333343</v>
      </c>
      <c r="DY20" s="26">
        <f>IF('Q2'!V20="","",'Q2'!V20)</f>
        <v>95</v>
      </c>
      <c r="DZ20" s="26" t="str">
        <f t="shared" si="76"/>
        <v>A</v>
      </c>
      <c r="EA20" s="26" t="str">
        <f t="shared" si="77"/>
        <v>A</v>
      </c>
      <c r="EB20" s="26" t="str">
        <f t="shared" si="78"/>
        <v>A</v>
      </c>
      <c r="EC20" s="26" t="str">
        <f t="shared" si="79"/>
        <v>B</v>
      </c>
      <c r="ED20" s="26" t="str">
        <f t="shared" si="80"/>
        <v>A</v>
      </c>
      <c r="EE20" s="26" t="str">
        <f t="shared" si="81"/>
        <v>A</v>
      </c>
      <c r="EF20" s="26" t="str">
        <f t="shared" si="82"/>
        <v>A</v>
      </c>
      <c r="EG20" s="26" t="str">
        <f t="shared" si="83"/>
        <v>A</v>
      </c>
      <c r="EH20" s="26" t="str">
        <f t="shared" si="84"/>
        <v>A</v>
      </c>
      <c r="EI20" s="24" t="str">
        <f t="shared" si="85"/>
        <v>A</v>
      </c>
      <c r="EJ20" s="24" t="str">
        <f t="shared" si="86"/>
        <v>A</v>
      </c>
      <c r="EK20" s="24" t="str">
        <f t="shared" si="87"/>
        <v>D</v>
      </c>
      <c r="EL20" s="24" t="str">
        <f t="shared" si="88"/>
        <v>D</v>
      </c>
      <c r="EM20" s="24" t="str">
        <f t="shared" si="89"/>
        <v>A</v>
      </c>
      <c r="EN20" s="24" t="str">
        <f t="shared" si="90"/>
        <v>A</v>
      </c>
      <c r="EO20" s="24" t="str">
        <f t="shared" si="91"/>
        <v>A</v>
      </c>
      <c r="EP20" s="24">
        <f t="shared" si="92"/>
        <v>2</v>
      </c>
      <c r="EQ20" s="24">
        <f t="shared" si="93"/>
        <v>2</v>
      </c>
      <c r="ER20" s="24">
        <f t="shared" si="94"/>
        <v>3</v>
      </c>
      <c r="ES20" s="24">
        <f t="shared" si="95"/>
        <v>1</v>
      </c>
      <c r="ET20" s="24">
        <f t="shared" si="96"/>
        <v>5</v>
      </c>
      <c r="EU20" s="24">
        <f t="shared" si="97"/>
        <v>3</v>
      </c>
      <c r="EV20" s="24">
        <f t="shared" si="98"/>
        <v>2</v>
      </c>
      <c r="EW20" s="24">
        <f t="shared" si="99"/>
        <v>1</v>
      </c>
      <c r="EX20" s="24">
        <f t="shared" si="100"/>
        <v>1</v>
      </c>
      <c r="EY20" s="24">
        <f t="shared" si="101"/>
        <v>5</v>
      </c>
      <c r="EZ20" s="24">
        <f t="shared" si="102"/>
        <v>1</v>
      </c>
      <c r="FA20" s="24">
        <f t="shared" si="103"/>
        <v>5</v>
      </c>
      <c r="FB20" s="24">
        <f t="shared" si="104"/>
        <v>3</v>
      </c>
      <c r="FC20" s="24">
        <f t="shared" si="105"/>
        <v>2</v>
      </c>
      <c r="FD20" s="24">
        <f t="shared" si="106"/>
        <v>2</v>
      </c>
      <c r="FE20" s="24">
        <f t="shared" si="107"/>
        <v>2</v>
      </c>
      <c r="FF20" s="26">
        <f t="shared" si="108"/>
        <v>180</v>
      </c>
      <c r="FG20" s="26">
        <f t="shared" si="109"/>
        <v>181.4</v>
      </c>
      <c r="FH20" s="26">
        <f t="shared" si="110"/>
        <v>272.10000000000002</v>
      </c>
      <c r="FI20" s="26">
        <f t="shared" si="111"/>
        <v>88.666666666666671</v>
      </c>
      <c r="FJ20" s="26">
        <f t="shared" si="112"/>
        <v>457.33333333333337</v>
      </c>
      <c r="FK20" s="26">
        <f t="shared" si="113"/>
        <v>275.5</v>
      </c>
      <c r="FL20" s="26">
        <f t="shared" si="114"/>
        <v>182.73333333333335</v>
      </c>
      <c r="FM20" s="26">
        <f t="shared" si="115"/>
        <v>100</v>
      </c>
      <c r="FN20" s="26">
        <f t="shared" si="116"/>
        <v>100</v>
      </c>
      <c r="FO20" s="26">
        <f t="shared" si="117"/>
        <v>474.09999999999997</v>
      </c>
      <c r="FP20" s="26">
        <f t="shared" si="118"/>
        <v>94.82</v>
      </c>
      <c r="FQ20" s="26">
        <f t="shared" si="119"/>
        <v>301.39999999999998</v>
      </c>
      <c r="FR20" s="26">
        <f t="shared" si="120"/>
        <v>183.40000000000003</v>
      </c>
      <c r="FS20" s="26">
        <f t="shared" si="121"/>
        <v>186.66666666666669</v>
      </c>
      <c r="FT20" s="26">
        <f t="shared" si="122"/>
        <v>187.66666666666669</v>
      </c>
      <c r="FU20" s="26">
        <f t="shared" si="123"/>
        <v>190</v>
      </c>
      <c r="FV20" s="24">
        <f t="shared" si="124"/>
        <v>8</v>
      </c>
      <c r="FW20" s="24">
        <f t="shared" si="125"/>
        <v>8</v>
      </c>
      <c r="FX20" s="24">
        <f t="shared" si="126"/>
        <v>12</v>
      </c>
      <c r="FY20" s="24">
        <f t="shared" si="127"/>
        <v>3</v>
      </c>
      <c r="FZ20" s="24">
        <f t="shared" si="128"/>
        <v>20</v>
      </c>
      <c r="GA20" s="24">
        <f t="shared" si="129"/>
        <v>12</v>
      </c>
      <c r="GB20" s="24">
        <f t="shared" si="130"/>
        <v>8</v>
      </c>
      <c r="GC20" s="24">
        <f t="shared" si="131"/>
        <v>4</v>
      </c>
      <c r="GD20" s="24">
        <f t="shared" si="132"/>
        <v>4</v>
      </c>
      <c r="GE20" s="24">
        <f t="shared" si="133"/>
        <v>20</v>
      </c>
      <c r="GF20" s="24">
        <f t="shared" si="134"/>
        <v>4</v>
      </c>
      <c r="GG20" s="24">
        <f t="shared" si="135"/>
        <v>7.5</v>
      </c>
      <c r="GH20" s="24">
        <f t="shared" si="136"/>
        <v>4.5</v>
      </c>
      <c r="GI20" s="24">
        <f t="shared" si="137"/>
        <v>8</v>
      </c>
      <c r="GJ20" s="24">
        <f t="shared" si="138"/>
        <v>8</v>
      </c>
      <c r="GK20" s="24">
        <f t="shared" si="139"/>
        <v>8</v>
      </c>
      <c r="GL20" s="24">
        <f t="shared" si="140"/>
        <v>20</v>
      </c>
      <c r="GM20" s="24">
        <f t="shared" si="141"/>
        <v>1837.7333333333333</v>
      </c>
      <c r="GN20" s="26">
        <f t="shared" si="142"/>
        <v>79</v>
      </c>
      <c r="GO20" s="26">
        <f t="shared" si="330"/>
        <v>91.88666666666667</v>
      </c>
      <c r="GP20" s="24" t="str">
        <f t="shared" si="331"/>
        <v>A</v>
      </c>
      <c r="GQ20" s="26">
        <f t="shared" si="143"/>
        <v>3.95</v>
      </c>
      <c r="GR20" s="24">
        <f t="shared" si="144"/>
        <v>20</v>
      </c>
      <c r="GS20" s="26">
        <f t="shared" si="145"/>
        <v>1618.0533333333335</v>
      </c>
      <c r="GT20" s="26">
        <f t="shared" si="146"/>
        <v>60</v>
      </c>
      <c r="GU20" s="26">
        <f t="shared" si="332"/>
        <v>80.902666666666676</v>
      </c>
      <c r="GV20" s="24" t="str">
        <f t="shared" si="333"/>
        <v>B</v>
      </c>
      <c r="GW20" s="27">
        <f t="shared" si="147"/>
        <v>3</v>
      </c>
      <c r="GX20" s="24">
        <f t="shared" si="148"/>
        <v>40</v>
      </c>
      <c r="GY20" s="27">
        <f t="shared" si="149"/>
        <v>3455.7866666666669</v>
      </c>
      <c r="GZ20" s="27">
        <f t="shared" si="334"/>
        <v>139</v>
      </c>
      <c r="HA20" s="26">
        <f t="shared" si="335"/>
        <v>86.394666666666666</v>
      </c>
      <c r="HB20" s="27" t="str">
        <f t="shared" si="336"/>
        <v>B</v>
      </c>
      <c r="HC20" s="26">
        <f t="shared" si="150"/>
        <v>3.4750000000000001</v>
      </c>
      <c r="HD20" s="24">
        <f t="shared" si="151"/>
        <v>3</v>
      </c>
      <c r="HE20" s="24" t="str">
        <f t="shared" si="152"/>
        <v>6A</v>
      </c>
      <c r="HF20" s="24">
        <f t="shared" si="153"/>
        <v>11</v>
      </c>
      <c r="HG20" s="24">
        <f>IF(B20="","",'Q2'!$C$8)</f>
        <v>50</v>
      </c>
      <c r="HH20" s="24">
        <f>IF(A20="","",'Q2'!DE20)</f>
        <v>0</v>
      </c>
      <c r="HI20" s="24">
        <f>IF(B20="","",'Q2'!DF20)</f>
        <v>0</v>
      </c>
      <c r="HJ20" s="24">
        <f>IF(B20="","",'Q2'!DG20)</f>
        <v>0</v>
      </c>
      <c r="HK20" s="24">
        <f t="shared" si="154"/>
        <v>0</v>
      </c>
      <c r="HL20" s="25">
        <f t="shared" si="155"/>
        <v>1</v>
      </c>
      <c r="HM20" s="7">
        <v>65</v>
      </c>
      <c r="HN20" s="7">
        <v>85</v>
      </c>
      <c r="HO20" s="7">
        <v>95</v>
      </c>
      <c r="HP20" s="7">
        <v>90</v>
      </c>
      <c r="HQ20" s="7">
        <v>70</v>
      </c>
      <c r="HR20" s="7">
        <v>65</v>
      </c>
      <c r="HS20" s="7">
        <v>60</v>
      </c>
      <c r="HT20" s="7"/>
      <c r="HU20" s="7"/>
      <c r="HV20" s="7">
        <v>86</v>
      </c>
      <c r="HW20" s="7"/>
      <c r="HX20" s="7">
        <v>54</v>
      </c>
      <c r="HY20" s="7">
        <v>53</v>
      </c>
      <c r="HZ20" s="7">
        <v>87</v>
      </c>
      <c r="IA20" s="7">
        <v>94</v>
      </c>
      <c r="IB20" s="7">
        <v>79</v>
      </c>
      <c r="IC20" s="7" t="str">
        <f t="shared" si="156"/>
        <v>D</v>
      </c>
      <c r="ID20" s="7" t="str">
        <f t="shared" si="157"/>
        <v>B</v>
      </c>
      <c r="IE20" s="7" t="str">
        <f t="shared" si="158"/>
        <v>A</v>
      </c>
      <c r="IF20" s="7" t="str">
        <f t="shared" si="159"/>
        <v>A</v>
      </c>
      <c r="IG20" s="7" t="str">
        <f t="shared" si="160"/>
        <v>C</v>
      </c>
      <c r="IH20" s="7" t="str">
        <f t="shared" si="161"/>
        <v>D</v>
      </c>
      <c r="II20" s="7" t="str">
        <f t="shared" si="162"/>
        <v>D</v>
      </c>
      <c r="IJ20" s="7" t="str">
        <f t="shared" si="163"/>
        <v/>
      </c>
      <c r="IK20" s="7" t="str">
        <f t="shared" si="164"/>
        <v/>
      </c>
      <c r="IL20" s="24" t="str">
        <f t="shared" si="165"/>
        <v>B</v>
      </c>
      <c r="IM20" s="24" t="str">
        <f t="shared" si="166"/>
        <v/>
      </c>
      <c r="IN20" s="24" t="str">
        <f t="shared" si="167"/>
        <v>E</v>
      </c>
      <c r="IO20" s="24" t="str">
        <f t="shared" si="168"/>
        <v>E</v>
      </c>
      <c r="IP20" s="24" t="str">
        <f t="shared" si="169"/>
        <v>B</v>
      </c>
      <c r="IQ20" s="24" t="str">
        <f t="shared" si="170"/>
        <v>A</v>
      </c>
      <c r="IR20" s="24" t="str">
        <f t="shared" si="171"/>
        <v>C</v>
      </c>
      <c r="IS20" s="24">
        <f t="shared" si="172"/>
        <v>2</v>
      </c>
      <c r="IT20" s="24">
        <f t="shared" si="173"/>
        <v>2</v>
      </c>
      <c r="IU20" s="24">
        <f t="shared" si="174"/>
        <v>3</v>
      </c>
      <c r="IV20" s="24">
        <f t="shared" si="175"/>
        <v>1</v>
      </c>
      <c r="IW20" s="24">
        <f t="shared" si="176"/>
        <v>5</v>
      </c>
      <c r="IX20" s="24">
        <f t="shared" si="177"/>
        <v>3</v>
      </c>
      <c r="IY20" s="24">
        <f t="shared" si="178"/>
        <v>2</v>
      </c>
      <c r="IZ20" s="24" t="str">
        <f t="shared" si="179"/>
        <v/>
      </c>
      <c r="JA20" s="24" t="str">
        <f t="shared" si="180"/>
        <v/>
      </c>
      <c r="JB20" s="24">
        <f t="shared" si="181"/>
        <v>5</v>
      </c>
      <c r="JC20" s="24" t="str">
        <f t="shared" si="182"/>
        <v/>
      </c>
      <c r="JD20" s="24">
        <f t="shared" si="183"/>
        <v>5</v>
      </c>
      <c r="JE20" s="24">
        <f t="shared" si="184"/>
        <v>3</v>
      </c>
      <c r="JF20" s="24">
        <f t="shared" si="185"/>
        <v>2</v>
      </c>
      <c r="JG20" s="24">
        <f t="shared" si="186"/>
        <v>2</v>
      </c>
      <c r="JH20" s="24">
        <f t="shared" si="187"/>
        <v>2</v>
      </c>
      <c r="JI20" s="26">
        <f t="shared" si="188"/>
        <v>130</v>
      </c>
      <c r="JJ20" s="26">
        <f t="shared" si="189"/>
        <v>170</v>
      </c>
      <c r="JK20" s="26">
        <f t="shared" si="190"/>
        <v>285</v>
      </c>
      <c r="JL20" s="26">
        <f t="shared" si="191"/>
        <v>90</v>
      </c>
      <c r="JM20" s="26">
        <f t="shared" si="192"/>
        <v>350</v>
      </c>
      <c r="JN20" s="26">
        <f t="shared" si="193"/>
        <v>195</v>
      </c>
      <c r="JO20" s="26">
        <f t="shared" si="194"/>
        <v>120</v>
      </c>
      <c r="JP20" s="26" t="str">
        <f t="shared" si="195"/>
        <v/>
      </c>
      <c r="JQ20" s="24">
        <f t="shared" si="196"/>
        <v>430</v>
      </c>
      <c r="JR20" s="24" t="str">
        <f t="shared" si="197"/>
        <v/>
      </c>
      <c r="JS20" s="24">
        <f t="shared" si="198"/>
        <v>270</v>
      </c>
      <c r="JT20" s="24">
        <f t="shared" si="199"/>
        <v>159</v>
      </c>
      <c r="JU20" s="24">
        <f t="shared" si="200"/>
        <v>174</v>
      </c>
      <c r="JV20" s="24">
        <f t="shared" si="201"/>
        <v>188</v>
      </c>
      <c r="JW20" s="24">
        <f t="shared" si="202"/>
        <v>158</v>
      </c>
      <c r="JX20" s="24">
        <f t="shared" si="203"/>
        <v>3</v>
      </c>
      <c r="JY20" s="24">
        <f t="shared" si="204"/>
        <v>6</v>
      </c>
      <c r="JZ20" s="24">
        <f t="shared" si="205"/>
        <v>12</v>
      </c>
      <c r="KA20" s="24">
        <f t="shared" si="206"/>
        <v>4</v>
      </c>
      <c r="KB20" s="24">
        <f t="shared" si="207"/>
        <v>10</v>
      </c>
      <c r="KC20" s="24">
        <f t="shared" si="208"/>
        <v>4.5</v>
      </c>
      <c r="KD20" s="24">
        <f t="shared" si="209"/>
        <v>3</v>
      </c>
      <c r="KE20" s="24" t="str">
        <f t="shared" si="210"/>
        <v/>
      </c>
      <c r="KF20" s="24" t="str">
        <f t="shared" si="211"/>
        <v/>
      </c>
      <c r="KG20" s="24">
        <f t="shared" si="212"/>
        <v>15</v>
      </c>
      <c r="KH20" s="24" t="str">
        <f t="shared" si="213"/>
        <v/>
      </c>
      <c r="KI20" s="24">
        <f t="shared" si="214"/>
        <v>5</v>
      </c>
      <c r="KJ20" s="24">
        <f t="shared" si="215"/>
        <v>3</v>
      </c>
      <c r="KK20" s="24">
        <f t="shared" si="216"/>
        <v>6</v>
      </c>
      <c r="KL20" s="24">
        <f t="shared" si="217"/>
        <v>8</v>
      </c>
      <c r="KM20" s="24">
        <f t="shared" si="218"/>
        <v>4</v>
      </c>
      <c r="KN20" s="24">
        <f t="shared" si="219"/>
        <v>18</v>
      </c>
      <c r="KO20" s="26">
        <f t="shared" si="220"/>
        <v>1340</v>
      </c>
      <c r="KP20" s="26">
        <f t="shared" si="221"/>
        <v>42.5</v>
      </c>
      <c r="KQ20" s="26">
        <f t="shared" si="337"/>
        <v>74.444444444444443</v>
      </c>
      <c r="KR20" s="24" t="str">
        <f t="shared" si="338"/>
        <v>C</v>
      </c>
      <c r="KS20" s="26">
        <f t="shared" si="222"/>
        <v>2.3611111111111112</v>
      </c>
      <c r="KT20" s="24">
        <f t="shared" si="223"/>
        <v>19</v>
      </c>
      <c r="KU20" s="24">
        <f t="shared" si="224"/>
        <v>1379</v>
      </c>
      <c r="KV20" s="26">
        <f t="shared" si="225"/>
        <v>41</v>
      </c>
      <c r="KW20" s="26">
        <f t="shared" si="339"/>
        <v>72.578947368421055</v>
      </c>
      <c r="KX20" s="24" t="str">
        <f t="shared" si="340"/>
        <v>C</v>
      </c>
      <c r="KY20" s="27">
        <f t="shared" si="226"/>
        <v>2.1578947368421053</v>
      </c>
      <c r="KZ20" s="24">
        <f t="shared" si="227"/>
        <v>37</v>
      </c>
      <c r="LA20" s="27">
        <f t="shared" si="228"/>
        <v>2719</v>
      </c>
      <c r="LB20" s="27">
        <f t="shared" si="229"/>
        <v>83.5</v>
      </c>
      <c r="LC20" s="26">
        <f t="shared" si="341"/>
        <v>73.486486486486484</v>
      </c>
      <c r="LD20" s="24" t="str">
        <f t="shared" si="342"/>
        <v>C</v>
      </c>
      <c r="LE20" s="26">
        <f t="shared" si="230"/>
        <v>2.2567567567567566</v>
      </c>
      <c r="LF20" s="24">
        <f t="shared" si="231"/>
        <v>5</v>
      </c>
      <c r="LG20" s="24" t="str">
        <f t="shared" si="232"/>
        <v>6A</v>
      </c>
      <c r="LH20" s="24">
        <f t="shared" si="233"/>
        <v>11</v>
      </c>
      <c r="LI20" s="26">
        <f>IF('Q2'!G20="","",SUM((AVERAGE('Q1'!G20,'Q2'!G20)*0.5))+(HM20*0.5))</f>
        <v>72.333333333333343</v>
      </c>
      <c r="LJ20" s="26">
        <f>IF('Q2'!H20="","",SUM((AVERAGE('Q1'!H20,'Q2'!H20)*0.5))+(HN20*0.5))</f>
        <v>87.266666666666666</v>
      </c>
      <c r="LK20" s="26">
        <f>IF('Q2'!I20="","",SUM((AVERAGE('Q1'!I20,'Q2'!I20)*0.5))+(HO20*0.5))</f>
        <v>92.266666666666666</v>
      </c>
      <c r="LL20" s="26">
        <f>IF('Q2'!J20="","",SUM((AVERAGE('Q1'!J20,'Q2'!J20)*0.5))+(HP20*0.5))</f>
        <v>84.833333333333343</v>
      </c>
      <c r="LM20" s="26">
        <f>IF('Q2'!K20="","",SUM((AVERAGE('Q1'!K20,'Q2'!K20)*0.5))+(HQ20*0.5))</f>
        <v>78.766666666666666</v>
      </c>
      <c r="LN20" s="26">
        <f>IF('Q2'!L20="","",SUM((AVERAGE('Q1'!L20,'Q2'!L20)*0.5))+(HR20*0.5))</f>
        <v>77.550000000000011</v>
      </c>
      <c r="LO20" s="26">
        <f>IF('Q2'!M20="","",SUM((AVERAGE('Q1'!M20,'Q2'!M20)*0.5))+(HS20*0.5))</f>
        <v>74.933333333333337</v>
      </c>
      <c r="LP20" s="26">
        <f>IF('Q2'!N20="","",SUM((AVERAGE('Q1'!N20,'Q2'!N20)*1)))</f>
        <v>95.416666666666671</v>
      </c>
      <c r="LQ20" s="26">
        <f>IF('Q2'!O20="","",SUM((AVERAGE('Q1'!O20,'Q2'!O20)*1)))</f>
        <v>95.416666666666671</v>
      </c>
      <c r="LR20" s="26">
        <f>IF('Q2'!P20="","",SUM((AVERAGE('Q1'!P20,'Q2'!P20)*0.5))+(HV20*0.5))</f>
        <v>90.844999999999999</v>
      </c>
      <c r="LS20" s="26">
        <f>IF('Q2'!Q20="","",SUM((AVERAGE('Q1'!Q20,'Q2'!Q20)*1))+(HW20*1))</f>
        <v>95.69</v>
      </c>
      <c r="LT20" s="26">
        <f>IF('Q2'!R20="","",SUM((AVERAGE('Q1'!R20,'Q2'!R20)*0.5))+(HX20*0.5))</f>
        <v>60.552500000000002</v>
      </c>
      <c r="LU20" s="26">
        <f>IF('Q2'!S20="","",SUM((AVERAGE('Q1'!S20,'Q2'!S20)*0.5))+(HY20*0.5))</f>
        <v>62.866666666666674</v>
      </c>
      <c r="LV20" s="26">
        <f>IF('Q2'!T20="","",SUM((AVERAGE('Q1'!T20,'Q2'!T20)*0.5))+(HZ20*0.5))</f>
        <v>87.083333333333343</v>
      </c>
      <c r="LW20" s="26">
        <f>IF('Q2'!U20="","",SUM((AVERAGE('Q1'!U20,'Q2'!U20)*0.5))+(IA20*0.5))</f>
        <v>93.625</v>
      </c>
      <c r="LX20" s="26">
        <f>IF('Q2'!V20="","",SUM((AVERAGE('Q1'!V20,'Q2'!V20)*0.5))+(IB20*0.5))</f>
        <v>87.25</v>
      </c>
      <c r="LY20" s="26" t="str">
        <f t="shared" si="234"/>
        <v>C</v>
      </c>
      <c r="LZ20" s="26" t="str">
        <f t="shared" si="235"/>
        <v>B</v>
      </c>
      <c r="MA20" s="26" t="str">
        <f t="shared" si="236"/>
        <v>A</v>
      </c>
      <c r="MB20" s="26" t="str">
        <f t="shared" si="237"/>
        <v>B</v>
      </c>
      <c r="MC20" s="26" t="str">
        <f t="shared" si="238"/>
        <v>C</v>
      </c>
      <c r="MD20" s="26" t="str">
        <f t="shared" si="239"/>
        <v>C</v>
      </c>
      <c r="ME20" s="26" t="str">
        <f t="shared" si="240"/>
        <v>C</v>
      </c>
      <c r="MF20" s="26" t="str">
        <f t="shared" si="241"/>
        <v>A</v>
      </c>
      <c r="MG20" s="26" t="str">
        <f t="shared" si="242"/>
        <v>A</v>
      </c>
      <c r="MH20" s="24" t="str">
        <f t="shared" si="243"/>
        <v>A</v>
      </c>
      <c r="MI20" s="24" t="str">
        <f t="shared" si="244"/>
        <v>A</v>
      </c>
      <c r="MJ20" s="24" t="str">
        <f t="shared" si="245"/>
        <v>D</v>
      </c>
      <c r="MK20" s="24" t="str">
        <f t="shared" si="246"/>
        <v>D</v>
      </c>
      <c r="ML20" s="24" t="str">
        <f t="shared" si="247"/>
        <v>B</v>
      </c>
      <c r="MM20" s="24" t="str">
        <f t="shared" si="248"/>
        <v>A</v>
      </c>
      <c r="MN20" s="24" t="str">
        <f t="shared" si="249"/>
        <v>B</v>
      </c>
      <c r="MO20" s="24">
        <f t="shared" si="250"/>
        <v>2</v>
      </c>
      <c r="MP20" s="24">
        <f t="shared" si="251"/>
        <v>2</v>
      </c>
      <c r="MQ20" s="24">
        <f t="shared" si="252"/>
        <v>3</v>
      </c>
      <c r="MR20" s="24">
        <f t="shared" si="253"/>
        <v>1</v>
      </c>
      <c r="MS20" s="24">
        <f t="shared" si="254"/>
        <v>5</v>
      </c>
      <c r="MT20" s="24">
        <f t="shared" si="255"/>
        <v>3</v>
      </c>
      <c r="MU20" s="24">
        <f t="shared" si="256"/>
        <v>2</v>
      </c>
      <c r="MV20" s="24">
        <f t="shared" si="257"/>
        <v>1</v>
      </c>
      <c r="MW20" s="24">
        <f t="shared" si="258"/>
        <v>1</v>
      </c>
      <c r="MX20" s="24">
        <f t="shared" si="259"/>
        <v>5</v>
      </c>
      <c r="MY20" s="24">
        <f t="shared" si="260"/>
        <v>1</v>
      </c>
      <c r="MZ20" s="24">
        <f t="shared" si="261"/>
        <v>5</v>
      </c>
      <c r="NA20" s="24">
        <f t="shared" si="262"/>
        <v>3</v>
      </c>
      <c r="NB20" s="24">
        <f t="shared" si="263"/>
        <v>2</v>
      </c>
      <c r="NC20" s="24">
        <f t="shared" si="264"/>
        <v>2</v>
      </c>
      <c r="ND20" s="24">
        <f t="shared" si="265"/>
        <v>2</v>
      </c>
      <c r="NE20" s="26">
        <f t="shared" si="266"/>
        <v>144.66666666666669</v>
      </c>
      <c r="NF20" s="26">
        <f t="shared" si="267"/>
        <v>174.53333333333333</v>
      </c>
      <c r="NG20" s="26">
        <f t="shared" si="268"/>
        <v>276.8</v>
      </c>
      <c r="NH20" s="26">
        <f t="shared" si="269"/>
        <v>84.833333333333343</v>
      </c>
      <c r="NI20" s="26">
        <f t="shared" si="270"/>
        <v>393.83333333333331</v>
      </c>
      <c r="NJ20" s="26">
        <f t="shared" si="271"/>
        <v>232.65000000000003</v>
      </c>
      <c r="NK20" s="26">
        <f t="shared" si="272"/>
        <v>149.86666666666667</v>
      </c>
      <c r="NL20" s="26">
        <f t="shared" si="273"/>
        <v>95.416666666666671</v>
      </c>
      <c r="NM20" s="26">
        <f t="shared" si="274"/>
        <v>95.416666666666671</v>
      </c>
      <c r="NN20" s="26">
        <f t="shared" si="275"/>
        <v>454.22500000000002</v>
      </c>
      <c r="NO20" s="26">
        <f t="shared" si="276"/>
        <v>95.69</v>
      </c>
      <c r="NP20" s="26">
        <f t="shared" si="277"/>
        <v>302.76249999999999</v>
      </c>
      <c r="NQ20" s="26">
        <f t="shared" si="278"/>
        <v>188.60000000000002</v>
      </c>
      <c r="NR20" s="26">
        <f t="shared" si="279"/>
        <v>174.16666666666669</v>
      </c>
      <c r="NS20" s="26">
        <f t="shared" si="280"/>
        <v>187.25</v>
      </c>
      <c r="NT20" s="26">
        <f t="shared" si="281"/>
        <v>174.5</v>
      </c>
      <c r="NU20" s="24">
        <f t="shared" si="282"/>
        <v>4</v>
      </c>
      <c r="NV20" s="24">
        <f t="shared" si="283"/>
        <v>6</v>
      </c>
      <c r="NW20" s="24">
        <f t="shared" si="284"/>
        <v>12</v>
      </c>
      <c r="NX20" s="24">
        <f t="shared" si="285"/>
        <v>3</v>
      </c>
      <c r="NY20" s="24">
        <f t="shared" si="286"/>
        <v>10</v>
      </c>
      <c r="NZ20" s="24">
        <f t="shared" si="287"/>
        <v>6</v>
      </c>
      <c r="OA20" s="24">
        <f t="shared" si="288"/>
        <v>4</v>
      </c>
      <c r="OB20" s="24">
        <f t="shared" si="289"/>
        <v>4</v>
      </c>
      <c r="OC20" s="24">
        <f t="shared" si="290"/>
        <v>4</v>
      </c>
      <c r="OD20" s="24">
        <f t="shared" si="291"/>
        <v>20</v>
      </c>
      <c r="OE20" s="24">
        <f t="shared" si="292"/>
        <v>4</v>
      </c>
      <c r="OF20" s="24">
        <f t="shared" si="293"/>
        <v>7.5</v>
      </c>
      <c r="OG20" s="24">
        <f t="shared" si="294"/>
        <v>4.5</v>
      </c>
      <c r="OH20" s="24">
        <f t="shared" si="295"/>
        <v>6</v>
      </c>
      <c r="OI20" s="24">
        <f t="shared" si="296"/>
        <v>8</v>
      </c>
      <c r="OJ20" s="24">
        <f t="shared" si="297"/>
        <v>6</v>
      </c>
      <c r="OK20" s="24">
        <f t="shared" si="298"/>
        <v>20</v>
      </c>
      <c r="OL20" s="24">
        <f t="shared" si="299"/>
        <v>1648.0166666666669</v>
      </c>
      <c r="OM20" s="26">
        <f t="shared" si="300"/>
        <v>53</v>
      </c>
      <c r="ON20" s="26">
        <f t="shared" si="343"/>
        <v>82.400833333333338</v>
      </c>
      <c r="OO20" s="24" t="str">
        <f t="shared" si="344"/>
        <v>B</v>
      </c>
      <c r="OP20" s="26">
        <f t="shared" si="301"/>
        <v>2.65</v>
      </c>
      <c r="OQ20" s="24">
        <f t="shared" si="302"/>
        <v>20</v>
      </c>
      <c r="OR20" s="26">
        <f t="shared" si="303"/>
        <v>1577.1941666666669</v>
      </c>
      <c r="OS20" s="26">
        <f t="shared" si="304"/>
        <v>56</v>
      </c>
      <c r="OT20" s="26">
        <f t="shared" si="345"/>
        <v>78.859708333333344</v>
      </c>
      <c r="OU20" s="24" t="str">
        <f t="shared" si="346"/>
        <v>C</v>
      </c>
      <c r="OV20" s="27">
        <f t="shared" si="305"/>
        <v>2.8</v>
      </c>
      <c r="OW20" s="24">
        <f t="shared" si="306"/>
        <v>40</v>
      </c>
      <c r="OX20" s="27">
        <f t="shared" si="307"/>
        <v>3225.2108333333331</v>
      </c>
      <c r="OY20" s="27">
        <f t="shared" si="308"/>
        <v>109</v>
      </c>
      <c r="OZ20" s="26">
        <f t="shared" si="347"/>
        <v>80.630270833333327</v>
      </c>
      <c r="PA20" s="27" t="str">
        <f t="shared" si="348"/>
        <v>B</v>
      </c>
      <c r="PB20" s="26">
        <f t="shared" si="309"/>
        <v>2.7250000000000001</v>
      </c>
      <c r="PC20" s="24">
        <f t="shared" si="310"/>
        <v>4</v>
      </c>
      <c r="PD20" s="24" t="str">
        <f t="shared" si="311"/>
        <v>6A</v>
      </c>
      <c r="PE20" s="24">
        <f t="shared" si="312"/>
        <v>11</v>
      </c>
      <c r="PF20" s="24">
        <f t="shared" si="313"/>
        <v>100</v>
      </c>
      <c r="PG20" s="24">
        <f t="shared" si="314"/>
        <v>0</v>
      </c>
      <c r="PH20" s="24">
        <f t="shared" si="315"/>
        <v>0</v>
      </c>
      <c r="PI20" s="24">
        <f t="shared" si="316"/>
        <v>0</v>
      </c>
      <c r="PJ20" s="24">
        <f t="shared" si="317"/>
        <v>0</v>
      </c>
      <c r="PK20" s="25">
        <f t="shared" si="318"/>
        <v>1</v>
      </c>
    </row>
    <row r="21" spans="1:427" ht="27" customHeight="1" x14ac:dyDescent="0.35">
      <c r="A21" s="24">
        <f t="shared" si="349"/>
        <v>7</v>
      </c>
      <c r="B21" s="28" t="str">
        <f>IF('Q1'!B21="","",'Q1'!B21)</f>
        <v>Vuthy Eanvisal</v>
      </c>
      <c r="C21" s="30" t="str">
        <f>IF('Q1'!C21="","",'Q1'!C21)</f>
        <v>វុទ្ធី អ៊ានវិសាល</v>
      </c>
      <c r="D21" s="28">
        <v>7</v>
      </c>
      <c r="E21" s="24" t="s">
        <v>124</v>
      </c>
      <c r="F21" s="24" t="str">
        <f>IF('Q1'!F21="","",'Q1'!F21)</f>
        <v>I</v>
      </c>
      <c r="G21" s="26">
        <f>IF('Q1'!G21="","",'Q1'!G21)</f>
        <v>64</v>
      </c>
      <c r="H21" s="26">
        <f>IF('Q1'!H21="","",'Q1'!H21)</f>
        <v>80.366666666666674</v>
      </c>
      <c r="I21" s="26">
        <f>IF('Q1'!I21="","",'Q1'!I21)</f>
        <v>80.366666666666674</v>
      </c>
      <c r="J21" s="26">
        <f>IF('Q1'!J21="","",'Q1'!J21)</f>
        <v>62.666666666666664</v>
      </c>
      <c r="K21" s="26">
        <f>IF('Q1'!K21="","",'Q1'!K21)</f>
        <v>79.599999999999994</v>
      </c>
      <c r="L21" s="26">
        <f>IF('Q1'!L21="","",'Q1'!L21)</f>
        <v>80.366666666666674</v>
      </c>
      <c r="M21" s="26">
        <f>IF('Q1'!M21="","",'Q1'!M21)</f>
        <v>80.366666666666674</v>
      </c>
      <c r="N21" s="26">
        <f>IF('Q1'!N21="","",'Q1'!N21)</f>
        <v>81.833333333333343</v>
      </c>
      <c r="O21" s="26">
        <f>IF('Q1'!O21="","",'Q1'!O21)</f>
        <v>81.833333333333343</v>
      </c>
      <c r="P21" s="26">
        <f>IF('Q1'!P21="","",'Q1'!P21)</f>
        <v>94.546666666666681</v>
      </c>
      <c r="Q21" s="26">
        <f>IF('Q1'!Q21="","",'Q1'!Q21)</f>
        <v>94.546666666666681</v>
      </c>
      <c r="R21" s="26">
        <f>IF('Q1'!R21="","",'Q1'!R21)</f>
        <v>78.069999999999993</v>
      </c>
      <c r="S21" s="26">
        <f>IF('Q1'!S21="","",'Q1'!S21)</f>
        <v>86.818181818181813</v>
      </c>
      <c r="T21" s="26">
        <f>IF('Q1'!T21="","",'Q1'!T21)</f>
        <v>51</v>
      </c>
      <c r="U21" s="26">
        <f>IF('Q1'!U21="","",'Q1'!U21)</f>
        <v>89</v>
      </c>
      <c r="V21" s="26">
        <f>IF('Q1'!V21="","",'Q1'!V21)</f>
        <v>88</v>
      </c>
      <c r="W21" s="26" t="str">
        <f t="shared" si="0"/>
        <v>D</v>
      </c>
      <c r="X21" s="26" t="str">
        <f t="shared" si="1"/>
        <v>B</v>
      </c>
      <c r="Y21" s="26" t="str">
        <f t="shared" si="2"/>
        <v>B</v>
      </c>
      <c r="Z21" s="26" t="str">
        <f t="shared" si="3"/>
        <v>D</v>
      </c>
      <c r="AA21" s="26" t="str">
        <f t="shared" si="4"/>
        <v>C</v>
      </c>
      <c r="AB21" s="26" t="str">
        <f t="shared" si="5"/>
        <v>B</v>
      </c>
      <c r="AC21" s="26" t="str">
        <f t="shared" si="6"/>
        <v>B</v>
      </c>
      <c r="AD21" s="26" t="str">
        <f t="shared" si="7"/>
        <v>B</v>
      </c>
      <c r="AE21" s="26" t="str">
        <f t="shared" si="8"/>
        <v>B</v>
      </c>
      <c r="AF21" s="24" t="str">
        <f t="shared" si="9"/>
        <v>A</v>
      </c>
      <c r="AG21" s="24" t="str">
        <f t="shared" si="10"/>
        <v>A</v>
      </c>
      <c r="AH21" s="24" t="str">
        <f t="shared" si="11"/>
        <v>C</v>
      </c>
      <c r="AI21" s="24" t="str">
        <f t="shared" si="12"/>
        <v>B</v>
      </c>
      <c r="AJ21" s="24" t="str">
        <f t="shared" si="13"/>
        <v>E</v>
      </c>
      <c r="AK21" s="24" t="str">
        <f t="shared" si="14"/>
        <v>B</v>
      </c>
      <c r="AL21" s="24" t="str">
        <f t="shared" si="15"/>
        <v>B</v>
      </c>
      <c r="AM21" s="24">
        <f t="shared" si="16"/>
        <v>2</v>
      </c>
      <c r="AN21" s="24">
        <f t="shared" si="17"/>
        <v>2</v>
      </c>
      <c r="AO21" s="24">
        <f t="shared" si="18"/>
        <v>3</v>
      </c>
      <c r="AP21" s="24">
        <f t="shared" si="19"/>
        <v>1</v>
      </c>
      <c r="AQ21" s="24">
        <f t="shared" si="20"/>
        <v>5</v>
      </c>
      <c r="AR21" s="24">
        <f t="shared" si="21"/>
        <v>3</v>
      </c>
      <c r="AS21" s="24">
        <f t="shared" si="22"/>
        <v>2</v>
      </c>
      <c r="AT21" s="24">
        <f t="shared" si="23"/>
        <v>1</v>
      </c>
      <c r="AU21" s="24">
        <f t="shared" si="24"/>
        <v>1</v>
      </c>
      <c r="AV21" s="24">
        <f t="shared" si="25"/>
        <v>5</v>
      </c>
      <c r="AW21" s="24">
        <f t="shared" si="26"/>
        <v>1</v>
      </c>
      <c r="AX21" s="24">
        <f t="shared" si="27"/>
        <v>5</v>
      </c>
      <c r="AY21" s="24">
        <f t="shared" si="28"/>
        <v>3</v>
      </c>
      <c r="AZ21" s="24">
        <f t="shared" si="29"/>
        <v>2</v>
      </c>
      <c r="BA21" s="24">
        <f t="shared" si="30"/>
        <v>2</v>
      </c>
      <c r="BB21" s="24">
        <f t="shared" si="31"/>
        <v>2</v>
      </c>
      <c r="BC21" s="26">
        <f t="shared" si="32"/>
        <v>128</v>
      </c>
      <c r="BD21" s="26">
        <f t="shared" si="33"/>
        <v>160.73333333333335</v>
      </c>
      <c r="BE21" s="26">
        <f t="shared" si="34"/>
        <v>241.10000000000002</v>
      </c>
      <c r="BF21" s="26">
        <f t="shared" si="35"/>
        <v>62.666666666666664</v>
      </c>
      <c r="BG21" s="26">
        <f t="shared" si="36"/>
        <v>398</v>
      </c>
      <c r="BH21" s="26">
        <f t="shared" si="37"/>
        <v>241.10000000000002</v>
      </c>
      <c r="BI21" s="26">
        <f t="shared" si="38"/>
        <v>160.73333333333335</v>
      </c>
      <c r="BJ21" s="26">
        <f t="shared" si="39"/>
        <v>81.833333333333343</v>
      </c>
      <c r="BK21" s="26">
        <f t="shared" si="40"/>
        <v>81.833333333333343</v>
      </c>
      <c r="BL21" s="26">
        <f t="shared" si="41"/>
        <v>472.73333333333341</v>
      </c>
      <c r="BM21" s="26">
        <f t="shared" si="42"/>
        <v>94.546666666666681</v>
      </c>
      <c r="BN21" s="26">
        <f t="shared" si="43"/>
        <v>390.34999999999997</v>
      </c>
      <c r="BO21" s="26">
        <f t="shared" si="44"/>
        <v>260.45454545454544</v>
      </c>
      <c r="BP21" s="26">
        <f t="shared" si="45"/>
        <v>102</v>
      </c>
      <c r="BQ21" s="26">
        <f t="shared" si="46"/>
        <v>178</v>
      </c>
      <c r="BR21" s="26">
        <f t="shared" si="47"/>
        <v>176</v>
      </c>
      <c r="BS21" s="24">
        <f t="shared" si="48"/>
        <v>3</v>
      </c>
      <c r="BT21" s="24">
        <f t="shared" si="49"/>
        <v>6</v>
      </c>
      <c r="BU21" s="24">
        <f t="shared" si="50"/>
        <v>9</v>
      </c>
      <c r="BV21" s="24">
        <f t="shared" si="51"/>
        <v>1.5</v>
      </c>
      <c r="BW21" s="24">
        <f t="shared" si="52"/>
        <v>10</v>
      </c>
      <c r="BX21" s="24">
        <f t="shared" si="53"/>
        <v>9</v>
      </c>
      <c r="BY21" s="24">
        <f t="shared" si="54"/>
        <v>6</v>
      </c>
      <c r="BZ21" s="24">
        <f t="shared" si="55"/>
        <v>3</v>
      </c>
      <c r="CA21" s="24">
        <f t="shared" si="56"/>
        <v>3</v>
      </c>
      <c r="CB21" s="24">
        <f t="shared" si="57"/>
        <v>20</v>
      </c>
      <c r="CC21" s="24">
        <f t="shared" si="58"/>
        <v>4</v>
      </c>
      <c r="CD21" s="24">
        <f t="shared" si="59"/>
        <v>10</v>
      </c>
      <c r="CE21" s="24">
        <f t="shared" si="60"/>
        <v>9</v>
      </c>
      <c r="CF21" s="24">
        <f t="shared" si="61"/>
        <v>2</v>
      </c>
      <c r="CG21" s="24">
        <f t="shared" si="62"/>
        <v>6</v>
      </c>
      <c r="CH21" s="24">
        <f t="shared" si="63"/>
        <v>6</v>
      </c>
      <c r="CI21" s="24">
        <f t="shared" si="319"/>
        <v>20</v>
      </c>
      <c r="CJ21" s="26">
        <f t="shared" si="64"/>
        <v>1555.9999999999998</v>
      </c>
      <c r="CK21" s="26">
        <f t="shared" si="320"/>
        <v>50.5</v>
      </c>
      <c r="CL21" s="26">
        <f t="shared" si="321"/>
        <v>77.799999999999983</v>
      </c>
      <c r="CM21" s="24" t="str">
        <f t="shared" si="322"/>
        <v>C</v>
      </c>
      <c r="CN21" s="26">
        <f t="shared" si="65"/>
        <v>2.5249999999999999</v>
      </c>
      <c r="CO21" s="24">
        <f t="shared" si="66"/>
        <v>20</v>
      </c>
      <c r="CP21" s="26">
        <f t="shared" si="67"/>
        <v>1674.0845454545456</v>
      </c>
      <c r="CQ21" s="26">
        <f t="shared" si="68"/>
        <v>57</v>
      </c>
      <c r="CR21" s="26">
        <f t="shared" si="323"/>
        <v>83.70422727272728</v>
      </c>
      <c r="CS21" s="24" t="str">
        <f t="shared" si="324"/>
        <v>B</v>
      </c>
      <c r="CT21" s="27">
        <f t="shared" si="69"/>
        <v>2.85</v>
      </c>
      <c r="CU21" s="24">
        <f t="shared" si="325"/>
        <v>40</v>
      </c>
      <c r="CV21" s="26">
        <f t="shared" si="326"/>
        <v>3230.0845454545452</v>
      </c>
      <c r="CW21" s="26">
        <f t="shared" si="327"/>
        <v>107.5</v>
      </c>
      <c r="CX21" s="26">
        <f t="shared" si="328"/>
        <v>80.752113636363632</v>
      </c>
      <c r="CY21" s="24" t="str">
        <f t="shared" si="329"/>
        <v>B</v>
      </c>
      <c r="CZ21" s="26">
        <f t="shared" si="70"/>
        <v>2.6875</v>
      </c>
      <c r="DA21" s="24">
        <f t="shared" si="71"/>
        <v>6</v>
      </c>
      <c r="DB21" s="24" t="str">
        <f t="shared" si="72"/>
        <v>6A</v>
      </c>
      <c r="DC21" s="24">
        <f t="shared" si="73"/>
        <v>11</v>
      </c>
      <c r="DD21" s="24">
        <f>IF(B21="","",'Q1'!$C$8)</f>
        <v>50</v>
      </c>
      <c r="DE21" s="24">
        <f>IF(A21="","",'Q1'!DE21)</f>
        <v>0</v>
      </c>
      <c r="DF21" s="24">
        <f>IF(B21="","",'Q1'!DF21)</f>
        <v>0</v>
      </c>
      <c r="DG21" s="24">
        <f>IF(B21="","",'Q1'!DG21)</f>
        <v>0</v>
      </c>
      <c r="DH21" s="24">
        <f t="shared" si="74"/>
        <v>0</v>
      </c>
      <c r="DI21" s="25">
        <f t="shared" si="75"/>
        <v>1</v>
      </c>
      <c r="DJ21" s="26">
        <f>IF('Q2'!G21="","",'Q2'!G21)</f>
        <v>76</v>
      </c>
      <c r="DK21" s="26">
        <f>IF('Q2'!H21="","",'Q2'!H21)</f>
        <v>83.4</v>
      </c>
      <c r="DL21" s="26">
        <f>IF('Q2'!I21="","",'Q2'!I21)</f>
        <v>84.733333333333348</v>
      </c>
      <c r="DM21" s="26">
        <f>IF('Q2'!J21="","",'Q2'!J21)</f>
        <v>81.333333333333343</v>
      </c>
      <c r="DN21" s="26">
        <f>IF('Q2'!K21="","",'Q2'!K21)</f>
        <v>84.366666666666674</v>
      </c>
      <c r="DO21" s="26">
        <f>IF('Q2'!L21="","",'Q2'!L21)</f>
        <v>81.966666666666669</v>
      </c>
      <c r="DP21" s="26">
        <f>IF('Q2'!M21="","",'Q2'!M21)</f>
        <v>84.366666666666674</v>
      </c>
      <c r="DQ21" s="26">
        <f>IF('Q2'!N21="","",'Q2'!N21)</f>
        <v>100</v>
      </c>
      <c r="DR21" s="26">
        <f>IF('Q2'!O21="","",'Q2'!O21)</f>
        <v>100</v>
      </c>
      <c r="DS21" s="26">
        <f>IF('Q2'!P21="","",'Q2'!P21)</f>
        <v>90.15</v>
      </c>
      <c r="DT21" s="26">
        <f>IF('Q2'!Q21="","",'Q2'!Q21)</f>
        <v>90.15</v>
      </c>
      <c r="DU21" s="26">
        <f>IF('Q2'!R21="","",'Q2'!R21)</f>
        <v>59.58</v>
      </c>
      <c r="DV21" s="26">
        <f>IF('Q2'!S21="","",'Q2'!S21)</f>
        <v>87.866666666666674</v>
      </c>
      <c r="DW21" s="26">
        <f>IF('Q2'!T21="","",'Q2'!T21)</f>
        <v>92</v>
      </c>
      <c r="DX21" s="26">
        <f>IF('Q2'!U21="","",'Q2'!U21)</f>
        <v>91.5</v>
      </c>
      <c r="DY21" s="26">
        <f>IF('Q2'!V21="","",'Q2'!V21)</f>
        <v>90.800000000000011</v>
      </c>
      <c r="DZ21" s="26" t="str">
        <f t="shared" si="76"/>
        <v>C</v>
      </c>
      <c r="EA21" s="26" t="str">
        <f t="shared" si="77"/>
        <v>B</v>
      </c>
      <c r="EB21" s="26" t="str">
        <f t="shared" si="78"/>
        <v>B</v>
      </c>
      <c r="EC21" s="26" t="str">
        <f t="shared" si="79"/>
        <v>B</v>
      </c>
      <c r="ED21" s="26" t="str">
        <f t="shared" si="80"/>
        <v>B</v>
      </c>
      <c r="EE21" s="26" t="str">
        <f t="shared" si="81"/>
        <v>B</v>
      </c>
      <c r="EF21" s="26" t="str">
        <f t="shared" si="82"/>
        <v>B</v>
      </c>
      <c r="EG21" s="26" t="str">
        <f t="shared" si="83"/>
        <v>A</v>
      </c>
      <c r="EH21" s="26" t="str">
        <f t="shared" si="84"/>
        <v>A</v>
      </c>
      <c r="EI21" s="24" t="str">
        <f t="shared" si="85"/>
        <v>A</v>
      </c>
      <c r="EJ21" s="24" t="str">
        <f t="shared" si="86"/>
        <v>A</v>
      </c>
      <c r="EK21" s="24" t="str">
        <f t="shared" si="87"/>
        <v>E</v>
      </c>
      <c r="EL21" s="24" t="str">
        <f t="shared" si="88"/>
        <v>B</v>
      </c>
      <c r="EM21" s="24" t="str">
        <f t="shared" si="89"/>
        <v>A</v>
      </c>
      <c r="EN21" s="24" t="str">
        <f t="shared" si="90"/>
        <v>A</v>
      </c>
      <c r="EO21" s="24" t="str">
        <f t="shared" si="91"/>
        <v>A</v>
      </c>
      <c r="EP21" s="24">
        <f t="shared" si="92"/>
        <v>2</v>
      </c>
      <c r="EQ21" s="24">
        <f t="shared" si="93"/>
        <v>2</v>
      </c>
      <c r="ER21" s="24">
        <f t="shared" si="94"/>
        <v>3</v>
      </c>
      <c r="ES21" s="24">
        <f t="shared" si="95"/>
        <v>1</v>
      </c>
      <c r="ET21" s="24">
        <f t="shared" si="96"/>
        <v>5</v>
      </c>
      <c r="EU21" s="24">
        <f t="shared" si="97"/>
        <v>3</v>
      </c>
      <c r="EV21" s="24">
        <f t="shared" si="98"/>
        <v>2</v>
      </c>
      <c r="EW21" s="24">
        <f t="shared" si="99"/>
        <v>1</v>
      </c>
      <c r="EX21" s="24">
        <f t="shared" si="100"/>
        <v>1</v>
      </c>
      <c r="EY21" s="24">
        <f t="shared" si="101"/>
        <v>5</v>
      </c>
      <c r="EZ21" s="24">
        <f t="shared" si="102"/>
        <v>1</v>
      </c>
      <c r="FA21" s="24">
        <f t="shared" si="103"/>
        <v>5</v>
      </c>
      <c r="FB21" s="24">
        <f t="shared" si="104"/>
        <v>3</v>
      </c>
      <c r="FC21" s="24">
        <f t="shared" si="105"/>
        <v>2</v>
      </c>
      <c r="FD21" s="24">
        <f t="shared" si="106"/>
        <v>2</v>
      </c>
      <c r="FE21" s="24">
        <f t="shared" si="107"/>
        <v>2</v>
      </c>
      <c r="FF21" s="26">
        <f t="shared" si="108"/>
        <v>152</v>
      </c>
      <c r="FG21" s="26">
        <f t="shared" si="109"/>
        <v>166.8</v>
      </c>
      <c r="FH21" s="26">
        <f t="shared" si="110"/>
        <v>254.20000000000005</v>
      </c>
      <c r="FI21" s="26">
        <f t="shared" si="111"/>
        <v>81.333333333333343</v>
      </c>
      <c r="FJ21" s="26">
        <f t="shared" si="112"/>
        <v>421.83333333333337</v>
      </c>
      <c r="FK21" s="26">
        <f t="shared" si="113"/>
        <v>245.9</v>
      </c>
      <c r="FL21" s="26">
        <f t="shared" si="114"/>
        <v>168.73333333333335</v>
      </c>
      <c r="FM21" s="26">
        <f t="shared" si="115"/>
        <v>100</v>
      </c>
      <c r="FN21" s="26">
        <f t="shared" si="116"/>
        <v>100</v>
      </c>
      <c r="FO21" s="26">
        <f t="shared" si="117"/>
        <v>450.75</v>
      </c>
      <c r="FP21" s="26">
        <f t="shared" si="118"/>
        <v>90.15</v>
      </c>
      <c r="FQ21" s="26">
        <f t="shared" si="119"/>
        <v>297.89999999999998</v>
      </c>
      <c r="FR21" s="26">
        <f t="shared" si="120"/>
        <v>263.60000000000002</v>
      </c>
      <c r="FS21" s="26">
        <f t="shared" si="121"/>
        <v>184</v>
      </c>
      <c r="FT21" s="26">
        <f t="shared" si="122"/>
        <v>183</v>
      </c>
      <c r="FU21" s="26">
        <f t="shared" si="123"/>
        <v>181.60000000000002</v>
      </c>
      <c r="FV21" s="24">
        <f t="shared" si="124"/>
        <v>4</v>
      </c>
      <c r="FW21" s="24">
        <f t="shared" si="125"/>
        <v>6</v>
      </c>
      <c r="FX21" s="24">
        <f t="shared" si="126"/>
        <v>9</v>
      </c>
      <c r="FY21" s="24">
        <f t="shared" si="127"/>
        <v>3</v>
      </c>
      <c r="FZ21" s="24">
        <f t="shared" si="128"/>
        <v>15</v>
      </c>
      <c r="GA21" s="24">
        <f t="shared" si="129"/>
        <v>9</v>
      </c>
      <c r="GB21" s="24">
        <f t="shared" si="130"/>
        <v>6</v>
      </c>
      <c r="GC21" s="24">
        <f t="shared" si="131"/>
        <v>4</v>
      </c>
      <c r="GD21" s="24">
        <f t="shared" si="132"/>
        <v>4</v>
      </c>
      <c r="GE21" s="24">
        <f t="shared" si="133"/>
        <v>20</v>
      </c>
      <c r="GF21" s="24">
        <f t="shared" si="134"/>
        <v>4</v>
      </c>
      <c r="GG21" s="24">
        <f t="shared" si="135"/>
        <v>5</v>
      </c>
      <c r="GH21" s="24">
        <f t="shared" si="136"/>
        <v>9</v>
      </c>
      <c r="GI21" s="24">
        <f t="shared" si="137"/>
        <v>8</v>
      </c>
      <c r="GJ21" s="24">
        <f t="shared" si="138"/>
        <v>8</v>
      </c>
      <c r="GK21" s="24">
        <f t="shared" si="139"/>
        <v>8</v>
      </c>
      <c r="GL21" s="24">
        <f t="shared" si="140"/>
        <v>20</v>
      </c>
      <c r="GM21" s="24">
        <f t="shared" si="141"/>
        <v>1690.8000000000002</v>
      </c>
      <c r="GN21" s="26">
        <f t="shared" si="142"/>
        <v>60</v>
      </c>
      <c r="GO21" s="26">
        <f t="shared" si="330"/>
        <v>84.54</v>
      </c>
      <c r="GP21" s="24" t="str">
        <f t="shared" si="331"/>
        <v>B</v>
      </c>
      <c r="GQ21" s="26">
        <f t="shared" si="143"/>
        <v>3</v>
      </c>
      <c r="GR21" s="24">
        <f t="shared" si="144"/>
        <v>20</v>
      </c>
      <c r="GS21" s="26">
        <f t="shared" si="145"/>
        <v>1651</v>
      </c>
      <c r="GT21" s="26">
        <f t="shared" si="146"/>
        <v>62</v>
      </c>
      <c r="GU21" s="26">
        <f t="shared" si="332"/>
        <v>82.55</v>
      </c>
      <c r="GV21" s="24" t="str">
        <f t="shared" si="333"/>
        <v>B</v>
      </c>
      <c r="GW21" s="27">
        <f t="shared" si="147"/>
        <v>3.1</v>
      </c>
      <c r="GX21" s="24">
        <f t="shared" si="148"/>
        <v>40</v>
      </c>
      <c r="GY21" s="27">
        <f t="shared" si="149"/>
        <v>3341.8</v>
      </c>
      <c r="GZ21" s="27">
        <f t="shared" si="334"/>
        <v>122</v>
      </c>
      <c r="HA21" s="26">
        <f t="shared" si="335"/>
        <v>83.545000000000002</v>
      </c>
      <c r="HB21" s="27" t="str">
        <f t="shared" si="336"/>
        <v>B</v>
      </c>
      <c r="HC21" s="26">
        <f t="shared" si="150"/>
        <v>3.05</v>
      </c>
      <c r="HD21" s="24">
        <f t="shared" si="151"/>
        <v>7</v>
      </c>
      <c r="HE21" s="24" t="str">
        <f t="shared" si="152"/>
        <v>6A</v>
      </c>
      <c r="HF21" s="24">
        <f t="shared" si="153"/>
        <v>11</v>
      </c>
      <c r="HG21" s="24">
        <f>IF(B21="","",'Q2'!$C$8)</f>
        <v>50</v>
      </c>
      <c r="HH21" s="24">
        <f>IF(A21="","",'Q2'!DE21)</f>
        <v>0</v>
      </c>
      <c r="HI21" s="24">
        <f>IF(B21="","",'Q2'!DF21)</f>
        <v>0</v>
      </c>
      <c r="HJ21" s="24">
        <f>IF(B21="","",'Q2'!DG21)</f>
        <v>0</v>
      </c>
      <c r="HK21" s="24">
        <f t="shared" si="154"/>
        <v>0</v>
      </c>
      <c r="HL21" s="25">
        <f t="shared" si="155"/>
        <v>1</v>
      </c>
      <c r="HM21" s="7">
        <v>60</v>
      </c>
      <c r="HN21" s="7">
        <v>70</v>
      </c>
      <c r="HO21" s="7">
        <v>80</v>
      </c>
      <c r="HP21" s="7">
        <v>70</v>
      </c>
      <c r="HQ21" s="7">
        <v>70</v>
      </c>
      <c r="HR21" s="7">
        <v>75</v>
      </c>
      <c r="HS21" s="7">
        <v>65</v>
      </c>
      <c r="HT21" s="7"/>
      <c r="HU21" s="7"/>
      <c r="HV21" s="7">
        <v>74</v>
      </c>
      <c r="HW21" s="7"/>
      <c r="HX21" s="7">
        <v>46</v>
      </c>
      <c r="HY21" s="7">
        <v>80</v>
      </c>
      <c r="HZ21" s="7">
        <v>77</v>
      </c>
      <c r="IA21" s="7">
        <v>94</v>
      </c>
      <c r="IB21" s="7">
        <v>63</v>
      </c>
      <c r="IC21" s="7" t="str">
        <f t="shared" si="156"/>
        <v>D</v>
      </c>
      <c r="ID21" s="7" t="str">
        <f t="shared" si="157"/>
        <v>C</v>
      </c>
      <c r="IE21" s="7" t="str">
        <f t="shared" si="158"/>
        <v>B</v>
      </c>
      <c r="IF21" s="7" t="str">
        <f t="shared" si="159"/>
        <v>C</v>
      </c>
      <c r="IG21" s="7" t="str">
        <f t="shared" si="160"/>
        <v>C</v>
      </c>
      <c r="IH21" s="7" t="str">
        <f t="shared" si="161"/>
        <v>C</v>
      </c>
      <c r="II21" s="7" t="str">
        <f t="shared" si="162"/>
        <v>D</v>
      </c>
      <c r="IJ21" s="7" t="str">
        <f t="shared" si="163"/>
        <v/>
      </c>
      <c r="IK21" s="7" t="str">
        <f t="shared" si="164"/>
        <v/>
      </c>
      <c r="IL21" s="24" t="str">
        <f t="shared" si="165"/>
        <v>C</v>
      </c>
      <c r="IM21" s="24" t="str">
        <f t="shared" si="166"/>
        <v/>
      </c>
      <c r="IN21" s="24" t="str">
        <f t="shared" si="167"/>
        <v>F</v>
      </c>
      <c r="IO21" s="24" t="str">
        <f t="shared" si="168"/>
        <v>B</v>
      </c>
      <c r="IP21" s="24" t="str">
        <f t="shared" si="169"/>
        <v>C</v>
      </c>
      <c r="IQ21" s="24" t="str">
        <f t="shared" si="170"/>
        <v>A</v>
      </c>
      <c r="IR21" s="24" t="str">
        <f t="shared" si="171"/>
        <v>D</v>
      </c>
      <c r="IS21" s="24">
        <f t="shared" si="172"/>
        <v>2</v>
      </c>
      <c r="IT21" s="24">
        <f t="shared" si="173"/>
        <v>2</v>
      </c>
      <c r="IU21" s="24">
        <f t="shared" si="174"/>
        <v>3</v>
      </c>
      <c r="IV21" s="24">
        <f t="shared" si="175"/>
        <v>1</v>
      </c>
      <c r="IW21" s="24">
        <f t="shared" si="176"/>
        <v>5</v>
      </c>
      <c r="IX21" s="24">
        <f t="shared" si="177"/>
        <v>3</v>
      </c>
      <c r="IY21" s="24">
        <f t="shared" si="178"/>
        <v>2</v>
      </c>
      <c r="IZ21" s="24" t="str">
        <f t="shared" si="179"/>
        <v/>
      </c>
      <c r="JA21" s="24" t="str">
        <f t="shared" si="180"/>
        <v/>
      </c>
      <c r="JB21" s="24">
        <f t="shared" si="181"/>
        <v>5</v>
      </c>
      <c r="JC21" s="24" t="str">
        <f t="shared" si="182"/>
        <v/>
      </c>
      <c r="JD21" s="24">
        <f t="shared" si="183"/>
        <v>5</v>
      </c>
      <c r="JE21" s="24">
        <f t="shared" si="184"/>
        <v>3</v>
      </c>
      <c r="JF21" s="24">
        <f t="shared" si="185"/>
        <v>2</v>
      </c>
      <c r="JG21" s="24">
        <f t="shared" si="186"/>
        <v>2</v>
      </c>
      <c r="JH21" s="24">
        <f t="shared" si="187"/>
        <v>2</v>
      </c>
      <c r="JI21" s="26">
        <f t="shared" si="188"/>
        <v>120</v>
      </c>
      <c r="JJ21" s="26">
        <f t="shared" si="189"/>
        <v>140</v>
      </c>
      <c r="JK21" s="26">
        <f t="shared" si="190"/>
        <v>240</v>
      </c>
      <c r="JL21" s="26">
        <f t="shared" si="191"/>
        <v>70</v>
      </c>
      <c r="JM21" s="26">
        <f t="shared" si="192"/>
        <v>350</v>
      </c>
      <c r="JN21" s="26">
        <f t="shared" si="193"/>
        <v>225</v>
      </c>
      <c r="JO21" s="26">
        <f t="shared" si="194"/>
        <v>130</v>
      </c>
      <c r="JP21" s="26" t="str">
        <f t="shared" si="195"/>
        <v/>
      </c>
      <c r="JQ21" s="24">
        <f t="shared" si="196"/>
        <v>370</v>
      </c>
      <c r="JR21" s="24" t="str">
        <f t="shared" si="197"/>
        <v/>
      </c>
      <c r="JS21" s="24">
        <f t="shared" si="198"/>
        <v>230</v>
      </c>
      <c r="JT21" s="24">
        <f t="shared" si="199"/>
        <v>240</v>
      </c>
      <c r="JU21" s="24">
        <f t="shared" si="200"/>
        <v>154</v>
      </c>
      <c r="JV21" s="24">
        <f t="shared" si="201"/>
        <v>188</v>
      </c>
      <c r="JW21" s="24">
        <f t="shared" si="202"/>
        <v>126</v>
      </c>
      <c r="JX21" s="24">
        <f t="shared" si="203"/>
        <v>3</v>
      </c>
      <c r="JY21" s="24">
        <f t="shared" si="204"/>
        <v>4</v>
      </c>
      <c r="JZ21" s="24">
        <f t="shared" si="205"/>
        <v>9</v>
      </c>
      <c r="KA21" s="24">
        <f t="shared" si="206"/>
        <v>2</v>
      </c>
      <c r="KB21" s="24">
        <f t="shared" si="207"/>
        <v>10</v>
      </c>
      <c r="KC21" s="24">
        <f t="shared" si="208"/>
        <v>6</v>
      </c>
      <c r="KD21" s="24">
        <f t="shared" si="209"/>
        <v>3</v>
      </c>
      <c r="KE21" s="24" t="str">
        <f t="shared" si="210"/>
        <v/>
      </c>
      <c r="KF21" s="24" t="str">
        <f t="shared" si="211"/>
        <v/>
      </c>
      <c r="KG21" s="24">
        <f t="shared" si="212"/>
        <v>10</v>
      </c>
      <c r="KH21" s="24" t="str">
        <f t="shared" si="213"/>
        <v/>
      </c>
      <c r="KI21" s="24">
        <f t="shared" si="214"/>
        <v>0</v>
      </c>
      <c r="KJ21" s="24">
        <f t="shared" si="215"/>
        <v>9</v>
      </c>
      <c r="KK21" s="24">
        <f t="shared" si="216"/>
        <v>4</v>
      </c>
      <c r="KL21" s="24">
        <f t="shared" si="217"/>
        <v>8</v>
      </c>
      <c r="KM21" s="24">
        <f t="shared" si="218"/>
        <v>3</v>
      </c>
      <c r="KN21" s="24">
        <f t="shared" si="219"/>
        <v>18</v>
      </c>
      <c r="KO21" s="26">
        <f t="shared" si="220"/>
        <v>1275</v>
      </c>
      <c r="KP21" s="26">
        <f t="shared" si="221"/>
        <v>37</v>
      </c>
      <c r="KQ21" s="26">
        <f t="shared" si="337"/>
        <v>70.833333333333329</v>
      </c>
      <c r="KR21" s="24" t="str">
        <f t="shared" si="338"/>
        <v>C</v>
      </c>
      <c r="KS21" s="26">
        <f t="shared" si="222"/>
        <v>2.0555555555555554</v>
      </c>
      <c r="KT21" s="24">
        <f t="shared" si="223"/>
        <v>19</v>
      </c>
      <c r="KU21" s="24">
        <f t="shared" si="224"/>
        <v>1308</v>
      </c>
      <c r="KV21" s="26">
        <f t="shared" si="225"/>
        <v>34</v>
      </c>
      <c r="KW21" s="26">
        <f t="shared" si="339"/>
        <v>68.84210526315789</v>
      </c>
      <c r="KX21" s="24" t="str">
        <f t="shared" si="340"/>
        <v>D</v>
      </c>
      <c r="KY21" s="27">
        <f t="shared" si="226"/>
        <v>1.7894736842105263</v>
      </c>
      <c r="KZ21" s="24">
        <f t="shared" si="227"/>
        <v>37</v>
      </c>
      <c r="LA21" s="27">
        <f t="shared" si="228"/>
        <v>2583</v>
      </c>
      <c r="LB21" s="27">
        <f t="shared" si="229"/>
        <v>71</v>
      </c>
      <c r="LC21" s="26">
        <f t="shared" si="341"/>
        <v>69.810810810810807</v>
      </c>
      <c r="LD21" s="24" t="str">
        <f t="shared" si="342"/>
        <v>D</v>
      </c>
      <c r="LE21" s="26">
        <f t="shared" si="230"/>
        <v>1.9189189189189189</v>
      </c>
      <c r="LF21" s="24">
        <f t="shared" si="231"/>
        <v>7</v>
      </c>
      <c r="LG21" s="24" t="str">
        <f t="shared" si="232"/>
        <v>6A</v>
      </c>
      <c r="LH21" s="24">
        <f t="shared" si="233"/>
        <v>11</v>
      </c>
      <c r="LI21" s="26">
        <f>IF('Q2'!G21="","",SUM((AVERAGE('Q1'!G21,'Q2'!G21)*0.5))+(HM21*0.5))</f>
        <v>65</v>
      </c>
      <c r="LJ21" s="26">
        <f>IF('Q2'!H21="","",SUM((AVERAGE('Q1'!H21,'Q2'!H21)*0.5))+(HN21*0.5))</f>
        <v>75.941666666666663</v>
      </c>
      <c r="LK21" s="26">
        <f>IF('Q2'!I21="","",SUM((AVERAGE('Q1'!I21,'Q2'!I21)*0.5))+(HO21*0.5))</f>
        <v>81.275000000000006</v>
      </c>
      <c r="LL21" s="26">
        <f>IF('Q2'!J21="","",SUM((AVERAGE('Q1'!J21,'Q2'!J21)*0.5))+(HP21*0.5))</f>
        <v>71</v>
      </c>
      <c r="LM21" s="26">
        <f>IF('Q2'!K21="","",SUM((AVERAGE('Q1'!K21,'Q2'!K21)*0.5))+(HQ21*0.5))</f>
        <v>75.991666666666674</v>
      </c>
      <c r="LN21" s="26">
        <f>IF('Q2'!L21="","",SUM((AVERAGE('Q1'!L21,'Q2'!L21)*0.5))+(HR21*0.5))</f>
        <v>78.083333333333343</v>
      </c>
      <c r="LO21" s="26">
        <f>IF('Q2'!M21="","",SUM((AVERAGE('Q1'!M21,'Q2'!M21)*0.5))+(HS21*0.5))</f>
        <v>73.683333333333337</v>
      </c>
      <c r="LP21" s="26">
        <f>IF('Q2'!N21="","",SUM((AVERAGE('Q1'!N21,'Q2'!N21)*1)))</f>
        <v>90.916666666666671</v>
      </c>
      <c r="LQ21" s="26">
        <f>IF('Q2'!O21="","",SUM((AVERAGE('Q1'!O21,'Q2'!O21)*1)))</f>
        <v>90.916666666666671</v>
      </c>
      <c r="LR21" s="26">
        <f>IF('Q2'!P21="","",SUM((AVERAGE('Q1'!P21,'Q2'!P21)*0.5))+(HV21*0.5))</f>
        <v>83.174166666666679</v>
      </c>
      <c r="LS21" s="26">
        <f>IF('Q2'!Q21="","",SUM((AVERAGE('Q1'!Q21,'Q2'!Q21)*1))+(HW21*1))</f>
        <v>92.348333333333343</v>
      </c>
      <c r="LT21" s="26">
        <f>IF('Q2'!R21="","",SUM((AVERAGE('Q1'!R21,'Q2'!R21)*0.5))+(HX21*0.5))</f>
        <v>57.412499999999994</v>
      </c>
      <c r="LU21" s="26">
        <f>IF('Q2'!S21="","",SUM((AVERAGE('Q1'!S21,'Q2'!S21)*0.5))+(HY21*0.5))</f>
        <v>83.671212121212122</v>
      </c>
      <c r="LV21" s="26">
        <f>IF('Q2'!T21="","",SUM((AVERAGE('Q1'!T21,'Q2'!T21)*0.5))+(HZ21*0.5))</f>
        <v>74.25</v>
      </c>
      <c r="LW21" s="26">
        <f>IF('Q2'!U21="","",SUM((AVERAGE('Q1'!U21,'Q2'!U21)*0.5))+(IA21*0.5))</f>
        <v>92.125</v>
      </c>
      <c r="LX21" s="26">
        <f>IF('Q2'!V21="","",SUM((AVERAGE('Q1'!V21,'Q2'!V21)*0.5))+(IB21*0.5))</f>
        <v>76.2</v>
      </c>
      <c r="LY21" s="26" t="str">
        <f t="shared" si="234"/>
        <v>D</v>
      </c>
      <c r="LZ21" s="26" t="str">
        <f t="shared" si="235"/>
        <v>C</v>
      </c>
      <c r="MA21" s="26" t="str">
        <f t="shared" si="236"/>
        <v>B</v>
      </c>
      <c r="MB21" s="26" t="str">
        <f t="shared" si="237"/>
        <v>C</v>
      </c>
      <c r="MC21" s="26" t="str">
        <f t="shared" si="238"/>
        <v>C</v>
      </c>
      <c r="MD21" s="26" t="str">
        <f t="shared" si="239"/>
        <v>C</v>
      </c>
      <c r="ME21" s="26" t="str">
        <f t="shared" si="240"/>
        <v>C</v>
      </c>
      <c r="MF21" s="26" t="str">
        <f t="shared" si="241"/>
        <v>A</v>
      </c>
      <c r="MG21" s="26" t="str">
        <f t="shared" si="242"/>
        <v>A</v>
      </c>
      <c r="MH21" s="24" t="str">
        <f t="shared" si="243"/>
        <v>B</v>
      </c>
      <c r="MI21" s="24" t="str">
        <f t="shared" si="244"/>
        <v>A</v>
      </c>
      <c r="MJ21" s="24" t="str">
        <f t="shared" si="245"/>
        <v>E</v>
      </c>
      <c r="MK21" s="24" t="str">
        <f t="shared" si="246"/>
        <v>B</v>
      </c>
      <c r="ML21" s="24" t="str">
        <f t="shared" si="247"/>
        <v>C</v>
      </c>
      <c r="MM21" s="24" t="str">
        <f t="shared" si="248"/>
        <v>A</v>
      </c>
      <c r="MN21" s="24" t="str">
        <f t="shared" si="249"/>
        <v>C</v>
      </c>
      <c r="MO21" s="24">
        <f t="shared" si="250"/>
        <v>2</v>
      </c>
      <c r="MP21" s="24">
        <f t="shared" si="251"/>
        <v>2</v>
      </c>
      <c r="MQ21" s="24">
        <f t="shared" si="252"/>
        <v>3</v>
      </c>
      <c r="MR21" s="24">
        <f t="shared" si="253"/>
        <v>1</v>
      </c>
      <c r="MS21" s="24">
        <f t="shared" si="254"/>
        <v>5</v>
      </c>
      <c r="MT21" s="24">
        <f t="shared" si="255"/>
        <v>3</v>
      </c>
      <c r="MU21" s="24">
        <f t="shared" si="256"/>
        <v>2</v>
      </c>
      <c r="MV21" s="24">
        <f t="shared" si="257"/>
        <v>1</v>
      </c>
      <c r="MW21" s="24">
        <f t="shared" si="258"/>
        <v>1</v>
      </c>
      <c r="MX21" s="24">
        <f t="shared" si="259"/>
        <v>5</v>
      </c>
      <c r="MY21" s="24">
        <f t="shared" si="260"/>
        <v>1</v>
      </c>
      <c r="MZ21" s="24">
        <f t="shared" si="261"/>
        <v>5</v>
      </c>
      <c r="NA21" s="24">
        <f t="shared" si="262"/>
        <v>3</v>
      </c>
      <c r="NB21" s="24">
        <f t="shared" si="263"/>
        <v>2</v>
      </c>
      <c r="NC21" s="24">
        <f t="shared" si="264"/>
        <v>2</v>
      </c>
      <c r="ND21" s="24">
        <f t="shared" si="265"/>
        <v>2</v>
      </c>
      <c r="NE21" s="26">
        <f t="shared" si="266"/>
        <v>130</v>
      </c>
      <c r="NF21" s="26">
        <f t="shared" si="267"/>
        <v>151.88333333333333</v>
      </c>
      <c r="NG21" s="26">
        <f t="shared" si="268"/>
        <v>243.82500000000002</v>
      </c>
      <c r="NH21" s="26">
        <f t="shared" si="269"/>
        <v>71</v>
      </c>
      <c r="NI21" s="26">
        <f t="shared" si="270"/>
        <v>379.95833333333337</v>
      </c>
      <c r="NJ21" s="26">
        <f t="shared" si="271"/>
        <v>234.25000000000003</v>
      </c>
      <c r="NK21" s="26">
        <f t="shared" si="272"/>
        <v>147.36666666666667</v>
      </c>
      <c r="NL21" s="26">
        <f t="shared" si="273"/>
        <v>90.916666666666671</v>
      </c>
      <c r="NM21" s="26">
        <f t="shared" si="274"/>
        <v>90.916666666666671</v>
      </c>
      <c r="NN21" s="26">
        <f t="shared" si="275"/>
        <v>415.87083333333339</v>
      </c>
      <c r="NO21" s="26">
        <f t="shared" si="276"/>
        <v>92.348333333333343</v>
      </c>
      <c r="NP21" s="26">
        <f t="shared" si="277"/>
        <v>287.0625</v>
      </c>
      <c r="NQ21" s="26">
        <f t="shared" si="278"/>
        <v>251.01363636363635</v>
      </c>
      <c r="NR21" s="26">
        <f t="shared" si="279"/>
        <v>148.5</v>
      </c>
      <c r="NS21" s="26">
        <f t="shared" si="280"/>
        <v>184.25</v>
      </c>
      <c r="NT21" s="26">
        <f t="shared" si="281"/>
        <v>152.4</v>
      </c>
      <c r="NU21" s="24">
        <f t="shared" si="282"/>
        <v>3</v>
      </c>
      <c r="NV21" s="24">
        <f t="shared" si="283"/>
        <v>4</v>
      </c>
      <c r="NW21" s="24">
        <f t="shared" si="284"/>
        <v>9</v>
      </c>
      <c r="NX21" s="24">
        <f t="shared" si="285"/>
        <v>2</v>
      </c>
      <c r="NY21" s="24">
        <f t="shared" si="286"/>
        <v>10</v>
      </c>
      <c r="NZ21" s="24">
        <f t="shared" si="287"/>
        <v>6</v>
      </c>
      <c r="OA21" s="24">
        <f t="shared" si="288"/>
        <v>4</v>
      </c>
      <c r="OB21" s="24">
        <f t="shared" si="289"/>
        <v>4</v>
      </c>
      <c r="OC21" s="24">
        <f t="shared" si="290"/>
        <v>4</v>
      </c>
      <c r="OD21" s="24">
        <f t="shared" si="291"/>
        <v>15</v>
      </c>
      <c r="OE21" s="24">
        <f t="shared" si="292"/>
        <v>4</v>
      </c>
      <c r="OF21" s="24">
        <f t="shared" si="293"/>
        <v>5</v>
      </c>
      <c r="OG21" s="24">
        <f t="shared" si="294"/>
        <v>9</v>
      </c>
      <c r="OH21" s="24">
        <f t="shared" si="295"/>
        <v>4</v>
      </c>
      <c r="OI21" s="24">
        <f t="shared" si="296"/>
        <v>8</v>
      </c>
      <c r="OJ21" s="24">
        <f t="shared" si="297"/>
        <v>4</v>
      </c>
      <c r="OK21" s="24">
        <f t="shared" si="298"/>
        <v>20</v>
      </c>
      <c r="OL21" s="24">
        <f t="shared" si="299"/>
        <v>1540.1166666666668</v>
      </c>
      <c r="OM21" s="26">
        <f t="shared" si="300"/>
        <v>46</v>
      </c>
      <c r="ON21" s="26">
        <f t="shared" si="343"/>
        <v>77.005833333333342</v>
      </c>
      <c r="OO21" s="24" t="str">
        <f t="shared" si="344"/>
        <v>C</v>
      </c>
      <c r="OP21" s="26">
        <f t="shared" si="301"/>
        <v>2.2999999999999998</v>
      </c>
      <c r="OQ21" s="24">
        <f t="shared" si="302"/>
        <v>20</v>
      </c>
      <c r="OR21" s="26">
        <f t="shared" si="303"/>
        <v>1531.4453030303032</v>
      </c>
      <c r="OS21" s="26">
        <f t="shared" si="304"/>
        <v>49</v>
      </c>
      <c r="OT21" s="26">
        <f t="shared" si="345"/>
        <v>76.572265151515154</v>
      </c>
      <c r="OU21" s="24" t="str">
        <f t="shared" si="346"/>
        <v>C</v>
      </c>
      <c r="OV21" s="27">
        <f t="shared" si="305"/>
        <v>2.4500000000000002</v>
      </c>
      <c r="OW21" s="24">
        <f t="shared" si="306"/>
        <v>40</v>
      </c>
      <c r="OX21" s="27">
        <f t="shared" si="307"/>
        <v>3071.5619696969702</v>
      </c>
      <c r="OY21" s="27">
        <f t="shared" si="308"/>
        <v>95</v>
      </c>
      <c r="OZ21" s="26">
        <f t="shared" si="347"/>
        <v>76.789049242424255</v>
      </c>
      <c r="PA21" s="27" t="str">
        <f t="shared" si="348"/>
        <v>C</v>
      </c>
      <c r="PB21" s="26">
        <f t="shared" si="309"/>
        <v>2.375</v>
      </c>
      <c r="PC21" s="24">
        <f t="shared" si="310"/>
        <v>7</v>
      </c>
      <c r="PD21" s="24" t="str">
        <f t="shared" si="311"/>
        <v>6A</v>
      </c>
      <c r="PE21" s="24">
        <f t="shared" si="312"/>
        <v>11</v>
      </c>
      <c r="PF21" s="24">
        <f t="shared" si="313"/>
        <v>100</v>
      </c>
      <c r="PG21" s="24">
        <f t="shared" si="314"/>
        <v>0</v>
      </c>
      <c r="PH21" s="24">
        <f t="shared" si="315"/>
        <v>0</v>
      </c>
      <c r="PI21" s="24">
        <f t="shared" si="316"/>
        <v>0</v>
      </c>
      <c r="PJ21" s="24">
        <f t="shared" si="317"/>
        <v>0</v>
      </c>
      <c r="PK21" s="25">
        <f t="shared" si="318"/>
        <v>1</v>
      </c>
    </row>
    <row r="22" spans="1:427" ht="27" customHeight="1" x14ac:dyDescent="0.35">
      <c r="A22" s="24">
        <f t="shared" si="349"/>
        <v>8</v>
      </c>
      <c r="B22" s="28" t="str">
        <f>IF('Q1'!B22="","",'Q1'!B22)</f>
        <v>Dyna Sovanysa</v>
      </c>
      <c r="C22" s="30" t="str">
        <f>IF('Q1'!C22="","",'Q1'!C22)</f>
        <v>ឌីណា សុវណ្ណីហ្សា</v>
      </c>
      <c r="D22" s="28">
        <v>8</v>
      </c>
      <c r="E22" s="24" t="s">
        <v>125</v>
      </c>
      <c r="F22" s="24" t="str">
        <f>IF('Q1'!F22="","",'Q1'!F22)</f>
        <v>I</v>
      </c>
      <c r="G22" s="26">
        <f>IF('Q1'!G22="","",'Q1'!G22)</f>
        <v>68</v>
      </c>
      <c r="H22" s="26">
        <f>IF('Q1'!H22="","",'Q1'!H22)</f>
        <v>104.36666666666669</v>
      </c>
      <c r="I22" s="26">
        <f>IF('Q1'!I22="","",'Q1'!I22)</f>
        <v>86.366666666666674</v>
      </c>
      <c r="J22" s="26">
        <f>IF('Q1'!J22="","",'Q1'!J22)</f>
        <v>69.333333333333343</v>
      </c>
      <c r="K22" s="26">
        <f>IF('Q1'!K22="","",'Q1'!K22)</f>
        <v>79.5</v>
      </c>
      <c r="L22" s="26">
        <f>IF('Q1'!L22="","",'Q1'!L22)</f>
        <v>86.366666666666674</v>
      </c>
      <c r="M22" s="26">
        <f>IF('Q1'!M22="","",'Q1'!M22)</f>
        <v>86.366666666666674</v>
      </c>
      <c r="N22" s="26">
        <f>IF('Q1'!N22="","",'Q1'!N22)</f>
        <v>85.833333333333343</v>
      </c>
      <c r="O22" s="26">
        <f>IF('Q1'!O22="","",'Q1'!O22)</f>
        <v>85.833333333333343</v>
      </c>
      <c r="P22" s="26">
        <f>IF('Q1'!P22="","",'Q1'!P22)</f>
        <v>97.433333333333337</v>
      </c>
      <c r="Q22" s="26">
        <f>IF('Q1'!Q22="","",'Q1'!Q22)</f>
        <v>97.433333333333337</v>
      </c>
      <c r="R22" s="26">
        <f>IF('Q1'!R22="","",'Q1'!R22)</f>
        <v>77.2</v>
      </c>
      <c r="S22" s="26">
        <f>IF('Q1'!S22="","",'Q1'!S22)</f>
        <v>85.909090909090921</v>
      </c>
      <c r="T22" s="26">
        <f>IF('Q1'!T22="","",'Q1'!T22)</f>
        <v>80</v>
      </c>
      <c r="U22" s="26">
        <f>IF('Q1'!U22="","",'Q1'!U22)</f>
        <v>95.800000000000011</v>
      </c>
      <c r="V22" s="26">
        <f>IF('Q1'!V22="","",'Q1'!V22)</f>
        <v>95</v>
      </c>
      <c r="W22" s="26" t="str">
        <f t="shared" si="0"/>
        <v>D</v>
      </c>
      <c r="X22" s="26" t="str">
        <f t="shared" si="1"/>
        <v>A</v>
      </c>
      <c r="Y22" s="26" t="str">
        <f t="shared" si="2"/>
        <v>B</v>
      </c>
      <c r="Z22" s="26" t="str">
        <f t="shared" si="3"/>
        <v>D</v>
      </c>
      <c r="AA22" s="26" t="str">
        <f t="shared" si="4"/>
        <v>C</v>
      </c>
      <c r="AB22" s="26" t="str">
        <f t="shared" si="5"/>
        <v>B</v>
      </c>
      <c r="AC22" s="26" t="str">
        <f t="shared" si="6"/>
        <v>B</v>
      </c>
      <c r="AD22" s="26" t="str">
        <f t="shared" si="7"/>
        <v>B</v>
      </c>
      <c r="AE22" s="26" t="str">
        <f t="shared" si="8"/>
        <v>B</v>
      </c>
      <c r="AF22" s="24" t="str">
        <f t="shared" si="9"/>
        <v>A</v>
      </c>
      <c r="AG22" s="24" t="str">
        <f t="shared" si="10"/>
        <v>A</v>
      </c>
      <c r="AH22" s="24" t="str">
        <f t="shared" si="11"/>
        <v>C</v>
      </c>
      <c r="AI22" s="24" t="str">
        <f t="shared" si="12"/>
        <v>B</v>
      </c>
      <c r="AJ22" s="24" t="str">
        <f t="shared" si="13"/>
        <v>B</v>
      </c>
      <c r="AK22" s="24" t="str">
        <f t="shared" si="14"/>
        <v>A</v>
      </c>
      <c r="AL22" s="24" t="str">
        <f t="shared" si="15"/>
        <v>A</v>
      </c>
      <c r="AM22" s="24">
        <f t="shared" si="16"/>
        <v>2</v>
      </c>
      <c r="AN22" s="24">
        <f t="shared" si="17"/>
        <v>2</v>
      </c>
      <c r="AO22" s="24">
        <f t="shared" si="18"/>
        <v>3</v>
      </c>
      <c r="AP22" s="24">
        <f t="shared" si="19"/>
        <v>1</v>
      </c>
      <c r="AQ22" s="24">
        <f t="shared" si="20"/>
        <v>5</v>
      </c>
      <c r="AR22" s="24">
        <f t="shared" si="21"/>
        <v>3</v>
      </c>
      <c r="AS22" s="24">
        <f t="shared" si="22"/>
        <v>2</v>
      </c>
      <c r="AT22" s="24">
        <f t="shared" si="23"/>
        <v>1</v>
      </c>
      <c r="AU22" s="24">
        <f t="shared" si="24"/>
        <v>1</v>
      </c>
      <c r="AV22" s="24">
        <f t="shared" si="25"/>
        <v>5</v>
      </c>
      <c r="AW22" s="24">
        <f t="shared" si="26"/>
        <v>1</v>
      </c>
      <c r="AX22" s="24">
        <f t="shared" si="27"/>
        <v>5</v>
      </c>
      <c r="AY22" s="24">
        <f t="shared" si="28"/>
        <v>3</v>
      </c>
      <c r="AZ22" s="24">
        <f t="shared" si="29"/>
        <v>2</v>
      </c>
      <c r="BA22" s="24">
        <f t="shared" si="30"/>
        <v>2</v>
      </c>
      <c r="BB22" s="24">
        <f t="shared" si="31"/>
        <v>2</v>
      </c>
      <c r="BC22" s="26">
        <f t="shared" si="32"/>
        <v>136</v>
      </c>
      <c r="BD22" s="26">
        <f t="shared" si="33"/>
        <v>208.73333333333338</v>
      </c>
      <c r="BE22" s="26">
        <f t="shared" si="34"/>
        <v>259.10000000000002</v>
      </c>
      <c r="BF22" s="26">
        <f t="shared" si="35"/>
        <v>69.333333333333343</v>
      </c>
      <c r="BG22" s="26">
        <f t="shared" si="36"/>
        <v>397.5</v>
      </c>
      <c r="BH22" s="26">
        <f t="shared" si="37"/>
        <v>259.10000000000002</v>
      </c>
      <c r="BI22" s="26">
        <f t="shared" si="38"/>
        <v>172.73333333333335</v>
      </c>
      <c r="BJ22" s="26">
        <f t="shared" si="39"/>
        <v>85.833333333333343</v>
      </c>
      <c r="BK22" s="26">
        <f t="shared" si="40"/>
        <v>85.833333333333343</v>
      </c>
      <c r="BL22" s="26">
        <f t="shared" si="41"/>
        <v>487.16666666666669</v>
      </c>
      <c r="BM22" s="26">
        <f t="shared" si="42"/>
        <v>97.433333333333337</v>
      </c>
      <c r="BN22" s="26">
        <f t="shared" si="43"/>
        <v>386</v>
      </c>
      <c r="BO22" s="26">
        <f t="shared" si="44"/>
        <v>257.72727272727275</v>
      </c>
      <c r="BP22" s="26">
        <f t="shared" si="45"/>
        <v>160</v>
      </c>
      <c r="BQ22" s="26">
        <f t="shared" si="46"/>
        <v>191.60000000000002</v>
      </c>
      <c r="BR22" s="26">
        <f t="shared" si="47"/>
        <v>190</v>
      </c>
      <c r="BS22" s="24">
        <f t="shared" si="48"/>
        <v>3</v>
      </c>
      <c r="BT22" s="24">
        <f t="shared" si="49"/>
        <v>8</v>
      </c>
      <c r="BU22" s="24">
        <f t="shared" si="50"/>
        <v>9</v>
      </c>
      <c r="BV22" s="24">
        <f t="shared" si="51"/>
        <v>1.5</v>
      </c>
      <c r="BW22" s="24">
        <f t="shared" si="52"/>
        <v>10</v>
      </c>
      <c r="BX22" s="24">
        <f t="shared" si="53"/>
        <v>9</v>
      </c>
      <c r="BY22" s="24">
        <f t="shared" si="54"/>
        <v>6</v>
      </c>
      <c r="BZ22" s="24">
        <f t="shared" si="55"/>
        <v>3</v>
      </c>
      <c r="CA22" s="24">
        <f t="shared" si="56"/>
        <v>3</v>
      </c>
      <c r="CB22" s="24">
        <f t="shared" si="57"/>
        <v>20</v>
      </c>
      <c r="CC22" s="24">
        <f t="shared" si="58"/>
        <v>4</v>
      </c>
      <c r="CD22" s="24">
        <f t="shared" si="59"/>
        <v>10</v>
      </c>
      <c r="CE22" s="24">
        <f t="shared" si="60"/>
        <v>9</v>
      </c>
      <c r="CF22" s="24">
        <f t="shared" si="61"/>
        <v>6</v>
      </c>
      <c r="CG22" s="24">
        <f t="shared" si="62"/>
        <v>8</v>
      </c>
      <c r="CH22" s="24">
        <f t="shared" si="63"/>
        <v>8</v>
      </c>
      <c r="CI22" s="24">
        <f t="shared" si="319"/>
        <v>20</v>
      </c>
      <c r="CJ22" s="26">
        <f t="shared" si="64"/>
        <v>1674.1666666666667</v>
      </c>
      <c r="CK22" s="26">
        <f t="shared" si="320"/>
        <v>52.5</v>
      </c>
      <c r="CL22" s="26">
        <f t="shared" si="321"/>
        <v>83.708333333333343</v>
      </c>
      <c r="CM22" s="24" t="str">
        <f t="shared" si="322"/>
        <v>B</v>
      </c>
      <c r="CN22" s="26">
        <f t="shared" si="65"/>
        <v>2.625</v>
      </c>
      <c r="CO22" s="24">
        <f t="shared" si="66"/>
        <v>20</v>
      </c>
      <c r="CP22" s="26">
        <f t="shared" si="67"/>
        <v>1769.9272727272728</v>
      </c>
      <c r="CQ22" s="26">
        <f t="shared" si="68"/>
        <v>65</v>
      </c>
      <c r="CR22" s="26">
        <f t="shared" si="323"/>
        <v>88.49636363636364</v>
      </c>
      <c r="CS22" s="24" t="str">
        <f t="shared" si="324"/>
        <v>B</v>
      </c>
      <c r="CT22" s="27">
        <f t="shared" si="69"/>
        <v>3.25</v>
      </c>
      <c r="CU22" s="24">
        <f t="shared" si="325"/>
        <v>40</v>
      </c>
      <c r="CV22" s="26">
        <f t="shared" si="326"/>
        <v>3444.0939393939393</v>
      </c>
      <c r="CW22" s="26">
        <f t="shared" si="327"/>
        <v>117.5</v>
      </c>
      <c r="CX22" s="26">
        <f t="shared" si="328"/>
        <v>86.102348484848477</v>
      </c>
      <c r="CY22" s="24" t="str">
        <f t="shared" si="329"/>
        <v>B</v>
      </c>
      <c r="CZ22" s="26">
        <f t="shared" si="70"/>
        <v>2.9375</v>
      </c>
      <c r="DA22" s="24">
        <f t="shared" si="71"/>
        <v>2</v>
      </c>
      <c r="DB22" s="24" t="str">
        <f t="shared" si="72"/>
        <v>6A</v>
      </c>
      <c r="DC22" s="24">
        <f t="shared" si="73"/>
        <v>11</v>
      </c>
      <c r="DD22" s="24">
        <f>IF(B22="","",'Q1'!$C$8)</f>
        <v>50</v>
      </c>
      <c r="DE22" s="24">
        <f>IF(A22="","",'Q1'!DE22)</f>
        <v>0</v>
      </c>
      <c r="DF22" s="24">
        <f>IF(B22="","",'Q1'!DF22)</f>
        <v>0</v>
      </c>
      <c r="DG22" s="24">
        <f>IF(B22="","",'Q1'!DG22)</f>
        <v>0</v>
      </c>
      <c r="DH22" s="24">
        <f t="shared" si="74"/>
        <v>0</v>
      </c>
      <c r="DI22" s="25">
        <f t="shared" si="75"/>
        <v>1</v>
      </c>
      <c r="DJ22" s="26">
        <f>IF('Q2'!G22="","",'Q2'!G22)</f>
        <v>87.333333333333343</v>
      </c>
      <c r="DK22" s="26">
        <f>IF('Q2'!H22="","",'Q2'!H22)</f>
        <v>90.066666666666677</v>
      </c>
      <c r="DL22" s="26">
        <f>IF('Q2'!I22="","",'Q2'!I22)</f>
        <v>89</v>
      </c>
      <c r="DM22" s="26">
        <f>IF('Q2'!J22="","",'Q2'!J22)</f>
        <v>87.333333333333343</v>
      </c>
      <c r="DN22" s="26">
        <f>IF('Q2'!K22="","",'Q2'!K22)</f>
        <v>87.666666666666671</v>
      </c>
      <c r="DO22" s="26">
        <f>IF('Q2'!L22="","",'Q2'!L22)</f>
        <v>87.966666666666669</v>
      </c>
      <c r="DP22" s="26">
        <f>IF('Q2'!M22="","",'Q2'!M22)</f>
        <v>88.066666666666677</v>
      </c>
      <c r="DQ22" s="26">
        <f>IF('Q2'!N22="","",'Q2'!N22)</f>
        <v>100</v>
      </c>
      <c r="DR22" s="26">
        <f>IF('Q2'!O22="","",'Q2'!O22)</f>
        <v>100</v>
      </c>
      <c r="DS22" s="26">
        <f>IF('Q2'!P22="","",'Q2'!P22)</f>
        <v>92.21</v>
      </c>
      <c r="DT22" s="26">
        <f>IF('Q2'!Q22="","",'Q2'!Q22)</f>
        <v>92.21</v>
      </c>
      <c r="DU22" s="26">
        <f>IF('Q2'!R22="","",'Q2'!R22)</f>
        <v>82.56</v>
      </c>
      <c r="DV22" s="26">
        <f>IF('Q2'!S22="","",'Q2'!S22)</f>
        <v>72.466666666666669</v>
      </c>
      <c r="DW22" s="26">
        <f>IF('Q2'!T22="","",'Q2'!T22)</f>
        <v>96</v>
      </c>
      <c r="DX22" s="26">
        <f>IF('Q2'!U22="","",'Q2'!U22)</f>
        <v>94.5</v>
      </c>
      <c r="DY22" s="26">
        <f>IF('Q2'!V22="","",'Q2'!V22)</f>
        <v>97</v>
      </c>
      <c r="DZ22" s="26" t="str">
        <f t="shared" si="76"/>
        <v>B</v>
      </c>
      <c r="EA22" s="26" t="str">
        <f t="shared" si="77"/>
        <v>A</v>
      </c>
      <c r="EB22" s="26" t="str">
        <f t="shared" si="78"/>
        <v>B</v>
      </c>
      <c r="EC22" s="26" t="str">
        <f t="shared" si="79"/>
        <v>B</v>
      </c>
      <c r="ED22" s="26" t="str">
        <f t="shared" si="80"/>
        <v>B</v>
      </c>
      <c r="EE22" s="26" t="str">
        <f t="shared" si="81"/>
        <v>B</v>
      </c>
      <c r="EF22" s="26" t="str">
        <f t="shared" si="82"/>
        <v>B</v>
      </c>
      <c r="EG22" s="26" t="str">
        <f t="shared" si="83"/>
        <v>A</v>
      </c>
      <c r="EH22" s="26" t="str">
        <f t="shared" si="84"/>
        <v>A</v>
      </c>
      <c r="EI22" s="24" t="str">
        <f t="shared" si="85"/>
        <v>A</v>
      </c>
      <c r="EJ22" s="24" t="str">
        <f t="shared" si="86"/>
        <v>A</v>
      </c>
      <c r="EK22" s="24" t="str">
        <f t="shared" si="87"/>
        <v>B</v>
      </c>
      <c r="EL22" s="24" t="str">
        <f t="shared" si="88"/>
        <v>C</v>
      </c>
      <c r="EM22" s="24" t="str">
        <f t="shared" si="89"/>
        <v>A</v>
      </c>
      <c r="EN22" s="24" t="str">
        <f t="shared" si="90"/>
        <v>A</v>
      </c>
      <c r="EO22" s="24" t="str">
        <f t="shared" si="91"/>
        <v>A</v>
      </c>
      <c r="EP22" s="24">
        <f t="shared" si="92"/>
        <v>2</v>
      </c>
      <c r="EQ22" s="24">
        <f t="shared" si="93"/>
        <v>2</v>
      </c>
      <c r="ER22" s="24">
        <f t="shared" si="94"/>
        <v>3</v>
      </c>
      <c r="ES22" s="24">
        <f t="shared" si="95"/>
        <v>1</v>
      </c>
      <c r="ET22" s="24">
        <f t="shared" si="96"/>
        <v>5</v>
      </c>
      <c r="EU22" s="24">
        <f t="shared" si="97"/>
        <v>3</v>
      </c>
      <c r="EV22" s="24">
        <f t="shared" si="98"/>
        <v>2</v>
      </c>
      <c r="EW22" s="24">
        <f t="shared" si="99"/>
        <v>1</v>
      </c>
      <c r="EX22" s="24">
        <f t="shared" si="100"/>
        <v>1</v>
      </c>
      <c r="EY22" s="24">
        <f t="shared" si="101"/>
        <v>5</v>
      </c>
      <c r="EZ22" s="24">
        <f t="shared" si="102"/>
        <v>1</v>
      </c>
      <c r="FA22" s="24">
        <f t="shared" si="103"/>
        <v>5</v>
      </c>
      <c r="FB22" s="24">
        <f t="shared" si="104"/>
        <v>3</v>
      </c>
      <c r="FC22" s="24">
        <f t="shared" si="105"/>
        <v>2</v>
      </c>
      <c r="FD22" s="24">
        <f t="shared" si="106"/>
        <v>2</v>
      </c>
      <c r="FE22" s="24">
        <f t="shared" si="107"/>
        <v>2</v>
      </c>
      <c r="FF22" s="26">
        <f t="shared" si="108"/>
        <v>174.66666666666669</v>
      </c>
      <c r="FG22" s="26">
        <f t="shared" si="109"/>
        <v>180.13333333333335</v>
      </c>
      <c r="FH22" s="26">
        <f t="shared" si="110"/>
        <v>267</v>
      </c>
      <c r="FI22" s="26">
        <f t="shared" si="111"/>
        <v>87.333333333333343</v>
      </c>
      <c r="FJ22" s="26">
        <f t="shared" si="112"/>
        <v>438.33333333333337</v>
      </c>
      <c r="FK22" s="26">
        <f t="shared" si="113"/>
        <v>263.89999999999998</v>
      </c>
      <c r="FL22" s="26">
        <f t="shared" si="114"/>
        <v>176.13333333333335</v>
      </c>
      <c r="FM22" s="26">
        <f t="shared" si="115"/>
        <v>100</v>
      </c>
      <c r="FN22" s="26">
        <f t="shared" si="116"/>
        <v>100</v>
      </c>
      <c r="FO22" s="26">
        <f t="shared" si="117"/>
        <v>461.04999999999995</v>
      </c>
      <c r="FP22" s="26">
        <f t="shared" si="118"/>
        <v>92.21</v>
      </c>
      <c r="FQ22" s="26">
        <f t="shared" si="119"/>
        <v>412.8</v>
      </c>
      <c r="FR22" s="26">
        <f t="shared" si="120"/>
        <v>217.4</v>
      </c>
      <c r="FS22" s="26">
        <f t="shared" si="121"/>
        <v>192</v>
      </c>
      <c r="FT22" s="26">
        <f t="shared" si="122"/>
        <v>189</v>
      </c>
      <c r="FU22" s="26">
        <f t="shared" si="123"/>
        <v>194</v>
      </c>
      <c r="FV22" s="24">
        <f t="shared" si="124"/>
        <v>6</v>
      </c>
      <c r="FW22" s="24">
        <f t="shared" si="125"/>
        <v>8</v>
      </c>
      <c r="FX22" s="24">
        <f t="shared" si="126"/>
        <v>9</v>
      </c>
      <c r="FY22" s="24">
        <f t="shared" si="127"/>
        <v>3</v>
      </c>
      <c r="FZ22" s="24">
        <f t="shared" si="128"/>
        <v>15</v>
      </c>
      <c r="GA22" s="24">
        <f t="shared" si="129"/>
        <v>9</v>
      </c>
      <c r="GB22" s="24">
        <f t="shared" si="130"/>
        <v>6</v>
      </c>
      <c r="GC22" s="24">
        <f t="shared" si="131"/>
        <v>4</v>
      </c>
      <c r="GD22" s="24">
        <f t="shared" si="132"/>
        <v>4</v>
      </c>
      <c r="GE22" s="24">
        <f t="shared" si="133"/>
        <v>20</v>
      </c>
      <c r="GF22" s="24">
        <f t="shared" si="134"/>
        <v>4</v>
      </c>
      <c r="GG22" s="24">
        <f t="shared" si="135"/>
        <v>15</v>
      </c>
      <c r="GH22" s="24">
        <f t="shared" si="136"/>
        <v>6</v>
      </c>
      <c r="GI22" s="24">
        <f t="shared" si="137"/>
        <v>8</v>
      </c>
      <c r="GJ22" s="24">
        <f t="shared" si="138"/>
        <v>8</v>
      </c>
      <c r="GK22" s="24">
        <f t="shared" si="139"/>
        <v>8</v>
      </c>
      <c r="GL22" s="24">
        <f t="shared" si="140"/>
        <v>20</v>
      </c>
      <c r="GM22" s="24">
        <f t="shared" si="141"/>
        <v>1787.5000000000002</v>
      </c>
      <c r="GN22" s="26">
        <f t="shared" si="142"/>
        <v>64</v>
      </c>
      <c r="GO22" s="26">
        <f t="shared" si="330"/>
        <v>89.375000000000014</v>
      </c>
      <c r="GP22" s="24" t="str">
        <f t="shared" si="331"/>
        <v>B</v>
      </c>
      <c r="GQ22" s="26">
        <f t="shared" si="143"/>
        <v>3.2</v>
      </c>
      <c r="GR22" s="24">
        <f t="shared" si="144"/>
        <v>20</v>
      </c>
      <c r="GS22" s="26">
        <f t="shared" si="145"/>
        <v>1758.46</v>
      </c>
      <c r="GT22" s="26">
        <f t="shared" si="146"/>
        <v>69</v>
      </c>
      <c r="GU22" s="26">
        <f t="shared" si="332"/>
        <v>87.923000000000002</v>
      </c>
      <c r="GV22" s="24" t="str">
        <f t="shared" si="333"/>
        <v>B</v>
      </c>
      <c r="GW22" s="27">
        <f t="shared" si="147"/>
        <v>3.45</v>
      </c>
      <c r="GX22" s="24">
        <f t="shared" si="148"/>
        <v>40</v>
      </c>
      <c r="GY22" s="27">
        <f t="shared" si="149"/>
        <v>3545.9600000000005</v>
      </c>
      <c r="GZ22" s="27">
        <f t="shared" si="334"/>
        <v>133</v>
      </c>
      <c r="HA22" s="26">
        <f t="shared" si="335"/>
        <v>88.649000000000015</v>
      </c>
      <c r="HB22" s="27" t="str">
        <f t="shared" si="336"/>
        <v>B</v>
      </c>
      <c r="HC22" s="26">
        <f t="shared" si="150"/>
        <v>3.3250000000000002</v>
      </c>
      <c r="HD22" s="24">
        <f t="shared" si="151"/>
        <v>2</v>
      </c>
      <c r="HE22" s="24" t="str">
        <f t="shared" si="152"/>
        <v>6A</v>
      </c>
      <c r="HF22" s="24">
        <f t="shared" si="153"/>
        <v>11</v>
      </c>
      <c r="HG22" s="24">
        <f>IF(B22="","",'Q2'!$C$8)</f>
        <v>50</v>
      </c>
      <c r="HH22" s="24">
        <f>IF(A22="","",'Q2'!DE22)</f>
        <v>0</v>
      </c>
      <c r="HI22" s="24">
        <f>IF(B22="","",'Q2'!DF22)</f>
        <v>0</v>
      </c>
      <c r="HJ22" s="24">
        <f>IF(B22="","",'Q2'!DG22)</f>
        <v>0</v>
      </c>
      <c r="HK22" s="24">
        <f t="shared" si="154"/>
        <v>0</v>
      </c>
      <c r="HL22" s="25">
        <f t="shared" si="155"/>
        <v>1</v>
      </c>
      <c r="HM22" s="7">
        <v>65</v>
      </c>
      <c r="HN22" s="7">
        <v>75</v>
      </c>
      <c r="HO22" s="7">
        <v>95</v>
      </c>
      <c r="HP22" s="7">
        <v>80</v>
      </c>
      <c r="HQ22" s="7">
        <v>90</v>
      </c>
      <c r="HR22" s="7">
        <v>75</v>
      </c>
      <c r="HS22" s="7">
        <v>60</v>
      </c>
      <c r="HT22" s="7"/>
      <c r="HU22" s="7"/>
      <c r="HV22" s="7">
        <v>90</v>
      </c>
      <c r="HW22" s="7"/>
      <c r="HX22" s="7">
        <v>85</v>
      </c>
      <c r="HY22" s="7">
        <v>73</v>
      </c>
      <c r="HZ22" s="7">
        <v>96</v>
      </c>
      <c r="IA22" s="7">
        <v>94</v>
      </c>
      <c r="IB22" s="7">
        <v>91</v>
      </c>
      <c r="IC22" s="7" t="str">
        <f t="shared" si="156"/>
        <v>D</v>
      </c>
      <c r="ID22" s="7" t="str">
        <f t="shared" si="157"/>
        <v>C</v>
      </c>
      <c r="IE22" s="7" t="str">
        <f t="shared" si="158"/>
        <v>A</v>
      </c>
      <c r="IF22" s="7" t="str">
        <f t="shared" si="159"/>
        <v>B</v>
      </c>
      <c r="IG22" s="7" t="str">
        <f t="shared" si="160"/>
        <v>A</v>
      </c>
      <c r="IH22" s="7" t="str">
        <f t="shared" si="161"/>
        <v>C</v>
      </c>
      <c r="II22" s="7" t="str">
        <f t="shared" si="162"/>
        <v>D</v>
      </c>
      <c r="IJ22" s="7" t="str">
        <f t="shared" si="163"/>
        <v/>
      </c>
      <c r="IK22" s="7" t="str">
        <f t="shared" si="164"/>
        <v/>
      </c>
      <c r="IL22" s="24" t="str">
        <f t="shared" si="165"/>
        <v>A</v>
      </c>
      <c r="IM22" s="24" t="str">
        <f t="shared" si="166"/>
        <v/>
      </c>
      <c r="IN22" s="24" t="str">
        <f t="shared" si="167"/>
        <v>B</v>
      </c>
      <c r="IO22" s="24" t="str">
        <f t="shared" si="168"/>
        <v>C</v>
      </c>
      <c r="IP22" s="24" t="str">
        <f t="shared" si="169"/>
        <v>A</v>
      </c>
      <c r="IQ22" s="24" t="str">
        <f t="shared" si="170"/>
        <v>A</v>
      </c>
      <c r="IR22" s="24" t="str">
        <f t="shared" si="171"/>
        <v>A</v>
      </c>
      <c r="IS22" s="24">
        <f t="shared" si="172"/>
        <v>2</v>
      </c>
      <c r="IT22" s="24">
        <f t="shared" si="173"/>
        <v>2</v>
      </c>
      <c r="IU22" s="24">
        <f t="shared" si="174"/>
        <v>3</v>
      </c>
      <c r="IV22" s="24">
        <f t="shared" si="175"/>
        <v>1</v>
      </c>
      <c r="IW22" s="24">
        <f t="shared" si="176"/>
        <v>5</v>
      </c>
      <c r="IX22" s="24">
        <f t="shared" si="177"/>
        <v>3</v>
      </c>
      <c r="IY22" s="24">
        <f t="shared" si="178"/>
        <v>2</v>
      </c>
      <c r="IZ22" s="24" t="str">
        <f t="shared" si="179"/>
        <v/>
      </c>
      <c r="JA22" s="24" t="str">
        <f t="shared" si="180"/>
        <v/>
      </c>
      <c r="JB22" s="24">
        <f t="shared" si="181"/>
        <v>5</v>
      </c>
      <c r="JC22" s="24" t="str">
        <f t="shared" si="182"/>
        <v/>
      </c>
      <c r="JD22" s="24">
        <f t="shared" si="183"/>
        <v>5</v>
      </c>
      <c r="JE22" s="24">
        <f t="shared" si="184"/>
        <v>3</v>
      </c>
      <c r="JF22" s="24">
        <f t="shared" si="185"/>
        <v>2</v>
      </c>
      <c r="JG22" s="24">
        <f t="shared" si="186"/>
        <v>2</v>
      </c>
      <c r="JH22" s="24">
        <f t="shared" si="187"/>
        <v>2</v>
      </c>
      <c r="JI22" s="26">
        <f t="shared" si="188"/>
        <v>130</v>
      </c>
      <c r="JJ22" s="26">
        <f t="shared" si="189"/>
        <v>150</v>
      </c>
      <c r="JK22" s="26">
        <f t="shared" si="190"/>
        <v>285</v>
      </c>
      <c r="JL22" s="26">
        <f t="shared" si="191"/>
        <v>80</v>
      </c>
      <c r="JM22" s="26">
        <f t="shared" si="192"/>
        <v>450</v>
      </c>
      <c r="JN22" s="26">
        <f t="shared" si="193"/>
        <v>225</v>
      </c>
      <c r="JO22" s="26">
        <f t="shared" si="194"/>
        <v>120</v>
      </c>
      <c r="JP22" s="26" t="str">
        <f t="shared" si="195"/>
        <v/>
      </c>
      <c r="JQ22" s="24">
        <f t="shared" si="196"/>
        <v>450</v>
      </c>
      <c r="JR22" s="24" t="str">
        <f t="shared" si="197"/>
        <v/>
      </c>
      <c r="JS22" s="24">
        <f t="shared" si="198"/>
        <v>425</v>
      </c>
      <c r="JT22" s="24">
        <f t="shared" si="199"/>
        <v>219</v>
      </c>
      <c r="JU22" s="24">
        <f t="shared" si="200"/>
        <v>192</v>
      </c>
      <c r="JV22" s="24">
        <f t="shared" si="201"/>
        <v>188</v>
      </c>
      <c r="JW22" s="24">
        <f t="shared" si="202"/>
        <v>182</v>
      </c>
      <c r="JX22" s="24">
        <f t="shared" si="203"/>
        <v>3</v>
      </c>
      <c r="JY22" s="24">
        <f t="shared" si="204"/>
        <v>4</v>
      </c>
      <c r="JZ22" s="24">
        <f t="shared" si="205"/>
        <v>12</v>
      </c>
      <c r="KA22" s="24">
        <f t="shared" si="206"/>
        <v>3</v>
      </c>
      <c r="KB22" s="24">
        <f t="shared" si="207"/>
        <v>20</v>
      </c>
      <c r="KC22" s="24">
        <f t="shared" si="208"/>
        <v>6</v>
      </c>
      <c r="KD22" s="24">
        <f t="shared" si="209"/>
        <v>3</v>
      </c>
      <c r="KE22" s="24" t="str">
        <f t="shared" si="210"/>
        <v/>
      </c>
      <c r="KF22" s="24" t="str">
        <f t="shared" si="211"/>
        <v/>
      </c>
      <c r="KG22" s="24">
        <f t="shared" si="212"/>
        <v>20</v>
      </c>
      <c r="KH22" s="24" t="str">
        <f t="shared" si="213"/>
        <v/>
      </c>
      <c r="KI22" s="24">
        <f t="shared" si="214"/>
        <v>15</v>
      </c>
      <c r="KJ22" s="24">
        <f t="shared" si="215"/>
        <v>6</v>
      </c>
      <c r="KK22" s="24">
        <f t="shared" si="216"/>
        <v>8</v>
      </c>
      <c r="KL22" s="24">
        <f t="shared" si="217"/>
        <v>8</v>
      </c>
      <c r="KM22" s="24">
        <f t="shared" si="218"/>
        <v>8</v>
      </c>
      <c r="KN22" s="24">
        <f t="shared" si="219"/>
        <v>18</v>
      </c>
      <c r="KO22" s="26">
        <f t="shared" si="220"/>
        <v>1440</v>
      </c>
      <c r="KP22" s="26">
        <f t="shared" si="221"/>
        <v>51</v>
      </c>
      <c r="KQ22" s="26">
        <f t="shared" si="337"/>
        <v>80</v>
      </c>
      <c r="KR22" s="24" t="str">
        <f t="shared" si="338"/>
        <v>B</v>
      </c>
      <c r="KS22" s="26">
        <f t="shared" si="222"/>
        <v>2.8333333333333335</v>
      </c>
      <c r="KT22" s="24">
        <f t="shared" si="223"/>
        <v>19</v>
      </c>
      <c r="KU22" s="24">
        <f t="shared" si="224"/>
        <v>1656</v>
      </c>
      <c r="KV22" s="26">
        <f t="shared" si="225"/>
        <v>65</v>
      </c>
      <c r="KW22" s="26">
        <f t="shared" si="339"/>
        <v>87.15789473684211</v>
      </c>
      <c r="KX22" s="24" t="str">
        <f t="shared" si="340"/>
        <v>B</v>
      </c>
      <c r="KY22" s="27">
        <f t="shared" si="226"/>
        <v>3.4210526315789473</v>
      </c>
      <c r="KZ22" s="24">
        <f t="shared" si="227"/>
        <v>37</v>
      </c>
      <c r="LA22" s="27">
        <f t="shared" si="228"/>
        <v>3096</v>
      </c>
      <c r="LB22" s="27">
        <f t="shared" si="229"/>
        <v>116</v>
      </c>
      <c r="LC22" s="26">
        <f t="shared" si="341"/>
        <v>83.675675675675677</v>
      </c>
      <c r="LD22" s="24" t="str">
        <f t="shared" si="342"/>
        <v>B</v>
      </c>
      <c r="LE22" s="26">
        <f t="shared" si="230"/>
        <v>3.1351351351351351</v>
      </c>
      <c r="LF22" s="24">
        <f t="shared" si="231"/>
        <v>2</v>
      </c>
      <c r="LG22" s="24" t="str">
        <f t="shared" si="232"/>
        <v>6A</v>
      </c>
      <c r="LH22" s="24">
        <f t="shared" si="233"/>
        <v>11</v>
      </c>
      <c r="LI22" s="26">
        <f>IF('Q2'!G22="","",SUM((AVERAGE('Q1'!G22,'Q2'!G22)*0.5))+(HM22*0.5))</f>
        <v>71.333333333333343</v>
      </c>
      <c r="LJ22" s="26">
        <f>IF('Q2'!H22="","",SUM((AVERAGE('Q1'!H22,'Q2'!H22)*0.5))+(HN22*0.5))</f>
        <v>86.108333333333348</v>
      </c>
      <c r="LK22" s="26">
        <f>IF('Q2'!I22="","",SUM((AVERAGE('Q1'!I22,'Q2'!I22)*0.5))+(HO22*0.5))</f>
        <v>91.341666666666669</v>
      </c>
      <c r="LL22" s="26">
        <f>IF('Q2'!J22="","",SUM((AVERAGE('Q1'!J22,'Q2'!J22)*0.5))+(HP22*0.5))</f>
        <v>79.166666666666671</v>
      </c>
      <c r="LM22" s="26">
        <f>IF('Q2'!K22="","",SUM((AVERAGE('Q1'!K22,'Q2'!K22)*0.5))+(HQ22*0.5))</f>
        <v>86.791666666666671</v>
      </c>
      <c r="LN22" s="26">
        <f>IF('Q2'!L22="","",SUM((AVERAGE('Q1'!L22,'Q2'!L22)*0.5))+(HR22*0.5))</f>
        <v>81.083333333333343</v>
      </c>
      <c r="LO22" s="26">
        <f>IF('Q2'!M22="","",SUM((AVERAGE('Q1'!M22,'Q2'!M22)*0.5))+(HS22*0.5))</f>
        <v>73.608333333333334</v>
      </c>
      <c r="LP22" s="26">
        <f>IF('Q2'!N22="","",SUM((AVERAGE('Q1'!N22,'Q2'!N22)*1)))</f>
        <v>92.916666666666671</v>
      </c>
      <c r="LQ22" s="26">
        <f>IF('Q2'!O22="","",SUM((AVERAGE('Q1'!O22,'Q2'!O22)*1)))</f>
        <v>92.916666666666671</v>
      </c>
      <c r="LR22" s="26">
        <f>IF('Q2'!P22="","",SUM((AVERAGE('Q1'!P22,'Q2'!P22)*0.5))+(HV22*0.5))</f>
        <v>92.410833333333329</v>
      </c>
      <c r="LS22" s="26">
        <f>IF('Q2'!Q22="","",SUM((AVERAGE('Q1'!Q22,'Q2'!Q22)*1))+(HW22*1))</f>
        <v>94.821666666666658</v>
      </c>
      <c r="LT22" s="26">
        <f>IF('Q2'!R22="","",SUM((AVERAGE('Q1'!R22,'Q2'!R22)*0.5))+(HX22*0.5))</f>
        <v>82.44</v>
      </c>
      <c r="LU22" s="26">
        <f>IF('Q2'!S22="","",SUM((AVERAGE('Q1'!S22,'Q2'!S22)*0.5))+(HY22*0.5))</f>
        <v>76.093939393939394</v>
      </c>
      <c r="LV22" s="26">
        <f>IF('Q2'!T22="","",SUM((AVERAGE('Q1'!T22,'Q2'!T22)*0.5))+(HZ22*0.5))</f>
        <v>92</v>
      </c>
      <c r="LW22" s="26">
        <f>IF('Q2'!U22="","",SUM((AVERAGE('Q1'!U22,'Q2'!U22)*0.5))+(IA22*0.5))</f>
        <v>94.575000000000003</v>
      </c>
      <c r="LX22" s="26">
        <f>IF('Q2'!V22="","",SUM((AVERAGE('Q1'!V22,'Q2'!V22)*0.5))+(IB22*0.5))</f>
        <v>93.5</v>
      </c>
      <c r="LY22" s="26" t="str">
        <f t="shared" si="234"/>
        <v>C</v>
      </c>
      <c r="LZ22" s="26" t="str">
        <f t="shared" si="235"/>
        <v>B</v>
      </c>
      <c r="MA22" s="26" t="str">
        <f t="shared" si="236"/>
        <v>A</v>
      </c>
      <c r="MB22" s="26" t="str">
        <f t="shared" si="237"/>
        <v>C</v>
      </c>
      <c r="MC22" s="26" t="str">
        <f t="shared" si="238"/>
        <v>B</v>
      </c>
      <c r="MD22" s="26" t="str">
        <f t="shared" si="239"/>
        <v>B</v>
      </c>
      <c r="ME22" s="26" t="str">
        <f t="shared" si="240"/>
        <v>C</v>
      </c>
      <c r="MF22" s="26" t="str">
        <f t="shared" si="241"/>
        <v>A</v>
      </c>
      <c r="MG22" s="26" t="str">
        <f t="shared" si="242"/>
        <v>A</v>
      </c>
      <c r="MH22" s="24" t="str">
        <f t="shared" si="243"/>
        <v>A</v>
      </c>
      <c r="MI22" s="24" t="str">
        <f t="shared" si="244"/>
        <v>A</v>
      </c>
      <c r="MJ22" s="24" t="str">
        <f t="shared" si="245"/>
        <v>B</v>
      </c>
      <c r="MK22" s="24" t="str">
        <f t="shared" si="246"/>
        <v>C</v>
      </c>
      <c r="ML22" s="24" t="str">
        <f t="shared" si="247"/>
        <v>A</v>
      </c>
      <c r="MM22" s="24" t="str">
        <f t="shared" si="248"/>
        <v>A</v>
      </c>
      <c r="MN22" s="24" t="str">
        <f t="shared" si="249"/>
        <v>A</v>
      </c>
      <c r="MO22" s="24">
        <f t="shared" si="250"/>
        <v>2</v>
      </c>
      <c r="MP22" s="24">
        <f t="shared" si="251"/>
        <v>2</v>
      </c>
      <c r="MQ22" s="24">
        <f t="shared" si="252"/>
        <v>3</v>
      </c>
      <c r="MR22" s="24">
        <f t="shared" si="253"/>
        <v>1</v>
      </c>
      <c r="MS22" s="24">
        <f t="shared" si="254"/>
        <v>5</v>
      </c>
      <c r="MT22" s="24">
        <f t="shared" si="255"/>
        <v>3</v>
      </c>
      <c r="MU22" s="24">
        <f t="shared" si="256"/>
        <v>2</v>
      </c>
      <c r="MV22" s="24">
        <f t="shared" si="257"/>
        <v>1</v>
      </c>
      <c r="MW22" s="24">
        <f t="shared" si="258"/>
        <v>1</v>
      </c>
      <c r="MX22" s="24">
        <f t="shared" si="259"/>
        <v>5</v>
      </c>
      <c r="MY22" s="24">
        <f t="shared" si="260"/>
        <v>1</v>
      </c>
      <c r="MZ22" s="24">
        <f t="shared" si="261"/>
        <v>5</v>
      </c>
      <c r="NA22" s="24">
        <f t="shared" si="262"/>
        <v>3</v>
      </c>
      <c r="NB22" s="24">
        <f t="shared" si="263"/>
        <v>2</v>
      </c>
      <c r="NC22" s="24">
        <f t="shared" si="264"/>
        <v>2</v>
      </c>
      <c r="ND22" s="24">
        <f t="shared" si="265"/>
        <v>2</v>
      </c>
      <c r="NE22" s="26">
        <f t="shared" si="266"/>
        <v>142.66666666666669</v>
      </c>
      <c r="NF22" s="26">
        <f t="shared" si="267"/>
        <v>172.2166666666667</v>
      </c>
      <c r="NG22" s="26">
        <f t="shared" si="268"/>
        <v>274.02499999999998</v>
      </c>
      <c r="NH22" s="26">
        <f t="shared" si="269"/>
        <v>79.166666666666671</v>
      </c>
      <c r="NI22" s="26">
        <f t="shared" si="270"/>
        <v>433.95833333333337</v>
      </c>
      <c r="NJ22" s="26">
        <f t="shared" si="271"/>
        <v>243.25000000000003</v>
      </c>
      <c r="NK22" s="26">
        <f t="shared" si="272"/>
        <v>147.21666666666667</v>
      </c>
      <c r="NL22" s="26">
        <f t="shared" si="273"/>
        <v>92.916666666666671</v>
      </c>
      <c r="NM22" s="26">
        <f t="shared" si="274"/>
        <v>92.916666666666671</v>
      </c>
      <c r="NN22" s="26">
        <f t="shared" si="275"/>
        <v>462.05416666666667</v>
      </c>
      <c r="NO22" s="26">
        <f t="shared" si="276"/>
        <v>94.821666666666658</v>
      </c>
      <c r="NP22" s="26">
        <f t="shared" si="277"/>
        <v>412.2</v>
      </c>
      <c r="NQ22" s="26">
        <f t="shared" si="278"/>
        <v>228.28181818181818</v>
      </c>
      <c r="NR22" s="26">
        <f t="shared" si="279"/>
        <v>184</v>
      </c>
      <c r="NS22" s="26">
        <f t="shared" si="280"/>
        <v>189.15</v>
      </c>
      <c r="NT22" s="26">
        <f t="shared" si="281"/>
        <v>187</v>
      </c>
      <c r="NU22" s="24">
        <f t="shared" si="282"/>
        <v>4</v>
      </c>
      <c r="NV22" s="24">
        <f t="shared" si="283"/>
        <v>6</v>
      </c>
      <c r="NW22" s="24">
        <f t="shared" si="284"/>
        <v>12</v>
      </c>
      <c r="NX22" s="24">
        <f t="shared" si="285"/>
        <v>2</v>
      </c>
      <c r="NY22" s="24">
        <f t="shared" si="286"/>
        <v>15</v>
      </c>
      <c r="NZ22" s="24">
        <f t="shared" si="287"/>
        <v>9</v>
      </c>
      <c r="OA22" s="24">
        <f t="shared" si="288"/>
        <v>4</v>
      </c>
      <c r="OB22" s="24">
        <f t="shared" si="289"/>
        <v>4</v>
      </c>
      <c r="OC22" s="24">
        <f t="shared" si="290"/>
        <v>4</v>
      </c>
      <c r="OD22" s="24">
        <f t="shared" si="291"/>
        <v>20</v>
      </c>
      <c r="OE22" s="24">
        <f t="shared" si="292"/>
        <v>4</v>
      </c>
      <c r="OF22" s="24">
        <f t="shared" si="293"/>
        <v>15</v>
      </c>
      <c r="OG22" s="24">
        <f t="shared" si="294"/>
        <v>6</v>
      </c>
      <c r="OH22" s="24">
        <f t="shared" si="295"/>
        <v>8</v>
      </c>
      <c r="OI22" s="24">
        <f t="shared" si="296"/>
        <v>8</v>
      </c>
      <c r="OJ22" s="24">
        <f t="shared" si="297"/>
        <v>8</v>
      </c>
      <c r="OK22" s="24">
        <f t="shared" si="298"/>
        <v>20</v>
      </c>
      <c r="OL22" s="24">
        <f t="shared" si="299"/>
        <v>1678.3333333333335</v>
      </c>
      <c r="OM22" s="26">
        <f t="shared" si="300"/>
        <v>60</v>
      </c>
      <c r="ON22" s="26">
        <f t="shared" si="343"/>
        <v>83.916666666666671</v>
      </c>
      <c r="OO22" s="24" t="str">
        <f t="shared" si="344"/>
        <v>B</v>
      </c>
      <c r="OP22" s="26">
        <f t="shared" si="301"/>
        <v>3</v>
      </c>
      <c r="OQ22" s="24">
        <f t="shared" si="302"/>
        <v>20</v>
      </c>
      <c r="OR22" s="26">
        <f t="shared" si="303"/>
        <v>1757.5076515151516</v>
      </c>
      <c r="OS22" s="26">
        <f t="shared" si="304"/>
        <v>69</v>
      </c>
      <c r="OT22" s="26">
        <f t="shared" si="345"/>
        <v>87.875382575757584</v>
      </c>
      <c r="OU22" s="24" t="str">
        <f t="shared" si="346"/>
        <v>B</v>
      </c>
      <c r="OV22" s="27">
        <f t="shared" si="305"/>
        <v>3.45</v>
      </c>
      <c r="OW22" s="24">
        <f t="shared" si="306"/>
        <v>40</v>
      </c>
      <c r="OX22" s="27">
        <f t="shared" si="307"/>
        <v>3435.8409848484853</v>
      </c>
      <c r="OY22" s="27">
        <f t="shared" si="308"/>
        <v>129</v>
      </c>
      <c r="OZ22" s="26">
        <f t="shared" si="347"/>
        <v>85.896024621212135</v>
      </c>
      <c r="PA22" s="27" t="str">
        <f t="shared" si="348"/>
        <v>B</v>
      </c>
      <c r="PB22" s="26">
        <f t="shared" si="309"/>
        <v>3.2250000000000001</v>
      </c>
      <c r="PC22" s="24">
        <f t="shared" si="310"/>
        <v>2</v>
      </c>
      <c r="PD22" s="24" t="str">
        <f t="shared" si="311"/>
        <v>6A</v>
      </c>
      <c r="PE22" s="24">
        <f t="shared" si="312"/>
        <v>11</v>
      </c>
      <c r="PF22" s="24">
        <f t="shared" si="313"/>
        <v>100</v>
      </c>
      <c r="PG22" s="24">
        <f t="shared" si="314"/>
        <v>0</v>
      </c>
      <c r="PH22" s="24">
        <f t="shared" si="315"/>
        <v>0</v>
      </c>
      <c r="PI22" s="24">
        <f t="shared" si="316"/>
        <v>0</v>
      </c>
      <c r="PJ22" s="24">
        <f t="shared" si="317"/>
        <v>0</v>
      </c>
      <c r="PK22" s="25">
        <f t="shared" si="318"/>
        <v>1</v>
      </c>
    </row>
    <row r="23" spans="1:427" ht="27" customHeight="1" x14ac:dyDescent="0.35">
      <c r="A23" s="24">
        <f t="shared" si="349"/>
        <v>9</v>
      </c>
      <c r="B23" s="28" t="str">
        <f>IF('Q1'!B23="","",'Q1'!B23)</f>
        <v>Sann Visorth</v>
      </c>
      <c r="C23" s="30" t="str">
        <f>IF('Q1'!C23="","",'Q1'!C23)</f>
        <v>សាន វីសុទ្ធ</v>
      </c>
      <c r="D23" s="28">
        <v>9</v>
      </c>
      <c r="E23" s="24" t="s">
        <v>124</v>
      </c>
      <c r="F23" s="24" t="str">
        <f>IF('Q1'!F23="","",'Q1'!F23)</f>
        <v>I</v>
      </c>
      <c r="G23" s="26">
        <f>IF('Q1'!G23="","",'Q1'!G23)</f>
        <v>57.333333333333343</v>
      </c>
      <c r="H23" s="26">
        <f>IF('Q1'!H23="","",'Q1'!H23)</f>
        <v>74.866666666666674</v>
      </c>
      <c r="I23" s="26">
        <f>IF('Q1'!I23="","",'Q1'!I23)</f>
        <v>74.866666666666674</v>
      </c>
      <c r="J23" s="26">
        <f>IF('Q1'!J23="","",'Q1'!J23)</f>
        <v>60</v>
      </c>
      <c r="K23" s="26">
        <f>IF('Q1'!K23="","",'Q1'!K23)</f>
        <v>74.400000000000006</v>
      </c>
      <c r="L23" s="26">
        <f>IF('Q1'!L23="","",'Q1'!L23)</f>
        <v>74.866666666666674</v>
      </c>
      <c r="M23" s="26">
        <f>IF('Q1'!M23="","",'Q1'!M23)</f>
        <v>74.866666666666674</v>
      </c>
      <c r="N23" s="26">
        <f>IF('Q1'!N23="","",'Q1'!N23)</f>
        <v>70.166666666666657</v>
      </c>
      <c r="O23" s="26">
        <f>IF('Q1'!O23="","",'Q1'!O23)</f>
        <v>70.166666666666657</v>
      </c>
      <c r="P23" s="26">
        <f>IF('Q1'!P23="","",'Q1'!P23)</f>
        <v>59.63333333333334</v>
      </c>
      <c r="Q23" s="26">
        <f>IF('Q1'!Q23="","",'Q1'!Q23)</f>
        <v>59.63333333333334</v>
      </c>
      <c r="R23" s="26">
        <f>IF('Q1'!R23="","",'Q1'!R23)</f>
        <v>46.47</v>
      </c>
      <c r="S23" s="26">
        <f>IF('Q1'!S23="","",'Q1'!S23)</f>
        <v>31.333333333333332</v>
      </c>
      <c r="T23" s="26">
        <f>IF('Q1'!T23="","",'Q1'!T23)</f>
        <v>38.799999999999997</v>
      </c>
      <c r="U23" s="26">
        <f>IF('Q1'!U23="","",'Q1'!U23)</f>
        <v>75.333333333333343</v>
      </c>
      <c r="V23" s="26">
        <f>IF('Q1'!V23="","",'Q1'!V23)</f>
        <v>69.666666666666671</v>
      </c>
      <c r="W23" s="26" t="str">
        <f t="shared" si="0"/>
        <v>E</v>
      </c>
      <c r="X23" s="26" t="str">
        <f t="shared" si="1"/>
        <v>C</v>
      </c>
      <c r="Y23" s="26" t="str">
        <f t="shared" si="2"/>
        <v>C</v>
      </c>
      <c r="Z23" s="26" t="str">
        <f t="shared" si="3"/>
        <v>D</v>
      </c>
      <c r="AA23" s="26" t="str">
        <f t="shared" si="4"/>
        <v>C</v>
      </c>
      <c r="AB23" s="26" t="str">
        <f t="shared" si="5"/>
        <v>C</v>
      </c>
      <c r="AC23" s="26" t="str">
        <f t="shared" si="6"/>
        <v>C</v>
      </c>
      <c r="AD23" s="26" t="str">
        <f t="shared" si="7"/>
        <v>C</v>
      </c>
      <c r="AE23" s="26" t="str">
        <f t="shared" si="8"/>
        <v>C</v>
      </c>
      <c r="AF23" s="24" t="str">
        <f t="shared" si="9"/>
        <v>E</v>
      </c>
      <c r="AG23" s="24" t="str">
        <f t="shared" si="10"/>
        <v>E</v>
      </c>
      <c r="AH23" s="24" t="str">
        <f t="shared" si="11"/>
        <v>F</v>
      </c>
      <c r="AI23" s="24" t="str">
        <f t="shared" si="12"/>
        <v>F</v>
      </c>
      <c r="AJ23" s="24" t="str">
        <f t="shared" si="13"/>
        <v>F</v>
      </c>
      <c r="AK23" s="24" t="str">
        <f t="shared" si="14"/>
        <v>C</v>
      </c>
      <c r="AL23" s="24" t="str">
        <f t="shared" si="15"/>
        <v>D</v>
      </c>
      <c r="AM23" s="24">
        <f t="shared" si="16"/>
        <v>2</v>
      </c>
      <c r="AN23" s="24">
        <f t="shared" si="17"/>
        <v>2</v>
      </c>
      <c r="AO23" s="24">
        <f t="shared" si="18"/>
        <v>3</v>
      </c>
      <c r="AP23" s="24">
        <f t="shared" si="19"/>
        <v>1</v>
      </c>
      <c r="AQ23" s="24">
        <f t="shared" si="20"/>
        <v>5</v>
      </c>
      <c r="AR23" s="24">
        <f t="shared" si="21"/>
        <v>3</v>
      </c>
      <c r="AS23" s="24">
        <f t="shared" si="22"/>
        <v>2</v>
      </c>
      <c r="AT23" s="24">
        <f t="shared" si="23"/>
        <v>1</v>
      </c>
      <c r="AU23" s="24">
        <f t="shared" si="24"/>
        <v>1</v>
      </c>
      <c r="AV23" s="24">
        <f t="shared" si="25"/>
        <v>5</v>
      </c>
      <c r="AW23" s="24">
        <f t="shared" si="26"/>
        <v>1</v>
      </c>
      <c r="AX23" s="24">
        <f t="shared" si="27"/>
        <v>5</v>
      </c>
      <c r="AY23" s="24">
        <f t="shared" si="28"/>
        <v>3</v>
      </c>
      <c r="AZ23" s="24">
        <f t="shared" si="29"/>
        <v>2</v>
      </c>
      <c r="BA23" s="24">
        <f t="shared" si="30"/>
        <v>2</v>
      </c>
      <c r="BB23" s="24">
        <f t="shared" si="31"/>
        <v>2</v>
      </c>
      <c r="BC23" s="26">
        <f t="shared" si="32"/>
        <v>114.66666666666669</v>
      </c>
      <c r="BD23" s="26">
        <f t="shared" si="33"/>
        <v>149.73333333333335</v>
      </c>
      <c r="BE23" s="26">
        <f t="shared" si="34"/>
        <v>224.60000000000002</v>
      </c>
      <c r="BF23" s="26">
        <f t="shared" si="35"/>
        <v>60</v>
      </c>
      <c r="BG23" s="26">
        <f t="shared" si="36"/>
        <v>372</v>
      </c>
      <c r="BH23" s="26">
        <f t="shared" si="37"/>
        <v>224.60000000000002</v>
      </c>
      <c r="BI23" s="26">
        <f t="shared" si="38"/>
        <v>149.73333333333335</v>
      </c>
      <c r="BJ23" s="26">
        <f t="shared" si="39"/>
        <v>70.166666666666657</v>
      </c>
      <c r="BK23" s="26">
        <f t="shared" si="40"/>
        <v>70.166666666666657</v>
      </c>
      <c r="BL23" s="26">
        <f t="shared" si="41"/>
        <v>298.16666666666669</v>
      </c>
      <c r="BM23" s="26">
        <f t="shared" si="42"/>
        <v>59.63333333333334</v>
      </c>
      <c r="BN23" s="26">
        <f t="shared" si="43"/>
        <v>232.35</v>
      </c>
      <c r="BO23" s="26">
        <f t="shared" si="44"/>
        <v>94</v>
      </c>
      <c r="BP23" s="26">
        <f t="shared" si="45"/>
        <v>77.599999999999994</v>
      </c>
      <c r="BQ23" s="26">
        <f t="shared" si="46"/>
        <v>150.66666666666669</v>
      </c>
      <c r="BR23" s="26">
        <f t="shared" si="47"/>
        <v>139.33333333333334</v>
      </c>
      <c r="BS23" s="24">
        <f t="shared" si="48"/>
        <v>2</v>
      </c>
      <c r="BT23" s="24">
        <f t="shared" si="49"/>
        <v>4</v>
      </c>
      <c r="BU23" s="24">
        <f t="shared" si="50"/>
        <v>6</v>
      </c>
      <c r="BV23" s="24">
        <f t="shared" si="51"/>
        <v>1.5</v>
      </c>
      <c r="BW23" s="24">
        <f t="shared" si="52"/>
        <v>10</v>
      </c>
      <c r="BX23" s="24">
        <f t="shared" si="53"/>
        <v>6</v>
      </c>
      <c r="BY23" s="24">
        <f t="shared" si="54"/>
        <v>4</v>
      </c>
      <c r="BZ23" s="24">
        <f t="shared" si="55"/>
        <v>2</v>
      </c>
      <c r="CA23" s="24">
        <f t="shared" si="56"/>
        <v>2</v>
      </c>
      <c r="CB23" s="24">
        <f t="shared" si="57"/>
        <v>5</v>
      </c>
      <c r="CC23" s="24">
        <f t="shared" si="58"/>
        <v>1</v>
      </c>
      <c r="CD23" s="24">
        <f t="shared" si="59"/>
        <v>0</v>
      </c>
      <c r="CE23" s="24">
        <f t="shared" si="60"/>
        <v>0</v>
      </c>
      <c r="CF23" s="24">
        <f t="shared" si="61"/>
        <v>0</v>
      </c>
      <c r="CG23" s="24">
        <f t="shared" si="62"/>
        <v>4</v>
      </c>
      <c r="CH23" s="24">
        <f t="shared" si="63"/>
        <v>3</v>
      </c>
      <c r="CI23" s="24">
        <f t="shared" si="319"/>
        <v>20</v>
      </c>
      <c r="CJ23" s="26">
        <f t="shared" si="64"/>
        <v>1435.6666666666667</v>
      </c>
      <c r="CK23" s="26">
        <f t="shared" si="320"/>
        <v>37.5</v>
      </c>
      <c r="CL23" s="26">
        <f t="shared" si="321"/>
        <v>71.783333333333331</v>
      </c>
      <c r="CM23" s="24" t="str">
        <f t="shared" si="322"/>
        <v>C</v>
      </c>
      <c r="CN23" s="26">
        <f t="shared" si="65"/>
        <v>1.875</v>
      </c>
      <c r="CO23" s="24">
        <f t="shared" si="66"/>
        <v>20</v>
      </c>
      <c r="CP23" s="26">
        <f t="shared" si="67"/>
        <v>1051.75</v>
      </c>
      <c r="CQ23" s="26">
        <f t="shared" si="68"/>
        <v>13</v>
      </c>
      <c r="CR23" s="26">
        <f t="shared" si="323"/>
        <v>52.587499999999999</v>
      </c>
      <c r="CS23" s="24" t="str">
        <f t="shared" si="324"/>
        <v>E</v>
      </c>
      <c r="CT23" s="27">
        <f t="shared" si="69"/>
        <v>0.65</v>
      </c>
      <c r="CU23" s="24">
        <f t="shared" si="325"/>
        <v>40</v>
      </c>
      <c r="CV23" s="26">
        <f t="shared" si="326"/>
        <v>2487.4166666666665</v>
      </c>
      <c r="CW23" s="26">
        <f t="shared" si="327"/>
        <v>50.5</v>
      </c>
      <c r="CX23" s="26">
        <f t="shared" si="328"/>
        <v>62.185416666666661</v>
      </c>
      <c r="CY23" s="24" t="str">
        <f t="shared" si="329"/>
        <v>D</v>
      </c>
      <c r="CZ23" s="26">
        <f t="shared" si="70"/>
        <v>1.2625</v>
      </c>
      <c r="DA23" s="24">
        <f t="shared" si="71"/>
        <v>10</v>
      </c>
      <c r="DB23" s="24" t="str">
        <f t="shared" si="72"/>
        <v>6A</v>
      </c>
      <c r="DC23" s="24">
        <f t="shared" si="73"/>
        <v>11</v>
      </c>
      <c r="DD23" s="24">
        <f>IF(B23="","",'Q1'!$C$8)</f>
        <v>50</v>
      </c>
      <c r="DE23" s="24">
        <f>IF(A23="","",'Q1'!DE23)</f>
        <v>0</v>
      </c>
      <c r="DF23" s="24">
        <f>IF(B23="","",'Q1'!DF23)</f>
        <v>0</v>
      </c>
      <c r="DG23" s="24">
        <f>IF(B23="","",'Q1'!DG23)</f>
        <v>0</v>
      </c>
      <c r="DH23" s="24">
        <f t="shared" si="74"/>
        <v>0</v>
      </c>
      <c r="DI23" s="25">
        <f t="shared" si="75"/>
        <v>1</v>
      </c>
      <c r="DJ23" s="26">
        <f>IF('Q2'!G23="","",'Q2'!G23)</f>
        <v>66.666666666666671</v>
      </c>
      <c r="DK23" s="26">
        <f>IF('Q2'!H23="","",'Q2'!H23)</f>
        <v>82.533333333333331</v>
      </c>
      <c r="DL23" s="26">
        <f>IF('Q2'!I23="","",'Q2'!I23)</f>
        <v>83.966666666666669</v>
      </c>
      <c r="DM23" s="26">
        <f>IF('Q2'!J23="","",'Q2'!J23)</f>
        <v>80</v>
      </c>
      <c r="DN23" s="26">
        <f>IF('Q2'!K23="","",'Q2'!K23)</f>
        <v>83.4</v>
      </c>
      <c r="DO23" s="26">
        <f>IF('Q2'!L23="","",'Q2'!L23)</f>
        <v>81.866666666666674</v>
      </c>
      <c r="DP23" s="26">
        <f>IF('Q2'!M23="","",'Q2'!M23)</f>
        <v>84.26666666666668</v>
      </c>
      <c r="DQ23" s="26">
        <f>IF('Q2'!N23="","",'Q2'!N23)</f>
        <v>100</v>
      </c>
      <c r="DR23" s="26">
        <f>IF('Q2'!O23="","",'Q2'!O23)</f>
        <v>100</v>
      </c>
      <c r="DS23" s="26">
        <f>IF('Q2'!P23="","",'Q2'!P23)</f>
        <v>60.97</v>
      </c>
      <c r="DT23" s="26">
        <f>IF('Q2'!Q23="","",'Q2'!Q23)</f>
        <v>60.97</v>
      </c>
      <c r="DU23" s="26">
        <f>IF('Q2'!R23="","",'Q2'!R23)</f>
        <v>45.6</v>
      </c>
      <c r="DV23" s="26">
        <f>IF('Q2'!S23="","",'Q2'!S23)</f>
        <v>47.766666666666666</v>
      </c>
      <c r="DW23" s="26">
        <f>IF('Q2'!T23="","",'Q2'!T23)</f>
        <v>59.333333333333329</v>
      </c>
      <c r="DX23" s="26">
        <f>IF('Q2'!U23="","",'Q2'!U23)</f>
        <v>85</v>
      </c>
      <c r="DY23" s="26">
        <f>IF('Q2'!V23="","",'Q2'!V23)</f>
        <v>77.166666666666657</v>
      </c>
      <c r="DZ23" s="26" t="str">
        <f t="shared" si="76"/>
        <v>D</v>
      </c>
      <c r="EA23" s="26" t="str">
        <f t="shared" si="77"/>
        <v>B</v>
      </c>
      <c r="EB23" s="26" t="str">
        <f t="shared" si="78"/>
        <v>B</v>
      </c>
      <c r="EC23" s="26" t="str">
        <f t="shared" si="79"/>
        <v>B</v>
      </c>
      <c r="ED23" s="26" t="str">
        <f t="shared" si="80"/>
        <v>B</v>
      </c>
      <c r="EE23" s="26" t="str">
        <f t="shared" si="81"/>
        <v>B</v>
      </c>
      <c r="EF23" s="26" t="str">
        <f t="shared" si="82"/>
        <v>B</v>
      </c>
      <c r="EG23" s="26" t="str">
        <f t="shared" si="83"/>
        <v>A</v>
      </c>
      <c r="EH23" s="26" t="str">
        <f t="shared" si="84"/>
        <v>A</v>
      </c>
      <c r="EI23" s="24" t="str">
        <f t="shared" si="85"/>
        <v>D</v>
      </c>
      <c r="EJ23" s="24" t="str">
        <f t="shared" si="86"/>
        <v>D</v>
      </c>
      <c r="EK23" s="24" t="str">
        <f t="shared" si="87"/>
        <v>F</v>
      </c>
      <c r="EL23" s="24" t="str">
        <f t="shared" si="88"/>
        <v>F</v>
      </c>
      <c r="EM23" s="24" t="str">
        <f t="shared" si="89"/>
        <v>E</v>
      </c>
      <c r="EN23" s="24" t="str">
        <f t="shared" si="90"/>
        <v>B</v>
      </c>
      <c r="EO23" s="24" t="str">
        <f t="shared" si="91"/>
        <v>C</v>
      </c>
      <c r="EP23" s="24">
        <f t="shared" si="92"/>
        <v>2</v>
      </c>
      <c r="EQ23" s="24">
        <f t="shared" si="93"/>
        <v>2</v>
      </c>
      <c r="ER23" s="24">
        <f t="shared" si="94"/>
        <v>3</v>
      </c>
      <c r="ES23" s="24">
        <f t="shared" si="95"/>
        <v>1</v>
      </c>
      <c r="ET23" s="24">
        <f t="shared" si="96"/>
        <v>5</v>
      </c>
      <c r="EU23" s="24">
        <f t="shared" si="97"/>
        <v>3</v>
      </c>
      <c r="EV23" s="24">
        <f t="shared" si="98"/>
        <v>2</v>
      </c>
      <c r="EW23" s="24">
        <f t="shared" si="99"/>
        <v>1</v>
      </c>
      <c r="EX23" s="24">
        <f t="shared" si="100"/>
        <v>1</v>
      </c>
      <c r="EY23" s="24">
        <f t="shared" si="101"/>
        <v>5</v>
      </c>
      <c r="EZ23" s="24">
        <f t="shared" si="102"/>
        <v>1</v>
      </c>
      <c r="FA23" s="24">
        <f t="shared" si="103"/>
        <v>5</v>
      </c>
      <c r="FB23" s="24">
        <f t="shared" si="104"/>
        <v>3</v>
      </c>
      <c r="FC23" s="24">
        <f t="shared" si="105"/>
        <v>2</v>
      </c>
      <c r="FD23" s="24">
        <f t="shared" si="106"/>
        <v>2</v>
      </c>
      <c r="FE23" s="24">
        <f t="shared" si="107"/>
        <v>2</v>
      </c>
      <c r="FF23" s="26">
        <f t="shared" si="108"/>
        <v>133.33333333333334</v>
      </c>
      <c r="FG23" s="26">
        <f t="shared" si="109"/>
        <v>165.06666666666666</v>
      </c>
      <c r="FH23" s="26">
        <f t="shared" si="110"/>
        <v>251.9</v>
      </c>
      <c r="FI23" s="26">
        <f t="shared" si="111"/>
        <v>80</v>
      </c>
      <c r="FJ23" s="26">
        <f t="shared" si="112"/>
        <v>417</v>
      </c>
      <c r="FK23" s="26">
        <f t="shared" si="113"/>
        <v>245.60000000000002</v>
      </c>
      <c r="FL23" s="26">
        <f t="shared" si="114"/>
        <v>168.53333333333336</v>
      </c>
      <c r="FM23" s="26">
        <f t="shared" si="115"/>
        <v>100</v>
      </c>
      <c r="FN23" s="26">
        <f t="shared" si="116"/>
        <v>100</v>
      </c>
      <c r="FO23" s="26">
        <f t="shared" si="117"/>
        <v>304.85000000000002</v>
      </c>
      <c r="FP23" s="26">
        <f t="shared" si="118"/>
        <v>60.97</v>
      </c>
      <c r="FQ23" s="26">
        <f t="shared" si="119"/>
        <v>228</v>
      </c>
      <c r="FR23" s="26">
        <f t="shared" si="120"/>
        <v>143.30000000000001</v>
      </c>
      <c r="FS23" s="26">
        <f t="shared" si="121"/>
        <v>118.66666666666666</v>
      </c>
      <c r="FT23" s="26">
        <f t="shared" si="122"/>
        <v>170</v>
      </c>
      <c r="FU23" s="26">
        <f t="shared" si="123"/>
        <v>154.33333333333331</v>
      </c>
      <c r="FV23" s="24">
        <f t="shared" si="124"/>
        <v>3</v>
      </c>
      <c r="FW23" s="24">
        <f t="shared" si="125"/>
        <v>6</v>
      </c>
      <c r="FX23" s="24">
        <f t="shared" si="126"/>
        <v>9</v>
      </c>
      <c r="FY23" s="24">
        <f t="shared" si="127"/>
        <v>3</v>
      </c>
      <c r="FZ23" s="24">
        <f t="shared" si="128"/>
        <v>15</v>
      </c>
      <c r="GA23" s="24">
        <f t="shared" si="129"/>
        <v>9</v>
      </c>
      <c r="GB23" s="24">
        <f t="shared" si="130"/>
        <v>6</v>
      </c>
      <c r="GC23" s="24">
        <f t="shared" si="131"/>
        <v>4</v>
      </c>
      <c r="GD23" s="24">
        <f t="shared" si="132"/>
        <v>4</v>
      </c>
      <c r="GE23" s="24">
        <f t="shared" si="133"/>
        <v>7.5</v>
      </c>
      <c r="GF23" s="24">
        <f t="shared" si="134"/>
        <v>1.5</v>
      </c>
      <c r="GG23" s="24">
        <f t="shared" si="135"/>
        <v>0</v>
      </c>
      <c r="GH23" s="24">
        <f t="shared" si="136"/>
        <v>0</v>
      </c>
      <c r="GI23" s="24">
        <f t="shared" si="137"/>
        <v>2</v>
      </c>
      <c r="GJ23" s="24">
        <f t="shared" si="138"/>
        <v>6</v>
      </c>
      <c r="GK23" s="24">
        <f t="shared" si="139"/>
        <v>4</v>
      </c>
      <c r="GL23" s="24">
        <f t="shared" si="140"/>
        <v>20</v>
      </c>
      <c r="GM23" s="24">
        <f t="shared" si="141"/>
        <v>1661.4333333333334</v>
      </c>
      <c r="GN23" s="26">
        <f t="shared" si="142"/>
        <v>59</v>
      </c>
      <c r="GO23" s="26">
        <f t="shared" si="330"/>
        <v>83.071666666666673</v>
      </c>
      <c r="GP23" s="24" t="str">
        <f t="shared" si="331"/>
        <v>B</v>
      </c>
      <c r="GQ23" s="26">
        <f t="shared" si="143"/>
        <v>2.95</v>
      </c>
      <c r="GR23" s="24">
        <f t="shared" si="144"/>
        <v>20</v>
      </c>
      <c r="GS23" s="26">
        <f t="shared" si="145"/>
        <v>1180.1200000000001</v>
      </c>
      <c r="GT23" s="26">
        <f t="shared" si="146"/>
        <v>21</v>
      </c>
      <c r="GU23" s="26">
        <f t="shared" si="332"/>
        <v>59.006000000000007</v>
      </c>
      <c r="GV23" s="24" t="str">
        <f t="shared" si="333"/>
        <v>E</v>
      </c>
      <c r="GW23" s="27">
        <f t="shared" si="147"/>
        <v>1.05</v>
      </c>
      <c r="GX23" s="24">
        <f t="shared" si="148"/>
        <v>40</v>
      </c>
      <c r="GY23" s="27">
        <f t="shared" si="149"/>
        <v>2841.5533333333333</v>
      </c>
      <c r="GZ23" s="27">
        <f t="shared" si="334"/>
        <v>80</v>
      </c>
      <c r="HA23" s="26">
        <f t="shared" si="335"/>
        <v>71.038833333333329</v>
      </c>
      <c r="HB23" s="27" t="str">
        <f t="shared" si="336"/>
        <v>C</v>
      </c>
      <c r="HC23" s="26">
        <f t="shared" si="150"/>
        <v>2</v>
      </c>
      <c r="HD23" s="24">
        <f t="shared" si="151"/>
        <v>11</v>
      </c>
      <c r="HE23" s="24" t="str">
        <f t="shared" si="152"/>
        <v>6A</v>
      </c>
      <c r="HF23" s="24">
        <f t="shared" si="153"/>
        <v>11</v>
      </c>
      <c r="HG23" s="24">
        <f>IF(B23="","",'Q2'!$C$8)</f>
        <v>50</v>
      </c>
      <c r="HH23" s="24">
        <f>IF(A23="","",'Q2'!DE23)</f>
        <v>0</v>
      </c>
      <c r="HI23" s="24">
        <f>IF(B23="","",'Q2'!DF23)</f>
        <v>0</v>
      </c>
      <c r="HJ23" s="24">
        <f>IF(B23="","",'Q2'!DG23)</f>
        <v>1</v>
      </c>
      <c r="HK23" s="24">
        <f t="shared" si="154"/>
        <v>1</v>
      </c>
      <c r="HL23" s="25">
        <f t="shared" si="155"/>
        <v>0.98</v>
      </c>
      <c r="HM23" s="7">
        <v>50</v>
      </c>
      <c r="HN23" s="7">
        <v>70</v>
      </c>
      <c r="HO23" s="7">
        <v>80</v>
      </c>
      <c r="HP23" s="7">
        <v>60</v>
      </c>
      <c r="HQ23" s="7">
        <v>65</v>
      </c>
      <c r="HR23" s="7">
        <v>55</v>
      </c>
      <c r="HS23" s="7">
        <v>60</v>
      </c>
      <c r="HT23" s="7"/>
      <c r="HU23" s="7"/>
      <c r="HV23" s="7">
        <v>46</v>
      </c>
      <c r="HW23" s="7"/>
      <c r="HX23" s="7">
        <v>28</v>
      </c>
      <c r="HY23" s="7">
        <v>16</v>
      </c>
      <c r="HZ23" s="7">
        <v>62</v>
      </c>
      <c r="IA23" s="7">
        <v>66.5</v>
      </c>
      <c r="IB23" s="7">
        <v>53</v>
      </c>
      <c r="IC23" s="7" t="str">
        <f t="shared" si="156"/>
        <v>E</v>
      </c>
      <c r="ID23" s="7" t="str">
        <f t="shared" si="157"/>
        <v>C</v>
      </c>
      <c r="IE23" s="7" t="str">
        <f t="shared" si="158"/>
        <v>B</v>
      </c>
      <c r="IF23" s="7" t="str">
        <f t="shared" si="159"/>
        <v>D</v>
      </c>
      <c r="IG23" s="7" t="str">
        <f t="shared" si="160"/>
        <v>D</v>
      </c>
      <c r="IH23" s="7" t="str">
        <f t="shared" si="161"/>
        <v>E</v>
      </c>
      <c r="II23" s="7" t="str">
        <f t="shared" si="162"/>
        <v>D</v>
      </c>
      <c r="IJ23" s="7" t="str">
        <f t="shared" si="163"/>
        <v/>
      </c>
      <c r="IK23" s="7" t="str">
        <f t="shared" si="164"/>
        <v/>
      </c>
      <c r="IL23" s="24" t="str">
        <f t="shared" si="165"/>
        <v>F</v>
      </c>
      <c r="IM23" s="24" t="str">
        <f t="shared" si="166"/>
        <v/>
      </c>
      <c r="IN23" s="24" t="str">
        <f t="shared" si="167"/>
        <v>F</v>
      </c>
      <c r="IO23" s="24" t="str">
        <f t="shared" si="168"/>
        <v>F</v>
      </c>
      <c r="IP23" s="24" t="str">
        <f t="shared" si="169"/>
        <v>D</v>
      </c>
      <c r="IQ23" s="24" t="str">
        <f t="shared" si="170"/>
        <v>D</v>
      </c>
      <c r="IR23" s="24" t="str">
        <f t="shared" si="171"/>
        <v>E</v>
      </c>
      <c r="IS23" s="24">
        <f t="shared" si="172"/>
        <v>2</v>
      </c>
      <c r="IT23" s="24">
        <f t="shared" si="173"/>
        <v>2</v>
      </c>
      <c r="IU23" s="24">
        <f t="shared" si="174"/>
        <v>3</v>
      </c>
      <c r="IV23" s="24">
        <f t="shared" si="175"/>
        <v>1</v>
      </c>
      <c r="IW23" s="24">
        <f t="shared" si="176"/>
        <v>5</v>
      </c>
      <c r="IX23" s="24">
        <f t="shared" si="177"/>
        <v>3</v>
      </c>
      <c r="IY23" s="24">
        <f t="shared" si="178"/>
        <v>2</v>
      </c>
      <c r="IZ23" s="24" t="str">
        <f t="shared" si="179"/>
        <v/>
      </c>
      <c r="JA23" s="24" t="str">
        <f t="shared" si="180"/>
        <v/>
      </c>
      <c r="JB23" s="24">
        <f t="shared" si="181"/>
        <v>5</v>
      </c>
      <c r="JC23" s="24" t="str">
        <f t="shared" si="182"/>
        <v/>
      </c>
      <c r="JD23" s="24">
        <f t="shared" si="183"/>
        <v>5</v>
      </c>
      <c r="JE23" s="24">
        <f t="shared" si="184"/>
        <v>3</v>
      </c>
      <c r="JF23" s="24">
        <f t="shared" si="185"/>
        <v>2</v>
      </c>
      <c r="JG23" s="24">
        <f t="shared" si="186"/>
        <v>2</v>
      </c>
      <c r="JH23" s="24">
        <f t="shared" si="187"/>
        <v>2</v>
      </c>
      <c r="JI23" s="26">
        <f t="shared" si="188"/>
        <v>100</v>
      </c>
      <c r="JJ23" s="26">
        <f t="shared" si="189"/>
        <v>140</v>
      </c>
      <c r="JK23" s="26">
        <f t="shared" si="190"/>
        <v>240</v>
      </c>
      <c r="JL23" s="26">
        <f t="shared" si="191"/>
        <v>60</v>
      </c>
      <c r="JM23" s="26">
        <f t="shared" si="192"/>
        <v>325</v>
      </c>
      <c r="JN23" s="26">
        <f t="shared" si="193"/>
        <v>165</v>
      </c>
      <c r="JO23" s="26">
        <f t="shared" si="194"/>
        <v>120</v>
      </c>
      <c r="JP23" s="26" t="str">
        <f t="shared" si="195"/>
        <v/>
      </c>
      <c r="JQ23" s="24">
        <f t="shared" si="196"/>
        <v>230</v>
      </c>
      <c r="JR23" s="24" t="str">
        <f t="shared" si="197"/>
        <v/>
      </c>
      <c r="JS23" s="24">
        <f t="shared" si="198"/>
        <v>140</v>
      </c>
      <c r="JT23" s="24">
        <f t="shared" si="199"/>
        <v>48</v>
      </c>
      <c r="JU23" s="24">
        <f t="shared" si="200"/>
        <v>124</v>
      </c>
      <c r="JV23" s="24">
        <f t="shared" si="201"/>
        <v>133</v>
      </c>
      <c r="JW23" s="24">
        <f t="shared" si="202"/>
        <v>106</v>
      </c>
      <c r="JX23" s="24">
        <f t="shared" si="203"/>
        <v>2</v>
      </c>
      <c r="JY23" s="24">
        <f t="shared" si="204"/>
        <v>4</v>
      </c>
      <c r="JZ23" s="24">
        <f t="shared" si="205"/>
        <v>9</v>
      </c>
      <c r="KA23" s="24">
        <f t="shared" si="206"/>
        <v>1.5</v>
      </c>
      <c r="KB23" s="24">
        <f t="shared" si="207"/>
        <v>7.5</v>
      </c>
      <c r="KC23" s="24">
        <f t="shared" si="208"/>
        <v>3</v>
      </c>
      <c r="KD23" s="24">
        <f t="shared" si="209"/>
        <v>3</v>
      </c>
      <c r="KE23" s="24" t="str">
        <f t="shared" si="210"/>
        <v/>
      </c>
      <c r="KF23" s="24" t="str">
        <f t="shared" si="211"/>
        <v/>
      </c>
      <c r="KG23" s="24">
        <f t="shared" si="212"/>
        <v>0</v>
      </c>
      <c r="KH23" s="24" t="str">
        <f t="shared" si="213"/>
        <v/>
      </c>
      <c r="KI23" s="24">
        <f t="shared" si="214"/>
        <v>0</v>
      </c>
      <c r="KJ23" s="24">
        <f t="shared" si="215"/>
        <v>0</v>
      </c>
      <c r="KK23" s="24">
        <f t="shared" si="216"/>
        <v>3</v>
      </c>
      <c r="KL23" s="24">
        <f t="shared" si="217"/>
        <v>3</v>
      </c>
      <c r="KM23" s="24">
        <f t="shared" si="218"/>
        <v>2</v>
      </c>
      <c r="KN23" s="24">
        <f t="shared" si="219"/>
        <v>18</v>
      </c>
      <c r="KO23" s="26">
        <f t="shared" si="220"/>
        <v>1150</v>
      </c>
      <c r="KP23" s="26">
        <f t="shared" si="221"/>
        <v>30</v>
      </c>
      <c r="KQ23" s="26">
        <f t="shared" si="337"/>
        <v>63.888888888888886</v>
      </c>
      <c r="KR23" s="24" t="str">
        <f t="shared" si="338"/>
        <v>D</v>
      </c>
      <c r="KS23" s="26">
        <f t="shared" si="222"/>
        <v>1.6666666666666667</v>
      </c>
      <c r="KT23" s="24">
        <f t="shared" si="223"/>
        <v>19</v>
      </c>
      <c r="KU23" s="24">
        <f t="shared" si="224"/>
        <v>781</v>
      </c>
      <c r="KV23" s="26">
        <f t="shared" si="225"/>
        <v>8</v>
      </c>
      <c r="KW23" s="26">
        <f t="shared" si="339"/>
        <v>41.10526315789474</v>
      </c>
      <c r="KX23" s="24" t="str">
        <f t="shared" si="340"/>
        <v>F</v>
      </c>
      <c r="KY23" s="27">
        <f t="shared" si="226"/>
        <v>0.42105263157894735</v>
      </c>
      <c r="KZ23" s="24">
        <f t="shared" si="227"/>
        <v>37</v>
      </c>
      <c r="LA23" s="27">
        <f t="shared" si="228"/>
        <v>1931</v>
      </c>
      <c r="LB23" s="27">
        <f t="shared" si="229"/>
        <v>38</v>
      </c>
      <c r="LC23" s="26">
        <f t="shared" si="341"/>
        <v>52.189189189189186</v>
      </c>
      <c r="LD23" s="24" t="str">
        <f t="shared" si="342"/>
        <v>E</v>
      </c>
      <c r="LE23" s="26">
        <f t="shared" si="230"/>
        <v>1.027027027027027</v>
      </c>
      <c r="LF23" s="24">
        <f t="shared" si="231"/>
        <v>11</v>
      </c>
      <c r="LG23" s="24" t="str">
        <f t="shared" si="232"/>
        <v>6A</v>
      </c>
      <c r="LH23" s="24">
        <f t="shared" si="233"/>
        <v>11</v>
      </c>
      <c r="LI23" s="26">
        <f>IF('Q2'!G23="","",SUM((AVERAGE('Q1'!G23,'Q2'!G23)*0.5))+(HM23*0.5))</f>
        <v>56</v>
      </c>
      <c r="LJ23" s="26">
        <f>IF('Q2'!H23="","",SUM((AVERAGE('Q1'!H23,'Q2'!H23)*0.5))+(HN23*0.5))</f>
        <v>74.349999999999994</v>
      </c>
      <c r="LK23" s="26">
        <f>IF('Q2'!I23="","",SUM((AVERAGE('Q1'!I23,'Q2'!I23)*0.5))+(HO23*0.5))</f>
        <v>79.708333333333343</v>
      </c>
      <c r="LL23" s="26">
        <f>IF('Q2'!J23="","",SUM((AVERAGE('Q1'!J23,'Q2'!J23)*0.5))+(HP23*0.5))</f>
        <v>65</v>
      </c>
      <c r="LM23" s="26">
        <f>IF('Q2'!K23="","",SUM((AVERAGE('Q1'!K23,'Q2'!K23)*0.5))+(HQ23*0.5))</f>
        <v>71.95</v>
      </c>
      <c r="LN23" s="26">
        <f>IF('Q2'!L23="","",SUM((AVERAGE('Q1'!L23,'Q2'!L23)*0.5))+(HR23*0.5))</f>
        <v>66.683333333333337</v>
      </c>
      <c r="LO23" s="26">
        <f>IF('Q2'!M23="","",SUM((AVERAGE('Q1'!M23,'Q2'!M23)*0.5))+(HS23*0.5))</f>
        <v>69.783333333333331</v>
      </c>
      <c r="LP23" s="26">
        <f>IF('Q2'!N23="","",SUM((AVERAGE('Q1'!N23,'Q2'!N23)*1)))</f>
        <v>85.083333333333329</v>
      </c>
      <c r="LQ23" s="26">
        <f>IF('Q2'!O23="","",SUM((AVERAGE('Q1'!O23,'Q2'!O23)*1)))</f>
        <v>85.083333333333329</v>
      </c>
      <c r="LR23" s="26">
        <f>IF('Q2'!P23="","",SUM((AVERAGE('Q1'!P23,'Q2'!P23)*0.5))+(HV23*0.5))</f>
        <v>53.150833333333338</v>
      </c>
      <c r="LS23" s="26">
        <f>IF('Q2'!Q23="","",SUM((AVERAGE('Q1'!Q23,'Q2'!Q23)*1))+(HW23*1))</f>
        <v>60.301666666666669</v>
      </c>
      <c r="LT23" s="26">
        <f>IF('Q2'!R23="","",SUM((AVERAGE('Q1'!R23,'Q2'!R23)*0.5))+(HX23*0.5))</f>
        <v>37.017499999999998</v>
      </c>
      <c r="LU23" s="26">
        <f>IF('Q2'!S23="","",SUM((AVERAGE('Q1'!S23,'Q2'!S23)*0.5))+(HY23*0.5))</f>
        <v>27.774999999999999</v>
      </c>
      <c r="LV23" s="26">
        <f>IF('Q2'!T23="","",SUM((AVERAGE('Q1'!T23,'Q2'!T23)*0.5))+(HZ23*0.5))</f>
        <v>55.533333333333331</v>
      </c>
      <c r="LW23" s="26">
        <f>IF('Q2'!U23="","",SUM((AVERAGE('Q1'!U23,'Q2'!U23)*0.5))+(IA23*0.5))</f>
        <v>73.333333333333343</v>
      </c>
      <c r="LX23" s="26">
        <f>IF('Q2'!V23="","",SUM((AVERAGE('Q1'!V23,'Q2'!V23)*0.5))+(IB23*0.5))</f>
        <v>63.208333333333329</v>
      </c>
      <c r="LY23" s="26" t="str">
        <f t="shared" si="234"/>
        <v>E</v>
      </c>
      <c r="LZ23" s="26" t="str">
        <f t="shared" si="235"/>
        <v>C</v>
      </c>
      <c r="MA23" s="26" t="str">
        <f t="shared" si="236"/>
        <v>C</v>
      </c>
      <c r="MB23" s="26" t="str">
        <f t="shared" si="237"/>
        <v>D</v>
      </c>
      <c r="MC23" s="26" t="str">
        <f t="shared" si="238"/>
        <v>C</v>
      </c>
      <c r="MD23" s="26" t="str">
        <f t="shared" si="239"/>
        <v>D</v>
      </c>
      <c r="ME23" s="26" t="str">
        <f t="shared" si="240"/>
        <v>D</v>
      </c>
      <c r="MF23" s="26" t="str">
        <f t="shared" si="241"/>
        <v>B</v>
      </c>
      <c r="MG23" s="26" t="str">
        <f t="shared" si="242"/>
        <v>B</v>
      </c>
      <c r="MH23" s="24" t="str">
        <f t="shared" si="243"/>
        <v>E</v>
      </c>
      <c r="MI23" s="24" t="str">
        <f t="shared" si="244"/>
        <v>D</v>
      </c>
      <c r="MJ23" s="24" t="str">
        <f t="shared" si="245"/>
        <v>F</v>
      </c>
      <c r="MK23" s="24" t="str">
        <f t="shared" si="246"/>
        <v>F</v>
      </c>
      <c r="ML23" s="24" t="str">
        <f t="shared" si="247"/>
        <v>E</v>
      </c>
      <c r="MM23" s="24" t="str">
        <f t="shared" si="248"/>
        <v>C</v>
      </c>
      <c r="MN23" s="24" t="str">
        <f t="shared" si="249"/>
        <v>D</v>
      </c>
      <c r="MO23" s="24">
        <f t="shared" si="250"/>
        <v>2</v>
      </c>
      <c r="MP23" s="24">
        <f t="shared" si="251"/>
        <v>2</v>
      </c>
      <c r="MQ23" s="24">
        <f t="shared" si="252"/>
        <v>3</v>
      </c>
      <c r="MR23" s="24">
        <f t="shared" si="253"/>
        <v>1</v>
      </c>
      <c r="MS23" s="24">
        <f t="shared" si="254"/>
        <v>5</v>
      </c>
      <c r="MT23" s="24">
        <f t="shared" si="255"/>
        <v>3</v>
      </c>
      <c r="MU23" s="24">
        <f t="shared" si="256"/>
        <v>2</v>
      </c>
      <c r="MV23" s="24">
        <f t="shared" si="257"/>
        <v>1</v>
      </c>
      <c r="MW23" s="24">
        <f t="shared" si="258"/>
        <v>1</v>
      </c>
      <c r="MX23" s="24">
        <f t="shared" si="259"/>
        <v>5</v>
      </c>
      <c r="MY23" s="24">
        <f t="shared" si="260"/>
        <v>1</v>
      </c>
      <c r="MZ23" s="24">
        <f t="shared" si="261"/>
        <v>5</v>
      </c>
      <c r="NA23" s="24">
        <f t="shared" si="262"/>
        <v>3</v>
      </c>
      <c r="NB23" s="24">
        <f t="shared" si="263"/>
        <v>2</v>
      </c>
      <c r="NC23" s="24">
        <f t="shared" si="264"/>
        <v>2</v>
      </c>
      <c r="ND23" s="24">
        <f t="shared" si="265"/>
        <v>2</v>
      </c>
      <c r="NE23" s="26">
        <f t="shared" si="266"/>
        <v>112</v>
      </c>
      <c r="NF23" s="26">
        <f t="shared" si="267"/>
        <v>148.69999999999999</v>
      </c>
      <c r="NG23" s="26">
        <f t="shared" si="268"/>
        <v>239.12500000000003</v>
      </c>
      <c r="NH23" s="26">
        <f t="shared" si="269"/>
        <v>65</v>
      </c>
      <c r="NI23" s="26">
        <f t="shared" si="270"/>
        <v>359.75</v>
      </c>
      <c r="NJ23" s="26">
        <f t="shared" si="271"/>
        <v>200.05</v>
      </c>
      <c r="NK23" s="26">
        <f t="shared" si="272"/>
        <v>139.56666666666666</v>
      </c>
      <c r="NL23" s="26">
        <f t="shared" si="273"/>
        <v>85.083333333333329</v>
      </c>
      <c r="NM23" s="26">
        <f t="shared" si="274"/>
        <v>85.083333333333329</v>
      </c>
      <c r="NN23" s="26">
        <f t="shared" si="275"/>
        <v>265.75416666666672</v>
      </c>
      <c r="NO23" s="26">
        <f t="shared" si="276"/>
        <v>60.301666666666669</v>
      </c>
      <c r="NP23" s="26">
        <f t="shared" si="277"/>
        <v>185.08749999999998</v>
      </c>
      <c r="NQ23" s="26">
        <f t="shared" si="278"/>
        <v>83.324999999999989</v>
      </c>
      <c r="NR23" s="26">
        <f t="shared" si="279"/>
        <v>111.06666666666666</v>
      </c>
      <c r="NS23" s="26">
        <f t="shared" si="280"/>
        <v>146.66666666666669</v>
      </c>
      <c r="NT23" s="26">
        <f t="shared" si="281"/>
        <v>126.41666666666666</v>
      </c>
      <c r="NU23" s="24">
        <f t="shared" si="282"/>
        <v>2</v>
      </c>
      <c r="NV23" s="24">
        <f t="shared" si="283"/>
        <v>4</v>
      </c>
      <c r="NW23" s="24">
        <f t="shared" si="284"/>
        <v>6</v>
      </c>
      <c r="NX23" s="24">
        <f t="shared" si="285"/>
        <v>1.5</v>
      </c>
      <c r="NY23" s="24">
        <f t="shared" si="286"/>
        <v>10</v>
      </c>
      <c r="NZ23" s="24">
        <f t="shared" si="287"/>
        <v>4.5</v>
      </c>
      <c r="OA23" s="24">
        <f t="shared" si="288"/>
        <v>3</v>
      </c>
      <c r="OB23" s="24">
        <f t="shared" si="289"/>
        <v>3</v>
      </c>
      <c r="OC23" s="24">
        <f t="shared" si="290"/>
        <v>3</v>
      </c>
      <c r="OD23" s="24">
        <f t="shared" si="291"/>
        <v>5</v>
      </c>
      <c r="OE23" s="24">
        <f t="shared" si="292"/>
        <v>1.5</v>
      </c>
      <c r="OF23" s="24">
        <f t="shared" si="293"/>
        <v>0</v>
      </c>
      <c r="OG23" s="24">
        <f t="shared" si="294"/>
        <v>0</v>
      </c>
      <c r="OH23" s="24">
        <f t="shared" si="295"/>
        <v>2</v>
      </c>
      <c r="OI23" s="24">
        <f t="shared" si="296"/>
        <v>4</v>
      </c>
      <c r="OJ23" s="24">
        <f t="shared" si="297"/>
        <v>3</v>
      </c>
      <c r="OK23" s="24">
        <f t="shared" si="298"/>
        <v>20</v>
      </c>
      <c r="OL23" s="24">
        <f t="shared" si="299"/>
        <v>1434.3583333333331</v>
      </c>
      <c r="OM23" s="26">
        <f t="shared" si="300"/>
        <v>37</v>
      </c>
      <c r="ON23" s="26">
        <f t="shared" si="343"/>
        <v>71.717916666666653</v>
      </c>
      <c r="OO23" s="24" t="str">
        <f t="shared" si="344"/>
        <v>C</v>
      </c>
      <c r="OP23" s="26">
        <f t="shared" si="301"/>
        <v>1.85</v>
      </c>
      <c r="OQ23" s="24">
        <f t="shared" si="302"/>
        <v>20</v>
      </c>
      <c r="OR23" s="26">
        <f t="shared" si="303"/>
        <v>978.61833333333345</v>
      </c>
      <c r="OS23" s="26">
        <f t="shared" si="304"/>
        <v>15.5</v>
      </c>
      <c r="OT23" s="26">
        <f t="shared" si="345"/>
        <v>48.930916666666675</v>
      </c>
      <c r="OU23" s="24" t="str">
        <f t="shared" si="346"/>
        <v>F</v>
      </c>
      <c r="OV23" s="27">
        <f t="shared" si="305"/>
        <v>0.77500000000000002</v>
      </c>
      <c r="OW23" s="24">
        <f t="shared" si="306"/>
        <v>40</v>
      </c>
      <c r="OX23" s="27">
        <f t="shared" si="307"/>
        <v>2412.9766666666665</v>
      </c>
      <c r="OY23" s="27">
        <f t="shared" si="308"/>
        <v>52.5</v>
      </c>
      <c r="OZ23" s="26">
        <f t="shared" si="347"/>
        <v>60.324416666666664</v>
      </c>
      <c r="PA23" s="27" t="str">
        <f t="shared" si="348"/>
        <v>D</v>
      </c>
      <c r="PB23" s="26">
        <f t="shared" si="309"/>
        <v>1.3125</v>
      </c>
      <c r="PC23" s="24">
        <f t="shared" si="310"/>
        <v>11</v>
      </c>
      <c r="PD23" s="24" t="str">
        <f t="shared" si="311"/>
        <v>6A</v>
      </c>
      <c r="PE23" s="24">
        <f t="shared" si="312"/>
        <v>11</v>
      </c>
      <c r="PF23" s="24">
        <f t="shared" si="313"/>
        <v>100</v>
      </c>
      <c r="PG23" s="24">
        <f t="shared" si="314"/>
        <v>0</v>
      </c>
      <c r="PH23" s="24">
        <f t="shared" si="315"/>
        <v>0</v>
      </c>
      <c r="PI23" s="24">
        <f t="shared" si="316"/>
        <v>1</v>
      </c>
      <c r="PJ23" s="24">
        <f t="shared" si="317"/>
        <v>1</v>
      </c>
      <c r="PK23" s="25">
        <f t="shared" si="318"/>
        <v>0.99</v>
      </c>
    </row>
    <row r="24" spans="1:427" ht="27" customHeight="1" x14ac:dyDescent="0.35">
      <c r="A24" s="24">
        <f t="shared" si="349"/>
        <v>10</v>
      </c>
      <c r="B24" s="28" t="str">
        <f>IF('Q1'!B24="","",'Q1'!B24)</f>
        <v xml:space="preserve">Danong Kellen </v>
      </c>
      <c r="C24" s="30" t="str">
        <f>IF('Q1'!C24="","",'Q1'!C24)</f>
        <v>ដាណង់ ខេលេន</v>
      </c>
      <c r="D24" s="28">
        <v>10</v>
      </c>
      <c r="E24" s="24" t="s">
        <v>124</v>
      </c>
      <c r="F24" s="24" t="str">
        <f>IF('Q1'!F24="","",'Q1'!F24)</f>
        <v>I</v>
      </c>
      <c r="G24" s="26">
        <f>IF('Q1'!G24="","",'Q1'!G24)</f>
        <v>56</v>
      </c>
      <c r="H24" s="26">
        <f>IF('Q1'!H24="","",'Q1'!H24)</f>
        <v>69.066666666666677</v>
      </c>
      <c r="I24" s="26">
        <f>IF('Q1'!I24="","",'Q1'!I24)</f>
        <v>69.066666666666677</v>
      </c>
      <c r="J24" s="26">
        <f>IF('Q1'!J24="","",'Q1'!J24)</f>
        <v>56</v>
      </c>
      <c r="K24" s="26">
        <f>IF('Q1'!K24="","",'Q1'!K24)</f>
        <v>66.8</v>
      </c>
      <c r="L24" s="26">
        <f>IF('Q1'!L24="","",'Q1'!L24)</f>
        <v>69.066666666666677</v>
      </c>
      <c r="M24" s="26">
        <f>IF('Q1'!M24="","",'Q1'!M24)</f>
        <v>69.066666666666677</v>
      </c>
      <c r="N24" s="26">
        <f>IF('Q1'!N24="","",'Q1'!N24)</f>
        <v>66</v>
      </c>
      <c r="O24" s="26">
        <f>IF('Q1'!O24="","",'Q1'!O24)</f>
        <v>66</v>
      </c>
      <c r="P24" s="26">
        <f>IF('Q1'!P24="","",'Q1'!P24)</f>
        <v>93.13333333333334</v>
      </c>
      <c r="Q24" s="26">
        <f>IF('Q1'!Q24="","",'Q1'!Q24)</f>
        <v>93.13333333333334</v>
      </c>
      <c r="R24" s="26">
        <f>IF('Q1'!R24="","",'Q1'!R24)</f>
        <v>54.07</v>
      </c>
      <c r="S24" s="26">
        <f>IF('Q1'!S24="","",'Q1'!S24)</f>
        <v>38.157575757575763</v>
      </c>
      <c r="T24" s="26">
        <f>IF('Q1'!T24="","",'Q1'!T24)</f>
        <v>51</v>
      </c>
      <c r="U24" s="26">
        <f>IF('Q1'!U24="","",'Q1'!U24)</f>
        <v>85.800000000000011</v>
      </c>
      <c r="V24" s="26">
        <f>IF('Q1'!V24="","",'Q1'!V24)</f>
        <v>82.666666666666657</v>
      </c>
      <c r="W24" s="26" t="str">
        <f t="shared" si="0"/>
        <v>E</v>
      </c>
      <c r="X24" s="26" t="str">
        <f t="shared" si="1"/>
        <v>D</v>
      </c>
      <c r="Y24" s="26" t="str">
        <f t="shared" si="2"/>
        <v>D</v>
      </c>
      <c r="Z24" s="26" t="str">
        <f t="shared" si="3"/>
        <v>E</v>
      </c>
      <c r="AA24" s="26" t="str">
        <f t="shared" si="4"/>
        <v>D</v>
      </c>
      <c r="AB24" s="26" t="str">
        <f t="shared" si="5"/>
        <v>D</v>
      </c>
      <c r="AC24" s="26" t="str">
        <f t="shared" si="6"/>
        <v>D</v>
      </c>
      <c r="AD24" s="26" t="str">
        <f t="shared" si="7"/>
        <v>D</v>
      </c>
      <c r="AE24" s="26" t="str">
        <f t="shared" si="8"/>
        <v>D</v>
      </c>
      <c r="AF24" s="24" t="str">
        <f t="shared" si="9"/>
        <v>A</v>
      </c>
      <c r="AG24" s="24" t="str">
        <f t="shared" si="10"/>
        <v>A</v>
      </c>
      <c r="AH24" s="24" t="str">
        <f t="shared" si="11"/>
        <v>E</v>
      </c>
      <c r="AI24" s="24" t="str">
        <f t="shared" si="12"/>
        <v>F</v>
      </c>
      <c r="AJ24" s="24" t="str">
        <f t="shared" si="13"/>
        <v>E</v>
      </c>
      <c r="AK24" s="24" t="str">
        <f t="shared" si="14"/>
        <v>B</v>
      </c>
      <c r="AL24" s="24" t="str">
        <f t="shared" si="15"/>
        <v>B</v>
      </c>
      <c r="AM24" s="24">
        <f t="shared" si="16"/>
        <v>2</v>
      </c>
      <c r="AN24" s="24">
        <f t="shared" si="17"/>
        <v>2</v>
      </c>
      <c r="AO24" s="24">
        <f t="shared" si="18"/>
        <v>3</v>
      </c>
      <c r="AP24" s="24">
        <f t="shared" si="19"/>
        <v>1</v>
      </c>
      <c r="AQ24" s="24">
        <f t="shared" si="20"/>
        <v>5</v>
      </c>
      <c r="AR24" s="24">
        <f t="shared" si="21"/>
        <v>3</v>
      </c>
      <c r="AS24" s="24">
        <f t="shared" si="22"/>
        <v>2</v>
      </c>
      <c r="AT24" s="24">
        <f t="shared" si="23"/>
        <v>1</v>
      </c>
      <c r="AU24" s="24">
        <f t="shared" si="24"/>
        <v>1</v>
      </c>
      <c r="AV24" s="24">
        <f t="shared" si="25"/>
        <v>5</v>
      </c>
      <c r="AW24" s="24">
        <f t="shared" si="26"/>
        <v>1</v>
      </c>
      <c r="AX24" s="24">
        <f t="shared" si="27"/>
        <v>5</v>
      </c>
      <c r="AY24" s="24">
        <f t="shared" si="28"/>
        <v>3</v>
      </c>
      <c r="AZ24" s="24">
        <f t="shared" si="29"/>
        <v>2</v>
      </c>
      <c r="BA24" s="24">
        <f t="shared" si="30"/>
        <v>2</v>
      </c>
      <c r="BB24" s="24">
        <f t="shared" si="31"/>
        <v>2</v>
      </c>
      <c r="BC24" s="26">
        <f t="shared" si="32"/>
        <v>112</v>
      </c>
      <c r="BD24" s="26">
        <f t="shared" si="33"/>
        <v>138.13333333333335</v>
      </c>
      <c r="BE24" s="26">
        <f t="shared" si="34"/>
        <v>207.20000000000005</v>
      </c>
      <c r="BF24" s="26">
        <f t="shared" si="35"/>
        <v>56</v>
      </c>
      <c r="BG24" s="26">
        <f t="shared" si="36"/>
        <v>334</v>
      </c>
      <c r="BH24" s="26">
        <f t="shared" si="37"/>
        <v>207.20000000000005</v>
      </c>
      <c r="BI24" s="26">
        <f t="shared" si="38"/>
        <v>138.13333333333335</v>
      </c>
      <c r="BJ24" s="26">
        <f t="shared" si="39"/>
        <v>66</v>
      </c>
      <c r="BK24" s="26">
        <f t="shared" si="40"/>
        <v>66</v>
      </c>
      <c r="BL24" s="26">
        <f t="shared" si="41"/>
        <v>465.66666666666669</v>
      </c>
      <c r="BM24" s="26">
        <f t="shared" si="42"/>
        <v>93.13333333333334</v>
      </c>
      <c r="BN24" s="26">
        <f t="shared" si="43"/>
        <v>270.35000000000002</v>
      </c>
      <c r="BO24" s="26">
        <f t="shared" si="44"/>
        <v>114.4727272727273</v>
      </c>
      <c r="BP24" s="26">
        <f t="shared" si="45"/>
        <v>102</v>
      </c>
      <c r="BQ24" s="26">
        <f t="shared" si="46"/>
        <v>171.60000000000002</v>
      </c>
      <c r="BR24" s="26">
        <f t="shared" si="47"/>
        <v>165.33333333333331</v>
      </c>
      <c r="BS24" s="24">
        <f t="shared" si="48"/>
        <v>2</v>
      </c>
      <c r="BT24" s="24">
        <f t="shared" si="49"/>
        <v>3</v>
      </c>
      <c r="BU24" s="24">
        <f t="shared" si="50"/>
        <v>4.5</v>
      </c>
      <c r="BV24" s="24">
        <f t="shared" si="51"/>
        <v>1</v>
      </c>
      <c r="BW24" s="24">
        <f t="shared" si="52"/>
        <v>7.5</v>
      </c>
      <c r="BX24" s="24">
        <f t="shared" si="53"/>
        <v>4.5</v>
      </c>
      <c r="BY24" s="24">
        <f t="shared" si="54"/>
        <v>3</v>
      </c>
      <c r="BZ24" s="24">
        <f t="shared" si="55"/>
        <v>1.5</v>
      </c>
      <c r="CA24" s="24">
        <f t="shared" si="56"/>
        <v>1.5</v>
      </c>
      <c r="CB24" s="24">
        <f t="shared" si="57"/>
        <v>20</v>
      </c>
      <c r="CC24" s="24">
        <f t="shared" si="58"/>
        <v>4</v>
      </c>
      <c r="CD24" s="24">
        <f t="shared" si="59"/>
        <v>5</v>
      </c>
      <c r="CE24" s="24">
        <f t="shared" si="60"/>
        <v>0</v>
      </c>
      <c r="CF24" s="24">
        <f t="shared" si="61"/>
        <v>2</v>
      </c>
      <c r="CG24" s="24">
        <f t="shared" si="62"/>
        <v>6</v>
      </c>
      <c r="CH24" s="24">
        <f t="shared" si="63"/>
        <v>6</v>
      </c>
      <c r="CI24" s="24">
        <f t="shared" si="319"/>
        <v>20</v>
      </c>
      <c r="CJ24" s="26">
        <f t="shared" si="64"/>
        <v>1324.6666666666667</v>
      </c>
      <c r="CK24" s="26">
        <f t="shared" si="320"/>
        <v>28.5</v>
      </c>
      <c r="CL24" s="26">
        <f t="shared" si="321"/>
        <v>66.233333333333334</v>
      </c>
      <c r="CM24" s="24" t="str">
        <f t="shared" si="322"/>
        <v>D</v>
      </c>
      <c r="CN24" s="26">
        <f t="shared" si="65"/>
        <v>1.425</v>
      </c>
      <c r="CO24" s="24">
        <f t="shared" si="66"/>
        <v>20</v>
      </c>
      <c r="CP24" s="26">
        <f t="shared" si="67"/>
        <v>1382.5560606060606</v>
      </c>
      <c r="CQ24" s="26">
        <f t="shared" si="68"/>
        <v>43</v>
      </c>
      <c r="CR24" s="26">
        <f t="shared" si="323"/>
        <v>69.127803030303028</v>
      </c>
      <c r="CS24" s="24" t="str">
        <f t="shared" si="324"/>
        <v>D</v>
      </c>
      <c r="CT24" s="27">
        <f t="shared" si="69"/>
        <v>2.15</v>
      </c>
      <c r="CU24" s="24">
        <f t="shared" si="325"/>
        <v>40</v>
      </c>
      <c r="CV24" s="26">
        <f t="shared" si="326"/>
        <v>2707.2227272727278</v>
      </c>
      <c r="CW24" s="26">
        <f t="shared" si="327"/>
        <v>71.5</v>
      </c>
      <c r="CX24" s="26">
        <f t="shared" si="328"/>
        <v>67.680568181818188</v>
      </c>
      <c r="CY24" s="24" t="str">
        <f t="shared" si="329"/>
        <v>D</v>
      </c>
      <c r="CZ24" s="26">
        <f t="shared" si="70"/>
        <v>1.7875000000000001</v>
      </c>
      <c r="DA24" s="24">
        <f t="shared" si="71"/>
        <v>9</v>
      </c>
      <c r="DB24" s="24" t="str">
        <f t="shared" si="72"/>
        <v>6A</v>
      </c>
      <c r="DC24" s="24">
        <f t="shared" si="73"/>
        <v>11</v>
      </c>
      <c r="DD24" s="24">
        <f>IF(B24="","",'Q1'!$C$8)</f>
        <v>50</v>
      </c>
      <c r="DE24" s="24">
        <f>IF(A24="","",'Q1'!DE24)</f>
        <v>0</v>
      </c>
      <c r="DF24" s="24">
        <f>IF(B24="","",'Q1'!DF24)</f>
        <v>0</v>
      </c>
      <c r="DG24" s="24">
        <f>IF(B24="","",'Q1'!DG24)</f>
        <v>0</v>
      </c>
      <c r="DH24" s="24">
        <f t="shared" si="74"/>
        <v>0</v>
      </c>
      <c r="DI24" s="25">
        <f t="shared" si="75"/>
        <v>1</v>
      </c>
      <c r="DJ24" s="26">
        <f>IF('Q2'!G24="","",'Q2'!G24)</f>
        <v>72.333333333333343</v>
      </c>
      <c r="DK24" s="26">
        <f>IF('Q2'!H24="","",'Q2'!H24)</f>
        <v>78.633333333333326</v>
      </c>
      <c r="DL24" s="26">
        <f>IF('Q2'!I24="","",'Q2'!I24)</f>
        <v>81.400000000000006</v>
      </c>
      <c r="DM24" s="26">
        <f>IF('Q2'!J24="","",'Q2'!J24)</f>
        <v>79</v>
      </c>
      <c r="DN24" s="26">
        <f>IF('Q2'!K24="","",'Q2'!K24)</f>
        <v>81.800000000000011</v>
      </c>
      <c r="DO24" s="26">
        <f>IF('Q2'!L24="","",'Q2'!L24)</f>
        <v>78.833333333333329</v>
      </c>
      <c r="DP24" s="26">
        <f>IF('Q2'!M24="","",'Q2'!M24)</f>
        <v>81.5</v>
      </c>
      <c r="DQ24" s="26">
        <f>IF('Q2'!N24="","",'Q2'!N24)</f>
        <v>100</v>
      </c>
      <c r="DR24" s="26">
        <f>IF('Q2'!O24="","",'Q2'!O24)</f>
        <v>100</v>
      </c>
      <c r="DS24" s="26">
        <f>IF('Q2'!P24="","",'Q2'!P24)</f>
        <v>90.04</v>
      </c>
      <c r="DT24" s="26">
        <f>IF('Q2'!Q24="","",'Q2'!Q24)</f>
        <v>90.04</v>
      </c>
      <c r="DU24" s="26">
        <f>IF('Q2'!R24="","",'Q2'!R24)</f>
        <v>51.62</v>
      </c>
      <c r="DV24" s="26">
        <f>IF('Q2'!S24="","",'Q2'!S24)</f>
        <v>56.066666666666663</v>
      </c>
      <c r="DW24" s="26">
        <f>IF('Q2'!T24="","",'Q2'!T24)</f>
        <v>79.599999999999994</v>
      </c>
      <c r="DX24" s="26">
        <f>IF('Q2'!U24="","",'Q2'!U24)</f>
        <v>82</v>
      </c>
      <c r="DY24" s="26">
        <f>IF('Q2'!V24="","",'Q2'!V24)</f>
        <v>80.833333333333343</v>
      </c>
      <c r="DZ24" s="26" t="str">
        <f t="shared" si="76"/>
        <v>C</v>
      </c>
      <c r="EA24" s="26" t="str">
        <f t="shared" si="77"/>
        <v>C</v>
      </c>
      <c r="EB24" s="26" t="str">
        <f t="shared" si="78"/>
        <v>B</v>
      </c>
      <c r="EC24" s="26" t="str">
        <f t="shared" si="79"/>
        <v>C</v>
      </c>
      <c r="ED24" s="26" t="str">
        <f t="shared" si="80"/>
        <v>B</v>
      </c>
      <c r="EE24" s="26" t="str">
        <f t="shared" si="81"/>
        <v>C</v>
      </c>
      <c r="EF24" s="26" t="str">
        <f t="shared" si="82"/>
        <v>B</v>
      </c>
      <c r="EG24" s="26" t="str">
        <f t="shared" si="83"/>
        <v>A</v>
      </c>
      <c r="EH24" s="26" t="str">
        <f t="shared" si="84"/>
        <v>A</v>
      </c>
      <c r="EI24" s="24" t="str">
        <f t="shared" si="85"/>
        <v>A</v>
      </c>
      <c r="EJ24" s="24" t="str">
        <f t="shared" si="86"/>
        <v>A</v>
      </c>
      <c r="EK24" s="24" t="str">
        <f t="shared" si="87"/>
        <v>E</v>
      </c>
      <c r="EL24" s="24" t="str">
        <f t="shared" si="88"/>
        <v>E</v>
      </c>
      <c r="EM24" s="24" t="str">
        <f t="shared" si="89"/>
        <v>C</v>
      </c>
      <c r="EN24" s="24" t="str">
        <f t="shared" si="90"/>
        <v>B</v>
      </c>
      <c r="EO24" s="24" t="str">
        <f t="shared" si="91"/>
        <v>B</v>
      </c>
      <c r="EP24" s="24">
        <f t="shared" si="92"/>
        <v>2</v>
      </c>
      <c r="EQ24" s="24">
        <f t="shared" si="93"/>
        <v>2</v>
      </c>
      <c r="ER24" s="24">
        <f t="shared" si="94"/>
        <v>3</v>
      </c>
      <c r="ES24" s="24">
        <f t="shared" si="95"/>
        <v>1</v>
      </c>
      <c r="ET24" s="24">
        <f t="shared" si="96"/>
        <v>5</v>
      </c>
      <c r="EU24" s="24">
        <f t="shared" si="97"/>
        <v>3</v>
      </c>
      <c r="EV24" s="24">
        <f t="shared" si="98"/>
        <v>2</v>
      </c>
      <c r="EW24" s="24">
        <f t="shared" si="99"/>
        <v>1</v>
      </c>
      <c r="EX24" s="24">
        <f t="shared" si="100"/>
        <v>1</v>
      </c>
      <c r="EY24" s="24">
        <f t="shared" si="101"/>
        <v>5</v>
      </c>
      <c r="EZ24" s="24">
        <f t="shared" si="102"/>
        <v>1</v>
      </c>
      <c r="FA24" s="24">
        <f t="shared" si="103"/>
        <v>5</v>
      </c>
      <c r="FB24" s="24">
        <f t="shared" si="104"/>
        <v>3</v>
      </c>
      <c r="FC24" s="24">
        <f t="shared" si="105"/>
        <v>2</v>
      </c>
      <c r="FD24" s="24">
        <f t="shared" si="106"/>
        <v>2</v>
      </c>
      <c r="FE24" s="24">
        <f t="shared" si="107"/>
        <v>2</v>
      </c>
      <c r="FF24" s="26">
        <f t="shared" si="108"/>
        <v>144.66666666666669</v>
      </c>
      <c r="FG24" s="26">
        <f t="shared" si="109"/>
        <v>157.26666666666665</v>
      </c>
      <c r="FH24" s="26">
        <f t="shared" si="110"/>
        <v>244.20000000000002</v>
      </c>
      <c r="FI24" s="26">
        <f t="shared" si="111"/>
        <v>79</v>
      </c>
      <c r="FJ24" s="26">
        <f t="shared" si="112"/>
        <v>409.00000000000006</v>
      </c>
      <c r="FK24" s="26">
        <f t="shared" si="113"/>
        <v>236.5</v>
      </c>
      <c r="FL24" s="26">
        <f t="shared" si="114"/>
        <v>163</v>
      </c>
      <c r="FM24" s="26">
        <f t="shared" si="115"/>
        <v>100</v>
      </c>
      <c r="FN24" s="26">
        <f t="shared" si="116"/>
        <v>100</v>
      </c>
      <c r="FO24" s="26">
        <f t="shared" si="117"/>
        <v>450.20000000000005</v>
      </c>
      <c r="FP24" s="26">
        <f t="shared" si="118"/>
        <v>90.04</v>
      </c>
      <c r="FQ24" s="26">
        <f t="shared" si="119"/>
        <v>258.09999999999997</v>
      </c>
      <c r="FR24" s="26">
        <f t="shared" si="120"/>
        <v>168.2</v>
      </c>
      <c r="FS24" s="26">
        <f t="shared" si="121"/>
        <v>159.19999999999999</v>
      </c>
      <c r="FT24" s="26">
        <f t="shared" si="122"/>
        <v>164</v>
      </c>
      <c r="FU24" s="26">
        <f t="shared" si="123"/>
        <v>161.66666666666669</v>
      </c>
      <c r="FV24" s="24">
        <f t="shared" si="124"/>
        <v>4</v>
      </c>
      <c r="FW24" s="24">
        <f t="shared" si="125"/>
        <v>4</v>
      </c>
      <c r="FX24" s="24">
        <f t="shared" si="126"/>
        <v>9</v>
      </c>
      <c r="FY24" s="24">
        <f t="shared" si="127"/>
        <v>2</v>
      </c>
      <c r="FZ24" s="24">
        <f t="shared" si="128"/>
        <v>15</v>
      </c>
      <c r="GA24" s="24">
        <f t="shared" si="129"/>
        <v>6</v>
      </c>
      <c r="GB24" s="24">
        <f t="shared" si="130"/>
        <v>6</v>
      </c>
      <c r="GC24" s="24">
        <f t="shared" si="131"/>
        <v>4</v>
      </c>
      <c r="GD24" s="24">
        <f t="shared" si="132"/>
        <v>4</v>
      </c>
      <c r="GE24" s="24">
        <f t="shared" si="133"/>
        <v>20</v>
      </c>
      <c r="GF24" s="24">
        <f t="shared" si="134"/>
        <v>4</v>
      </c>
      <c r="GG24" s="24">
        <f t="shared" si="135"/>
        <v>5</v>
      </c>
      <c r="GH24" s="24">
        <f t="shared" si="136"/>
        <v>3</v>
      </c>
      <c r="GI24" s="24">
        <f t="shared" si="137"/>
        <v>4</v>
      </c>
      <c r="GJ24" s="24">
        <f t="shared" si="138"/>
        <v>6</v>
      </c>
      <c r="GK24" s="24">
        <f t="shared" si="139"/>
        <v>6</v>
      </c>
      <c r="GL24" s="24">
        <f t="shared" si="140"/>
        <v>20</v>
      </c>
      <c r="GM24" s="24">
        <f t="shared" si="141"/>
        <v>1633.6333333333334</v>
      </c>
      <c r="GN24" s="26">
        <f t="shared" si="142"/>
        <v>54</v>
      </c>
      <c r="GO24" s="26">
        <f t="shared" si="330"/>
        <v>81.681666666666672</v>
      </c>
      <c r="GP24" s="24" t="str">
        <f t="shared" si="331"/>
        <v>B</v>
      </c>
      <c r="GQ24" s="26">
        <f t="shared" si="143"/>
        <v>2.7</v>
      </c>
      <c r="GR24" s="24">
        <f t="shared" si="144"/>
        <v>20</v>
      </c>
      <c r="GS24" s="26">
        <f t="shared" si="145"/>
        <v>1451.4066666666668</v>
      </c>
      <c r="GT24" s="26">
        <f t="shared" si="146"/>
        <v>48</v>
      </c>
      <c r="GU24" s="26">
        <f t="shared" si="332"/>
        <v>72.570333333333338</v>
      </c>
      <c r="GV24" s="24" t="str">
        <f t="shared" si="333"/>
        <v>C</v>
      </c>
      <c r="GW24" s="27">
        <f t="shared" si="147"/>
        <v>2.4</v>
      </c>
      <c r="GX24" s="24">
        <f t="shared" si="148"/>
        <v>40</v>
      </c>
      <c r="GY24" s="27">
        <f t="shared" si="149"/>
        <v>3085.0399999999995</v>
      </c>
      <c r="GZ24" s="27">
        <f t="shared" si="334"/>
        <v>102</v>
      </c>
      <c r="HA24" s="26">
        <f t="shared" si="335"/>
        <v>77.125999999999991</v>
      </c>
      <c r="HB24" s="27" t="str">
        <f t="shared" si="336"/>
        <v>C</v>
      </c>
      <c r="HC24" s="26">
        <f t="shared" si="150"/>
        <v>2.5499999999999998</v>
      </c>
      <c r="HD24" s="24">
        <f t="shared" si="151"/>
        <v>9</v>
      </c>
      <c r="HE24" s="24" t="str">
        <f t="shared" si="152"/>
        <v>6A</v>
      </c>
      <c r="HF24" s="24">
        <f t="shared" si="153"/>
        <v>11</v>
      </c>
      <c r="HG24" s="24">
        <f>IF(B24="","",'Q2'!$C$8)</f>
        <v>50</v>
      </c>
      <c r="HH24" s="24">
        <f>IF(A24="","",'Q2'!DE24)</f>
        <v>0</v>
      </c>
      <c r="HI24" s="24">
        <f>IF(B24="","",'Q2'!DF24)</f>
        <v>0</v>
      </c>
      <c r="HJ24" s="24">
        <f>IF(B24="","",'Q2'!DG24)</f>
        <v>0</v>
      </c>
      <c r="HK24" s="24">
        <f t="shared" si="154"/>
        <v>0</v>
      </c>
      <c r="HL24" s="25">
        <f t="shared" si="155"/>
        <v>1</v>
      </c>
      <c r="HM24" s="7">
        <v>50</v>
      </c>
      <c r="HN24" s="7">
        <v>50</v>
      </c>
      <c r="HO24" s="7">
        <v>75</v>
      </c>
      <c r="HP24" s="7">
        <v>60</v>
      </c>
      <c r="HQ24" s="7">
        <v>80</v>
      </c>
      <c r="HR24" s="7">
        <v>60</v>
      </c>
      <c r="HS24" s="7">
        <v>50</v>
      </c>
      <c r="HT24" s="7"/>
      <c r="HU24" s="7"/>
      <c r="HV24" s="7">
        <v>65</v>
      </c>
      <c r="HW24" s="7"/>
      <c r="HX24" s="7">
        <v>53</v>
      </c>
      <c r="HY24" s="7">
        <v>29</v>
      </c>
      <c r="HZ24" s="7">
        <v>57</v>
      </c>
      <c r="IA24" s="7">
        <v>90</v>
      </c>
      <c r="IB24" s="7">
        <v>51</v>
      </c>
      <c r="IC24" s="7" t="str">
        <f t="shared" si="156"/>
        <v>E</v>
      </c>
      <c r="ID24" s="7" t="str">
        <f t="shared" si="157"/>
        <v>E</v>
      </c>
      <c r="IE24" s="7" t="str">
        <f t="shared" si="158"/>
        <v>C</v>
      </c>
      <c r="IF24" s="7" t="str">
        <f t="shared" si="159"/>
        <v>D</v>
      </c>
      <c r="IG24" s="7" t="str">
        <f t="shared" si="160"/>
        <v>B</v>
      </c>
      <c r="IH24" s="7" t="str">
        <f t="shared" si="161"/>
        <v>D</v>
      </c>
      <c r="II24" s="7" t="str">
        <f t="shared" si="162"/>
        <v>E</v>
      </c>
      <c r="IJ24" s="7" t="str">
        <f t="shared" si="163"/>
        <v/>
      </c>
      <c r="IK24" s="7" t="str">
        <f t="shared" si="164"/>
        <v/>
      </c>
      <c r="IL24" s="24" t="str">
        <f t="shared" si="165"/>
        <v>D</v>
      </c>
      <c r="IM24" s="24" t="str">
        <f t="shared" si="166"/>
        <v/>
      </c>
      <c r="IN24" s="24" t="str">
        <f t="shared" si="167"/>
        <v>E</v>
      </c>
      <c r="IO24" s="24" t="str">
        <f t="shared" si="168"/>
        <v>F</v>
      </c>
      <c r="IP24" s="24" t="str">
        <f t="shared" si="169"/>
        <v>E</v>
      </c>
      <c r="IQ24" s="24" t="str">
        <f t="shared" si="170"/>
        <v>A</v>
      </c>
      <c r="IR24" s="24" t="str">
        <f t="shared" si="171"/>
        <v>E</v>
      </c>
      <c r="IS24" s="24">
        <f t="shared" si="172"/>
        <v>2</v>
      </c>
      <c r="IT24" s="24">
        <f t="shared" si="173"/>
        <v>2</v>
      </c>
      <c r="IU24" s="24">
        <f t="shared" si="174"/>
        <v>3</v>
      </c>
      <c r="IV24" s="24">
        <f t="shared" si="175"/>
        <v>1</v>
      </c>
      <c r="IW24" s="24">
        <f t="shared" si="176"/>
        <v>5</v>
      </c>
      <c r="IX24" s="24">
        <f t="shared" si="177"/>
        <v>3</v>
      </c>
      <c r="IY24" s="24">
        <f t="shared" si="178"/>
        <v>2</v>
      </c>
      <c r="IZ24" s="24" t="str">
        <f t="shared" si="179"/>
        <v/>
      </c>
      <c r="JA24" s="24" t="str">
        <f t="shared" si="180"/>
        <v/>
      </c>
      <c r="JB24" s="24">
        <f t="shared" si="181"/>
        <v>5</v>
      </c>
      <c r="JC24" s="24" t="str">
        <f t="shared" si="182"/>
        <v/>
      </c>
      <c r="JD24" s="24">
        <f t="shared" si="183"/>
        <v>5</v>
      </c>
      <c r="JE24" s="24">
        <f t="shared" si="184"/>
        <v>3</v>
      </c>
      <c r="JF24" s="24">
        <f t="shared" si="185"/>
        <v>2</v>
      </c>
      <c r="JG24" s="24">
        <f t="shared" si="186"/>
        <v>2</v>
      </c>
      <c r="JH24" s="24">
        <f t="shared" si="187"/>
        <v>2</v>
      </c>
      <c r="JI24" s="26">
        <f t="shared" si="188"/>
        <v>100</v>
      </c>
      <c r="JJ24" s="26">
        <f t="shared" si="189"/>
        <v>100</v>
      </c>
      <c r="JK24" s="26">
        <f t="shared" si="190"/>
        <v>225</v>
      </c>
      <c r="JL24" s="26">
        <f t="shared" si="191"/>
        <v>60</v>
      </c>
      <c r="JM24" s="26">
        <f t="shared" si="192"/>
        <v>400</v>
      </c>
      <c r="JN24" s="26">
        <f t="shared" si="193"/>
        <v>180</v>
      </c>
      <c r="JO24" s="26">
        <f t="shared" si="194"/>
        <v>100</v>
      </c>
      <c r="JP24" s="26" t="str">
        <f t="shared" si="195"/>
        <v/>
      </c>
      <c r="JQ24" s="24">
        <f t="shared" si="196"/>
        <v>325</v>
      </c>
      <c r="JR24" s="24" t="str">
        <f t="shared" si="197"/>
        <v/>
      </c>
      <c r="JS24" s="24">
        <f t="shared" si="198"/>
        <v>265</v>
      </c>
      <c r="JT24" s="24">
        <f t="shared" si="199"/>
        <v>87</v>
      </c>
      <c r="JU24" s="24">
        <f t="shared" si="200"/>
        <v>114</v>
      </c>
      <c r="JV24" s="24">
        <f t="shared" si="201"/>
        <v>180</v>
      </c>
      <c r="JW24" s="24">
        <f t="shared" si="202"/>
        <v>102</v>
      </c>
      <c r="JX24" s="24">
        <f t="shared" si="203"/>
        <v>2</v>
      </c>
      <c r="JY24" s="24">
        <f t="shared" si="204"/>
        <v>2</v>
      </c>
      <c r="JZ24" s="24">
        <f t="shared" si="205"/>
        <v>6</v>
      </c>
      <c r="KA24" s="24">
        <f t="shared" si="206"/>
        <v>1.5</v>
      </c>
      <c r="KB24" s="24">
        <f t="shared" si="207"/>
        <v>15</v>
      </c>
      <c r="KC24" s="24">
        <f t="shared" si="208"/>
        <v>4.5</v>
      </c>
      <c r="KD24" s="24">
        <f t="shared" si="209"/>
        <v>2</v>
      </c>
      <c r="KE24" s="24" t="str">
        <f t="shared" si="210"/>
        <v/>
      </c>
      <c r="KF24" s="24" t="str">
        <f t="shared" si="211"/>
        <v/>
      </c>
      <c r="KG24" s="24">
        <f t="shared" si="212"/>
        <v>7.5</v>
      </c>
      <c r="KH24" s="24" t="str">
        <f t="shared" si="213"/>
        <v/>
      </c>
      <c r="KI24" s="24">
        <f t="shared" si="214"/>
        <v>5</v>
      </c>
      <c r="KJ24" s="24">
        <f t="shared" si="215"/>
        <v>0</v>
      </c>
      <c r="KK24" s="24">
        <f t="shared" si="216"/>
        <v>2</v>
      </c>
      <c r="KL24" s="24">
        <f t="shared" si="217"/>
        <v>8</v>
      </c>
      <c r="KM24" s="24">
        <f t="shared" si="218"/>
        <v>2</v>
      </c>
      <c r="KN24" s="24">
        <f t="shared" si="219"/>
        <v>18</v>
      </c>
      <c r="KO24" s="26">
        <f t="shared" si="220"/>
        <v>1165</v>
      </c>
      <c r="KP24" s="26">
        <f t="shared" si="221"/>
        <v>33</v>
      </c>
      <c r="KQ24" s="26">
        <f t="shared" si="337"/>
        <v>64.722222222222229</v>
      </c>
      <c r="KR24" s="24" t="str">
        <f t="shared" si="338"/>
        <v>D</v>
      </c>
      <c r="KS24" s="26">
        <f t="shared" si="222"/>
        <v>1.8333333333333333</v>
      </c>
      <c r="KT24" s="24">
        <f t="shared" si="223"/>
        <v>19</v>
      </c>
      <c r="KU24" s="24">
        <f t="shared" si="224"/>
        <v>1073</v>
      </c>
      <c r="KV24" s="26">
        <f t="shared" si="225"/>
        <v>24.5</v>
      </c>
      <c r="KW24" s="26">
        <f t="shared" si="339"/>
        <v>56.473684210526315</v>
      </c>
      <c r="KX24" s="24" t="str">
        <f t="shared" si="340"/>
        <v>E</v>
      </c>
      <c r="KY24" s="27">
        <f t="shared" si="226"/>
        <v>1.2894736842105263</v>
      </c>
      <c r="KZ24" s="24">
        <f t="shared" si="227"/>
        <v>37</v>
      </c>
      <c r="LA24" s="27">
        <f t="shared" si="228"/>
        <v>2238</v>
      </c>
      <c r="LB24" s="27">
        <f t="shared" si="229"/>
        <v>57.5</v>
      </c>
      <c r="LC24" s="26">
        <f t="shared" si="341"/>
        <v>60.486486486486484</v>
      </c>
      <c r="LD24" s="24" t="str">
        <f t="shared" si="342"/>
        <v>D</v>
      </c>
      <c r="LE24" s="26">
        <f t="shared" si="230"/>
        <v>1.5540540540540539</v>
      </c>
      <c r="LF24" s="24">
        <f t="shared" si="231"/>
        <v>9</v>
      </c>
      <c r="LG24" s="24" t="str">
        <f t="shared" si="232"/>
        <v>6A</v>
      </c>
      <c r="LH24" s="24">
        <f t="shared" si="233"/>
        <v>11</v>
      </c>
      <c r="LI24" s="26">
        <f>IF('Q2'!G24="","",SUM((AVERAGE('Q1'!G24,'Q2'!G24)*0.5))+(HM24*0.5))</f>
        <v>57.083333333333336</v>
      </c>
      <c r="LJ24" s="26">
        <f>IF('Q2'!H24="","",SUM((AVERAGE('Q1'!H24,'Q2'!H24)*0.5))+(HN24*0.5))</f>
        <v>61.924999999999997</v>
      </c>
      <c r="LK24" s="26">
        <f>IF('Q2'!I24="","",SUM((AVERAGE('Q1'!I24,'Q2'!I24)*0.5))+(HO24*0.5))</f>
        <v>75.116666666666674</v>
      </c>
      <c r="LL24" s="26">
        <f>IF('Q2'!J24="","",SUM((AVERAGE('Q1'!J24,'Q2'!J24)*0.5))+(HP24*0.5))</f>
        <v>63.75</v>
      </c>
      <c r="LM24" s="26">
        <f>IF('Q2'!K24="","",SUM((AVERAGE('Q1'!K24,'Q2'!K24)*0.5))+(HQ24*0.5))</f>
        <v>77.150000000000006</v>
      </c>
      <c r="LN24" s="26">
        <f>IF('Q2'!L24="","",SUM((AVERAGE('Q1'!L24,'Q2'!L24)*0.5))+(HR24*0.5))</f>
        <v>66.974999999999994</v>
      </c>
      <c r="LO24" s="26">
        <f>IF('Q2'!M24="","",SUM((AVERAGE('Q1'!M24,'Q2'!M24)*0.5))+(HS24*0.5))</f>
        <v>62.641666666666666</v>
      </c>
      <c r="LP24" s="26">
        <f>IF('Q2'!N24="","",SUM((AVERAGE('Q1'!N24,'Q2'!N24)*1)))</f>
        <v>83</v>
      </c>
      <c r="LQ24" s="26">
        <f>IF('Q2'!O24="","",SUM((AVERAGE('Q1'!O24,'Q2'!O24)*1)))</f>
        <v>83</v>
      </c>
      <c r="LR24" s="26">
        <f>IF('Q2'!P24="","",SUM((AVERAGE('Q1'!P24,'Q2'!P24)*0.5))+(HV24*0.5))</f>
        <v>78.293333333333337</v>
      </c>
      <c r="LS24" s="26">
        <f>IF('Q2'!Q24="","",SUM((AVERAGE('Q1'!Q24,'Q2'!Q24)*1))+(HW24*1))</f>
        <v>91.586666666666673</v>
      </c>
      <c r="LT24" s="26">
        <f>IF('Q2'!R24="","",SUM((AVERAGE('Q1'!R24,'Q2'!R24)*0.5))+(HX24*0.5))</f>
        <v>52.922499999999999</v>
      </c>
      <c r="LU24" s="26">
        <f>IF('Q2'!S24="","",SUM((AVERAGE('Q1'!S24,'Q2'!S24)*0.5))+(HY24*0.5))</f>
        <v>38.056060606060605</v>
      </c>
      <c r="LV24" s="26">
        <f>IF('Q2'!T24="","",SUM((AVERAGE('Q1'!T24,'Q2'!T24)*0.5))+(HZ24*0.5))</f>
        <v>61.15</v>
      </c>
      <c r="LW24" s="26">
        <f>IF('Q2'!U24="","",SUM((AVERAGE('Q1'!U24,'Q2'!U24)*0.5))+(IA24*0.5))</f>
        <v>86.95</v>
      </c>
      <c r="LX24" s="26">
        <f>IF('Q2'!V24="","",SUM((AVERAGE('Q1'!V24,'Q2'!V24)*0.5))+(IB24*0.5))</f>
        <v>66.375</v>
      </c>
      <c r="LY24" s="26" t="str">
        <f t="shared" si="234"/>
        <v>E</v>
      </c>
      <c r="LZ24" s="26" t="str">
        <f t="shared" si="235"/>
        <v>D</v>
      </c>
      <c r="MA24" s="26" t="str">
        <f t="shared" si="236"/>
        <v>C</v>
      </c>
      <c r="MB24" s="26" t="str">
        <f t="shared" si="237"/>
        <v>D</v>
      </c>
      <c r="MC24" s="26" t="str">
        <f t="shared" si="238"/>
        <v>C</v>
      </c>
      <c r="MD24" s="26" t="str">
        <f t="shared" si="239"/>
        <v>D</v>
      </c>
      <c r="ME24" s="26" t="str">
        <f t="shared" si="240"/>
        <v>D</v>
      </c>
      <c r="MF24" s="26" t="str">
        <f t="shared" si="241"/>
        <v>B</v>
      </c>
      <c r="MG24" s="26" t="str">
        <f t="shared" si="242"/>
        <v>B</v>
      </c>
      <c r="MH24" s="24" t="str">
        <f t="shared" si="243"/>
        <v>C</v>
      </c>
      <c r="MI24" s="24" t="str">
        <f t="shared" si="244"/>
        <v>A</v>
      </c>
      <c r="MJ24" s="24" t="str">
        <f t="shared" si="245"/>
        <v>E</v>
      </c>
      <c r="MK24" s="24" t="str">
        <f t="shared" si="246"/>
        <v>F</v>
      </c>
      <c r="ML24" s="24" t="str">
        <f t="shared" si="247"/>
        <v>D</v>
      </c>
      <c r="MM24" s="24" t="str">
        <f t="shared" si="248"/>
        <v>B</v>
      </c>
      <c r="MN24" s="24" t="str">
        <f t="shared" si="249"/>
        <v>D</v>
      </c>
      <c r="MO24" s="24">
        <f t="shared" si="250"/>
        <v>2</v>
      </c>
      <c r="MP24" s="24">
        <f t="shared" si="251"/>
        <v>2</v>
      </c>
      <c r="MQ24" s="24">
        <f t="shared" si="252"/>
        <v>3</v>
      </c>
      <c r="MR24" s="24">
        <f t="shared" si="253"/>
        <v>1</v>
      </c>
      <c r="MS24" s="24">
        <f t="shared" si="254"/>
        <v>5</v>
      </c>
      <c r="MT24" s="24">
        <f t="shared" si="255"/>
        <v>3</v>
      </c>
      <c r="MU24" s="24">
        <f t="shared" si="256"/>
        <v>2</v>
      </c>
      <c r="MV24" s="24">
        <f t="shared" si="257"/>
        <v>1</v>
      </c>
      <c r="MW24" s="24">
        <f t="shared" si="258"/>
        <v>1</v>
      </c>
      <c r="MX24" s="24">
        <f t="shared" si="259"/>
        <v>5</v>
      </c>
      <c r="MY24" s="24">
        <f t="shared" si="260"/>
        <v>1</v>
      </c>
      <c r="MZ24" s="24">
        <f t="shared" si="261"/>
        <v>5</v>
      </c>
      <c r="NA24" s="24">
        <f t="shared" si="262"/>
        <v>3</v>
      </c>
      <c r="NB24" s="24">
        <f t="shared" si="263"/>
        <v>2</v>
      </c>
      <c r="NC24" s="24">
        <f t="shared" si="264"/>
        <v>2</v>
      </c>
      <c r="ND24" s="24">
        <f t="shared" si="265"/>
        <v>2</v>
      </c>
      <c r="NE24" s="26">
        <f t="shared" si="266"/>
        <v>114.16666666666667</v>
      </c>
      <c r="NF24" s="26">
        <f t="shared" si="267"/>
        <v>123.85</v>
      </c>
      <c r="NG24" s="26">
        <f t="shared" si="268"/>
        <v>225.35000000000002</v>
      </c>
      <c r="NH24" s="26">
        <f t="shared" si="269"/>
        <v>63.75</v>
      </c>
      <c r="NI24" s="26">
        <f t="shared" si="270"/>
        <v>385.75</v>
      </c>
      <c r="NJ24" s="26">
        <f t="shared" si="271"/>
        <v>200.92499999999998</v>
      </c>
      <c r="NK24" s="26">
        <f t="shared" si="272"/>
        <v>125.28333333333333</v>
      </c>
      <c r="NL24" s="26">
        <f t="shared" si="273"/>
        <v>83</v>
      </c>
      <c r="NM24" s="26">
        <f t="shared" si="274"/>
        <v>83</v>
      </c>
      <c r="NN24" s="26">
        <f t="shared" si="275"/>
        <v>391.4666666666667</v>
      </c>
      <c r="NO24" s="26">
        <f t="shared" si="276"/>
        <v>91.586666666666673</v>
      </c>
      <c r="NP24" s="26">
        <f t="shared" si="277"/>
        <v>264.61250000000001</v>
      </c>
      <c r="NQ24" s="26">
        <f t="shared" si="278"/>
        <v>114.16818181818181</v>
      </c>
      <c r="NR24" s="26">
        <f t="shared" si="279"/>
        <v>122.3</v>
      </c>
      <c r="NS24" s="26">
        <f t="shared" si="280"/>
        <v>173.9</v>
      </c>
      <c r="NT24" s="26">
        <f t="shared" si="281"/>
        <v>132.75</v>
      </c>
      <c r="NU24" s="24">
        <f t="shared" si="282"/>
        <v>2</v>
      </c>
      <c r="NV24" s="24">
        <f t="shared" si="283"/>
        <v>3</v>
      </c>
      <c r="NW24" s="24">
        <f t="shared" si="284"/>
        <v>6</v>
      </c>
      <c r="NX24" s="24">
        <f t="shared" si="285"/>
        <v>1.5</v>
      </c>
      <c r="NY24" s="24">
        <f t="shared" si="286"/>
        <v>10</v>
      </c>
      <c r="NZ24" s="24">
        <f t="shared" si="287"/>
        <v>4.5</v>
      </c>
      <c r="OA24" s="24">
        <f t="shared" si="288"/>
        <v>3</v>
      </c>
      <c r="OB24" s="24">
        <f t="shared" si="289"/>
        <v>3</v>
      </c>
      <c r="OC24" s="24">
        <f t="shared" si="290"/>
        <v>3</v>
      </c>
      <c r="OD24" s="24">
        <f t="shared" si="291"/>
        <v>10</v>
      </c>
      <c r="OE24" s="24">
        <f t="shared" si="292"/>
        <v>4</v>
      </c>
      <c r="OF24" s="24">
        <f t="shared" si="293"/>
        <v>5</v>
      </c>
      <c r="OG24" s="24">
        <f t="shared" si="294"/>
        <v>0</v>
      </c>
      <c r="OH24" s="24">
        <f t="shared" si="295"/>
        <v>3</v>
      </c>
      <c r="OI24" s="24">
        <f t="shared" si="296"/>
        <v>6</v>
      </c>
      <c r="OJ24" s="24">
        <f t="shared" si="297"/>
        <v>3</v>
      </c>
      <c r="OK24" s="24">
        <f t="shared" si="298"/>
        <v>20</v>
      </c>
      <c r="OL24" s="24">
        <f t="shared" si="299"/>
        <v>1405.075</v>
      </c>
      <c r="OM24" s="26">
        <f t="shared" si="300"/>
        <v>36</v>
      </c>
      <c r="ON24" s="26">
        <f t="shared" si="343"/>
        <v>70.253749999999997</v>
      </c>
      <c r="OO24" s="24" t="str">
        <f t="shared" si="344"/>
        <v>C</v>
      </c>
      <c r="OP24" s="26">
        <f t="shared" si="301"/>
        <v>1.8</v>
      </c>
      <c r="OQ24" s="24">
        <f t="shared" si="302"/>
        <v>20</v>
      </c>
      <c r="OR24" s="26">
        <f t="shared" si="303"/>
        <v>1290.7840151515152</v>
      </c>
      <c r="OS24" s="26">
        <f t="shared" si="304"/>
        <v>31</v>
      </c>
      <c r="OT24" s="26">
        <f t="shared" si="345"/>
        <v>64.539200757575756</v>
      </c>
      <c r="OU24" s="24" t="str">
        <f t="shared" si="346"/>
        <v>D</v>
      </c>
      <c r="OV24" s="27">
        <f t="shared" si="305"/>
        <v>1.55</v>
      </c>
      <c r="OW24" s="24">
        <f t="shared" si="306"/>
        <v>40</v>
      </c>
      <c r="OX24" s="27">
        <f t="shared" si="307"/>
        <v>2695.8590151515155</v>
      </c>
      <c r="OY24" s="27">
        <f t="shared" si="308"/>
        <v>67</v>
      </c>
      <c r="OZ24" s="26">
        <f t="shared" si="347"/>
        <v>67.396475378787883</v>
      </c>
      <c r="PA24" s="27" t="str">
        <f t="shared" si="348"/>
        <v>D</v>
      </c>
      <c r="PB24" s="26">
        <f t="shared" si="309"/>
        <v>1.675</v>
      </c>
      <c r="PC24" s="24">
        <f t="shared" si="310"/>
        <v>9</v>
      </c>
      <c r="PD24" s="24" t="str">
        <f t="shared" si="311"/>
        <v>6A</v>
      </c>
      <c r="PE24" s="24">
        <f t="shared" si="312"/>
        <v>11</v>
      </c>
      <c r="PF24" s="24">
        <f t="shared" si="313"/>
        <v>100</v>
      </c>
      <c r="PG24" s="24">
        <f t="shared" si="314"/>
        <v>0</v>
      </c>
      <c r="PH24" s="24">
        <f t="shared" si="315"/>
        <v>0</v>
      </c>
      <c r="PI24" s="24">
        <f t="shared" si="316"/>
        <v>0</v>
      </c>
      <c r="PJ24" s="24">
        <f t="shared" si="317"/>
        <v>0</v>
      </c>
      <c r="PK24" s="25">
        <f t="shared" si="318"/>
        <v>1</v>
      </c>
    </row>
    <row r="25" spans="1:427" ht="27" customHeight="1" x14ac:dyDescent="0.35">
      <c r="A25" s="24">
        <f t="shared" si="349"/>
        <v>11</v>
      </c>
      <c r="B25" s="28" t="s">
        <v>218</v>
      </c>
      <c r="C25" s="30" t="s">
        <v>219</v>
      </c>
      <c r="D25" s="28">
        <v>11</v>
      </c>
      <c r="E25" s="24" t="s">
        <v>124</v>
      </c>
      <c r="F25" s="24" t="s">
        <v>210</v>
      </c>
      <c r="G25" s="26">
        <v>50</v>
      </c>
      <c r="H25" s="26">
        <v>50</v>
      </c>
      <c r="I25" s="26">
        <v>50</v>
      </c>
      <c r="J25" s="26">
        <v>50</v>
      </c>
      <c r="K25" s="26">
        <v>50</v>
      </c>
      <c r="L25" s="26">
        <v>50</v>
      </c>
      <c r="M25" s="26">
        <v>50</v>
      </c>
      <c r="N25" s="26">
        <v>50</v>
      </c>
      <c r="O25" s="26">
        <v>50</v>
      </c>
      <c r="P25" s="26">
        <v>50</v>
      </c>
      <c r="Q25" s="26">
        <v>50</v>
      </c>
      <c r="R25" s="26">
        <v>50</v>
      </c>
      <c r="S25" s="26">
        <v>50</v>
      </c>
      <c r="T25" s="26">
        <v>50</v>
      </c>
      <c r="U25" s="26">
        <v>50</v>
      </c>
      <c r="V25" s="26">
        <v>50</v>
      </c>
      <c r="W25" s="26" t="str">
        <f t="shared" si="0"/>
        <v>E</v>
      </c>
      <c r="X25" s="26" t="str">
        <f t="shared" si="1"/>
        <v>E</v>
      </c>
      <c r="Y25" s="26" t="str">
        <f t="shared" si="2"/>
        <v>E</v>
      </c>
      <c r="Z25" s="26" t="str">
        <f t="shared" si="3"/>
        <v>E</v>
      </c>
      <c r="AA25" s="26" t="str">
        <f t="shared" si="4"/>
        <v>E</v>
      </c>
      <c r="AB25" s="26" t="str">
        <f t="shared" si="5"/>
        <v>E</v>
      </c>
      <c r="AC25" s="26" t="str">
        <f t="shared" si="6"/>
        <v>E</v>
      </c>
      <c r="AD25" s="26" t="str">
        <f t="shared" si="7"/>
        <v>E</v>
      </c>
      <c r="AE25" s="26" t="str">
        <f t="shared" si="8"/>
        <v>E</v>
      </c>
      <c r="AF25" s="24" t="str">
        <f t="shared" si="9"/>
        <v>E</v>
      </c>
      <c r="AG25" s="24" t="str">
        <f t="shared" si="10"/>
        <v>E</v>
      </c>
      <c r="AH25" s="24" t="str">
        <f t="shared" si="11"/>
        <v>E</v>
      </c>
      <c r="AI25" s="24" t="str">
        <f t="shared" si="12"/>
        <v>E</v>
      </c>
      <c r="AJ25" s="24" t="str">
        <f t="shared" si="13"/>
        <v>E</v>
      </c>
      <c r="AK25" s="24" t="str">
        <f t="shared" si="14"/>
        <v>E</v>
      </c>
      <c r="AL25" s="24" t="str">
        <f t="shared" si="15"/>
        <v>E</v>
      </c>
      <c r="AM25" s="24">
        <f t="shared" si="16"/>
        <v>2</v>
      </c>
      <c r="AN25" s="24">
        <f t="shared" si="17"/>
        <v>2</v>
      </c>
      <c r="AO25" s="24">
        <f t="shared" si="18"/>
        <v>3</v>
      </c>
      <c r="AP25" s="24">
        <f t="shared" si="19"/>
        <v>1</v>
      </c>
      <c r="AQ25" s="24">
        <f t="shared" si="20"/>
        <v>5</v>
      </c>
      <c r="AR25" s="24">
        <f t="shared" si="21"/>
        <v>3</v>
      </c>
      <c r="AS25" s="24">
        <f t="shared" si="22"/>
        <v>2</v>
      </c>
      <c r="AT25" s="24">
        <f t="shared" si="23"/>
        <v>1</v>
      </c>
      <c r="AU25" s="24">
        <f t="shared" si="24"/>
        <v>1</v>
      </c>
      <c r="AV25" s="24">
        <f t="shared" si="25"/>
        <v>5</v>
      </c>
      <c r="AW25" s="24">
        <f t="shared" si="26"/>
        <v>1</v>
      </c>
      <c r="AX25" s="24">
        <f t="shared" si="27"/>
        <v>5</v>
      </c>
      <c r="AY25" s="24">
        <f t="shared" si="28"/>
        <v>3</v>
      </c>
      <c r="AZ25" s="24">
        <f t="shared" si="29"/>
        <v>2</v>
      </c>
      <c r="BA25" s="24">
        <f t="shared" si="30"/>
        <v>2</v>
      </c>
      <c r="BB25" s="24">
        <f t="shared" si="31"/>
        <v>2</v>
      </c>
      <c r="BC25" s="26">
        <f t="shared" si="32"/>
        <v>100</v>
      </c>
      <c r="BD25" s="26">
        <f t="shared" si="33"/>
        <v>100</v>
      </c>
      <c r="BE25" s="26">
        <f t="shared" si="34"/>
        <v>150</v>
      </c>
      <c r="BF25" s="26">
        <f t="shared" si="35"/>
        <v>50</v>
      </c>
      <c r="BG25" s="26">
        <f t="shared" si="36"/>
        <v>250</v>
      </c>
      <c r="BH25" s="26">
        <f t="shared" si="37"/>
        <v>150</v>
      </c>
      <c r="BI25" s="26">
        <f t="shared" si="38"/>
        <v>100</v>
      </c>
      <c r="BJ25" s="26">
        <f t="shared" si="39"/>
        <v>50</v>
      </c>
      <c r="BK25" s="26">
        <f t="shared" si="40"/>
        <v>50</v>
      </c>
      <c r="BL25" s="26">
        <f t="shared" si="41"/>
        <v>250</v>
      </c>
      <c r="BM25" s="26">
        <f t="shared" si="42"/>
        <v>50</v>
      </c>
      <c r="BN25" s="26">
        <f t="shared" si="43"/>
        <v>250</v>
      </c>
      <c r="BO25" s="26">
        <f t="shared" si="44"/>
        <v>150</v>
      </c>
      <c r="BP25" s="26">
        <f t="shared" si="45"/>
        <v>100</v>
      </c>
      <c r="BQ25" s="26">
        <f t="shared" si="46"/>
        <v>100</v>
      </c>
      <c r="BR25" s="26">
        <f t="shared" si="47"/>
        <v>100</v>
      </c>
      <c r="BS25" s="24">
        <f t="shared" si="48"/>
        <v>2</v>
      </c>
      <c r="BT25" s="24">
        <f t="shared" si="49"/>
        <v>2</v>
      </c>
      <c r="BU25" s="24">
        <f t="shared" si="50"/>
        <v>3</v>
      </c>
      <c r="BV25" s="24">
        <f t="shared" si="51"/>
        <v>1</v>
      </c>
      <c r="BW25" s="24">
        <f t="shared" si="52"/>
        <v>5</v>
      </c>
      <c r="BX25" s="24">
        <f t="shared" si="53"/>
        <v>3</v>
      </c>
      <c r="BY25" s="24">
        <f t="shared" si="54"/>
        <v>2</v>
      </c>
      <c r="BZ25" s="24">
        <f t="shared" si="55"/>
        <v>1</v>
      </c>
      <c r="CA25" s="24">
        <f t="shared" si="56"/>
        <v>1</v>
      </c>
      <c r="CB25" s="24">
        <f t="shared" si="57"/>
        <v>5</v>
      </c>
      <c r="CC25" s="24">
        <f t="shared" si="58"/>
        <v>1</v>
      </c>
      <c r="CD25" s="24">
        <f t="shared" si="59"/>
        <v>5</v>
      </c>
      <c r="CE25" s="24">
        <f t="shared" si="60"/>
        <v>3</v>
      </c>
      <c r="CF25" s="24">
        <f t="shared" si="61"/>
        <v>2</v>
      </c>
      <c r="CG25" s="24">
        <f t="shared" si="62"/>
        <v>2</v>
      </c>
      <c r="CH25" s="24">
        <f t="shared" si="63"/>
        <v>2</v>
      </c>
      <c r="CI25" s="24">
        <f t="shared" si="319"/>
        <v>20</v>
      </c>
      <c r="CJ25" s="26">
        <f t="shared" si="64"/>
        <v>1000</v>
      </c>
      <c r="CK25" s="26">
        <f t="shared" si="320"/>
        <v>20</v>
      </c>
      <c r="CL25" s="26">
        <f t="shared" si="321"/>
        <v>50</v>
      </c>
      <c r="CM25" s="24" t="str">
        <f t="shared" si="322"/>
        <v>E</v>
      </c>
      <c r="CN25" s="26">
        <f t="shared" si="65"/>
        <v>1</v>
      </c>
      <c r="CO25" s="24">
        <f t="shared" si="66"/>
        <v>20</v>
      </c>
      <c r="CP25" s="26">
        <f t="shared" si="67"/>
        <v>1000</v>
      </c>
      <c r="CQ25" s="26">
        <f t="shared" si="68"/>
        <v>20</v>
      </c>
      <c r="CR25" s="26">
        <f t="shared" si="323"/>
        <v>50</v>
      </c>
      <c r="CS25" s="24" t="str">
        <f t="shared" si="324"/>
        <v>E</v>
      </c>
      <c r="CT25" s="27">
        <f t="shared" si="69"/>
        <v>1</v>
      </c>
      <c r="CU25" s="24">
        <f t="shared" si="325"/>
        <v>40</v>
      </c>
      <c r="CV25" s="26">
        <f t="shared" si="326"/>
        <v>2000</v>
      </c>
      <c r="CW25" s="26">
        <f t="shared" si="327"/>
        <v>40</v>
      </c>
      <c r="CX25" s="26">
        <f t="shared" si="328"/>
        <v>50</v>
      </c>
      <c r="CY25" s="24" t="str">
        <f t="shared" si="329"/>
        <v>E</v>
      </c>
      <c r="CZ25" s="26">
        <f t="shared" si="70"/>
        <v>1</v>
      </c>
      <c r="DA25" s="24">
        <f t="shared" si="71"/>
        <v>11</v>
      </c>
      <c r="DB25" s="24" t="str">
        <f t="shared" si="72"/>
        <v>6A</v>
      </c>
      <c r="DC25" s="24">
        <f t="shared" si="73"/>
        <v>11</v>
      </c>
      <c r="DD25" s="24">
        <f>IF(B25="","",'Q1'!$C$8)</f>
        <v>50</v>
      </c>
      <c r="DE25" s="24">
        <f>IF(A25="","",'Q1'!DE25)</f>
        <v>0</v>
      </c>
      <c r="DF25" s="24">
        <f>IF(B25="","",'Q1'!DF25)</f>
        <v>0</v>
      </c>
      <c r="DG25" s="24">
        <f>IF(B25="","",'Q1'!DG25)</f>
        <v>0</v>
      </c>
      <c r="DH25" s="24">
        <f t="shared" si="74"/>
        <v>0</v>
      </c>
      <c r="DI25" s="25">
        <f t="shared" si="75"/>
        <v>1</v>
      </c>
      <c r="DJ25" s="26">
        <f>IF('Q2'!G25="","",'Q2'!G25)</f>
        <v>77</v>
      </c>
      <c r="DK25" s="26">
        <f>IF('Q2'!H25="","",'Q2'!H25)</f>
        <v>85.366666666666674</v>
      </c>
      <c r="DL25" s="26">
        <f>IF('Q2'!I25="","",'Q2'!I25)</f>
        <v>85.933333333333337</v>
      </c>
      <c r="DM25" s="26">
        <f>IF('Q2'!J25="","",'Q2'!J25)</f>
        <v>82.333333333333343</v>
      </c>
      <c r="DN25" s="26">
        <f>IF('Q2'!K25="","",'Q2'!K25)</f>
        <v>85.466666666666683</v>
      </c>
      <c r="DO25" s="26">
        <f>IF('Q2'!L25="","",'Q2'!L25)</f>
        <v>83.166666666666686</v>
      </c>
      <c r="DP25" s="26">
        <f>IF('Q2'!M25="","",'Q2'!M25)</f>
        <v>85.566666666666677</v>
      </c>
      <c r="DQ25" s="26">
        <f>IF('Q2'!N25="","",'Q2'!N25)</f>
        <v>100</v>
      </c>
      <c r="DR25" s="26">
        <f>IF('Q2'!O25="","",'Q2'!O25)</f>
        <v>100</v>
      </c>
      <c r="DS25" s="26">
        <f>IF('Q2'!P25="","",'Q2'!P25)</f>
        <v>78.739999999999995</v>
      </c>
      <c r="DT25" s="26">
        <f>IF('Q2'!Q25="","",'Q2'!Q25)</f>
        <v>78.739999999999995</v>
      </c>
      <c r="DU25" s="26">
        <f>IF('Q2'!R25="","",'Q2'!R25)</f>
        <v>51.62</v>
      </c>
      <c r="DV25" s="26">
        <f>IF('Q2'!S25="","",'Q2'!S25)</f>
        <v>38.6</v>
      </c>
      <c r="DW25" s="26">
        <f>IF('Q2'!T25="","",'Q2'!T25)</f>
        <v>50</v>
      </c>
      <c r="DX25" s="26">
        <f>IF('Q2'!U25="","",'Q2'!U25)</f>
        <v>50</v>
      </c>
      <c r="DY25" s="26">
        <f>IF('Q2'!V25="","",'Q2'!V25)</f>
        <v>50</v>
      </c>
      <c r="DZ25" s="26" t="str">
        <f t="shared" si="76"/>
        <v>C</v>
      </c>
      <c r="EA25" s="26" t="str">
        <f t="shared" si="77"/>
        <v>B</v>
      </c>
      <c r="EB25" s="26" t="str">
        <f t="shared" si="78"/>
        <v>B</v>
      </c>
      <c r="EC25" s="26" t="str">
        <f t="shared" si="79"/>
        <v>B</v>
      </c>
      <c r="ED25" s="26" t="str">
        <f t="shared" si="80"/>
        <v>B</v>
      </c>
      <c r="EE25" s="26" t="str">
        <f t="shared" si="81"/>
        <v>B</v>
      </c>
      <c r="EF25" s="26" t="str">
        <f t="shared" si="82"/>
        <v>B</v>
      </c>
      <c r="EG25" s="26" t="str">
        <f t="shared" si="83"/>
        <v>A</v>
      </c>
      <c r="EH25" s="26" t="str">
        <f t="shared" si="84"/>
        <v>A</v>
      </c>
      <c r="EI25" s="24" t="str">
        <f t="shared" si="85"/>
        <v>C</v>
      </c>
      <c r="EJ25" s="24" t="str">
        <f t="shared" si="86"/>
        <v>C</v>
      </c>
      <c r="EK25" s="24" t="str">
        <f t="shared" si="87"/>
        <v>E</v>
      </c>
      <c r="EL25" s="24" t="str">
        <f t="shared" si="88"/>
        <v>F</v>
      </c>
      <c r="EM25" s="24" t="str">
        <f t="shared" si="89"/>
        <v>E</v>
      </c>
      <c r="EN25" s="24" t="str">
        <f t="shared" si="90"/>
        <v>E</v>
      </c>
      <c r="EO25" s="24" t="str">
        <f t="shared" si="91"/>
        <v>E</v>
      </c>
      <c r="EP25" s="24">
        <f t="shared" si="92"/>
        <v>2</v>
      </c>
      <c r="EQ25" s="24">
        <f t="shared" si="93"/>
        <v>2</v>
      </c>
      <c r="ER25" s="24">
        <f t="shared" si="94"/>
        <v>3</v>
      </c>
      <c r="ES25" s="24">
        <f t="shared" si="95"/>
        <v>1</v>
      </c>
      <c r="ET25" s="24">
        <f t="shared" si="96"/>
        <v>5</v>
      </c>
      <c r="EU25" s="24">
        <f t="shared" si="97"/>
        <v>3</v>
      </c>
      <c r="EV25" s="24">
        <f t="shared" si="98"/>
        <v>2</v>
      </c>
      <c r="EW25" s="24">
        <f t="shared" si="99"/>
        <v>1</v>
      </c>
      <c r="EX25" s="24">
        <f t="shared" si="100"/>
        <v>1</v>
      </c>
      <c r="EY25" s="24">
        <f t="shared" si="101"/>
        <v>5</v>
      </c>
      <c r="EZ25" s="24">
        <f t="shared" si="102"/>
        <v>1</v>
      </c>
      <c r="FA25" s="24">
        <f t="shared" si="103"/>
        <v>5</v>
      </c>
      <c r="FB25" s="24">
        <f t="shared" si="104"/>
        <v>3</v>
      </c>
      <c r="FC25" s="24">
        <f t="shared" si="105"/>
        <v>2</v>
      </c>
      <c r="FD25" s="24">
        <f t="shared" si="106"/>
        <v>2</v>
      </c>
      <c r="FE25" s="24">
        <f t="shared" si="107"/>
        <v>2</v>
      </c>
      <c r="FF25" s="26">
        <f t="shared" si="108"/>
        <v>154</v>
      </c>
      <c r="FG25" s="26">
        <f t="shared" si="109"/>
        <v>170.73333333333335</v>
      </c>
      <c r="FH25" s="26">
        <f t="shared" si="110"/>
        <v>257.8</v>
      </c>
      <c r="FI25" s="26">
        <f t="shared" si="111"/>
        <v>82.333333333333343</v>
      </c>
      <c r="FJ25" s="26">
        <f t="shared" si="112"/>
        <v>427.33333333333343</v>
      </c>
      <c r="FK25" s="26">
        <f t="shared" si="113"/>
        <v>249.50000000000006</v>
      </c>
      <c r="FL25" s="26">
        <f t="shared" si="114"/>
        <v>171.13333333333335</v>
      </c>
      <c r="FM25" s="26">
        <f t="shared" si="115"/>
        <v>100</v>
      </c>
      <c r="FN25" s="26">
        <f t="shared" si="116"/>
        <v>100</v>
      </c>
      <c r="FO25" s="26">
        <f t="shared" si="117"/>
        <v>393.7</v>
      </c>
      <c r="FP25" s="26">
        <f t="shared" si="118"/>
        <v>78.739999999999995</v>
      </c>
      <c r="FQ25" s="26">
        <f t="shared" si="119"/>
        <v>258.09999999999997</v>
      </c>
      <c r="FR25" s="26">
        <f t="shared" si="120"/>
        <v>115.80000000000001</v>
      </c>
      <c r="FS25" s="26">
        <f t="shared" si="121"/>
        <v>100</v>
      </c>
      <c r="FT25" s="26">
        <f t="shared" si="122"/>
        <v>100</v>
      </c>
      <c r="FU25" s="26">
        <f t="shared" si="123"/>
        <v>100</v>
      </c>
      <c r="FV25" s="24">
        <f t="shared" si="124"/>
        <v>4</v>
      </c>
      <c r="FW25" s="24">
        <f t="shared" si="125"/>
        <v>6</v>
      </c>
      <c r="FX25" s="24">
        <f t="shared" si="126"/>
        <v>9</v>
      </c>
      <c r="FY25" s="24">
        <f t="shared" si="127"/>
        <v>3</v>
      </c>
      <c r="FZ25" s="24">
        <f t="shared" si="128"/>
        <v>15</v>
      </c>
      <c r="GA25" s="24">
        <f t="shared" si="129"/>
        <v>9</v>
      </c>
      <c r="GB25" s="24">
        <f t="shared" si="130"/>
        <v>6</v>
      </c>
      <c r="GC25" s="24">
        <f t="shared" si="131"/>
        <v>4</v>
      </c>
      <c r="GD25" s="24">
        <f t="shared" si="132"/>
        <v>4</v>
      </c>
      <c r="GE25" s="24">
        <f t="shared" si="133"/>
        <v>10</v>
      </c>
      <c r="GF25" s="24">
        <f t="shared" si="134"/>
        <v>2</v>
      </c>
      <c r="GG25" s="24">
        <f t="shared" si="135"/>
        <v>5</v>
      </c>
      <c r="GH25" s="24">
        <f t="shared" si="136"/>
        <v>0</v>
      </c>
      <c r="GI25" s="24">
        <f t="shared" si="137"/>
        <v>2</v>
      </c>
      <c r="GJ25" s="24">
        <f t="shared" si="138"/>
        <v>2</v>
      </c>
      <c r="GK25" s="24">
        <f t="shared" si="139"/>
        <v>2</v>
      </c>
      <c r="GL25" s="24">
        <f t="shared" si="140"/>
        <v>20</v>
      </c>
      <c r="GM25" s="24">
        <f t="shared" si="141"/>
        <v>1712.8333333333335</v>
      </c>
      <c r="GN25" s="26">
        <f t="shared" si="142"/>
        <v>60</v>
      </c>
      <c r="GO25" s="26">
        <f t="shared" si="330"/>
        <v>85.64166666666668</v>
      </c>
      <c r="GP25" s="24" t="str">
        <f t="shared" si="331"/>
        <v>B</v>
      </c>
      <c r="GQ25" s="26">
        <f t="shared" si="143"/>
        <v>3</v>
      </c>
      <c r="GR25" s="24">
        <f t="shared" si="144"/>
        <v>20</v>
      </c>
      <c r="GS25" s="26">
        <f t="shared" si="145"/>
        <v>1146.3399999999999</v>
      </c>
      <c r="GT25" s="26">
        <f t="shared" si="146"/>
        <v>23</v>
      </c>
      <c r="GU25" s="26">
        <f t="shared" si="332"/>
        <v>57.316999999999993</v>
      </c>
      <c r="GV25" s="24" t="str">
        <f t="shared" si="333"/>
        <v>E</v>
      </c>
      <c r="GW25" s="27">
        <f t="shared" si="147"/>
        <v>1.1499999999999999</v>
      </c>
      <c r="GX25" s="24">
        <f t="shared" si="148"/>
        <v>40</v>
      </c>
      <c r="GY25" s="27">
        <f t="shared" si="149"/>
        <v>2859.1733333333332</v>
      </c>
      <c r="GZ25" s="27">
        <f t="shared" si="334"/>
        <v>83</v>
      </c>
      <c r="HA25" s="26">
        <f t="shared" si="335"/>
        <v>71.479333333333329</v>
      </c>
      <c r="HB25" s="27" t="str">
        <f t="shared" si="336"/>
        <v>C</v>
      </c>
      <c r="HC25" s="26">
        <f t="shared" si="150"/>
        <v>2.0750000000000002</v>
      </c>
      <c r="HD25" s="24">
        <f t="shared" si="151"/>
        <v>10</v>
      </c>
      <c r="HE25" s="24" t="str">
        <f t="shared" si="152"/>
        <v>6A</v>
      </c>
      <c r="HF25" s="24">
        <f t="shared" si="153"/>
        <v>11</v>
      </c>
      <c r="HG25" s="24">
        <f>IF(B25="","",'Q2'!$C$8)</f>
        <v>50</v>
      </c>
      <c r="HH25" s="24">
        <f>IF(A25="","",'Q2'!DE25)</f>
        <v>0</v>
      </c>
      <c r="HI25" s="24">
        <f>IF(B25="","",'Q2'!DF25)</f>
        <v>0</v>
      </c>
      <c r="HJ25" s="24">
        <f>IF(B25="","",'Q2'!DG25)</f>
        <v>0</v>
      </c>
      <c r="HK25" s="24">
        <f t="shared" si="154"/>
        <v>0</v>
      </c>
      <c r="HL25" s="25">
        <f t="shared" si="155"/>
        <v>1</v>
      </c>
      <c r="HM25" s="7">
        <v>60</v>
      </c>
      <c r="HN25" s="7">
        <v>65</v>
      </c>
      <c r="HO25" s="7">
        <v>80</v>
      </c>
      <c r="HP25" s="7">
        <v>70</v>
      </c>
      <c r="HQ25" s="7">
        <v>70</v>
      </c>
      <c r="HR25" s="7">
        <v>75</v>
      </c>
      <c r="HS25" s="7">
        <v>55</v>
      </c>
      <c r="HT25" s="7"/>
      <c r="HU25" s="7"/>
      <c r="HV25" s="7">
        <v>67</v>
      </c>
      <c r="HW25" s="7"/>
      <c r="HX25" s="7">
        <v>28</v>
      </c>
      <c r="HY25" s="7">
        <v>8</v>
      </c>
      <c r="HZ25" s="7">
        <v>61</v>
      </c>
      <c r="IA25" s="7">
        <v>55</v>
      </c>
      <c r="IB25" s="7">
        <v>53</v>
      </c>
      <c r="IC25" s="7" t="str">
        <f t="shared" si="156"/>
        <v>D</v>
      </c>
      <c r="ID25" s="7" t="str">
        <f t="shared" si="157"/>
        <v>D</v>
      </c>
      <c r="IE25" s="7" t="str">
        <f t="shared" si="158"/>
        <v>B</v>
      </c>
      <c r="IF25" s="7" t="str">
        <f t="shared" si="159"/>
        <v>C</v>
      </c>
      <c r="IG25" s="7" t="str">
        <f t="shared" si="160"/>
        <v>C</v>
      </c>
      <c r="IH25" s="7" t="str">
        <f t="shared" si="161"/>
        <v>C</v>
      </c>
      <c r="II25" s="7" t="str">
        <f t="shared" si="162"/>
        <v>E</v>
      </c>
      <c r="IJ25" s="7" t="str">
        <f t="shared" si="163"/>
        <v/>
      </c>
      <c r="IK25" s="7" t="str">
        <f t="shared" si="164"/>
        <v/>
      </c>
      <c r="IL25" s="24" t="str">
        <f t="shared" si="165"/>
        <v>D</v>
      </c>
      <c r="IM25" s="24" t="str">
        <f t="shared" si="166"/>
        <v/>
      </c>
      <c r="IN25" s="24" t="str">
        <f t="shared" si="167"/>
        <v>F</v>
      </c>
      <c r="IO25" s="24" t="str">
        <f t="shared" si="168"/>
        <v>F</v>
      </c>
      <c r="IP25" s="24" t="str">
        <f t="shared" si="169"/>
        <v>D</v>
      </c>
      <c r="IQ25" s="24" t="str">
        <f t="shared" si="170"/>
        <v>E</v>
      </c>
      <c r="IR25" s="24" t="str">
        <f t="shared" si="171"/>
        <v>E</v>
      </c>
      <c r="IS25" s="24">
        <f t="shared" si="172"/>
        <v>2</v>
      </c>
      <c r="IT25" s="24">
        <f t="shared" si="173"/>
        <v>2</v>
      </c>
      <c r="IU25" s="24">
        <f t="shared" si="174"/>
        <v>3</v>
      </c>
      <c r="IV25" s="24">
        <f t="shared" si="175"/>
        <v>1</v>
      </c>
      <c r="IW25" s="24">
        <f t="shared" si="176"/>
        <v>5</v>
      </c>
      <c r="IX25" s="24">
        <f t="shared" si="177"/>
        <v>3</v>
      </c>
      <c r="IY25" s="24">
        <f t="shared" si="178"/>
        <v>2</v>
      </c>
      <c r="IZ25" s="24" t="str">
        <f t="shared" si="179"/>
        <v/>
      </c>
      <c r="JA25" s="24" t="str">
        <f t="shared" si="180"/>
        <v/>
      </c>
      <c r="JB25" s="24">
        <f t="shared" si="181"/>
        <v>5</v>
      </c>
      <c r="JC25" s="24" t="str">
        <f t="shared" si="182"/>
        <v/>
      </c>
      <c r="JD25" s="24">
        <f t="shared" si="183"/>
        <v>5</v>
      </c>
      <c r="JE25" s="24">
        <f t="shared" si="184"/>
        <v>3</v>
      </c>
      <c r="JF25" s="24">
        <f t="shared" si="185"/>
        <v>2</v>
      </c>
      <c r="JG25" s="24">
        <f t="shared" si="186"/>
        <v>2</v>
      </c>
      <c r="JH25" s="24">
        <f t="shared" si="187"/>
        <v>2</v>
      </c>
      <c r="JI25" s="26">
        <f t="shared" si="188"/>
        <v>120</v>
      </c>
      <c r="JJ25" s="26">
        <f t="shared" si="189"/>
        <v>130</v>
      </c>
      <c r="JK25" s="26">
        <f t="shared" si="190"/>
        <v>240</v>
      </c>
      <c r="JL25" s="26">
        <f t="shared" si="191"/>
        <v>70</v>
      </c>
      <c r="JM25" s="26">
        <f t="shared" si="192"/>
        <v>350</v>
      </c>
      <c r="JN25" s="26">
        <f t="shared" si="193"/>
        <v>225</v>
      </c>
      <c r="JO25" s="26">
        <f t="shared" si="194"/>
        <v>110</v>
      </c>
      <c r="JP25" s="26" t="str">
        <f t="shared" si="195"/>
        <v/>
      </c>
      <c r="JQ25" s="24">
        <f t="shared" si="196"/>
        <v>335</v>
      </c>
      <c r="JR25" s="24" t="str">
        <f t="shared" si="197"/>
        <v/>
      </c>
      <c r="JS25" s="24">
        <f t="shared" si="198"/>
        <v>140</v>
      </c>
      <c r="JT25" s="24">
        <f t="shared" si="199"/>
        <v>24</v>
      </c>
      <c r="JU25" s="24">
        <f t="shared" si="200"/>
        <v>122</v>
      </c>
      <c r="JV25" s="24">
        <f t="shared" si="201"/>
        <v>110</v>
      </c>
      <c r="JW25" s="24">
        <f t="shared" si="202"/>
        <v>106</v>
      </c>
      <c r="JX25" s="24">
        <f t="shared" si="203"/>
        <v>3</v>
      </c>
      <c r="JY25" s="24">
        <f t="shared" si="204"/>
        <v>3</v>
      </c>
      <c r="JZ25" s="24">
        <f t="shared" si="205"/>
        <v>9</v>
      </c>
      <c r="KA25" s="24">
        <f t="shared" si="206"/>
        <v>2</v>
      </c>
      <c r="KB25" s="24">
        <f t="shared" si="207"/>
        <v>10</v>
      </c>
      <c r="KC25" s="24">
        <f t="shared" si="208"/>
        <v>6</v>
      </c>
      <c r="KD25" s="24">
        <f t="shared" si="209"/>
        <v>2</v>
      </c>
      <c r="KE25" s="24" t="str">
        <f t="shared" si="210"/>
        <v/>
      </c>
      <c r="KF25" s="24" t="str">
        <f t="shared" si="211"/>
        <v/>
      </c>
      <c r="KG25" s="24">
        <f t="shared" si="212"/>
        <v>7.5</v>
      </c>
      <c r="KH25" s="24" t="str">
        <f t="shared" si="213"/>
        <v/>
      </c>
      <c r="KI25" s="24">
        <f t="shared" si="214"/>
        <v>0</v>
      </c>
      <c r="KJ25" s="24">
        <f t="shared" si="215"/>
        <v>0</v>
      </c>
      <c r="KK25" s="24">
        <f t="shared" si="216"/>
        <v>3</v>
      </c>
      <c r="KL25" s="24">
        <f t="shared" si="217"/>
        <v>2</v>
      </c>
      <c r="KM25" s="24">
        <f t="shared" si="218"/>
        <v>2</v>
      </c>
      <c r="KN25" s="24">
        <f t="shared" si="219"/>
        <v>18</v>
      </c>
      <c r="KO25" s="26">
        <f t="shared" si="220"/>
        <v>1245</v>
      </c>
      <c r="KP25" s="26">
        <f t="shared" si="221"/>
        <v>35</v>
      </c>
      <c r="KQ25" s="26">
        <f t="shared" si="337"/>
        <v>69.166666666666671</v>
      </c>
      <c r="KR25" s="24" t="str">
        <f t="shared" si="338"/>
        <v>D</v>
      </c>
      <c r="KS25" s="26">
        <f t="shared" si="222"/>
        <v>1.9444444444444444</v>
      </c>
      <c r="KT25" s="24">
        <f t="shared" si="223"/>
        <v>19</v>
      </c>
      <c r="KU25" s="24">
        <f t="shared" si="224"/>
        <v>837</v>
      </c>
      <c r="KV25" s="26">
        <f t="shared" si="225"/>
        <v>14.5</v>
      </c>
      <c r="KW25" s="26">
        <f t="shared" si="339"/>
        <v>44.05263157894737</v>
      </c>
      <c r="KX25" s="24" t="str">
        <f t="shared" si="340"/>
        <v>F</v>
      </c>
      <c r="KY25" s="27">
        <f t="shared" si="226"/>
        <v>0.76315789473684215</v>
      </c>
      <c r="KZ25" s="24">
        <f t="shared" si="227"/>
        <v>37</v>
      </c>
      <c r="LA25" s="27">
        <f t="shared" si="228"/>
        <v>2082</v>
      </c>
      <c r="LB25" s="27">
        <f t="shared" si="229"/>
        <v>49.5</v>
      </c>
      <c r="LC25" s="26">
        <f t="shared" si="341"/>
        <v>56.270270270270274</v>
      </c>
      <c r="LD25" s="24" t="str">
        <f t="shared" si="342"/>
        <v>E</v>
      </c>
      <c r="LE25" s="26">
        <f t="shared" si="230"/>
        <v>1.3378378378378379</v>
      </c>
      <c r="LF25" s="24">
        <f t="shared" si="231"/>
        <v>10</v>
      </c>
      <c r="LG25" s="24" t="str">
        <f t="shared" si="232"/>
        <v>6A</v>
      </c>
      <c r="LH25" s="24">
        <f t="shared" si="233"/>
        <v>11</v>
      </c>
      <c r="LI25" s="26">
        <f>IF('Q2'!G25="","",SUM((AVERAGE('Q1'!G25,'Q2'!G25)*0.5))+(HM25*0.5))</f>
        <v>66.75</v>
      </c>
      <c r="LJ25" s="26">
        <f>IF('Q2'!H25="","",SUM((AVERAGE('Q1'!H25,'Q2'!H25)*0.5))+(HN25*0.5))</f>
        <v>71.341666666666669</v>
      </c>
      <c r="LK25" s="26">
        <f>IF('Q2'!I25="","",SUM((AVERAGE('Q1'!I25,'Q2'!I25)*0.5))+(HO25*0.5))</f>
        <v>77.183333333333337</v>
      </c>
      <c r="LL25" s="26">
        <f>IF('Q2'!J25="","",SUM((AVERAGE('Q1'!J25,'Q2'!J25)*0.5))+(HP25*0.5))</f>
        <v>70.083333333333343</v>
      </c>
      <c r="LM25" s="26">
        <f>IF('Q2'!K25="","",SUM((AVERAGE('Q1'!K25,'Q2'!K25)*0.5))+(HQ25*0.5))</f>
        <v>70.866666666666674</v>
      </c>
      <c r="LN25" s="26">
        <f>IF('Q2'!L25="","",SUM((AVERAGE('Q1'!L25,'Q2'!L25)*0.5))+(HR25*0.5))</f>
        <v>73.991666666666674</v>
      </c>
      <c r="LO25" s="26">
        <f>IF('Q2'!M25="","",SUM((AVERAGE('Q1'!M25,'Q2'!M25)*0.5))+(HS25*0.5))</f>
        <v>63.391666666666666</v>
      </c>
      <c r="LP25" s="26">
        <f>IF('Q2'!N25="","",SUM((AVERAGE('Q1'!N25,'Q2'!N25)*1)))</f>
        <v>79</v>
      </c>
      <c r="LQ25" s="26">
        <f>IF('Q2'!O25="","",SUM((AVERAGE('Q1'!O25,'Q2'!O25)*1)))</f>
        <v>79</v>
      </c>
      <c r="LR25" s="26">
        <f>IF('Q2'!P25="","",SUM((AVERAGE('Q1'!P25,'Q2'!P25)*0.5))+(HV25*0.5))</f>
        <v>68.142499999999998</v>
      </c>
      <c r="LS25" s="26">
        <f>IF('Q2'!Q25="","",SUM((AVERAGE('Q1'!Q25,'Q2'!Q25)*1))+(HW25*1))</f>
        <v>69.284999999999997</v>
      </c>
      <c r="LT25" s="26">
        <f>IF('Q2'!R25="","",SUM((AVERAGE('Q1'!R25,'Q2'!R25)*0.5))+(HX25*0.5))</f>
        <v>44.522500000000001</v>
      </c>
      <c r="LU25" s="26">
        <f>IF('Q2'!S25="","",SUM((AVERAGE('Q1'!S25,'Q2'!S25)*0.5))+(HY25*0.5))</f>
        <v>27.85</v>
      </c>
      <c r="LV25" s="26">
        <f>IF('Q2'!T25="","",SUM((AVERAGE('Q1'!T25,'Q2'!T25)*0.5))+(HZ25*0.5))</f>
        <v>58.522500000000001</v>
      </c>
      <c r="LW25" s="26">
        <f>IF('Q2'!U25="","",SUM((AVERAGE('Q1'!U25,'Q2'!U25)*0.5))+(IA25*0.5))</f>
        <v>57.25</v>
      </c>
      <c r="LX25" s="26">
        <f>IF('Q2'!V25="","",SUM((AVERAGE('Q1'!V25,'Q2'!V25)*0.5))+(IB25*0.5))</f>
        <v>56.6175</v>
      </c>
      <c r="LY25" s="26" t="str">
        <f t="shared" si="234"/>
        <v>D</v>
      </c>
      <c r="LZ25" s="26" t="str">
        <f t="shared" si="235"/>
        <v>C</v>
      </c>
      <c r="MA25" s="26" t="str">
        <f t="shared" si="236"/>
        <v>C</v>
      </c>
      <c r="MB25" s="26" t="str">
        <f t="shared" si="237"/>
        <v>C</v>
      </c>
      <c r="MC25" s="26" t="str">
        <f t="shared" si="238"/>
        <v>C</v>
      </c>
      <c r="MD25" s="26" t="str">
        <f t="shared" si="239"/>
        <v>C</v>
      </c>
      <c r="ME25" s="26" t="str">
        <f t="shared" si="240"/>
        <v>D</v>
      </c>
      <c r="MF25" s="26" t="str">
        <f t="shared" si="241"/>
        <v>C</v>
      </c>
      <c r="MG25" s="26" t="str">
        <f t="shared" si="242"/>
        <v>C</v>
      </c>
      <c r="MH25" s="24" t="str">
        <f t="shared" si="243"/>
        <v>D</v>
      </c>
      <c r="MI25" s="24" t="str">
        <f t="shared" si="244"/>
        <v>D</v>
      </c>
      <c r="MJ25" s="24" t="str">
        <f t="shared" si="245"/>
        <v>F</v>
      </c>
      <c r="MK25" s="24" t="str">
        <f t="shared" si="246"/>
        <v>F</v>
      </c>
      <c r="ML25" s="24" t="str">
        <f t="shared" si="247"/>
        <v>E</v>
      </c>
      <c r="MM25" s="24" t="str">
        <f t="shared" si="248"/>
        <v>E</v>
      </c>
      <c r="MN25" s="24" t="str">
        <f t="shared" si="249"/>
        <v>E</v>
      </c>
      <c r="MO25" s="24">
        <f t="shared" si="250"/>
        <v>2</v>
      </c>
      <c r="MP25" s="24">
        <f t="shared" si="251"/>
        <v>2</v>
      </c>
      <c r="MQ25" s="24">
        <f t="shared" si="252"/>
        <v>3</v>
      </c>
      <c r="MR25" s="24">
        <f t="shared" si="253"/>
        <v>1</v>
      </c>
      <c r="MS25" s="24">
        <f t="shared" si="254"/>
        <v>5</v>
      </c>
      <c r="MT25" s="24">
        <f t="shared" si="255"/>
        <v>3</v>
      </c>
      <c r="MU25" s="24">
        <f t="shared" si="256"/>
        <v>2</v>
      </c>
      <c r="MV25" s="24">
        <f t="shared" si="257"/>
        <v>1</v>
      </c>
      <c r="MW25" s="24">
        <f t="shared" si="258"/>
        <v>1</v>
      </c>
      <c r="MX25" s="24">
        <f t="shared" si="259"/>
        <v>5</v>
      </c>
      <c r="MY25" s="24">
        <f t="shared" si="260"/>
        <v>1</v>
      </c>
      <c r="MZ25" s="24">
        <f t="shared" si="261"/>
        <v>5</v>
      </c>
      <c r="NA25" s="24">
        <f t="shared" si="262"/>
        <v>3</v>
      </c>
      <c r="NB25" s="24">
        <f t="shared" si="263"/>
        <v>2</v>
      </c>
      <c r="NC25" s="24">
        <f t="shared" si="264"/>
        <v>2</v>
      </c>
      <c r="ND25" s="24">
        <f t="shared" si="265"/>
        <v>2</v>
      </c>
      <c r="NE25" s="26">
        <f t="shared" si="266"/>
        <v>133.5</v>
      </c>
      <c r="NF25" s="26">
        <f t="shared" si="267"/>
        <v>142.68333333333334</v>
      </c>
      <c r="NG25" s="26">
        <f t="shared" si="268"/>
        <v>231.55</v>
      </c>
      <c r="NH25" s="26">
        <f t="shared" si="269"/>
        <v>70.083333333333343</v>
      </c>
      <c r="NI25" s="26">
        <f t="shared" si="270"/>
        <v>354.33333333333337</v>
      </c>
      <c r="NJ25" s="26">
        <f t="shared" si="271"/>
        <v>221.97500000000002</v>
      </c>
      <c r="NK25" s="26">
        <f t="shared" si="272"/>
        <v>126.78333333333333</v>
      </c>
      <c r="NL25" s="26">
        <f t="shared" si="273"/>
        <v>79</v>
      </c>
      <c r="NM25" s="26">
        <f t="shared" si="274"/>
        <v>79</v>
      </c>
      <c r="NN25" s="26">
        <f t="shared" si="275"/>
        <v>340.71249999999998</v>
      </c>
      <c r="NO25" s="26">
        <f t="shared" si="276"/>
        <v>69.284999999999997</v>
      </c>
      <c r="NP25" s="26">
        <f t="shared" si="277"/>
        <v>222.61250000000001</v>
      </c>
      <c r="NQ25" s="26">
        <f t="shared" si="278"/>
        <v>83.550000000000011</v>
      </c>
      <c r="NR25" s="26">
        <f t="shared" si="279"/>
        <v>117.045</v>
      </c>
      <c r="NS25" s="26">
        <f t="shared" si="280"/>
        <v>114.5</v>
      </c>
      <c r="NT25" s="26">
        <f t="shared" si="281"/>
        <v>113.235</v>
      </c>
      <c r="NU25" s="24">
        <f t="shared" si="282"/>
        <v>3</v>
      </c>
      <c r="NV25" s="24">
        <f t="shared" si="283"/>
        <v>4</v>
      </c>
      <c r="NW25" s="24">
        <f t="shared" si="284"/>
        <v>6</v>
      </c>
      <c r="NX25" s="24">
        <f t="shared" si="285"/>
        <v>2</v>
      </c>
      <c r="NY25" s="24">
        <f t="shared" si="286"/>
        <v>10</v>
      </c>
      <c r="NZ25" s="24">
        <f t="shared" si="287"/>
        <v>6</v>
      </c>
      <c r="OA25" s="24">
        <f t="shared" si="288"/>
        <v>3</v>
      </c>
      <c r="OB25" s="24">
        <f t="shared" si="289"/>
        <v>2</v>
      </c>
      <c r="OC25" s="24">
        <f t="shared" si="290"/>
        <v>2</v>
      </c>
      <c r="OD25" s="24">
        <f t="shared" si="291"/>
        <v>7.5</v>
      </c>
      <c r="OE25" s="24">
        <f t="shared" si="292"/>
        <v>1.5</v>
      </c>
      <c r="OF25" s="24">
        <f t="shared" si="293"/>
        <v>0</v>
      </c>
      <c r="OG25" s="24">
        <f t="shared" si="294"/>
        <v>0</v>
      </c>
      <c r="OH25" s="24">
        <f t="shared" si="295"/>
        <v>2</v>
      </c>
      <c r="OI25" s="24">
        <f t="shared" si="296"/>
        <v>2</v>
      </c>
      <c r="OJ25" s="24">
        <f t="shared" si="297"/>
        <v>2</v>
      </c>
      <c r="OK25" s="24">
        <f t="shared" si="298"/>
        <v>20</v>
      </c>
      <c r="OL25" s="24">
        <f t="shared" si="299"/>
        <v>1438.9083333333333</v>
      </c>
      <c r="OM25" s="26">
        <f t="shared" si="300"/>
        <v>38</v>
      </c>
      <c r="ON25" s="26">
        <f t="shared" si="343"/>
        <v>71.945416666666659</v>
      </c>
      <c r="OO25" s="24" t="str">
        <f t="shared" si="344"/>
        <v>C</v>
      </c>
      <c r="OP25" s="26">
        <f t="shared" si="301"/>
        <v>1.9</v>
      </c>
      <c r="OQ25" s="24">
        <f t="shared" si="302"/>
        <v>20</v>
      </c>
      <c r="OR25" s="26">
        <f t="shared" si="303"/>
        <v>1060.9399999999998</v>
      </c>
      <c r="OS25" s="26">
        <f t="shared" si="304"/>
        <v>15</v>
      </c>
      <c r="OT25" s="26">
        <f t="shared" si="345"/>
        <v>53.04699999999999</v>
      </c>
      <c r="OU25" s="24" t="str">
        <f t="shared" si="346"/>
        <v>E</v>
      </c>
      <c r="OV25" s="27">
        <f t="shared" si="305"/>
        <v>0.75</v>
      </c>
      <c r="OW25" s="24">
        <f t="shared" si="306"/>
        <v>40</v>
      </c>
      <c r="OX25" s="27">
        <f t="shared" si="307"/>
        <v>2499.8483333333338</v>
      </c>
      <c r="OY25" s="27">
        <f t="shared" si="308"/>
        <v>53</v>
      </c>
      <c r="OZ25" s="26">
        <f t="shared" si="347"/>
        <v>62.496208333333342</v>
      </c>
      <c r="PA25" s="27" t="str">
        <f t="shared" si="348"/>
        <v>D</v>
      </c>
      <c r="PB25" s="26">
        <f t="shared" si="309"/>
        <v>1.325</v>
      </c>
      <c r="PC25" s="24">
        <f t="shared" si="310"/>
        <v>10</v>
      </c>
      <c r="PD25" s="24" t="str">
        <f t="shared" si="311"/>
        <v>6A</v>
      </c>
      <c r="PE25" s="24">
        <f t="shared" si="312"/>
        <v>11</v>
      </c>
      <c r="PF25" s="24">
        <f t="shared" si="313"/>
        <v>100</v>
      </c>
      <c r="PG25" s="24">
        <f t="shared" si="314"/>
        <v>0</v>
      </c>
      <c r="PH25" s="24">
        <f t="shared" si="315"/>
        <v>0</v>
      </c>
      <c r="PI25" s="24">
        <f t="shared" si="316"/>
        <v>0</v>
      </c>
      <c r="PJ25" s="24">
        <f t="shared" si="317"/>
        <v>0</v>
      </c>
      <c r="PK25" s="25">
        <f t="shared" si="318"/>
        <v>1</v>
      </c>
    </row>
    <row r="26" spans="1:427" ht="27" customHeight="1" x14ac:dyDescent="0.35">
      <c r="A26" s="24">
        <f t="shared" si="349"/>
        <v>12</v>
      </c>
      <c r="B26" s="28" t="str">
        <f>IF('Q1'!B26="","",'Q1'!B26)</f>
        <v>Nean Lyhour</v>
      </c>
      <c r="C26" s="30" t="str">
        <f>IF('Q1'!C26="","",'Q1'!C26)</f>
        <v>នាន លីហួរ</v>
      </c>
      <c r="D26" s="28" t="str">
        <f>IF('Q1'!D26="","",'Q1'!D26)</f>
        <v>M</v>
      </c>
      <c r="E26" s="24">
        <f>IF('Q1'!E26="","",'Q1'!E26)</f>
        <v>769</v>
      </c>
      <c r="F26" s="24" t="str">
        <f>IF('Q1'!F26="","",'Q1'!F26)</f>
        <v>I</v>
      </c>
      <c r="G26" s="26">
        <v>50</v>
      </c>
      <c r="H26" s="26">
        <v>50</v>
      </c>
      <c r="I26" s="26">
        <v>50</v>
      </c>
      <c r="J26" s="26">
        <v>50</v>
      </c>
      <c r="K26" s="26">
        <v>50</v>
      </c>
      <c r="L26" s="26">
        <v>50</v>
      </c>
      <c r="M26" s="26">
        <v>50</v>
      </c>
      <c r="N26" s="26">
        <v>50</v>
      </c>
      <c r="O26" s="26">
        <v>50</v>
      </c>
      <c r="P26" s="26">
        <v>50</v>
      </c>
      <c r="Q26" s="26">
        <v>50</v>
      </c>
      <c r="R26" s="26">
        <v>50</v>
      </c>
      <c r="S26" s="26">
        <v>50</v>
      </c>
      <c r="T26" s="26">
        <v>50</v>
      </c>
      <c r="U26" s="26">
        <v>50</v>
      </c>
      <c r="V26" s="26">
        <v>50</v>
      </c>
      <c r="W26" s="26" t="str">
        <f t="shared" ref="W26:W27" si="350">IF(G26="","",IF(G26&gt;=90,"A",IF(G26&gt;=80,"B",IF(G26&gt;=70,"C",IF(G26&gt;=60,"D",IF(G26&gt;=50,"E",IF(G26&gt;=0,"F","")))))))</f>
        <v>E</v>
      </c>
      <c r="X26" s="26" t="str">
        <f t="shared" ref="X26:X27" si="351">IF(H26="","",IF(H26&gt;=90,"A",IF(H26&gt;=80,"B",IF(H26&gt;=70,"C",IF(H26&gt;=60,"D",IF(H26&gt;=50,"E",IF(H26&gt;=0,"F","")))))))</f>
        <v>E</v>
      </c>
      <c r="Y26" s="26" t="str">
        <f t="shared" ref="Y26:Y27" si="352">IF(I26="","",IF(I26&gt;=90,"A",IF(I26&gt;=80,"B",IF(I26&gt;=70,"C",IF(I26&gt;=60,"D",IF(I26&gt;=50,"E",IF(I26&gt;=0,"F","")))))))</f>
        <v>E</v>
      </c>
      <c r="Z26" s="26" t="str">
        <f t="shared" ref="Z26:Z27" si="353">IF(J26="","",IF(J26&gt;=90,"A",IF(J26&gt;=80,"B",IF(J26&gt;=70,"C",IF(J26&gt;=60,"D",IF(J26&gt;=50,"E",IF(J26&gt;=0,"F","")))))))</f>
        <v>E</v>
      </c>
      <c r="AA26" s="26" t="str">
        <f t="shared" ref="AA26:AA27" si="354">IF(K26="","",IF(K26&gt;=90,"A",IF(K26&gt;=80,"B",IF(K26&gt;=70,"C",IF(K26&gt;=60,"D",IF(K26&gt;=50,"E",IF(K26&gt;=0,"F","")))))))</f>
        <v>E</v>
      </c>
      <c r="AB26" s="26" t="str">
        <f t="shared" ref="AB26:AB27" si="355">IF(L26="","",IF(L26&gt;=90,"A",IF(L26&gt;=80,"B",IF(L26&gt;=70,"C",IF(L26&gt;=60,"D",IF(L26&gt;=50,"E",IF(L26&gt;=0,"F","")))))))</f>
        <v>E</v>
      </c>
      <c r="AC26" s="26" t="str">
        <f t="shared" ref="AC26:AC27" si="356">IF(M26="","",IF(M26&gt;=90,"A",IF(M26&gt;=80,"B",IF(M26&gt;=70,"C",IF(M26&gt;=60,"D",IF(M26&gt;=50,"E",IF(M26&gt;=0,"F","")))))))</f>
        <v>E</v>
      </c>
      <c r="AD26" s="26" t="str">
        <f t="shared" ref="AD26:AD27" si="357">IF(N26="","",IF(N26&gt;=90,"A",IF(N26&gt;=80,"B",IF(N26&gt;=70,"C",IF(N26&gt;=60,"D",IF(N26&gt;=50,"E",IF(N26&gt;=0,"F","")))))))</f>
        <v>E</v>
      </c>
      <c r="AE26" s="26" t="str">
        <f t="shared" ref="AE26:AE27" si="358">IF(O26="","",IF(O26&gt;=90,"A",IF(O26&gt;=80,"B",IF(O26&gt;=70,"C",IF(O26&gt;=60,"D",IF(O26&gt;=50,"E",IF(O26&gt;=0,"F","")))))))</f>
        <v>E</v>
      </c>
      <c r="AF26" s="24" t="str">
        <f t="shared" ref="AF26:AF27" si="359">IF(P26="","",IF(P26&gt;=90,"A",IF(P26&gt;=80,"B",IF(P26&gt;=70,"C",IF(P26&gt;=60,"D",IF(P26&gt;=50,"E",IF(P26&gt;=0,"F","")))))))</f>
        <v>E</v>
      </c>
      <c r="AG26" s="24" t="str">
        <f t="shared" ref="AG26:AG27" si="360">IF(Q26="","",IF(Q26&gt;=90,"A",IF(Q26&gt;=80,"B",IF(Q26&gt;=70,"C",IF(Q26&gt;=60,"D",IF(Q26&gt;=50,"E",IF(Q26&gt;=0,"F","")))))))</f>
        <v>E</v>
      </c>
      <c r="AH26" s="24" t="str">
        <f t="shared" ref="AH26:AH27" si="361">IF(R26="","",IF(R26&gt;=90,"A",IF(R26&gt;=80,"B",IF(R26&gt;=70,"C",IF(R26&gt;=60,"D",IF(R26&gt;=50,"E",IF(R26&gt;=0,"F","")))))))</f>
        <v>E</v>
      </c>
      <c r="AI26" s="24" t="str">
        <f t="shared" ref="AI26:AI27" si="362">IF(S26="","",IF(S26&gt;=90,"A",IF(S26&gt;=80,"B",IF(S26&gt;=70,"C",IF(S26&gt;=60,"D",IF(S26&gt;=50,"E",IF(S26&gt;=0,"F","")))))))</f>
        <v>E</v>
      </c>
      <c r="AJ26" s="24" t="str">
        <f t="shared" ref="AJ26:AJ27" si="363">IF(T26="","",IF(T26&gt;=90,"A",IF(T26&gt;=80,"B",IF(T26&gt;=70,"C",IF(T26&gt;=60,"D",IF(T26&gt;=50,"E",IF(T26&gt;=0,"F","")))))))</f>
        <v>E</v>
      </c>
      <c r="AK26" s="24" t="str">
        <f t="shared" ref="AK26:AK27" si="364">IF(U26="","",IF(U26&gt;=90,"A",IF(U26&gt;=80,"B",IF(U26&gt;=70,"C",IF(U26&gt;=60,"D",IF(U26&gt;=50,"E",IF(U26&gt;=0,"F","")))))))</f>
        <v>E</v>
      </c>
      <c r="AL26" s="24" t="str">
        <f t="shared" ref="AL26:AL27" si="365">IF(V26="","",IF(V26&gt;=90,"A",IF(V26&gt;=80,"B",IF(V26&gt;=70,"C",IF(V26&gt;=60,"D",IF(V26&gt;=50,"E",IF(V26&gt;=0,"F","")))))))</f>
        <v>E</v>
      </c>
      <c r="AM26" s="24">
        <f t="shared" ref="AM26:AM27" si="366">IF(G26="","",$AM$14)</f>
        <v>2</v>
      </c>
      <c r="AN26" s="24">
        <f t="shared" ref="AN26:AN27" si="367">IF(H26="","",$AN$14)</f>
        <v>2</v>
      </c>
      <c r="AO26" s="24">
        <f t="shared" ref="AO26:AO27" si="368">IF(I26="","",$AO$14)</f>
        <v>3</v>
      </c>
      <c r="AP26" s="24">
        <f t="shared" ref="AP26:AP27" si="369">IF(J26="","",$AP$14)</f>
        <v>1</v>
      </c>
      <c r="AQ26" s="24">
        <f t="shared" ref="AQ26:AQ27" si="370">IF(K26="","",$AQ$14)</f>
        <v>5</v>
      </c>
      <c r="AR26" s="24">
        <f t="shared" ref="AR26:AR27" si="371">IF(L26="","",$AR$14)</f>
        <v>3</v>
      </c>
      <c r="AS26" s="24">
        <f t="shared" ref="AS26:AS27" si="372">IF(M26="","",$AS$14)</f>
        <v>2</v>
      </c>
      <c r="AT26" s="24">
        <f t="shared" ref="AT26:AT27" si="373">IF(N26="","",$AT$14)</f>
        <v>1</v>
      </c>
      <c r="AU26" s="24">
        <f t="shared" ref="AU26:AU27" si="374">IF(O26="","",$AU$14)</f>
        <v>1</v>
      </c>
      <c r="AV26" s="24">
        <f t="shared" ref="AV26:AV27" si="375">IF(P26="","",$AV$14)</f>
        <v>5</v>
      </c>
      <c r="AW26" s="24">
        <f t="shared" ref="AW26:AW27" si="376">IF(Q26="","",$AW$14)</f>
        <v>1</v>
      </c>
      <c r="AX26" s="24">
        <f t="shared" ref="AX26:AX27" si="377">IF(R26="","",$AX$14)</f>
        <v>5</v>
      </c>
      <c r="AY26" s="24">
        <f t="shared" ref="AY26:AY27" si="378">IF(S26="","",$AY$14)</f>
        <v>3</v>
      </c>
      <c r="AZ26" s="24">
        <f t="shared" ref="AZ26:AZ27" si="379">IF(T26="","",$AZ$14)</f>
        <v>2</v>
      </c>
      <c r="BA26" s="24">
        <f t="shared" ref="BA26:BA27" si="380">IF(U26="","",$BA$14)</f>
        <v>2</v>
      </c>
      <c r="BB26" s="24">
        <f t="shared" ref="BB26:BB27" si="381">IF(V26="","",$BB$14)</f>
        <v>2</v>
      </c>
      <c r="BC26" s="26">
        <f t="shared" ref="BC26:BC27" si="382">IF(OR(G26="",AM26=""),"",PRODUCT(G26,AM26))</f>
        <v>100</v>
      </c>
      <c r="BD26" s="26">
        <f t="shared" ref="BD26:BD27" si="383">IF(OR(H26="",AN26=""),"",PRODUCT(H26,AN26))</f>
        <v>100</v>
      </c>
      <c r="BE26" s="26">
        <f t="shared" ref="BE26:BE27" si="384">IF(OR(I26="",AO26=""),"",PRODUCT(I26,AO26))</f>
        <v>150</v>
      </c>
      <c r="BF26" s="26">
        <f t="shared" ref="BF26:BF27" si="385">IF(OR(J26="",AP26=""),"",PRODUCT(J26,AP26))</f>
        <v>50</v>
      </c>
      <c r="BG26" s="26">
        <f t="shared" ref="BG26:BG27" si="386">IF(OR(K26="",AQ26=""),"",PRODUCT(K26,AQ26))</f>
        <v>250</v>
      </c>
      <c r="BH26" s="26">
        <f t="shared" ref="BH26:BH27" si="387">IF(OR(L26="",AR26=""),"",PRODUCT(L26,AR26))</f>
        <v>150</v>
      </c>
      <c r="BI26" s="26">
        <f t="shared" ref="BI26:BI27" si="388">IF(OR(M26="",AS26=""),"",PRODUCT(M26,AS26))</f>
        <v>100</v>
      </c>
      <c r="BJ26" s="26">
        <f t="shared" ref="BJ26:BJ27" si="389">IF(OR(N26="",AT26=""),"",PRODUCT(N26,AT26))</f>
        <v>50</v>
      </c>
      <c r="BK26" s="26">
        <f t="shared" ref="BK26:BK27" si="390">IF(OR(O26="",AU26=""),"",PRODUCT(O26,AU26))</f>
        <v>50</v>
      </c>
      <c r="BL26" s="26">
        <f t="shared" ref="BL26:BL27" si="391">IF(OR(P26="",AV26=""),"",PRODUCT(P26,AV26))</f>
        <v>250</v>
      </c>
      <c r="BM26" s="26">
        <f t="shared" ref="BM26:BM27" si="392">IF(OR(Q26="",AW26=""),"",PRODUCT(Q26,AW26))</f>
        <v>50</v>
      </c>
      <c r="BN26" s="26">
        <f t="shared" ref="BN26:BN27" si="393">IF(OR(R26="",AX26=""),"",PRODUCT(R26,AX26))</f>
        <v>250</v>
      </c>
      <c r="BO26" s="26">
        <f t="shared" ref="BO26:BO27" si="394">IF(OR(S26="",AY26=""),"",PRODUCT(S26,AY26))</f>
        <v>150</v>
      </c>
      <c r="BP26" s="26">
        <f t="shared" ref="BP26:BP27" si="395">IF(OR(T26="",AZ26=""),"",PRODUCT(T26,AZ26))</f>
        <v>100</v>
      </c>
      <c r="BQ26" s="26">
        <f t="shared" ref="BQ26:BQ27" si="396">IF(OR(U26="",BA26=""),"",PRODUCT(U26,BA26))</f>
        <v>100</v>
      </c>
      <c r="BR26" s="26">
        <f t="shared" ref="BR26:BR27" si="397">IF(OR(V26="",BB26=""),"",PRODUCT(V26,BB26))</f>
        <v>100</v>
      </c>
      <c r="BS26" s="24">
        <f t="shared" ref="BS26:BS27" si="398">IF(OR(AM26="",W26=""),"",AM26*(IF(OR(W26="A",W26="a"),4,(IF(OR(W462="B",W26="b"),3,(IF(OR(W26="C",W26="c"),2,(IF(OR(W26="D",W26="d"),1.5,(IF(OR(W26="E",W26="e"),1,(IF(OR(W26="F",W26="f"),0)))))))))))))</f>
        <v>2</v>
      </c>
      <c r="BT26" s="24">
        <f t="shared" ref="BT26:BT27" si="399">IF(OR(AN26="",X26=""),"",AN26*(IF(OR(X26="A",X26="a"),4,(IF(OR(X462="B",X26="b"),3,(IF(OR(X26="C",X26="c"),2,(IF(OR(X26="D",X26="d"),1.5,(IF(OR(X26="E",X26="e"),1,(IF(OR(X26="F",X26="f"),0)))))))))))))</f>
        <v>2</v>
      </c>
      <c r="BU26" s="24">
        <f t="shared" ref="BU26:BU27" si="400">IF(OR(AO26="",Y26=""),"",AO26*(IF(OR(Y26="A",Y26="a"),4,(IF(OR(Y462="B",Y26="b"),3,(IF(OR(Y26="C",Y26="c"),2,(IF(OR(Y26="D",Y26="d"),1.5,(IF(OR(Y26="E",Y26="e"),1,(IF(OR(Y26="F",Y26="f"),0)))))))))))))</f>
        <v>3</v>
      </c>
      <c r="BV26" s="24">
        <f t="shared" ref="BV26:BV27" si="401">IF(OR(AP26="",Z26=""),"",AP26*(IF(OR(Z26="A",Z26="a"),4,(IF(OR(Z462="B",Z26="b"),3,(IF(OR(Z26="C",Z26="c"),2,(IF(OR(Z26="D",Z26="d"),1.5,(IF(OR(Z26="E",Z26="e"),1,(IF(OR(Z26="F",Z26="f"),0)))))))))))))</f>
        <v>1</v>
      </c>
      <c r="BW26" s="24">
        <f t="shared" ref="BW26:BW27" si="402">IF(OR(AQ26="",AA26=""),"",AQ26*(IF(OR(AA26="A",AA26="a"),4,(IF(OR(AA462="B",AA26="b"),3,(IF(OR(AA26="C",AA26="c"),2,(IF(OR(AA26="D",AA26="d"),1.5,(IF(OR(AA26="E",AA26="e"),1,(IF(OR(AA26="F",AA26="f"),0)))))))))))))</f>
        <v>5</v>
      </c>
      <c r="BX26" s="24">
        <f t="shared" ref="BX26:BX27" si="403">IF(OR(AR26="",AB26=""),"",AR26*(IF(OR(AB26="A",AB26="a"),4,(IF(OR(AB462="B",AB26="b"),3,(IF(OR(AB26="C",AB26="c"),2,(IF(OR(AB26="D",AB26="d"),1.5,(IF(OR(AB26="E",AB26="e"),1,(IF(OR(AB26="F",AB26="f"),0)))))))))))))</f>
        <v>3</v>
      </c>
      <c r="BY26" s="24">
        <f t="shared" ref="BY26:BY27" si="404">IF(OR(AS26="",AC26=""),"",AS26*(IF(OR(AC26="A",AC26="a"),4,(IF(OR(AC462="B",AC26="b"),3,(IF(OR(AC26="C",AC26="c"),2,(IF(OR(AC26="D",AC26="d"),1.5,(IF(OR(AC26="E",AC26="e"),1,(IF(OR(AC26="F",AC26="f"),0)))))))))))))</f>
        <v>2</v>
      </c>
      <c r="BZ26" s="24">
        <f t="shared" ref="BZ26:BZ27" si="405">IF(OR(AT26="",AD26=""),"",AT26*(IF(OR(AD26="A",AD26="a"),4,(IF(OR(AD462="B",AD26="b"),3,(IF(OR(AD26="C",AD26="c"),2,(IF(OR(AD26="D",AD26="d"),1.5,(IF(OR(AD26="E",AD26="e"),1,(IF(OR(AD26="F",AD26="f"),0)))))))))))))</f>
        <v>1</v>
      </c>
      <c r="CA26" s="24">
        <f t="shared" ref="CA26:CA27" si="406">IF(OR(AU26="",AE26=""),"",AU26*(IF(OR(AE26="A",AE26="a"),4,(IF(OR(AE462="B",AE26="b"),3,(IF(OR(AE26="C",AE26="c"),2,(IF(OR(AE26="D",AE26="d"),1.5,(IF(OR(AE26="E",AE26="e"),1,(IF(OR(AE26="F",AE26="f"),0)))))))))))))</f>
        <v>1</v>
      </c>
      <c r="CB26" s="24">
        <f t="shared" ref="CB26:CB27" si="407">IF(OR(AV26="",AF26=""),"",AV26*(IF(OR(AF26="A",AF26="a"),4,(IF(OR(AF462="B",AF26="b"),3,(IF(OR(AF26="C",AF26="c"),2,(IF(OR(AF26="D",AF26="d"),1.5,(IF(OR(AF26="E",AF26="e"),1,(IF(OR(AF26="F",AF26="f"),0)))))))))))))</f>
        <v>5</v>
      </c>
      <c r="CC26" s="24">
        <f t="shared" ref="CC26:CC27" si="408">IF(OR(AW26="",AG26=""),"",AW26*(IF(OR(AG26="A",AG26="a"),4,(IF(OR(AG462="B",AG26="b"),3,(IF(OR(AG26="C",AG26="c"),2,(IF(OR(AG26="D",AG26="d"),1.5,(IF(OR(AG26="E",AG26="e"),1,(IF(OR(AG26="F",AG26="f"),0)))))))))))))</f>
        <v>1</v>
      </c>
      <c r="CD26" s="24">
        <f t="shared" ref="CD26:CD27" si="409">IF(OR(AX26="",AH26=""),"",AX26*(IF(OR(AH26="A",AH26="a"),4,(IF(OR(AH462="B",AH26="b"),3,(IF(OR(AH26="C",AH26="c"),2,(IF(OR(AH26="D",AH26="d"),1.5,(IF(OR(AH26="E",AH26="e"),1,(IF(OR(AH26="F",AH26="f"),0)))))))))))))</f>
        <v>5</v>
      </c>
      <c r="CE26" s="24">
        <f t="shared" ref="CE26:CE27" si="410">IF(OR(AY26="",AI26=""),"",AY26*(IF(OR(AI26="A",AI26="a"),4,(IF(OR(AI462="B",AI26="b"),3,(IF(OR(AI26="C",AI26="c"),2,(IF(OR(AI26="D",AI26="d"),1.5,(IF(OR(AI26="E",AI26="e"),1,(IF(OR(AI26="F",AI26="f"),0)))))))))))))</f>
        <v>3</v>
      </c>
      <c r="CF26" s="24">
        <f t="shared" ref="CF26:CF27" si="411">IF(OR(AZ26="",AJ26=""),"",AZ26*(IF(OR(AJ26="A",AJ26="a"),4,(IF(OR(AJ462="B",AJ26="b"),3,(IF(OR(AJ26="C",AJ26="c"),2,(IF(OR(AJ26="D",AJ26="d"),1.5,(IF(OR(AJ26="E",AJ26="e"),1,(IF(OR(AJ26="F",AJ26="f"),0)))))))))))))</f>
        <v>2</v>
      </c>
      <c r="CG26" s="24">
        <f t="shared" ref="CG26:CG27" si="412">IF(OR(BA26="",AK26=""),"",BA26*(IF(OR(AK26="A",AK26="a"),4,(IF(OR(AK462="B",AK26="b"),3,(IF(OR(AK26="C",AK26="c"),2,(IF(OR(AK26="D",AK26="d"),1.5,(IF(OR(AK26="E",AK26="e"),1,(IF(OR(AK26="F",AK26="f"),0)))))))))))))</f>
        <v>2</v>
      </c>
      <c r="CH26" s="24">
        <f t="shared" ref="CH26:CH27" si="413">IF(OR(BB26="",AL26=""),"",BB26*(IF(OR(AL26="A",AL26="a"),4,(IF(OR(AL462="B",AL26="b"),3,(IF(OR(AL26="C",AL26="c"),2,(IF(OR(AL26="D",AL26="d"),1.5,(IF(OR(AL26="E",AL26="e"),1,(IF(OR(AL26="F",AL26="f"),0)))))))))))))</f>
        <v>2</v>
      </c>
      <c r="CI26" s="24">
        <f t="shared" ref="CI26:CI27" si="414">IF(B26="","",SUM(AM26:AU26))</f>
        <v>20</v>
      </c>
      <c r="CJ26" s="26">
        <f t="shared" ref="CJ26:CJ27" si="415">IF(C26="","",SUM(BC26:BK26))</f>
        <v>1000</v>
      </c>
      <c r="CK26" s="26">
        <f t="shared" ref="CK26:CK27" si="416">IF(D26="","",SUM(BS26:CA26))</f>
        <v>20</v>
      </c>
      <c r="CL26" s="26">
        <f t="shared" ref="CL26:CL27" si="417">IF(OR(CI26="",CJ26=""),"",CJ26/CI26)</f>
        <v>50</v>
      </c>
      <c r="CM26" s="24" t="str">
        <f t="shared" ref="CM26:CM27" si="418">IF(CL26="","",IF(CL26&gt;=90,"A",IF(CL26&gt;=80,"B",IF(CL26&gt;=70,"C",IF(CL26&gt;=60,"D",IF(CL26&gt;=50,"E",IF(CL26&gt;=0,"F","")))))))</f>
        <v>E</v>
      </c>
      <c r="CN26" s="26">
        <f t="shared" ref="CN26:CN27" si="419">IF(B26="","",CK26/CI26)</f>
        <v>1</v>
      </c>
      <c r="CO26" s="24">
        <f t="shared" ref="CO26:CO27" si="420">IF(B26="","",SUM(AV26:BB26))</f>
        <v>20</v>
      </c>
      <c r="CP26" s="26">
        <f t="shared" ref="CP26:CP27" si="421">IF(B26="","",SUM(BL26:BR26))</f>
        <v>1000</v>
      </c>
      <c r="CQ26" s="26">
        <f t="shared" ref="CQ26:CQ27" si="422">IF(B26="","",SUM(CB26:CH26))</f>
        <v>20</v>
      </c>
      <c r="CR26" s="26">
        <f t="shared" ref="CR26:CR27" si="423">IF(OR(CO26="",CP26=""),"",CP26/CO26)</f>
        <v>50</v>
      </c>
      <c r="CS26" s="24" t="str">
        <f t="shared" ref="CS26:CS27" si="424">IF(CR26="","",IF(CR26&gt;=90,"A",IF(CR26&gt;=80,"B",IF(CR26&gt;=70,"C",IF(CR26&gt;=60,"D",IF(CR26&gt;=50,"E",IF(CR26&gt;=0,"F","")))))))</f>
        <v>E</v>
      </c>
      <c r="CT26" s="27">
        <f t="shared" ref="CT26:CT27" si="425">IF(B26="","",CQ26/CO26)</f>
        <v>1</v>
      </c>
      <c r="CU26" s="24">
        <f t="shared" ref="CU26:CU27" si="426">IF(SUM(AM26:BB26)=0,"",IF(OR(B26="",F26="I",F26="II",F26="M",F26="A"),(SUM(AM26:BB26)),IF(OR(B26="",F26="III"),(SUM(CI26,CO26)))))</f>
        <v>40</v>
      </c>
      <c r="CV26" s="26">
        <f t="shared" ref="CV26:CV27" si="427">IF(SUM(BC26:BR26)=
0,"",IF(OR(C26="",F26="I",F26="II",F26="M",F26="A"),(SUM(BC26:BR26)),IF(OR(C26="",F26="III"),(SUM(CJ26,CP26)))))</f>
        <v>2000</v>
      </c>
      <c r="CW26" s="26">
        <f t="shared" ref="CW26:CW27" si="428">IF(SUM(BS26:CH26)=
0,"",IF(OR(D26="",F26="I",F26="II",F26="M",F26="A"),(SUM(BS26:CH26)),IF(OR(D26="",F26="III"),(SUM(CK26,CQ26)))))</f>
        <v>40</v>
      </c>
      <c r="CX26" s="26">
        <f t="shared" ref="CX26:CX27" si="429">IF(OR(CU26=0,CV26=0),0,IF(OR(CU26="",CV26=""),"",CV26/CU26))</f>
        <v>50</v>
      </c>
      <c r="CY26" s="24" t="str">
        <f t="shared" ref="CY26:CY27" si="430">IF(CX26="","",IF(CX26&gt;=90,"A",IF(CX26&gt;=80,"B",IF(CX26&gt;=70,"C",IF(CX26&gt;=60,"D",IF(CX26&gt;=50,"E",IF(CX26&gt;=0,"F","")))))))</f>
        <v>E</v>
      </c>
      <c r="CZ26" s="26">
        <f t="shared" ref="CZ26:CZ27" si="431">IF(B26="","",CW26/CU26)</f>
        <v>1</v>
      </c>
      <c r="DA26" s="24">
        <f t="shared" ref="DA26:DA27" si="432">IF(OR(B26="",CX26=""),"",RANK(CX26,$CX$15:$CX$25))</f>
        <v>11</v>
      </c>
      <c r="DB26" s="24" t="str">
        <f t="shared" ref="DB26:DB27" si="433">IF(B26="","",$C$9)</f>
        <v>6A</v>
      </c>
      <c r="DC26" s="24">
        <f t="shared" ref="DC26:DC27" si="434">IF(B26="","",MAX($A$15:$A$25))</f>
        <v>11</v>
      </c>
      <c r="DD26" s="24">
        <f>IF(B26="","",'Q1'!$C$8)</f>
        <v>50</v>
      </c>
      <c r="DE26" s="24">
        <f>IF(A26="","",'Q1'!DE26)</f>
        <v>0</v>
      </c>
      <c r="DF26" s="24">
        <f>IF(B26="","",'Q1'!DF26)</f>
        <v>0</v>
      </c>
      <c r="DG26" s="24">
        <f>IF(B26="","",'Q1'!DG26)</f>
        <v>0</v>
      </c>
      <c r="DH26" s="24">
        <f t="shared" ref="DH26:DH27" si="435">IF(B26="","",DF26+DG26)</f>
        <v>0</v>
      </c>
      <c r="DI26" s="25">
        <f t="shared" ref="DI26:DI27" si="436">IF(B26="","",(DD26-DH26)/DD26)</f>
        <v>1</v>
      </c>
      <c r="DJ26" s="26">
        <f>IF('Q2'!G26="","",'Q2'!G26)</f>
        <v>77</v>
      </c>
      <c r="DK26" s="26">
        <f>IF('Q2'!H26="","",'Q2'!H26)</f>
        <v>85.366666666666674</v>
      </c>
      <c r="DL26" s="26">
        <f>IF('Q2'!I26="","",'Q2'!I26)</f>
        <v>85.933333333333337</v>
      </c>
      <c r="DM26" s="26">
        <f>IF('Q2'!J26="","",'Q2'!J26)</f>
        <v>82.333333333333343</v>
      </c>
      <c r="DN26" s="26">
        <f>IF('Q2'!K26="","",'Q2'!K26)</f>
        <v>85.466666666666683</v>
      </c>
      <c r="DO26" s="26">
        <f>IF('Q2'!L26="","",'Q2'!L26)</f>
        <v>83.166666666666686</v>
      </c>
      <c r="DP26" s="26">
        <f>IF('Q2'!M26="","",'Q2'!M26)</f>
        <v>85.566666666666677</v>
      </c>
      <c r="DQ26" s="26">
        <f>IF('Q2'!N26="","",'Q2'!N26)</f>
        <v>100</v>
      </c>
      <c r="DR26" s="26">
        <f>IF('Q2'!O26="","",'Q2'!O26)</f>
        <v>100</v>
      </c>
      <c r="DS26" s="26">
        <f>IF('Q2'!P26="","",'Q2'!P26)</f>
        <v>78.739999999999995</v>
      </c>
      <c r="DT26" s="26">
        <f>IF('Q2'!Q26="","",'Q2'!Q26)</f>
        <v>78.739999999999995</v>
      </c>
      <c r="DU26" s="26">
        <f>IF('Q2'!R26="","",'Q2'!R26)</f>
        <v>51.62</v>
      </c>
      <c r="DV26" s="26">
        <f>IF('Q2'!S26="","",'Q2'!S26)</f>
        <v>38.6</v>
      </c>
      <c r="DW26" s="26">
        <f>IF('Q2'!T26="","",'Q2'!T26)</f>
        <v>50</v>
      </c>
      <c r="DX26" s="26">
        <f>IF('Q2'!U26="","",'Q2'!U26)</f>
        <v>50</v>
      </c>
      <c r="DY26" s="26">
        <f>IF('Q2'!V26="","",'Q2'!V26)</f>
        <v>50</v>
      </c>
      <c r="DZ26" s="26" t="str">
        <f t="shared" ref="DZ26:DZ27" si="437">IF(DJ26="","",IF(DJ26&gt;=90,"A",IF(DJ26&gt;=80,"B",IF(DJ26&gt;=70,"C",IF(DJ26&gt;=60,"D",IF(DJ26&gt;=50,"E",IF(DJ26&gt;=0,"F","")))))))</f>
        <v>C</v>
      </c>
      <c r="EA26" s="26" t="str">
        <f t="shared" ref="EA26:EA27" si="438">IF(DK26="","",IF(DK26&gt;=90,"A",IF(DK26&gt;=80,"B",IF(DK26&gt;=70,"C",IF(DK26&gt;=60,"D",IF(DK26&gt;=50,"E",IF(DK26&gt;=0,"F","")))))))</f>
        <v>B</v>
      </c>
      <c r="EB26" s="26" t="str">
        <f t="shared" ref="EB26:EB27" si="439">IF(DL26="","",IF(DL26&gt;=90,"A",IF(DL26&gt;=80,"B",IF(DL26&gt;=70,"C",IF(DL26&gt;=60,"D",IF(DL26&gt;=50,"E",IF(DL26&gt;=0,"F","")))))))</f>
        <v>B</v>
      </c>
      <c r="EC26" s="26" t="str">
        <f t="shared" ref="EC26:EC27" si="440">IF(DM26="","",IF(DM26&gt;=90,"A",IF(DM26&gt;=80,"B",IF(DM26&gt;=70,"C",IF(DM26&gt;=60,"D",IF(DM26&gt;=50,"E",IF(DM26&gt;=0,"F","")))))))</f>
        <v>B</v>
      </c>
      <c r="ED26" s="26" t="str">
        <f t="shared" ref="ED26:ED27" si="441">IF(DN26="","",IF(DN26&gt;=90,"A",IF(DN26&gt;=80,"B",IF(DN26&gt;=70,"C",IF(DN26&gt;=60,"D",IF(DN26&gt;=50,"E",IF(DN26&gt;=0,"F","")))))))</f>
        <v>B</v>
      </c>
      <c r="EE26" s="26" t="str">
        <f t="shared" ref="EE26:EE27" si="442">IF(DO26="","",IF(DO26&gt;=90,"A",IF(DO26&gt;=80,"B",IF(DO26&gt;=70,"C",IF(DO26&gt;=60,"D",IF(DO26&gt;=50,"E",IF(DO26&gt;=0,"F","")))))))</f>
        <v>B</v>
      </c>
      <c r="EF26" s="26" t="str">
        <f t="shared" ref="EF26:EF27" si="443">IF(DP26="","",IF(DP26&gt;=90,"A",IF(DP26&gt;=80,"B",IF(DP26&gt;=70,"C",IF(DP26&gt;=60,"D",IF(DP26&gt;=50,"E",IF(DP26&gt;=0,"F","")))))))</f>
        <v>B</v>
      </c>
      <c r="EG26" s="26" t="str">
        <f t="shared" ref="EG26:EG27" si="444">IF(DQ26="","",IF(DQ26&gt;=90,"A",IF(DQ26&gt;=80,"B",IF(DQ26&gt;=70,"C",IF(DQ26&gt;=60,"D",IF(DQ26&gt;=50,"E",IF(DQ26&gt;=0,"F","")))))))</f>
        <v>A</v>
      </c>
      <c r="EH26" s="26" t="str">
        <f t="shared" ref="EH26:EH27" si="445">IF(DR26="","",IF(DR26&gt;=90,"A",IF(DR26&gt;=80,"B",IF(DR26&gt;=70,"C",IF(DR26&gt;=60,"D",IF(DR26&gt;=50,"E",IF(DR26&gt;=0,"F","")))))))</f>
        <v>A</v>
      </c>
      <c r="EI26" s="24" t="str">
        <f t="shared" ref="EI26:EI27" si="446">IF(DS26="","",IF(DS26&gt;=90,"A",IF(DS26&gt;=80,"B",IF(DS26&gt;=70,"C",IF(DS26&gt;=60,"D",IF(DS26&gt;=50,"E",IF(DS26&gt;=0,"F","")))))))</f>
        <v>C</v>
      </c>
      <c r="EJ26" s="24" t="str">
        <f t="shared" ref="EJ26:EJ27" si="447">IF(DT26="","",IF(DT26&gt;=90,"A",IF(DT26&gt;=80,"B",IF(DT26&gt;=70,"C",IF(DT26&gt;=60,"D",IF(DT26&gt;=50,"E",IF(DT26&gt;=0,"F","")))))))</f>
        <v>C</v>
      </c>
      <c r="EK26" s="24" t="str">
        <f t="shared" ref="EK26:EK27" si="448">IF(DU26="","",IF(DU26&gt;=90,"A",IF(DU26&gt;=80,"B",IF(DU26&gt;=70,"C",IF(DU26&gt;=60,"D",IF(DU26&gt;=50,"E",IF(DU26&gt;=0,"F","")))))))</f>
        <v>E</v>
      </c>
      <c r="EL26" s="24" t="str">
        <f t="shared" ref="EL26:EL27" si="449">IF(DV26="","",IF(DV26&gt;=90,"A",IF(DV26&gt;=80,"B",IF(DV26&gt;=70,"C",IF(DV26&gt;=60,"D",IF(DV26&gt;=50,"E",IF(DV26&gt;=0,"F","")))))))</f>
        <v>F</v>
      </c>
      <c r="EM26" s="24" t="str">
        <f t="shared" ref="EM26:EM27" si="450">IF(DW26="","",IF(DW26&gt;=90,"A",IF(DW26&gt;=80,"B",IF(DW26&gt;=70,"C",IF(DW26&gt;=60,"D",IF(DW26&gt;=50,"E",IF(DW26&gt;=0,"F","")))))))</f>
        <v>E</v>
      </c>
      <c r="EN26" s="24" t="str">
        <f t="shared" ref="EN26:EN27" si="451">IF(DX26="","",IF(DX26&gt;=90,"A",IF(DX26&gt;=80,"B",IF(DX26&gt;=70,"C",IF(DX26&gt;=60,"D",IF(DX26&gt;=50,"E",IF(DX26&gt;=0,"F","")))))))</f>
        <v>E</v>
      </c>
      <c r="EO26" s="24" t="str">
        <f t="shared" ref="EO26:EO27" si="452">IF(DY26="","",IF(DY26&gt;=90,"A",IF(DY26&gt;=80,"B",IF(DY26&gt;=70,"C",IF(DY26&gt;=60,"D",IF(DY26&gt;=50,"E",IF(DY26&gt;=0,"F","")))))))</f>
        <v>E</v>
      </c>
      <c r="EP26" s="24">
        <f t="shared" ref="EP26:EP27" si="453">IF(DJ26="","",$EP$14)</f>
        <v>2</v>
      </c>
      <c r="EQ26" s="24">
        <f t="shared" ref="EQ26:EQ27" si="454">IF(DK26="","",$EQ$14)</f>
        <v>2</v>
      </c>
      <c r="ER26" s="24">
        <f t="shared" ref="ER26:ER27" si="455">IF(DL26="","",$ER$14)</f>
        <v>3</v>
      </c>
      <c r="ES26" s="24">
        <f t="shared" ref="ES26:ES27" si="456">IF(DM26="","",$ES$14)</f>
        <v>1</v>
      </c>
      <c r="ET26" s="24">
        <f t="shared" ref="ET26:ET27" si="457">IF(DN26="","",$ET$14)</f>
        <v>5</v>
      </c>
      <c r="EU26" s="24">
        <f t="shared" ref="EU26:EU27" si="458">IF(DO26="","",$EU$14)</f>
        <v>3</v>
      </c>
      <c r="EV26" s="24">
        <f t="shared" ref="EV26:EV27" si="459">IF(DP26="","",$EV$14)</f>
        <v>2</v>
      </c>
      <c r="EW26" s="24">
        <f t="shared" ref="EW26:EW27" si="460">IF(DQ26="","",$EW$14)</f>
        <v>1</v>
      </c>
      <c r="EX26" s="24">
        <f t="shared" ref="EX26:EX27" si="461">IF(DR26="","",$EX$14)</f>
        <v>1</v>
      </c>
      <c r="EY26" s="24">
        <f t="shared" ref="EY26:EY27" si="462">IF(DS26="","",$EY$14)</f>
        <v>5</v>
      </c>
      <c r="EZ26" s="24">
        <f t="shared" ref="EZ26:EZ27" si="463">IF(DT26="","",$EZ$14)</f>
        <v>1</v>
      </c>
      <c r="FA26" s="24">
        <f t="shared" ref="FA26:FA27" si="464">IF(DU26="","",$FA$14)</f>
        <v>5</v>
      </c>
      <c r="FB26" s="24">
        <f t="shared" ref="FB26:FB27" si="465">IF(DV26="","",$FB$14)</f>
        <v>3</v>
      </c>
      <c r="FC26" s="24">
        <f t="shared" ref="FC26:FC27" si="466">IF(DW26="","",$FC$14)</f>
        <v>2</v>
      </c>
      <c r="FD26" s="24">
        <f t="shared" ref="FD26:FD27" si="467">IF(DX26="","",$FD$14)</f>
        <v>2</v>
      </c>
      <c r="FE26" s="24">
        <f t="shared" ref="FE26:FE27" si="468">IF(DY26="","",$FE$14)</f>
        <v>2</v>
      </c>
      <c r="FF26" s="26">
        <f t="shared" ref="FF26:FF27" si="469">IF(OR(DJ26="",EP26=""),"",PRODUCT(DJ26,EP26))</f>
        <v>154</v>
      </c>
      <c r="FG26" s="26">
        <f t="shared" ref="FG26:FG27" si="470">IF(OR(DK26="",EQ26=""),"",PRODUCT(DK26,EQ26))</f>
        <v>170.73333333333335</v>
      </c>
      <c r="FH26" s="26">
        <f t="shared" ref="FH26:FH27" si="471">IF(OR(DL26="",ER26=""),"",PRODUCT(DL26,ER26))</f>
        <v>257.8</v>
      </c>
      <c r="FI26" s="26">
        <f t="shared" ref="FI26:FI27" si="472">IF(OR(DM26="",ES26=""),"",PRODUCT(DM26,ES26))</f>
        <v>82.333333333333343</v>
      </c>
      <c r="FJ26" s="26">
        <f t="shared" ref="FJ26:FJ27" si="473">IF(OR(DN26="",ET26=""),"",PRODUCT(DN26,ET26))</f>
        <v>427.33333333333343</v>
      </c>
      <c r="FK26" s="26">
        <f t="shared" ref="FK26:FK27" si="474">IF(OR(DO26="",EU26=""),"",PRODUCT(DO26,EU26))</f>
        <v>249.50000000000006</v>
      </c>
      <c r="FL26" s="26">
        <f t="shared" ref="FL26:FL27" si="475">IF(OR(DP26="",EV26=""),"",PRODUCT(DP26,EV26))</f>
        <v>171.13333333333335</v>
      </c>
      <c r="FM26" s="26">
        <f t="shared" ref="FM26:FM27" si="476">IF(OR(DQ26="",EW26=""),"",PRODUCT(DQ26,EW26))</f>
        <v>100</v>
      </c>
      <c r="FN26" s="26">
        <f t="shared" ref="FN26:FN27" si="477">IF(OR(DR26="",EX26=""),"",PRODUCT(DR26,EX26))</f>
        <v>100</v>
      </c>
      <c r="FO26" s="26">
        <f t="shared" ref="FO26:FO27" si="478">IF(OR(DS26="",EY26=""),"",PRODUCT(DS26,EY26))</f>
        <v>393.7</v>
      </c>
      <c r="FP26" s="26">
        <f t="shared" ref="FP26:FP27" si="479">IF(OR(DT26="",EZ26=""),"",PRODUCT(DT26,EZ26))</f>
        <v>78.739999999999995</v>
      </c>
      <c r="FQ26" s="26">
        <f t="shared" ref="FQ26:FQ27" si="480">IF(OR(DU26="",FA26=""),"",PRODUCT(DU26,FA26))</f>
        <v>258.09999999999997</v>
      </c>
      <c r="FR26" s="26">
        <f t="shared" ref="FR26:FR27" si="481">IF(OR(DV26="",FB26=""),"",PRODUCT(DV26,FB26))</f>
        <v>115.80000000000001</v>
      </c>
      <c r="FS26" s="26">
        <f t="shared" ref="FS26:FS27" si="482">IF(OR(DW26="",FC26=""),"",PRODUCT(DW26,FC26))</f>
        <v>100</v>
      </c>
      <c r="FT26" s="26">
        <f t="shared" ref="FT26:FT27" si="483">IF(OR(DX26="",FD26=""),"",PRODUCT(DX26,FD26))</f>
        <v>100</v>
      </c>
      <c r="FU26" s="26">
        <f t="shared" ref="FU26:FU27" si="484">IF(OR(DY26="",FE26=""),"",PRODUCT(DY26,FE26))</f>
        <v>100</v>
      </c>
      <c r="FV26" s="24">
        <f t="shared" ref="FV26:FV27" si="485">IF(OR(EP26="",DZ26=""),"",EP26*(IF(OR(DZ26="A",DZ26="a"),4,(IF(OR(DZ462="B",DZ26="b"),3,(IF(OR(DZ26="C",DZ26="c"),2,(IF(OR(DZ26="D",DZ26="d"),1.5,(IF(OR(DZ26="E",DZ26="e"),1,(IF(OR(DZ26="F",DZ26="f"),0)))))))))))))</f>
        <v>4</v>
      </c>
      <c r="FW26" s="24">
        <f t="shared" ref="FW26:FW27" si="486">IF(OR(EQ26="",EA26=""),"",EQ26*(IF(OR(EA26="A",EA26="a"),4,(IF(OR(EA462="B",EA26="b"),3,(IF(OR(EA26="C",EA26="c"),2,(IF(OR(EA26="D",EA26="d"),1.5,(IF(OR(EA26="E",EA26="e"),1,(IF(OR(EA26="F",EA26="f"),0)))))))))))))</f>
        <v>6</v>
      </c>
      <c r="FX26" s="24">
        <f t="shared" ref="FX26:FX27" si="487">IF(OR(ER26="",EB26=""),"",ER26*(IF(OR(EB26="A",EB26="a"),4,(IF(OR(EB462="B",EB26="b"),3,(IF(OR(EB26="C",EB26="c"),2,(IF(OR(EB26="D",EB26="d"),1.5,(IF(OR(EB26="E",EB26="e"),1,(IF(OR(EB26="F",EB26="f"),0)))))))))))))</f>
        <v>9</v>
      </c>
      <c r="FY26" s="24">
        <f t="shared" ref="FY26:FY27" si="488">IF(OR(ES26="",EC26=""),"",ES26*(IF(OR(EC26="A",EC26="a"),4,(IF(OR(EC462="B",EC26="b"),3,(IF(OR(EC26="C",EC26="c"),2,(IF(OR(EC26="D",EC26="d"),1.5,(IF(OR(EC26="E",EC26="e"),1,(IF(OR(EC26="F",EC26="f"),0)))))))))))))</f>
        <v>3</v>
      </c>
      <c r="FZ26" s="24">
        <f t="shared" ref="FZ26:FZ27" si="489">IF(OR(ET26="",ED26=""),"",ET26*(IF(OR(ED26="A",ED26="a"),4,(IF(OR(ED462="B",ED26="b"),3,(IF(OR(ED26="C",ED26="c"),2,(IF(OR(ED26="D",ED26="d"),1.5,(IF(OR(ED26="E",ED26="e"),1,(IF(OR(ED26="F",ED26="f"),0)))))))))))))</f>
        <v>15</v>
      </c>
      <c r="GA26" s="24">
        <f t="shared" ref="GA26:GA27" si="490">IF(OR(EU26="",EE26=""),"",EU26*(IF(OR(EE26="A",EE26="a"),4,(IF(OR(EE462="B",EE26="b"),3,(IF(OR(EE26="C",EE26="c"),2,(IF(OR(EE26="D",EE26="d"),1.5,(IF(OR(EE26="E",EE26="e"),1,(IF(OR(EE26="F",EE26="f"),0)))))))))))))</f>
        <v>9</v>
      </c>
      <c r="GB26" s="24">
        <f t="shared" ref="GB26:GB27" si="491">IF(OR(EV26="",EF26=""),"",EV26*(IF(OR(EF26="A",EF26="a"),4,(IF(OR(EF462="B",EF26="b"),3,(IF(OR(EF26="C",EF26="c"),2,(IF(OR(EF26="D",EF26="d"),1.5,(IF(OR(EF26="E",EF26="e"),1,(IF(OR(EF26="F",EF26="f"),0)))))))))))))</f>
        <v>6</v>
      </c>
      <c r="GC26" s="24">
        <f t="shared" ref="GC26:GC27" si="492">IF(OR(EW26="",EG26=""),"",EW26*(IF(OR(EG26="A",EG26="a"),4,(IF(OR(EG462="B",EG26="b"),3,(IF(OR(EG26="C",EG26="c"),2,(IF(OR(EG26="D",EG26="d"),1.5,(IF(OR(EG26="E",EG26="e"),1,(IF(OR(EG26="F",EG26="f"),0)))))))))))))</f>
        <v>4</v>
      </c>
      <c r="GD26" s="24">
        <f t="shared" ref="GD26:GD27" si="493">IF(OR(EX26="",EH26=""),"",EX26*(IF(OR(EH26="A",EH26="a"),4,(IF(OR(EH462="B",EH26="b"),3,(IF(OR(EH26="C",EH26="c"),2,(IF(OR(EH26="D",EH26="d"),1.5,(IF(OR(EH26="E",EH26="e"),1,(IF(OR(EH26="F",EH26="f"),0)))))))))))))</f>
        <v>4</v>
      </c>
      <c r="GE26" s="24">
        <f t="shared" ref="GE26:GE27" si="494">IF(OR(EY26="",EI26=""),"",EY26*(IF(OR(EI26="A",EI26="a"),4,(IF(OR(EI462="B",EI26="b"),3,(IF(OR(EI26="C",EI26="c"),2,(IF(OR(EI26="D",EI26="d"),1.5,(IF(OR(EI26="E",EI26="e"),1,(IF(OR(EI26="F",EI26="f"),0)))))))))))))</f>
        <v>10</v>
      </c>
      <c r="GF26" s="24">
        <f t="shared" ref="GF26:GF27" si="495">IF(OR(EZ26="",EJ26=""),"",EZ26*(IF(OR(EJ26="A",EJ26="a"),4,(IF(OR(EJ462="B",EJ26="b"),3,(IF(OR(EJ26="C",EJ26="c"),2,(IF(OR(EJ26="D",EJ26="d"),1.5,(IF(OR(EJ26="E",EJ26="e"),1,(IF(OR(EJ26="F",EJ26="f"),0)))))))))))))</f>
        <v>2</v>
      </c>
      <c r="GG26" s="24">
        <f t="shared" ref="GG26:GG27" si="496">IF(OR(FA26="",EK26=""),"",FA26*(IF(OR(EK26="A",EK26="a"),4,(IF(OR(EK462="B",EK26="b"),3,(IF(OR(EK26="C",EK26="c"),2,(IF(OR(EK26="D",EK26="d"),1.5,(IF(OR(EK26="E",EK26="e"),1,(IF(OR(EK26="F",EK26="f"),0)))))))))))))</f>
        <v>5</v>
      </c>
      <c r="GH26" s="24">
        <f t="shared" ref="GH26:GH27" si="497">IF(OR(FB26="",EL26=""),"",FB26*(IF(OR(EL26="A",EL26="a"),4,(IF(OR(EL462="B",EL26="b"),3,(IF(OR(EL26="C",EL26="c"),2,(IF(OR(EL26="D",EL26="d"),1.5,(IF(OR(EL26="E",EL26="e"),1,(IF(OR(EL26="F",EL26="f"),0)))))))))))))</f>
        <v>0</v>
      </c>
      <c r="GI26" s="24">
        <f t="shared" ref="GI26:GI27" si="498">IF(OR(FC26="",EM26=""),"",FC26*(IF(OR(EM26="A",EM26="a"),4,(IF(OR(EM462="B",EM26="b"),3,(IF(OR(EM26="C",EM26="c"),2,(IF(OR(EM26="D",EM26="d"),1.5,(IF(OR(EM26="E",EM26="e"),1,(IF(OR(EM26="F",EM26="f"),0)))))))))))))</f>
        <v>2</v>
      </c>
      <c r="GJ26" s="24">
        <f t="shared" ref="GJ26:GJ27" si="499">IF(OR(FD26="",EN26=""),"",FD26*(IF(OR(EN26="A",EN26="a"),4,(IF(OR(EN462="B",EN26="b"),3,(IF(OR(EN26="C",EN26="c"),2,(IF(OR(EN26="D",EN26="d"),1.5,(IF(OR(EN26="E",EN26="e"),1,(IF(OR(EN26="F",EN26="f"),0)))))))))))))</f>
        <v>2</v>
      </c>
      <c r="GK26" s="24">
        <f t="shared" ref="GK26:GK27" si="500">IF(OR(FE26="",EO26=""),"",FE26*(IF(OR(EO26="A",EO26="a"),4,(IF(OR(EO462="B",EO26="b"),3,(IF(OR(EO26="C",EO26="c"),2,(IF(OR(EO26="D",EO26="d"),1.5,(IF(OR(EO26="E",EO26="e"),1,(IF(OR(EO26="F",EO26="f"),0)))))))))))))</f>
        <v>2</v>
      </c>
      <c r="GL26" s="24">
        <f t="shared" ref="GL26:GL27" si="501">IF(BW26="","",SUM(EP26:EX26))</f>
        <v>20</v>
      </c>
      <c r="GM26" s="24">
        <f t="shared" ref="GM26:GM27" si="502">IF(OR(BW26="",CA26="I",CA26="II",CA26="M",CA26="A"),"",IF(OR(BW26="",CB26=""),"",SUM(FF26:FN26)))</f>
        <v>1712.8333333333335</v>
      </c>
      <c r="GN26" s="26">
        <f t="shared" ref="GN26:GN27" si="503">IF(BW26="","",SUM(FV26:GD26))</f>
        <v>60</v>
      </c>
      <c r="GO26" s="26">
        <f t="shared" ref="GO26:GO27" si="504">IF(OR(GL26="",GM26=""),"",GM26/GL26)</f>
        <v>85.64166666666668</v>
      </c>
      <c r="GP26" s="24" t="str">
        <f t="shared" ref="GP26:GP27" si="505">IF(GO26="","",IF(GO26&gt;=90,"A",IF(GO26&gt;=80,"B",IF(GO26&gt;=70,"C",IF(GO26&gt;=60,"D",IF(GO26&gt;=50,"E",IF(GO26&gt;=0,"F","")))))))</f>
        <v>B</v>
      </c>
      <c r="GQ26" s="26">
        <f t="shared" ref="GQ26:GQ27" si="506">IF(BW26="","",GN26/GL26)</f>
        <v>3</v>
      </c>
      <c r="GR26" s="24">
        <f t="shared" ref="GR26:GR27" si="507">IF(B26="","",SUM(EY26:FE26))</f>
        <v>20</v>
      </c>
      <c r="GS26" s="26">
        <f t="shared" ref="GS26:GS27" si="508">IF(B26="","",SUM(FO26:FU26))</f>
        <v>1146.3399999999999</v>
      </c>
      <c r="GT26" s="26">
        <f t="shared" ref="GT26:GT27" si="509">IF(B26="","",SUM(GE26:GK26))</f>
        <v>23</v>
      </c>
      <c r="GU26" s="26">
        <f t="shared" ref="GU26:GU27" si="510">IF(OR(GR26="",GS26=""),"",GS26/GR26)</f>
        <v>57.316999999999993</v>
      </c>
      <c r="GV26" s="24" t="str">
        <f t="shared" ref="GV26:GV27" si="511">IF(GU26="","",IF(GU26&gt;=90,"A",IF(GU26&gt;=80,"B",IF(GU26&gt;=70,"C",IF(GU26&gt;=60,"D",IF(GU26&gt;=50,"E",IF(GU26&gt;=0,"F","")))))))</f>
        <v>E</v>
      </c>
      <c r="GW26" s="27">
        <f t="shared" ref="GW26:GW27" si="512">IF(B26="","",GT26/GR26)</f>
        <v>1.1499999999999999</v>
      </c>
      <c r="GX26" s="24">
        <f t="shared" ref="GX26:GX27" si="513">IF(SUM(EP26:FE26)=0,"",IF(OR(F26="",F26="I",F26="II",F26="M",F26="A"),(SUM(EP26:FE26)),IF(OR(F26="",F26="III"),(SUM(GL26,GR26)))))</f>
        <v>40</v>
      </c>
      <c r="GY26" s="27">
        <f t="shared" ref="GY26:GY27" si="514">IF(SUM(EP26:FE26)=0,"",IF(OR(B26="",F26="I",F26="II",F26="M",F26="A"),(SUM(FF26:FU26)),IF(OR(B26="",F26="III"),(SUM(GM26,GS26)))))</f>
        <v>2859.1733333333332</v>
      </c>
      <c r="GZ26" s="27">
        <f t="shared" ref="GZ26:GZ27" si="515">IF(SUM(EP26:FE26)=0,"",IF(OR(B26="",F26="I",15="II",F26="M",F26="A"),(SUM(FV26:GK26)),IF(OR(B26="",F26="II"),(SUM(GT26,GN26)))))</f>
        <v>83</v>
      </c>
      <c r="HA26" s="26">
        <f t="shared" ref="HA26:HA27" si="516">IF(OR(GX26=0,GY26=0),0,IF(OR(GX26="",GY26=""),"",GY26/GX26))</f>
        <v>71.479333333333329</v>
      </c>
      <c r="HB26" s="27" t="str">
        <f t="shared" ref="HB26:HB27" si="517">IF(HA26="","",IF(HA26&gt;=90,"A",IF(HA26&gt;=80,"B",IF(HA26&gt;=70,"C",IF(HA26&gt;=60,"D",IF(HA26&gt;=50,"E",IF(HA26&gt;=0,"F","")))))))</f>
        <v>C</v>
      </c>
      <c r="HC26" s="26">
        <f t="shared" ref="HC26:HC27" si="518">IF(BW26="","",GZ26/GX26)</f>
        <v>2.0750000000000002</v>
      </c>
      <c r="HD26" s="24">
        <f t="shared" ref="HD26:HD27" si="519">IF(OR(B26="",HA26=""),"",RANK(HA26,$HA$15:$HA$25))</f>
        <v>10</v>
      </c>
      <c r="HE26" s="24" t="str">
        <f t="shared" ref="HE26:HE27" si="520">IF(B26="","",$C$9)</f>
        <v>6A</v>
      </c>
      <c r="HF26" s="24">
        <f t="shared" ref="HF26:HF27" si="521">IF(B26="","",MAX($A$15:$A$25))</f>
        <v>11</v>
      </c>
      <c r="HG26" s="24">
        <f>IF(B26="","",'Q2'!$C$8)</f>
        <v>50</v>
      </c>
      <c r="HH26" s="24">
        <f>IF(A26="","",'Q2'!DE26)</f>
        <v>0</v>
      </c>
      <c r="HI26" s="24">
        <f>IF(B26="","",'Q2'!DF26)</f>
        <v>0</v>
      </c>
      <c r="HJ26" s="24">
        <f>IF(B26="","",'Q2'!DG26)</f>
        <v>0</v>
      </c>
      <c r="HK26" s="24">
        <f t="shared" ref="HK26:HK27" si="522">IF(B26="","",HI26+HJ26)</f>
        <v>0</v>
      </c>
      <c r="HL26" s="25">
        <f t="shared" ref="HL26:HL27" si="523">IF(B26="","",(HG26-HK26)/HG26)</f>
        <v>1</v>
      </c>
      <c r="HM26" s="7">
        <v>60</v>
      </c>
      <c r="HN26" s="7">
        <v>65</v>
      </c>
      <c r="HO26" s="7">
        <v>80</v>
      </c>
      <c r="HP26" s="7">
        <v>70</v>
      </c>
      <c r="HQ26" s="7">
        <v>70</v>
      </c>
      <c r="HR26" s="7">
        <v>75</v>
      </c>
      <c r="HS26" s="7">
        <v>55</v>
      </c>
      <c r="HT26" s="7"/>
      <c r="HU26" s="7"/>
      <c r="HV26" s="7">
        <v>67</v>
      </c>
      <c r="HW26" s="7"/>
      <c r="HX26" s="7">
        <v>28</v>
      </c>
      <c r="HY26" s="7">
        <v>8</v>
      </c>
      <c r="HZ26" s="7">
        <v>61</v>
      </c>
      <c r="IA26" s="7">
        <v>55</v>
      </c>
      <c r="IB26" s="7">
        <v>53</v>
      </c>
      <c r="IC26" s="7" t="str">
        <f t="shared" ref="IC26:IC27" si="524">IF(HM26="","",IF(HM26&gt;=90,"A",IF(HM26&gt;=80,"B",IF(HM26&gt;=70,"C",IF(HM26&gt;=60,"D",IF(HM26&gt;=50,"E",IF(HM26&gt;=0,"F","")))))))</f>
        <v>D</v>
      </c>
      <c r="ID26" s="7" t="str">
        <f t="shared" ref="ID26:ID27" si="525">IF(HN26="","",IF(HN26&gt;=90,"A",IF(HN26&gt;=80,"B",IF(HN26&gt;=70,"C",IF(HN26&gt;=60,"D",IF(HN26&gt;=50,"E",IF(HN26&gt;=0,"F","")))))))</f>
        <v>D</v>
      </c>
      <c r="IE26" s="7" t="str">
        <f t="shared" ref="IE26:IE27" si="526">IF(HO26="","",IF(HO26&gt;=90,"A",IF(HO26&gt;=80,"B",IF(HO26&gt;=70,"C",IF(HO26&gt;=60,"D",IF(HO26&gt;=50,"E",IF(HO26&gt;=0,"F","")))))))</f>
        <v>B</v>
      </c>
      <c r="IF26" s="7" t="str">
        <f t="shared" ref="IF26:IF27" si="527">IF(HP26="","",IF(HP26&gt;=90,"A",IF(HP26&gt;=80,"B",IF(HP26&gt;=70,"C",IF(HP26&gt;=60,"D",IF(HP26&gt;=50,"E",IF(HP26&gt;=0,"F","")))))))</f>
        <v>C</v>
      </c>
      <c r="IG26" s="7" t="str">
        <f t="shared" ref="IG26:IG27" si="528">IF(HQ26="","",IF(HQ26&gt;=90,"A",IF(HQ26&gt;=80,"B",IF(HQ26&gt;=70,"C",IF(HQ26&gt;=60,"D",IF(HQ26&gt;=50,"E",IF(HQ26&gt;=0,"F","")))))))</f>
        <v>C</v>
      </c>
      <c r="IH26" s="7" t="str">
        <f t="shared" ref="IH26:IH27" si="529">IF(HR26="","",IF(HR26&gt;=90,"A",IF(HR26&gt;=80,"B",IF(HR26&gt;=70,"C",IF(HR26&gt;=60,"D",IF(HR26&gt;=50,"E",IF(HR26&gt;=0,"F","")))))))</f>
        <v>C</v>
      </c>
      <c r="II26" s="7" t="str">
        <f t="shared" ref="II26:II27" si="530">IF(HS26="","",IF(HS26&gt;=90,"A",IF(HS26&gt;=80,"B",IF(HS26&gt;=70,"C",IF(HS26&gt;=60,"D",IF(HS26&gt;=50,"E",IF(HS26&gt;=0,"F","")))))))</f>
        <v>E</v>
      </c>
      <c r="IJ26" s="7" t="str">
        <f t="shared" ref="IJ26:IJ27" si="531">IF(HT26="","",IF(HT26&gt;=90,"A",IF(HT26&gt;=80,"B",IF(HT26&gt;=70,"C",IF(HT26&gt;=60,"D",IF(HT26&gt;=50,"E",IF(HT26&gt;=0,"F","")))))))</f>
        <v/>
      </c>
      <c r="IK26" s="7" t="str">
        <f t="shared" ref="IK26:IK27" si="532">IF(HU26="","",IF(HU26&gt;=90,"A",IF(HU26&gt;=80,"B",IF(HU26&gt;=70,"C",IF(HU26&gt;=60,"D",IF(HU26&gt;=50,"E",IF(HU26&gt;=0,"F","")))))))</f>
        <v/>
      </c>
      <c r="IL26" s="24" t="str">
        <f t="shared" ref="IL26:IL27" si="533">IF(HV26="","",IF(HV26&gt;=90,"A",IF(HV26&gt;=80,"B",IF(HV26&gt;=70,"C",IF(HV26&gt;=60,"D",IF(HV26&gt;=50,"E",IF(HV26&gt;=0,"F","")))))))</f>
        <v>D</v>
      </c>
      <c r="IM26" s="24" t="str">
        <f t="shared" ref="IM26:IM27" si="534">IF(HW26="","",IF(HW26&gt;=90,"A",IF(HW26&gt;=80,"B",IF(HW26&gt;=70,"C",IF(HW26&gt;=60,"D",IF(HW26&gt;=50,"E",IF(HW26&gt;=0,"F","")))))))</f>
        <v/>
      </c>
      <c r="IN26" s="24" t="str">
        <f t="shared" ref="IN26:IN27" si="535">IF(HX26="","",IF(HX26&gt;=90,"A",IF(HX26&gt;=80,"B",IF(HX26&gt;=70,"C",IF(HX26&gt;=60,"D",IF(HX26&gt;=50,"E",IF(HX26&gt;=0,"F","")))))))</f>
        <v>F</v>
      </c>
      <c r="IO26" s="24" t="str">
        <f t="shared" ref="IO26:IO27" si="536">IF(HY26="","",IF(HY26&gt;=90,"A",IF(HY26&gt;=80,"B",IF(HY26&gt;=70,"C",IF(HY26&gt;=60,"D",IF(HY26&gt;=50,"E",IF(HY26&gt;=0,"F","")))))))</f>
        <v>F</v>
      </c>
      <c r="IP26" s="24" t="str">
        <f t="shared" ref="IP26:IP27" si="537">IF(HZ26="","",IF(HZ26&gt;=90,"A",IF(HZ26&gt;=80,"B",IF(HZ26&gt;=70,"C",IF(HZ26&gt;=60,"D",IF(HZ26&gt;=50,"E",IF(HZ26&gt;=0,"F","")))))))</f>
        <v>D</v>
      </c>
      <c r="IQ26" s="24" t="str">
        <f t="shared" ref="IQ26:IQ27" si="538">IF(IA26="","",IF(IA26&gt;=90,"A",IF(IA26&gt;=80,"B",IF(IA26&gt;=70,"C",IF(IA26&gt;=60,"D",IF(IA26&gt;=50,"E",IF(IA26&gt;=0,"F","")))))))</f>
        <v>E</v>
      </c>
      <c r="IR26" s="24" t="str">
        <f t="shared" ref="IR26:IR27" si="539">IF(IB26="","",IF(IB26&gt;=90,"A",IF(IB26&gt;=80,"B",IF(IB26&gt;=70,"C",IF(IB26&gt;=60,"D",IF(IB26&gt;=50,"E",IF(IB26&gt;=0,"F","")))))))</f>
        <v>E</v>
      </c>
      <c r="IS26" s="24">
        <f t="shared" ref="IS26:IS27" si="540">IF(HM26="","",$IS$14)</f>
        <v>2</v>
      </c>
      <c r="IT26" s="24">
        <f t="shared" ref="IT26:IT27" si="541">IF(HN26="","",$IT$14)</f>
        <v>2</v>
      </c>
      <c r="IU26" s="24">
        <f t="shared" ref="IU26:IU27" si="542">IF(HO26="","",$IU$14)</f>
        <v>3</v>
      </c>
      <c r="IV26" s="24">
        <f t="shared" ref="IV26:IV27" si="543">IF(HP26="","",$IV$14)</f>
        <v>1</v>
      </c>
      <c r="IW26" s="24">
        <f t="shared" ref="IW26:IW27" si="544">IF(HQ26="","",$IW$14)</f>
        <v>5</v>
      </c>
      <c r="IX26" s="24">
        <f t="shared" ref="IX26:IX27" si="545">IF(HR26="","",$IX$14)</f>
        <v>3</v>
      </c>
      <c r="IY26" s="24">
        <f t="shared" ref="IY26:IY27" si="546">IF(HS26="","",$IY$14)</f>
        <v>2</v>
      </c>
      <c r="IZ26" s="24" t="str">
        <f t="shared" ref="IZ26:IZ27" si="547">IF(HT26="","",$IZ$14)</f>
        <v/>
      </c>
      <c r="JA26" s="24" t="str">
        <f t="shared" ref="JA26:JA27" si="548">IF(HU26="","",$JA$14)</f>
        <v/>
      </c>
      <c r="JB26" s="24">
        <f t="shared" ref="JB26:JB27" si="549">IF(HV26="","",$JB$14)</f>
        <v>5</v>
      </c>
      <c r="JC26" s="24" t="str">
        <f t="shared" ref="JC26:JC27" si="550">IF(HW26="","",$JC$14)</f>
        <v/>
      </c>
      <c r="JD26" s="24">
        <f t="shared" ref="JD26:JD27" si="551">IF(HX26="","",$JD$14)</f>
        <v>5</v>
      </c>
      <c r="JE26" s="24">
        <f t="shared" ref="JE26:JE27" si="552">IF(HY26="","",$JE$14)</f>
        <v>3</v>
      </c>
      <c r="JF26" s="24">
        <f t="shared" ref="JF26:JF27" si="553">IF(HZ26="","",$JF$14)</f>
        <v>2</v>
      </c>
      <c r="JG26" s="24">
        <f t="shared" ref="JG26:JG27" si="554">IF(IA26="","",$JG$14)</f>
        <v>2</v>
      </c>
      <c r="JH26" s="24">
        <f t="shared" ref="JH26:JH27" si="555">IF(IB26="","",$JH$14)</f>
        <v>2</v>
      </c>
      <c r="JI26" s="26">
        <f t="shared" ref="JI26:JI27" si="556">IF(OR(HM26="",IS26=""),"",PRODUCT(HM26,IS26))</f>
        <v>120</v>
      </c>
      <c r="JJ26" s="26">
        <f t="shared" ref="JJ26:JJ27" si="557">IF(OR(HN26="",IT26=""),"",PRODUCT(HN26,IT26))</f>
        <v>130</v>
      </c>
      <c r="JK26" s="26">
        <f t="shared" ref="JK26:JK27" si="558">IF(OR(HO26="",IU26=""),"",PRODUCT(HO26,IU26))</f>
        <v>240</v>
      </c>
      <c r="JL26" s="26">
        <f t="shared" ref="JL26:JL27" si="559">IF(OR(HP26="",IV26=""),"",PRODUCT(HP26,IV26))</f>
        <v>70</v>
      </c>
      <c r="JM26" s="26">
        <f t="shared" ref="JM26:JM27" si="560">IF(OR(HQ26="",IW26=""),"",PRODUCT(HQ26,IW26))</f>
        <v>350</v>
      </c>
      <c r="JN26" s="26">
        <f t="shared" ref="JN26:JN27" si="561">IF(OR(HR26="",IX26=""),"",PRODUCT(HR26,IX26))</f>
        <v>225</v>
      </c>
      <c r="JO26" s="26">
        <f t="shared" ref="JO26:JO27" si="562">IF(OR(HS26="",IY26=""),"",PRODUCT(HS26,IY26))</f>
        <v>110</v>
      </c>
      <c r="JP26" s="26" t="str">
        <f t="shared" ref="JP26:JP27" si="563">IF(OR(HT26="",IZ26=""),"",PRODUCT(HT26,IZ26))</f>
        <v/>
      </c>
      <c r="JQ26" s="24">
        <f t="shared" ref="JQ26:JQ27" si="564">IF(OR(HV26="",JB26=""),"",PRODUCT(HV26,JB26))</f>
        <v>335</v>
      </c>
      <c r="JR26" s="24" t="str">
        <f t="shared" ref="JR26:JR27" si="565">IF(OR(HW26="",JC26=""),"",PRODUCT(HW26,JC26))</f>
        <v/>
      </c>
      <c r="JS26" s="24">
        <f t="shared" ref="JS26:JS27" si="566">IF(OR(HX26="",JD26=""),"",PRODUCT(HX26,JD26))</f>
        <v>140</v>
      </c>
      <c r="JT26" s="24">
        <f t="shared" ref="JT26:JT27" si="567">IF(OR(HY26="",JE26=""),"",PRODUCT(HY26,JE26))</f>
        <v>24</v>
      </c>
      <c r="JU26" s="24">
        <f t="shared" ref="JU26:JU27" si="568">IF(OR(HZ26="",JF26=""),"",PRODUCT(HZ26,JF26))</f>
        <v>122</v>
      </c>
      <c r="JV26" s="24">
        <f t="shared" ref="JV26:JV27" si="569">IF(OR(IA26="",JG26=""),"",PRODUCT(IA26,JG26))</f>
        <v>110</v>
      </c>
      <c r="JW26" s="24">
        <f t="shared" ref="JW26:JW27" si="570">IF(OR(IB26="",JH26=""),"",PRODUCT(IB26,JH26))</f>
        <v>106</v>
      </c>
      <c r="JX26" s="24">
        <f t="shared" ref="JX26:JX27" si="571">IF(OR(IS26="",IC26=""),"",IS26*(IF(OR(IC26="A",IC26="a"),4,(IF(OR(IC462="B",IC26="b"),3,(IF(OR(IC26="C",IC26="c"),2,(IF(OR(IC26="D",IC26="d"),1.5,(IF(OR(IC26="E",IC26="e"),1,(IF(OR(IC26="F",IC26="f"),0)))))))))))))</f>
        <v>3</v>
      </c>
      <c r="JY26" s="24">
        <f t="shared" ref="JY26:JY27" si="572">IF(OR(IT26="",ID26=""),"",IT26*(IF(OR(ID26="A",ID26="a"),4,(IF(OR(ID462="B",ID26="b"),3,(IF(OR(ID26="C",ID26="c"),2,(IF(OR(ID26="D",ID26="d"),1.5,(IF(OR(ID26="E",ID26="e"),1,(IF(OR(ID26="F",ID26="f"),0)))))))))))))</f>
        <v>3</v>
      </c>
      <c r="JZ26" s="24">
        <f t="shared" ref="JZ26:JZ27" si="573">IF(OR(IU26="",IE26=""),"",IU26*(IF(OR(IE26="A",IE26="a"),4,(IF(OR(IE462="B",IE26="b"),3,(IF(OR(IE26="C",IE26="c"),2,(IF(OR(IE26="D",IE26="d"),1.5,(IF(OR(IE26="E",IE26="e"),1,(IF(OR(IE26="F",IE26="f"),0)))))))))))))</f>
        <v>9</v>
      </c>
      <c r="KA26" s="24">
        <f t="shared" ref="KA26:KA27" si="574">IF(OR(IV26="",IF26=""),"",IV26*(IF(OR(IF26="A",IF26="a"),4,(IF(OR(IF462="B",IF26="b"),3,(IF(OR(IF26="C",IF26="c"),2,(IF(OR(IF26="D",IF26="d"),1.5,(IF(OR(IF26="E",IF26="e"),1,(IF(OR(IF26="F",IF26="f"),0)))))))))))))</f>
        <v>2</v>
      </c>
      <c r="KB26" s="24">
        <f t="shared" ref="KB26:KB27" si="575">IF(OR(IW26="",IG26=""),"",IW26*(IF(OR(IG26="A",IG26="a"),4,(IF(OR(IG462="B",IG26="b"),3,(IF(OR(IG26="C",IG26="c"),2,(IF(OR(IG26="D",IG26="d"),1.5,(IF(OR(IG26="E",IG26="e"),1,(IF(OR(IG26="F",IG26="f"),0)))))))))))))</f>
        <v>10</v>
      </c>
      <c r="KC26" s="24">
        <f t="shared" ref="KC26:KC27" si="576">IF(OR(IX26="",IH26=""),"",IX26*(IF(OR(IH26="A",IH26="a"),4,(IF(OR(IH462="B",IH26="b"),3,(IF(OR(IH26="C",IH26="c"),2,(IF(OR(IH26="D",IH26="d"),1.5,(IF(OR(IH26="E",IH26="e"),1,(IF(OR(IH26="F",IH26="f"),0)))))))))))))</f>
        <v>6</v>
      </c>
      <c r="KD26" s="24">
        <f t="shared" ref="KD26:KD27" si="577">IF(OR(IY26="",II26=""),"",IY26*(IF(OR(II26="A",II26="a"),4,(IF(OR(II462="B",II26="b"),3,(IF(OR(II26="C",II26="c"),2,(IF(OR(II26="D",II26="d"),1.5,(IF(OR(II26="E",II26="e"),1,(IF(OR(II26="F",II26="f"),0)))))))))))))</f>
        <v>2</v>
      </c>
      <c r="KE26" s="24" t="str">
        <f t="shared" ref="KE26:KE27" si="578">IF(OR(IZ26="",IJ26=""),"",IZ26*(IF(OR(IJ26="A",IJ26="a"),4,(IF(OR(IJ462="B",IJ26="b"),3,(IF(OR(IJ26="C",IJ26="c"),2,(IF(OR(IJ26="D",IJ26="d"),1.5,(IF(OR(IJ26="E",IJ26="e"),1,(IF(OR(IJ26="F",IJ26="f"),0)))))))))))))</f>
        <v/>
      </c>
      <c r="KF26" s="24" t="str">
        <f t="shared" ref="KF26:KF27" si="579">IF(OR(JA26="",IK26=""),"",JA26*(IF(OR(IK26="A",IK26="a"),4,(IF(OR(IK462="B",IK26="b"),3,(IF(OR(IK26="C",IK26="c"),2,(IF(OR(IK26="D",IK26="d"),1.5,(IF(OR(IK26="E",IK26="e"),1,(IF(OR(IK26="F",IK26="f"),0)))))))))))))</f>
        <v/>
      </c>
      <c r="KG26" s="24">
        <f t="shared" ref="KG26:KG27" si="580">IF(OR(JB26="",IL26=""),"",JB26*(IF(OR(IL26="A",IL26="a"),4,(IF(OR(IL462="B",IL26="b"),3,(IF(OR(IL26="C",IL26="c"),2,(IF(OR(IL26="D",IL26="d"),1.5,(IF(OR(IL26="E",IL26="e"),1,(IF(OR(IL26="F",IL26="f"),0)))))))))))))</f>
        <v>7.5</v>
      </c>
      <c r="KH26" s="24" t="str">
        <f t="shared" ref="KH26:KH27" si="581">IF(OR(JC26="",IM26=""),"",JC26*(IF(OR(IM26="A",IM26="a"),4,(IF(OR(IM462="B",IM26="b"),3,(IF(OR(IM26="C",IM26="c"),2,(IF(OR(IM26="D",IM26="d"),1.5,(IF(OR(IM26="E",IM26="e"),1,(IF(OR(IM26="F",IM26="f"),0)))))))))))))</f>
        <v/>
      </c>
      <c r="KI26" s="24">
        <f t="shared" ref="KI26:KI27" si="582">IF(OR(JD26="",IN26=""),"",JD26*(IF(OR(IN26="A",IN26="a"),4,(IF(OR(IN462="B",IN26="b"),3,(IF(OR(IN26="C",IN26="c"),2,(IF(OR(IN26="D",IN26="d"),1.5,(IF(OR(IN26="E",IN26="e"),1,(IF(OR(IN26="F",IN26="f"),0)))))))))))))</f>
        <v>0</v>
      </c>
      <c r="KJ26" s="24">
        <f t="shared" ref="KJ26:KJ27" si="583">IF(OR(JE26="",IO26=""),"",JE26*(IF(OR(IO26="A",IO26="a"),4,(IF(OR(IO462="B",IO26="b"),3,(IF(OR(IO26="C",IO26="c"),2,(IF(OR(IO26="D",IO26="d"),1.5,(IF(OR(IO26="E",IO26="e"),1,(IF(OR(IO26="F",IO26="f"),0)))))))))))))</f>
        <v>0</v>
      </c>
      <c r="KK26" s="24">
        <f t="shared" ref="KK26:KK27" si="584">IF(OR(JF26="",IP26=""),"",JF26*(IF(OR(IP26="A",IP26="a"),4,(IF(OR(IP462="B",IP26="b"),3,(IF(OR(IP26="C",IP26="c"),2,(IF(OR(IP26="D",IP26="d"),1.5,(IF(OR(IP26="E",IP26="e"),1,(IF(OR(IP26="F",IP26="f"),0)))))))))))))</f>
        <v>3</v>
      </c>
      <c r="KL26" s="24">
        <f t="shared" ref="KL26:KL27" si="585">IF(OR(JG26="",IQ26=""),"",JG26*(IF(OR(IQ26="A",IQ26="a"),4,(IF(OR(IQ462="B",IQ26="b"),3,(IF(OR(IQ26="C",IQ26="c"),2,(IF(OR(IQ26="D",IQ26="d"),1.5,(IF(OR(IQ26="E",IQ26="e"),1,(IF(OR(IQ26="F",IQ26="f"),0)))))))))))))</f>
        <v>2</v>
      </c>
      <c r="KM26" s="24">
        <f t="shared" ref="KM26:KM27" si="586">IF(OR(JH26="",IR26=""),"",JH26*(IF(OR(IR26="A",IR26="a"),4,(IF(OR(IR462="B",IR26="b"),3,(IF(OR(IR26="C",IR26="c"),2,(IF(OR(IR26="D",IR26="d"),1.5,(IF(OR(IR26="E",IR26="e"),1,(IF(OR(IR26="F",IR26="f"),0)))))))))))))</f>
        <v>2</v>
      </c>
      <c r="KN26" s="24">
        <f t="shared" ref="KN26:KN27" si="587">IF(FZ26="","",SUM(IS26:JA26))</f>
        <v>18</v>
      </c>
      <c r="KO26" s="26">
        <f t="shared" ref="KO26:KO27" si="588">IF(OR(FZ26="",GD26="I",GD26="II",GD26="M",GD26="A"),"",IF(OR(FZ26="",GE26=""),"",SUM(JI26:JP26)))</f>
        <v>1245</v>
      </c>
      <c r="KP26" s="26">
        <f t="shared" ref="KP26:KP27" si="589">IF(FZ26="","",SUM(JX26:KF26))</f>
        <v>35</v>
      </c>
      <c r="KQ26" s="26">
        <f t="shared" ref="KQ26:KQ27" si="590">IF(OR(KN26="",KO26=""),"",KO26/KN26)</f>
        <v>69.166666666666671</v>
      </c>
      <c r="KR26" s="24" t="str">
        <f t="shared" ref="KR26:KR27" si="591">IF(KQ26="","",IF(KQ26&gt;=90,"A",IF(KQ26&gt;=80,"B",IF(KQ26&gt;=70,"C",IF(KQ26&gt;=60,"D",IF(KQ26&gt;=50,"E",IF(KQ26&gt;=0,"F","")))))))</f>
        <v>D</v>
      </c>
      <c r="KS26" s="26">
        <f t="shared" ref="KS26:KS27" si="592">IF(FZ26="","",KP26/KN26)</f>
        <v>1.9444444444444444</v>
      </c>
      <c r="KT26" s="24">
        <f t="shared" ref="KT26:KT27" si="593">IF(B26="","",SUM(JB26:JH26))</f>
        <v>19</v>
      </c>
      <c r="KU26" s="24">
        <f t="shared" ref="KU26:KU27" si="594">IF(B26="","",SUM(JQ26:JW26))</f>
        <v>837</v>
      </c>
      <c r="KV26" s="26">
        <f t="shared" ref="KV26:KV27" si="595">IF(B26="","",SUM(KG26:KM26))</f>
        <v>14.5</v>
      </c>
      <c r="KW26" s="26">
        <f t="shared" ref="KW26:KW27" si="596">IF(OR(KT26="",KU26=""),"",KU26/KT26)</f>
        <v>44.05263157894737</v>
      </c>
      <c r="KX26" s="24" t="str">
        <f t="shared" ref="KX26:KX27" si="597">IF(KW26="","",IF(KW26&gt;=90,"A",IF(KW26&gt;=80,"B",IF(KW26&gt;=70,"C",IF(KW26&gt;=60,"D",IF(KW26&gt;=50,"E",IF(KW26&gt;=0,"F","")))))))</f>
        <v>F</v>
      </c>
      <c r="KY26" s="27">
        <f t="shared" ref="KY26:KY27" si="598">IF(B26="","",KV26/KT26)</f>
        <v>0.76315789473684215</v>
      </c>
      <c r="KZ26" s="24">
        <f t="shared" ref="KZ26:KZ27" si="599">IF(SUM(IS26:JH26)=0,"",IF(OR(F26="",F26="I",F26="II",F26="M",F26="A"),(SUM(IS26:JH26)),IF(OR(F26="",F26="III"),(SUM(KN26,KT26)))))</f>
        <v>37</v>
      </c>
      <c r="LA26" s="27">
        <f t="shared" ref="LA26:LA27" si="600">IF(SUM(IS26:JH26)=0,"",IF(OR(F26="",F26="I",F26="II",F26="M",F26="A"),(SUM(JI26:JW26)),IF(OR(F26="",F26="III"),(SUM(KO26,KU26)))))</f>
        <v>2082</v>
      </c>
      <c r="LB26" s="27">
        <f t="shared" ref="LB26:LB27" si="601">IF(SUM(IS26:JH26)=0,"",IF(OR(B26="",F26="I",F26="II",F26="M",F26="A"),(SUM(JX26:KM26)),IF(OR(B26="",F26="III"),(SUM(KV26,KP26)))))</f>
        <v>49.5</v>
      </c>
      <c r="LC26" s="26">
        <f t="shared" ref="LC26:LC27" si="602">IF(OR(KZ26=0,LA26=0),0,IF(OR(KZ26="",LA26=""),"",LA26/KZ26))</f>
        <v>56.270270270270274</v>
      </c>
      <c r="LD26" s="24" t="str">
        <f t="shared" ref="LD26:LD27" si="603">IF(LC26="","",IF(LC26&gt;=90,"A",IF(LC26&gt;=80,"B",IF(LC26&gt;=70,"C",IF(LC26&gt;=60,"D",IF(LC26&gt;=50,"E",IF(LC26&gt;=0,"F","")))))))</f>
        <v>E</v>
      </c>
      <c r="LE26" s="26">
        <f t="shared" ref="LE26:LE27" si="604">IF(FZ26="","",LB26/KZ26)</f>
        <v>1.3378378378378379</v>
      </c>
      <c r="LF26" s="24">
        <f t="shared" ref="LF26:LF27" si="605">IF(OR(B26="",LC26=""),"",RANK(LC26,$LC$15:$LC$25))</f>
        <v>10</v>
      </c>
      <c r="LG26" s="24" t="str">
        <f t="shared" ref="LG26:LG27" si="606">IF(B26="","",$C$9)</f>
        <v>6A</v>
      </c>
      <c r="LH26" s="24">
        <f t="shared" ref="LH26:LH27" si="607">IF(B26="","",COUNTA($B$15:$B$25))</f>
        <v>11</v>
      </c>
      <c r="LI26" s="26">
        <f>IF('Q2'!G26="","",SUM((AVERAGE('Q1'!G26,'Q2'!G26)*0.5))+(HM26*0.5))</f>
        <v>68.5</v>
      </c>
      <c r="LJ26" s="26">
        <f>IF('Q2'!H26="","",SUM((AVERAGE('Q1'!H26,'Q2'!H26)*0.5))+(HN26*0.5))</f>
        <v>75.183333333333337</v>
      </c>
      <c r="LK26" s="26">
        <f>IF('Q2'!I26="","",SUM((AVERAGE('Q1'!I26,'Q2'!I26)*0.5))+(HO26*0.5))</f>
        <v>82.966666666666669</v>
      </c>
      <c r="LL26" s="26">
        <f>IF('Q2'!J26="","",SUM((AVERAGE('Q1'!J26,'Q2'!J26)*0.5))+(HP26*0.5))</f>
        <v>76.166666666666671</v>
      </c>
      <c r="LM26" s="26">
        <f>IF('Q2'!K26="","",SUM((AVERAGE('Q1'!K26,'Q2'!K26)*0.5))+(HQ26*0.5))</f>
        <v>77.733333333333348</v>
      </c>
      <c r="LN26" s="26">
        <f>IF('Q2'!L26="","",SUM((AVERAGE('Q1'!L26,'Q2'!L26)*0.5))+(HR26*0.5))</f>
        <v>79.083333333333343</v>
      </c>
      <c r="LO26" s="26">
        <f>IF('Q2'!M26="","",SUM((AVERAGE('Q1'!M26,'Q2'!M26)*0.5))+(HS26*0.5))</f>
        <v>70.283333333333331</v>
      </c>
      <c r="LP26" s="26">
        <f>IF('Q2'!N26="","",SUM((AVERAGE('Q1'!N26,'Q2'!N26)*1)))</f>
        <v>100</v>
      </c>
      <c r="LQ26" s="26">
        <f>IF('Q2'!O26="","",SUM((AVERAGE('Q1'!O26,'Q2'!O26)*1)))</f>
        <v>100</v>
      </c>
      <c r="LR26" s="26">
        <f>IF('Q2'!P26="","",SUM((AVERAGE('Q1'!P26,'Q2'!P26)*0.5))+(HV26*0.5))</f>
        <v>72.87</v>
      </c>
      <c r="LS26" s="26">
        <f>IF('Q2'!Q26="","",SUM((AVERAGE('Q1'!Q26,'Q2'!Q26)*1))+(HW26*1))</f>
        <v>78.739999999999995</v>
      </c>
      <c r="LT26" s="26">
        <f>IF('Q2'!R26="","",SUM((AVERAGE('Q1'!R26,'Q2'!R26)*0.5))+(HX26*0.5))</f>
        <v>39.81</v>
      </c>
      <c r="LU26" s="26">
        <f>IF('Q2'!S26="","",SUM((AVERAGE('Q1'!S26,'Q2'!S26)*0.5))+(HY26*0.5))</f>
        <v>23.3</v>
      </c>
      <c r="LV26" s="26">
        <f>IF('Q2'!T26="","",SUM((AVERAGE('Q1'!T26,'Q2'!T26)*0.5))+(HZ26*0.5))</f>
        <v>55.5</v>
      </c>
      <c r="LW26" s="26">
        <f>IF('Q2'!U26="","",SUM((AVERAGE('Q1'!U26,'Q2'!U26)*0.5))+(IA26*0.5))</f>
        <v>52.5</v>
      </c>
      <c r="LX26" s="26">
        <f>IF('Q2'!V26="","",SUM((AVERAGE('Q1'!V26,'Q2'!V26)*0.5))+(IB26*0.5))</f>
        <v>51.5</v>
      </c>
      <c r="LY26" s="26" t="str">
        <f t="shared" ref="LY26:LY27" si="608">IF(LI26="","",IF(LI26&gt;=90,"A",IF(LI26&gt;=80,"B",IF(LI26&gt;=70,"C",IF(LI26&gt;=60,"D",IF(LI26&gt;=50,"E",IF(LI26&gt;=0,"F","")))))))</f>
        <v>D</v>
      </c>
      <c r="LZ26" s="26" t="str">
        <f t="shared" ref="LZ26:LZ27" si="609">IF(LJ26="","",IF(LJ26&gt;=90,"A",IF(LJ26&gt;=80,"B",IF(LJ26&gt;=70,"C",IF(LJ26&gt;=60,"D",IF(LJ26&gt;=50,"E",IF(LJ26&gt;=0,"F","")))))))</f>
        <v>C</v>
      </c>
      <c r="MA26" s="26" t="str">
        <f t="shared" ref="MA26:MA27" si="610">IF(LK26="","",IF(LK26&gt;=90,"A",IF(LK26&gt;=80,"B",IF(LK26&gt;=70,"C",IF(LK26&gt;=60,"D",IF(LK26&gt;=50,"E",IF(LK26&gt;=0,"F","")))))))</f>
        <v>B</v>
      </c>
      <c r="MB26" s="26" t="str">
        <f t="shared" ref="MB26:MB27" si="611">IF(LL26="","",IF(LL26&gt;=90,"A",IF(LL26&gt;=80,"B",IF(LL26&gt;=70,"C",IF(LL26&gt;=60,"D",IF(LL26&gt;=50,"E",IF(LL26&gt;=0,"F","")))))))</f>
        <v>C</v>
      </c>
      <c r="MC26" s="26" t="str">
        <f t="shared" ref="MC26:MC27" si="612">IF(LM26="","",IF(LM26&gt;=90,"A",IF(LM26&gt;=80,"B",IF(LM26&gt;=70,"C",IF(LM26&gt;=60,"D",IF(LM26&gt;=50,"E",IF(LM26&gt;=0,"F","")))))))</f>
        <v>C</v>
      </c>
      <c r="MD26" s="26" t="str">
        <f t="shared" ref="MD26:MD27" si="613">IF(LN26="","",IF(LN26&gt;=90,"A",IF(LN26&gt;=80,"B",IF(LN26&gt;=70,"C",IF(LN26&gt;=60,"D",IF(LN26&gt;=50,"E",IF(LN26&gt;=0,"F","")))))))</f>
        <v>C</v>
      </c>
      <c r="ME26" s="26" t="str">
        <f t="shared" ref="ME26:ME27" si="614">IF(LO26="","",IF(LO26&gt;=90,"A",IF(LO26&gt;=80,"B",IF(LO26&gt;=70,"C",IF(LO26&gt;=60,"D",IF(LO26&gt;=50,"E",IF(LO26&gt;=0,"F","")))))))</f>
        <v>C</v>
      </c>
      <c r="MF26" s="26" t="str">
        <f t="shared" ref="MF26:MF27" si="615">IF(LP26="","",IF(LP26&gt;=90,"A",IF(LP26&gt;=80,"B",IF(LP26&gt;=70,"C",IF(LP26&gt;=60,"D",IF(LP26&gt;=50,"E",IF(LP26&gt;=0,"F","")))))))</f>
        <v>A</v>
      </c>
      <c r="MG26" s="26" t="str">
        <f t="shared" ref="MG26:MG27" si="616">IF(LQ26="","",IF(LQ26&gt;=90,"A",IF(LQ26&gt;=80,"B",IF(LQ26&gt;=70,"C",IF(LQ26&gt;=60,"D",IF(LQ26&gt;=50,"E",IF(LQ26&gt;=0,"F","")))))))</f>
        <v>A</v>
      </c>
      <c r="MH26" s="24" t="str">
        <f t="shared" ref="MH26:MH27" si="617">IF(LR26="","",IF(LR26&gt;=90,"A",IF(LR26&gt;=80,"B",IF(LR26&gt;=70,"C",IF(LR26&gt;=60,"D",IF(LR26&gt;=50,"E",IF(LR26&gt;=0,"F","")))))))</f>
        <v>C</v>
      </c>
      <c r="MI26" s="24" t="str">
        <f t="shared" ref="MI26:MI27" si="618">IF(LS26="","",IF(LS26&gt;=90,"A",IF(LS26&gt;=80,"B",IF(LS26&gt;=70,"C",IF(LS26&gt;=60,"D",IF(LS26&gt;=50,"E",IF(LS26&gt;=0,"F","")))))))</f>
        <v>C</v>
      </c>
      <c r="MJ26" s="24" t="str">
        <f t="shared" ref="MJ26:MJ27" si="619">IF(LT26="","",IF(LT26&gt;=90,"A",IF(LT26&gt;=80,"B",IF(LT26&gt;=70,"C",IF(LT26&gt;=60,"D",IF(LT26&gt;=50,"E",IF(LT26&gt;=0,"F","")))))))</f>
        <v>F</v>
      </c>
      <c r="MK26" s="24" t="str">
        <f t="shared" ref="MK26:MK27" si="620">IF(LU26="","",IF(LU26&gt;=90,"A",IF(LU26&gt;=80,"B",IF(LU26&gt;=70,"C",IF(LU26&gt;=60,"D",IF(LU26&gt;=50,"E",IF(LU26&gt;=0,"F","")))))))</f>
        <v>F</v>
      </c>
      <c r="ML26" s="24" t="str">
        <f t="shared" ref="ML26:ML27" si="621">IF(LV26="","",IF(LV26&gt;=90,"A",IF(LV26&gt;=80,"B",IF(LV26&gt;=70,"C",IF(LV26&gt;=60,"D",IF(LV26&gt;=50,"E",IF(LV26&gt;=0,"F","")))))))</f>
        <v>E</v>
      </c>
      <c r="MM26" s="24" t="str">
        <f t="shared" ref="MM26:MM27" si="622">IF(LW26="","",IF(LW26&gt;=90,"A",IF(LW26&gt;=80,"B",IF(LW26&gt;=70,"C",IF(LW26&gt;=60,"D",IF(LW26&gt;=50,"E",IF(LW26&gt;=0,"F","")))))))</f>
        <v>E</v>
      </c>
      <c r="MN26" s="24" t="str">
        <f t="shared" ref="MN26:MN27" si="623">IF(LX26="","",IF(LX26&gt;=90,"A",IF(LX26&gt;=80,"B",IF(LX26&gt;=70,"C",IF(LX26&gt;=60,"D",IF(LX26&gt;=50,"E",IF(LX26&gt;=0,"F","")))))))</f>
        <v>E</v>
      </c>
      <c r="MO26" s="24">
        <f t="shared" ref="MO26:MO27" si="624">IF(LI26="","",$MO$14)</f>
        <v>2</v>
      </c>
      <c r="MP26" s="24">
        <f t="shared" ref="MP26:MP27" si="625">IF(LJ26="","",$MP$14)</f>
        <v>2</v>
      </c>
      <c r="MQ26" s="24">
        <f t="shared" ref="MQ26:MQ27" si="626">IF(LK26="","",$MQ$14)</f>
        <v>3</v>
      </c>
      <c r="MR26" s="24">
        <f t="shared" ref="MR26:MR27" si="627">IF(LL26="","",$MR$14)</f>
        <v>1</v>
      </c>
      <c r="MS26" s="24">
        <f t="shared" ref="MS26:MS27" si="628">IF(LM26="","",$MS$14)</f>
        <v>5</v>
      </c>
      <c r="MT26" s="24">
        <f t="shared" ref="MT26:MT27" si="629">IF(LN26="","",$MT$14)</f>
        <v>3</v>
      </c>
      <c r="MU26" s="24">
        <f t="shared" ref="MU26:MU27" si="630">IF(LO26="","",$MU$14)</f>
        <v>2</v>
      </c>
      <c r="MV26" s="24">
        <f t="shared" ref="MV26:MV27" si="631">IF(LP26="","",$MV$14)</f>
        <v>1</v>
      </c>
      <c r="MW26" s="24">
        <f t="shared" ref="MW26:MW27" si="632">IF(LQ26="","",$MW$14)</f>
        <v>1</v>
      </c>
      <c r="MX26" s="24">
        <f t="shared" ref="MX26:MX27" si="633">IF(LR26="","",$MX$14)</f>
        <v>5</v>
      </c>
      <c r="MY26" s="24">
        <f t="shared" ref="MY26:MY27" si="634">IF(LS26="","",$MY$14)</f>
        <v>1</v>
      </c>
      <c r="MZ26" s="24">
        <f t="shared" ref="MZ26:MZ27" si="635">IF(LT26="","",$MZ$14)</f>
        <v>5</v>
      </c>
      <c r="NA26" s="24">
        <f t="shared" ref="NA26:NA27" si="636">IF(LU26="","",$NA$14)</f>
        <v>3</v>
      </c>
      <c r="NB26" s="24">
        <f t="shared" ref="NB26:NB27" si="637">IF(LV26="","",$NB$14)</f>
        <v>2</v>
      </c>
      <c r="NC26" s="24">
        <f t="shared" ref="NC26:NC27" si="638">IF(LW26="","",$NC$14)</f>
        <v>2</v>
      </c>
      <c r="ND26" s="24">
        <f t="shared" ref="ND26:ND27" si="639">IF(LX26="","",$ND$14)</f>
        <v>2</v>
      </c>
      <c r="NE26" s="26">
        <f t="shared" ref="NE26:NE27" si="640">IF(OR(LI26="",MO26=""),"",PRODUCT(LI26,MO26))</f>
        <v>137</v>
      </c>
      <c r="NF26" s="26">
        <f t="shared" ref="NF26:NF27" si="641">IF(OR(LJ26="",MP26=""),"",PRODUCT(LJ26,MP26))</f>
        <v>150.36666666666667</v>
      </c>
      <c r="NG26" s="26">
        <f t="shared" ref="NG26:NG27" si="642">IF(OR(LK26="",MQ26=""),"",PRODUCT(LK26,MQ26))</f>
        <v>248.9</v>
      </c>
      <c r="NH26" s="26">
        <f t="shared" ref="NH26:NH27" si="643">IF(OR(LL26="",MR26=""),"",PRODUCT(LL26,MR26))</f>
        <v>76.166666666666671</v>
      </c>
      <c r="NI26" s="26">
        <f t="shared" ref="NI26:NI27" si="644">IF(OR(LM26="",MS26=""),"",PRODUCT(LM26,MS26))</f>
        <v>388.66666666666674</v>
      </c>
      <c r="NJ26" s="26">
        <f t="shared" ref="NJ26:NJ27" si="645">IF(OR(LN26="",MT26=""),"",PRODUCT(LN26,MT26))</f>
        <v>237.25000000000003</v>
      </c>
      <c r="NK26" s="26">
        <f t="shared" ref="NK26:NK27" si="646">IF(OR(LO26="",MU26=""),"",PRODUCT(LO26,MU26))</f>
        <v>140.56666666666666</v>
      </c>
      <c r="NL26" s="26">
        <f t="shared" ref="NL26:NL27" si="647">IF(OR(LP26="",MV26=""),"",PRODUCT(LP26,MV26))</f>
        <v>100</v>
      </c>
      <c r="NM26" s="26">
        <f t="shared" ref="NM26:NM27" si="648">IF(OR(LQ26="",MW26=""),"",PRODUCT(LQ26,MW26))</f>
        <v>100</v>
      </c>
      <c r="NN26" s="26">
        <f t="shared" ref="NN26:NN27" si="649">IF(OR(LR26="",MX26=""),"",PRODUCT(LR26,MX26))</f>
        <v>364.35</v>
      </c>
      <c r="NO26" s="26">
        <f t="shared" ref="NO26:NO27" si="650">IF(OR(LS26="",MY26=""),"",PRODUCT(LS26,MY26))</f>
        <v>78.739999999999995</v>
      </c>
      <c r="NP26" s="26">
        <f t="shared" ref="NP26:NP27" si="651">IF(OR(LT26="",MZ26=""),"",PRODUCT(LT26,MZ26))</f>
        <v>199.05</v>
      </c>
      <c r="NQ26" s="26">
        <f t="shared" ref="NQ26:NQ27" si="652">IF(OR(LU26="",NA26=""),"",PRODUCT(LU26,NA26))</f>
        <v>69.900000000000006</v>
      </c>
      <c r="NR26" s="26">
        <f t="shared" ref="NR26:NR27" si="653">IF(OR(LV26="",NB26=""),"",PRODUCT(LV26,NB26))</f>
        <v>111</v>
      </c>
      <c r="NS26" s="26">
        <f t="shared" ref="NS26:NS27" si="654">IF(OR(LW26="",NC26=""),"",PRODUCT(LW26,NC26))</f>
        <v>105</v>
      </c>
      <c r="NT26" s="26">
        <f t="shared" ref="NT26:NT27" si="655">IF(OR(LX26="",ND26=""),"",PRODUCT(LX26,ND26))</f>
        <v>103</v>
      </c>
      <c r="NU26" s="24">
        <f t="shared" ref="NU26:NU27" si="656">IF(OR(MO26="",LY26=""),"",MO26*(IF(OR(LY26="A",LY26="a"),4,(IF(OR(LY462="B",LY26="b"),3,(IF(OR(LY26="C",LY26="c"),2,(IF(OR(LY26="D",LY26="d"),1.5,(IF(OR(LY26="E",LY26="e"),1,(IF(OR(LY26="F",LY26="f"),0)))))))))))))</f>
        <v>3</v>
      </c>
      <c r="NV26" s="24">
        <f t="shared" ref="NV26:NV27" si="657">IF(OR(MP26="",LZ26=""),"",MP26*(IF(OR(LZ26="A",LZ26="a"),4,(IF(OR(LZ462="B",LZ26="b"),3,(IF(OR(LZ26="C",LZ26="c"),2,(IF(OR(LZ26="D",LZ26="d"),1.5,(IF(OR(LZ26="E",LZ26="e"),1,(IF(OR(LZ26="F",LZ26="f"),0)))))))))))))</f>
        <v>4</v>
      </c>
      <c r="NW26" s="24">
        <f t="shared" ref="NW26:NW27" si="658">IF(OR(MQ26="",MA26=""),"",MQ26*(IF(OR(MA26="A",MA26="a"),4,(IF(OR(MA462="B",MA26="b"),3,(IF(OR(MA26="C",MA26="c"),2,(IF(OR(MA26="D",MA26="d"),1.5,(IF(OR(MA26="E",MA26="e"),1,(IF(OR(MA26="F",MA26="f"),0)))))))))))))</f>
        <v>9</v>
      </c>
      <c r="NX26" s="24">
        <f t="shared" ref="NX26:NX27" si="659">IF(OR(MR26="",MB26=""),"",MR26*(IF(OR(MB26="A",MB26="a"),4,(IF(OR(MB462="B",MB26="b"),3,(IF(OR(MB26="C",MB26="c"),2,(IF(OR(MB26="D",MB26="d"),1.5,(IF(OR(MB26="E",MB26="e"),1,(IF(OR(MB26="F",MB26="f"),0)))))))))))))</f>
        <v>2</v>
      </c>
      <c r="NY26" s="24">
        <f t="shared" ref="NY26:NY27" si="660">IF(OR(MS26="",MC26=""),"",MS26*(IF(OR(MC26="A",MC26="a"),4,(IF(OR(MC462="B",MC26="b"),3,(IF(OR(MC26="C",MC26="c"),2,(IF(OR(MC26="D",MC26="d"),1.5,(IF(OR(MC26="E",MC26="e"),1,(IF(OR(MC26="F",MC26="f"),0)))))))))))))</f>
        <v>10</v>
      </c>
      <c r="NZ26" s="24">
        <f t="shared" ref="NZ26:NZ27" si="661">IF(OR(MT26="",MD26=""),"",MT26*(IF(OR(MD26="A",MD26="a"),4,(IF(OR(MD462="B",MD26="b"),3,(IF(OR(MD26="C",MD26="c"),2,(IF(OR(MD26="D",MD26="d"),1.5,(IF(OR(MD26="E",MD26="e"),1,(IF(OR(MD26="F",MD26="f"),0)))))))))))))</f>
        <v>6</v>
      </c>
      <c r="OA26" s="24">
        <f t="shared" ref="OA26:OA27" si="662">IF(OR(MU26="",ME26=""),"",MU26*(IF(OR(ME26="A",ME26="a"),4,(IF(OR(ME462="B",ME26="b"),3,(IF(OR(ME26="C",ME26="c"),2,(IF(OR(ME26="D",ME26="d"),1.5,(IF(OR(ME26="E",ME26="e"),1,(IF(OR(ME26="F",ME26="f"),0)))))))))))))</f>
        <v>4</v>
      </c>
      <c r="OB26" s="24">
        <f t="shared" ref="OB26:OB27" si="663">IF(OR(MV26="",MF26=""),"",MV26*(IF(OR(MF26="A",MF26="a"),4,(IF(OR(MF462="B",MF26="b"),3,(IF(OR(MF26="C",MF26="c"),2,(IF(OR(MF26="D",MF26="d"),1.5,(IF(OR(MF26="E",MF26="e"),1,(IF(OR(MF26="F",MF26="f"),0)))))))))))))</f>
        <v>4</v>
      </c>
      <c r="OC26" s="24">
        <f t="shared" ref="OC26:OC27" si="664">IF(OR(MW26="",MG26=""),"",MW26*(IF(OR(MG26="A",MG26="a"),4,(IF(OR(MG462="B",MG26="b"),3,(IF(OR(MG26="C",MG26="c"),2,(IF(OR(MG26="D",MG26="d"),1.5,(IF(OR(MG26="E",MG26="e"),1,(IF(OR(MG26="F",MG26="f"),0)))))))))))))</f>
        <v>4</v>
      </c>
      <c r="OD26" s="24">
        <f t="shared" ref="OD26:OD27" si="665">IF(OR(MX26="",MH26=""),"",MX26*(IF(OR(MH26="A",MH26="a"),4,(IF(OR(MH462="B",MH26="b"),3,(IF(OR(MH26="C",MH26="c"),2,(IF(OR(MH26="D",MH26="d"),1.5,(IF(OR(MH26="E",MH26="e"),1,(IF(OR(MH26="F",MH26="f"),0)))))))))))))</f>
        <v>10</v>
      </c>
      <c r="OE26" s="24">
        <f t="shared" ref="OE26:OE27" si="666">IF(OR(MY26="",MI26=""),"",MY26*(IF(OR(MI26="A",MI26="a"),4,(IF(OR(MI462="B",MI26="b"),3,(IF(OR(MI26="C",MI26="c"),2,(IF(OR(MI26="D",MI26="d"),1.5,(IF(OR(MI26="E",MI26="e"),1,(IF(OR(MI26="F",MI26="f"),0)))))))))))))</f>
        <v>2</v>
      </c>
      <c r="OF26" s="24">
        <f t="shared" ref="OF26:OF27" si="667">IF(OR(MZ26="",MJ26=""),"",MZ26*(IF(OR(MJ26="A",MJ26="a"),4,(IF(OR(MJ462="B",MJ26="b"),3,(IF(OR(MJ26="C",MJ26="c"),2,(IF(OR(MJ26="D",MJ26="d"),1.5,(IF(OR(MJ26="E",MJ26="e"),1,(IF(OR(MJ26="F",MJ26="f"),0)))))))))))))</f>
        <v>0</v>
      </c>
      <c r="OG26" s="24">
        <f t="shared" ref="OG26:OG27" si="668">IF(OR(NA26="",MK26=""),"",NA26*(IF(OR(MK26="A",MK26="a"),4,(IF(OR(MK462="B",MK26="b"),3,(IF(OR(MK26="C",MK26="c"),2,(IF(OR(MK26="D",MK26="d"),1.5,(IF(OR(MK26="E",MK26="e"),1,(IF(OR(MK26="F",MK26="f"),0)))))))))))))</f>
        <v>0</v>
      </c>
      <c r="OH26" s="24">
        <f t="shared" ref="OH26:OH27" si="669">IF(OR(NB26="",ML26=""),"",NB26*(IF(OR(ML26="A",ML26="a"),4,(IF(OR(ML462="B",ML26="b"),3,(IF(OR(ML26="C",ML26="c"),2,(IF(OR(ML26="D",ML26="d"),1.5,(IF(OR(ML26="E",ML26="e"),1,(IF(OR(ML26="F",ML26="f"),0)))))))))))))</f>
        <v>2</v>
      </c>
      <c r="OI26" s="24">
        <f t="shared" ref="OI26:OI27" si="670">IF(OR(NC26="",MM26=""),"",NC26*(IF(OR(MM26="A",MM26="a"),4,(IF(OR(MM462="B",MM26="b"),3,(IF(OR(MM26="C",MM26="c"),2,(IF(OR(MM26="D",MM26="d"),1.5,(IF(OR(MM26="E",MM26="e"),1,(IF(OR(MM26="F",MM26="f"),0)))))))))))))</f>
        <v>2</v>
      </c>
      <c r="OJ26" s="24">
        <f t="shared" ref="OJ26:OJ27" si="671">IF(OR(ND26="",MN26=""),"",ND26*(IF(OR(MN26="A",MN26="a"),4,(IF(OR(MN462="B",MN26="b"),3,(IF(OR(MN26="C",MN26="c"),2,(IF(OR(MN26="D",MN26="d"),1.5,(IF(OR(MN26="E",MN26="e"),1,(IF(OR(MN26="F",MN26="f"),0)))))))))))))</f>
        <v>2</v>
      </c>
      <c r="OK26" s="24">
        <f t="shared" ref="OK26:OK27" si="672">IF(B26="","",SUM(MO26:MW26))</f>
        <v>20</v>
      </c>
      <c r="OL26" s="24">
        <f t="shared" ref="OL26:OL27" si="673">IF(B26="","",SUM(NE26:NM26))</f>
        <v>1578.9166666666667</v>
      </c>
      <c r="OM26" s="26">
        <f t="shared" ref="OM26:OM27" si="674">IF(B26="","",SUM(NU26:OC26))</f>
        <v>46</v>
      </c>
      <c r="ON26" s="26">
        <f t="shared" si="343"/>
        <v>78.94583333333334</v>
      </c>
      <c r="OO26" s="24" t="str">
        <f t="shared" ref="OO26:OO27" si="675">IF(ON26="","",IF(ON26&gt;=90,"A",IF(ON26&gt;=80,"B",IF(ON26&gt;=70,"C",IF(ON26&gt;=60,"D",IF(ON26&gt;=50,"E",IF(ON26&gt;=0,"F","")))))))</f>
        <v>C</v>
      </c>
      <c r="OP26" s="26">
        <f t="shared" ref="OP26:OP27" si="676">IF(B26="","",OM26/OK26)</f>
        <v>2.2999999999999998</v>
      </c>
      <c r="OQ26" s="24">
        <f t="shared" ref="OQ26:OQ27" si="677">IF(B26="","",SUM(MX26:ND26))</f>
        <v>20</v>
      </c>
      <c r="OR26" s="26">
        <f t="shared" ref="OR26:OR27" si="678">IF(B26="","",SUM(NN26:NT26))</f>
        <v>1031.04</v>
      </c>
      <c r="OS26" s="26">
        <f t="shared" ref="OS26:OS27" si="679">IF(B26="","",SUM(OD26:OJ26))</f>
        <v>18</v>
      </c>
      <c r="OT26" s="26">
        <f t="shared" ref="OT26:OT27" si="680">IF(OR(OQ26="",OR26=""),"",OR26/OQ26)</f>
        <v>51.552</v>
      </c>
      <c r="OU26" s="24" t="str">
        <f t="shared" ref="OU26:OU27" si="681">IF(OT26="","",IF(OT26&gt;=90,"A",IF(OT26&gt;=80,"B",IF(OT26&gt;=70,"C",IF(OT26&gt;=60,"D",IF(OT26&gt;=50,"E",IF(OT26&gt;=0,"F","")))))))</f>
        <v>E</v>
      </c>
      <c r="OV26" s="27">
        <f t="shared" ref="OV26:OV27" si="682">IF(B26="","",OS26/OQ26)</f>
        <v>0.9</v>
      </c>
      <c r="OW26" s="24">
        <f t="shared" ref="OW26:OW27" si="683">IF(SUM(MO26:ND26)=0,"",IF(OR(B26="",F26="I",F26="II",F26="M",F26="A"),(SUM(MO26:ND26)),IF(OR(B26="",F26="III"),(SUM(OK26,OQ26)))))</f>
        <v>40</v>
      </c>
      <c r="OX26" s="27">
        <f t="shared" ref="OX26:OX27" si="684">IF(SUM(MO26:ND26)=0,"",IF(OR(B26="",F26="I",F26="II",F26="M",F26="A"),(SUM(NE26:NT26)),IF(OR(B26="",F26="III"),(SUM(OL26,OR26)))))</f>
        <v>2609.9566666666669</v>
      </c>
      <c r="OY26" s="27">
        <f t="shared" ref="OY26:OY27" si="685">IF(SUM(MO26:ND26)=0,"",IF(OR(B26="",F26="I",F26="II",F26="M",F26="A"),(SUM(NU26:OJ26)),IF(OR(B26="",F26="III"),(SUM(OS26,OM26)))))</f>
        <v>64</v>
      </c>
      <c r="OZ26" s="26">
        <f t="shared" ref="OZ26:OZ27" si="686">IF(OR(OW26=0,OX26=0),0,IF(OR(OW26="",OX26=""),"",OX26/OW26))</f>
        <v>65.248916666666673</v>
      </c>
      <c r="PA26" s="27" t="str">
        <f t="shared" ref="PA26:PA27" si="687">IF(OZ26="","",IF(OZ26&gt;=90,"A",IF(OZ26&gt;=80,"B",IF(OZ26&gt;=70,"C",IF(OZ26&gt;=60,"D",IF(OZ26&gt;=50,"E",IF(OZ26&gt;=0,"F","")))))))</f>
        <v>D</v>
      </c>
      <c r="PB26" s="26">
        <f t="shared" ref="PB26:PB27" si="688">IF(JU26="","",OY26/OW26)</f>
        <v>1.6</v>
      </c>
      <c r="PC26" s="24" t="e">
        <f t="shared" ref="PC26:PC27" si="689">IF(OR(B26="",OZ26=""),"",RANK(OZ26,$OZ$15:$OZ$25))</f>
        <v>#N/A</v>
      </c>
      <c r="PD26" s="24" t="str">
        <f t="shared" ref="PD26:PD27" si="690">IF(B26="","",$C$9)</f>
        <v>6A</v>
      </c>
      <c r="PE26" s="24">
        <f t="shared" ref="PE26:PE27" si="691">IF(B26="","",MAX($A$15:$A$25))</f>
        <v>11</v>
      </c>
      <c r="PF26" s="24">
        <f t="shared" ref="PF26:PF27" si="692">IF(B26="","",$C$8)</f>
        <v>100</v>
      </c>
      <c r="PG26" s="24">
        <f t="shared" ref="PG26:PG27" si="693">IF($B$15="","",DE26+HH26)</f>
        <v>0</v>
      </c>
      <c r="PH26" s="24">
        <f t="shared" ref="PH26:PH27" si="694">IF($B$15="","",DF26+HI26)</f>
        <v>0</v>
      </c>
      <c r="PI26" s="24">
        <f t="shared" ref="PI26:PI27" si="695">IF($B$15="","",DG26+HJ26)</f>
        <v>0</v>
      </c>
      <c r="PJ26" s="24">
        <f t="shared" ref="PJ26:PJ27" si="696">IF(B26="","",PH26+PI26)</f>
        <v>0</v>
      </c>
      <c r="PK26" s="25">
        <f t="shared" ref="PK26:PK27" si="697">IF(B26="","",(PF26-PJ26)/PF26)</f>
        <v>1</v>
      </c>
    </row>
    <row r="27" spans="1:427" ht="27" customHeight="1" x14ac:dyDescent="0.35">
      <c r="A27" s="24">
        <f t="shared" si="349"/>
        <v>13</v>
      </c>
      <c r="B27" s="28" t="str">
        <f>IF('Q1'!B27="","",'Q1'!B27)</f>
        <v>Pheng Udomveha</v>
      </c>
      <c r="C27" s="30" t="str">
        <f>IF('Q1'!C27="","",'Q1'!C27)</f>
        <v>ផេង ឧត្តមវេហា</v>
      </c>
      <c r="D27" s="28" t="str">
        <f>IF('Q1'!D27="","",'Q1'!D27)</f>
        <v>M</v>
      </c>
      <c r="E27" s="24">
        <f>IF('Q1'!E27="","",'Q1'!E27)</f>
        <v>773</v>
      </c>
      <c r="F27" s="24" t="str">
        <f>IF('Q1'!F27="","",'Q1'!F27)</f>
        <v>I</v>
      </c>
      <c r="G27" s="26">
        <v>50</v>
      </c>
      <c r="H27" s="26">
        <v>50</v>
      </c>
      <c r="I27" s="26">
        <v>50</v>
      </c>
      <c r="J27" s="26">
        <v>50</v>
      </c>
      <c r="K27" s="26">
        <v>50</v>
      </c>
      <c r="L27" s="26">
        <v>50</v>
      </c>
      <c r="M27" s="26">
        <v>50</v>
      </c>
      <c r="N27" s="26">
        <v>50</v>
      </c>
      <c r="O27" s="26">
        <v>50</v>
      </c>
      <c r="P27" s="26">
        <v>50</v>
      </c>
      <c r="Q27" s="26">
        <v>50</v>
      </c>
      <c r="R27" s="26">
        <v>50</v>
      </c>
      <c r="S27" s="26">
        <v>50</v>
      </c>
      <c r="T27" s="26">
        <v>50</v>
      </c>
      <c r="U27" s="26">
        <v>50</v>
      </c>
      <c r="V27" s="26">
        <v>50</v>
      </c>
      <c r="W27" s="26" t="str">
        <f t="shared" si="350"/>
        <v>E</v>
      </c>
      <c r="X27" s="26" t="str">
        <f t="shared" si="351"/>
        <v>E</v>
      </c>
      <c r="Y27" s="26" t="str">
        <f t="shared" si="352"/>
        <v>E</v>
      </c>
      <c r="Z27" s="26" t="str">
        <f t="shared" si="353"/>
        <v>E</v>
      </c>
      <c r="AA27" s="26" t="str">
        <f t="shared" si="354"/>
        <v>E</v>
      </c>
      <c r="AB27" s="26" t="str">
        <f t="shared" si="355"/>
        <v>E</v>
      </c>
      <c r="AC27" s="26" t="str">
        <f t="shared" si="356"/>
        <v>E</v>
      </c>
      <c r="AD27" s="26" t="str">
        <f t="shared" si="357"/>
        <v>E</v>
      </c>
      <c r="AE27" s="26" t="str">
        <f t="shared" si="358"/>
        <v>E</v>
      </c>
      <c r="AF27" s="24" t="str">
        <f t="shared" si="359"/>
        <v>E</v>
      </c>
      <c r="AG27" s="24" t="str">
        <f t="shared" si="360"/>
        <v>E</v>
      </c>
      <c r="AH27" s="24" t="str">
        <f t="shared" si="361"/>
        <v>E</v>
      </c>
      <c r="AI27" s="24" t="str">
        <f t="shared" si="362"/>
        <v>E</v>
      </c>
      <c r="AJ27" s="24" t="str">
        <f t="shared" si="363"/>
        <v>E</v>
      </c>
      <c r="AK27" s="24" t="str">
        <f t="shared" si="364"/>
        <v>E</v>
      </c>
      <c r="AL27" s="24" t="str">
        <f t="shared" si="365"/>
        <v>E</v>
      </c>
      <c r="AM27" s="24">
        <f t="shared" si="366"/>
        <v>2</v>
      </c>
      <c r="AN27" s="24">
        <f t="shared" si="367"/>
        <v>2</v>
      </c>
      <c r="AO27" s="24">
        <f t="shared" si="368"/>
        <v>3</v>
      </c>
      <c r="AP27" s="24">
        <f t="shared" si="369"/>
        <v>1</v>
      </c>
      <c r="AQ27" s="24">
        <f t="shared" si="370"/>
        <v>5</v>
      </c>
      <c r="AR27" s="24">
        <f t="shared" si="371"/>
        <v>3</v>
      </c>
      <c r="AS27" s="24">
        <f t="shared" si="372"/>
        <v>2</v>
      </c>
      <c r="AT27" s="24">
        <f t="shared" si="373"/>
        <v>1</v>
      </c>
      <c r="AU27" s="24">
        <f t="shared" si="374"/>
        <v>1</v>
      </c>
      <c r="AV27" s="24">
        <f t="shared" si="375"/>
        <v>5</v>
      </c>
      <c r="AW27" s="24">
        <f t="shared" si="376"/>
        <v>1</v>
      </c>
      <c r="AX27" s="24">
        <f t="shared" si="377"/>
        <v>5</v>
      </c>
      <c r="AY27" s="24">
        <f t="shared" si="378"/>
        <v>3</v>
      </c>
      <c r="AZ27" s="24">
        <f t="shared" si="379"/>
        <v>2</v>
      </c>
      <c r="BA27" s="24">
        <f t="shared" si="380"/>
        <v>2</v>
      </c>
      <c r="BB27" s="24">
        <f t="shared" si="381"/>
        <v>2</v>
      </c>
      <c r="BC27" s="26">
        <f t="shared" si="382"/>
        <v>100</v>
      </c>
      <c r="BD27" s="26">
        <f t="shared" si="383"/>
        <v>100</v>
      </c>
      <c r="BE27" s="26">
        <f t="shared" si="384"/>
        <v>150</v>
      </c>
      <c r="BF27" s="26">
        <f t="shared" si="385"/>
        <v>50</v>
      </c>
      <c r="BG27" s="26">
        <f t="shared" si="386"/>
        <v>250</v>
      </c>
      <c r="BH27" s="26">
        <f t="shared" si="387"/>
        <v>150</v>
      </c>
      <c r="BI27" s="26">
        <f t="shared" si="388"/>
        <v>100</v>
      </c>
      <c r="BJ27" s="26">
        <f t="shared" si="389"/>
        <v>50</v>
      </c>
      <c r="BK27" s="26">
        <f t="shared" si="390"/>
        <v>50</v>
      </c>
      <c r="BL27" s="26">
        <f t="shared" si="391"/>
        <v>250</v>
      </c>
      <c r="BM27" s="26">
        <f t="shared" si="392"/>
        <v>50</v>
      </c>
      <c r="BN27" s="26">
        <f t="shared" si="393"/>
        <v>250</v>
      </c>
      <c r="BO27" s="26">
        <f t="shared" si="394"/>
        <v>150</v>
      </c>
      <c r="BP27" s="26">
        <f t="shared" si="395"/>
        <v>100</v>
      </c>
      <c r="BQ27" s="26">
        <f t="shared" si="396"/>
        <v>100</v>
      </c>
      <c r="BR27" s="26">
        <f t="shared" si="397"/>
        <v>100</v>
      </c>
      <c r="BS27" s="24">
        <f t="shared" si="398"/>
        <v>2</v>
      </c>
      <c r="BT27" s="24">
        <f t="shared" si="399"/>
        <v>2</v>
      </c>
      <c r="BU27" s="24">
        <f t="shared" si="400"/>
        <v>3</v>
      </c>
      <c r="BV27" s="24">
        <f t="shared" si="401"/>
        <v>1</v>
      </c>
      <c r="BW27" s="24">
        <f t="shared" si="402"/>
        <v>5</v>
      </c>
      <c r="BX27" s="24">
        <f t="shared" si="403"/>
        <v>3</v>
      </c>
      <c r="BY27" s="24">
        <f t="shared" si="404"/>
        <v>2</v>
      </c>
      <c r="BZ27" s="24">
        <f t="shared" si="405"/>
        <v>1</v>
      </c>
      <c r="CA27" s="24">
        <f t="shared" si="406"/>
        <v>1</v>
      </c>
      <c r="CB27" s="24">
        <f t="shared" si="407"/>
        <v>5</v>
      </c>
      <c r="CC27" s="24">
        <f t="shared" si="408"/>
        <v>1</v>
      </c>
      <c r="CD27" s="24">
        <f t="shared" si="409"/>
        <v>5</v>
      </c>
      <c r="CE27" s="24">
        <f t="shared" si="410"/>
        <v>3</v>
      </c>
      <c r="CF27" s="24">
        <f t="shared" si="411"/>
        <v>2</v>
      </c>
      <c r="CG27" s="24">
        <f t="shared" si="412"/>
        <v>2</v>
      </c>
      <c r="CH27" s="24">
        <f t="shared" si="413"/>
        <v>2</v>
      </c>
      <c r="CI27" s="24">
        <f t="shared" si="414"/>
        <v>20</v>
      </c>
      <c r="CJ27" s="26">
        <f t="shared" si="415"/>
        <v>1000</v>
      </c>
      <c r="CK27" s="26">
        <f t="shared" si="416"/>
        <v>20</v>
      </c>
      <c r="CL27" s="26">
        <f t="shared" si="417"/>
        <v>50</v>
      </c>
      <c r="CM27" s="24" t="str">
        <f t="shared" si="418"/>
        <v>E</v>
      </c>
      <c r="CN27" s="26">
        <f t="shared" si="419"/>
        <v>1</v>
      </c>
      <c r="CO27" s="24">
        <f t="shared" si="420"/>
        <v>20</v>
      </c>
      <c r="CP27" s="26">
        <f t="shared" si="421"/>
        <v>1000</v>
      </c>
      <c r="CQ27" s="26">
        <f t="shared" si="422"/>
        <v>20</v>
      </c>
      <c r="CR27" s="26">
        <f t="shared" si="423"/>
        <v>50</v>
      </c>
      <c r="CS27" s="24" t="str">
        <f t="shared" si="424"/>
        <v>E</v>
      </c>
      <c r="CT27" s="27">
        <f t="shared" si="425"/>
        <v>1</v>
      </c>
      <c r="CU27" s="24">
        <f t="shared" si="426"/>
        <v>40</v>
      </c>
      <c r="CV27" s="26">
        <f t="shared" si="427"/>
        <v>2000</v>
      </c>
      <c r="CW27" s="26">
        <f t="shared" si="428"/>
        <v>40</v>
      </c>
      <c r="CX27" s="26">
        <f t="shared" si="429"/>
        <v>50</v>
      </c>
      <c r="CY27" s="24" t="str">
        <f t="shared" si="430"/>
        <v>E</v>
      </c>
      <c r="CZ27" s="26">
        <f t="shared" si="431"/>
        <v>1</v>
      </c>
      <c r="DA27" s="24">
        <f t="shared" si="432"/>
        <v>11</v>
      </c>
      <c r="DB27" s="24" t="str">
        <f t="shared" si="433"/>
        <v>6A</v>
      </c>
      <c r="DC27" s="24">
        <f t="shared" si="434"/>
        <v>11</v>
      </c>
      <c r="DD27" s="24">
        <f>IF(B27="","",'Q1'!$C$8)</f>
        <v>50</v>
      </c>
      <c r="DE27" s="24">
        <f>IF(A27="","",'Q1'!DE27)</f>
        <v>0</v>
      </c>
      <c r="DF27" s="24">
        <f>IF(B27="","",'Q1'!DF27)</f>
        <v>0</v>
      </c>
      <c r="DG27" s="24">
        <f>IF(B27="","",'Q1'!DG27)</f>
        <v>0</v>
      </c>
      <c r="DH27" s="24">
        <f t="shared" si="435"/>
        <v>0</v>
      </c>
      <c r="DI27" s="25">
        <f t="shared" si="436"/>
        <v>1</v>
      </c>
      <c r="DJ27" s="26">
        <f>IF('Q2'!G27="","",'Q2'!G27)</f>
        <v>77</v>
      </c>
      <c r="DK27" s="26">
        <f>IF('Q2'!H27="","",'Q2'!H27)</f>
        <v>85.366666666666674</v>
      </c>
      <c r="DL27" s="26">
        <f>IF('Q2'!I27="","",'Q2'!I27)</f>
        <v>85.933333333333337</v>
      </c>
      <c r="DM27" s="26">
        <f>IF('Q2'!J27="","",'Q2'!J27)</f>
        <v>82.333333333333343</v>
      </c>
      <c r="DN27" s="26">
        <f>IF('Q2'!K27="","",'Q2'!K27)</f>
        <v>85.466666666666683</v>
      </c>
      <c r="DO27" s="26">
        <f>IF('Q2'!L27="","",'Q2'!L27)</f>
        <v>83.166666666666686</v>
      </c>
      <c r="DP27" s="26">
        <f>IF('Q2'!M27="","",'Q2'!M27)</f>
        <v>85.566666666666677</v>
      </c>
      <c r="DQ27" s="26">
        <f>IF('Q2'!N27="","",'Q2'!N27)</f>
        <v>100</v>
      </c>
      <c r="DR27" s="26">
        <f>IF('Q2'!O27="","",'Q2'!O27)</f>
        <v>100</v>
      </c>
      <c r="DS27" s="26">
        <f>IF('Q2'!P27="","",'Q2'!P27)</f>
        <v>78.739999999999995</v>
      </c>
      <c r="DT27" s="26">
        <f>IF('Q2'!Q27="","",'Q2'!Q27)</f>
        <v>78.739999999999995</v>
      </c>
      <c r="DU27" s="26">
        <f>IF('Q2'!R27="","",'Q2'!R27)</f>
        <v>51.62</v>
      </c>
      <c r="DV27" s="26">
        <f>IF('Q2'!S27="","",'Q2'!S27)</f>
        <v>38.6</v>
      </c>
      <c r="DW27" s="26">
        <f>IF('Q2'!T27="","",'Q2'!T27)</f>
        <v>50</v>
      </c>
      <c r="DX27" s="26">
        <f>IF('Q2'!U27="","",'Q2'!U27)</f>
        <v>50</v>
      </c>
      <c r="DY27" s="26">
        <f>IF('Q2'!V27="","",'Q2'!V27)</f>
        <v>50</v>
      </c>
      <c r="DZ27" s="26" t="str">
        <f t="shared" si="437"/>
        <v>C</v>
      </c>
      <c r="EA27" s="26" t="str">
        <f t="shared" si="438"/>
        <v>B</v>
      </c>
      <c r="EB27" s="26" t="str">
        <f t="shared" si="439"/>
        <v>B</v>
      </c>
      <c r="EC27" s="26" t="str">
        <f t="shared" si="440"/>
        <v>B</v>
      </c>
      <c r="ED27" s="26" t="str">
        <f t="shared" si="441"/>
        <v>B</v>
      </c>
      <c r="EE27" s="26" t="str">
        <f t="shared" si="442"/>
        <v>B</v>
      </c>
      <c r="EF27" s="26" t="str">
        <f t="shared" si="443"/>
        <v>B</v>
      </c>
      <c r="EG27" s="26" t="str">
        <f t="shared" si="444"/>
        <v>A</v>
      </c>
      <c r="EH27" s="26" t="str">
        <f t="shared" si="445"/>
        <v>A</v>
      </c>
      <c r="EI27" s="24" t="str">
        <f t="shared" si="446"/>
        <v>C</v>
      </c>
      <c r="EJ27" s="24" t="str">
        <f t="shared" si="447"/>
        <v>C</v>
      </c>
      <c r="EK27" s="24" t="str">
        <f t="shared" si="448"/>
        <v>E</v>
      </c>
      <c r="EL27" s="24" t="str">
        <f t="shared" si="449"/>
        <v>F</v>
      </c>
      <c r="EM27" s="24" t="str">
        <f t="shared" si="450"/>
        <v>E</v>
      </c>
      <c r="EN27" s="24" t="str">
        <f t="shared" si="451"/>
        <v>E</v>
      </c>
      <c r="EO27" s="24" t="str">
        <f t="shared" si="452"/>
        <v>E</v>
      </c>
      <c r="EP27" s="24">
        <f t="shared" si="453"/>
        <v>2</v>
      </c>
      <c r="EQ27" s="24">
        <f t="shared" si="454"/>
        <v>2</v>
      </c>
      <c r="ER27" s="24">
        <f t="shared" si="455"/>
        <v>3</v>
      </c>
      <c r="ES27" s="24">
        <f t="shared" si="456"/>
        <v>1</v>
      </c>
      <c r="ET27" s="24">
        <f t="shared" si="457"/>
        <v>5</v>
      </c>
      <c r="EU27" s="24">
        <f t="shared" si="458"/>
        <v>3</v>
      </c>
      <c r="EV27" s="24">
        <f t="shared" si="459"/>
        <v>2</v>
      </c>
      <c r="EW27" s="24">
        <f t="shared" si="460"/>
        <v>1</v>
      </c>
      <c r="EX27" s="24">
        <f t="shared" si="461"/>
        <v>1</v>
      </c>
      <c r="EY27" s="24">
        <f t="shared" si="462"/>
        <v>5</v>
      </c>
      <c r="EZ27" s="24">
        <f t="shared" si="463"/>
        <v>1</v>
      </c>
      <c r="FA27" s="24">
        <f t="shared" si="464"/>
        <v>5</v>
      </c>
      <c r="FB27" s="24">
        <f t="shared" si="465"/>
        <v>3</v>
      </c>
      <c r="FC27" s="24">
        <f t="shared" si="466"/>
        <v>2</v>
      </c>
      <c r="FD27" s="24">
        <f t="shared" si="467"/>
        <v>2</v>
      </c>
      <c r="FE27" s="24">
        <f t="shared" si="468"/>
        <v>2</v>
      </c>
      <c r="FF27" s="26">
        <f t="shared" si="469"/>
        <v>154</v>
      </c>
      <c r="FG27" s="26">
        <f t="shared" si="470"/>
        <v>170.73333333333335</v>
      </c>
      <c r="FH27" s="26">
        <f t="shared" si="471"/>
        <v>257.8</v>
      </c>
      <c r="FI27" s="26">
        <f t="shared" si="472"/>
        <v>82.333333333333343</v>
      </c>
      <c r="FJ27" s="26">
        <f t="shared" si="473"/>
        <v>427.33333333333343</v>
      </c>
      <c r="FK27" s="26">
        <f t="shared" si="474"/>
        <v>249.50000000000006</v>
      </c>
      <c r="FL27" s="26">
        <f t="shared" si="475"/>
        <v>171.13333333333335</v>
      </c>
      <c r="FM27" s="26">
        <f t="shared" si="476"/>
        <v>100</v>
      </c>
      <c r="FN27" s="26">
        <f t="shared" si="477"/>
        <v>100</v>
      </c>
      <c r="FO27" s="26">
        <f t="shared" si="478"/>
        <v>393.7</v>
      </c>
      <c r="FP27" s="26">
        <f t="shared" si="479"/>
        <v>78.739999999999995</v>
      </c>
      <c r="FQ27" s="26">
        <f t="shared" si="480"/>
        <v>258.09999999999997</v>
      </c>
      <c r="FR27" s="26">
        <f t="shared" si="481"/>
        <v>115.80000000000001</v>
      </c>
      <c r="FS27" s="26">
        <f t="shared" si="482"/>
        <v>100</v>
      </c>
      <c r="FT27" s="26">
        <f t="shared" si="483"/>
        <v>100</v>
      </c>
      <c r="FU27" s="26">
        <f t="shared" si="484"/>
        <v>100</v>
      </c>
      <c r="FV27" s="24">
        <f t="shared" si="485"/>
        <v>4</v>
      </c>
      <c r="FW27" s="24">
        <f t="shared" si="486"/>
        <v>6</v>
      </c>
      <c r="FX27" s="24">
        <f t="shared" si="487"/>
        <v>9</v>
      </c>
      <c r="FY27" s="24">
        <f t="shared" si="488"/>
        <v>3</v>
      </c>
      <c r="FZ27" s="24">
        <f t="shared" si="489"/>
        <v>15</v>
      </c>
      <c r="GA27" s="24">
        <f t="shared" si="490"/>
        <v>9</v>
      </c>
      <c r="GB27" s="24">
        <f t="shared" si="491"/>
        <v>6</v>
      </c>
      <c r="GC27" s="24">
        <f t="shared" si="492"/>
        <v>4</v>
      </c>
      <c r="GD27" s="24">
        <f t="shared" si="493"/>
        <v>4</v>
      </c>
      <c r="GE27" s="24">
        <f t="shared" si="494"/>
        <v>10</v>
      </c>
      <c r="GF27" s="24">
        <f t="shared" si="495"/>
        <v>2</v>
      </c>
      <c r="GG27" s="24">
        <f t="shared" si="496"/>
        <v>5</v>
      </c>
      <c r="GH27" s="24">
        <f t="shared" si="497"/>
        <v>0</v>
      </c>
      <c r="GI27" s="24">
        <f t="shared" si="498"/>
        <v>2</v>
      </c>
      <c r="GJ27" s="24">
        <f t="shared" si="499"/>
        <v>2</v>
      </c>
      <c r="GK27" s="24">
        <f t="shared" si="500"/>
        <v>2</v>
      </c>
      <c r="GL27" s="24">
        <f t="shared" si="501"/>
        <v>20</v>
      </c>
      <c r="GM27" s="24">
        <f t="shared" si="502"/>
        <v>1712.8333333333335</v>
      </c>
      <c r="GN27" s="26">
        <f t="shared" si="503"/>
        <v>60</v>
      </c>
      <c r="GO27" s="26">
        <f t="shared" si="504"/>
        <v>85.64166666666668</v>
      </c>
      <c r="GP27" s="24" t="str">
        <f t="shared" si="505"/>
        <v>B</v>
      </c>
      <c r="GQ27" s="26">
        <f t="shared" si="506"/>
        <v>3</v>
      </c>
      <c r="GR27" s="24">
        <f t="shared" si="507"/>
        <v>20</v>
      </c>
      <c r="GS27" s="26">
        <f t="shared" si="508"/>
        <v>1146.3399999999999</v>
      </c>
      <c r="GT27" s="26">
        <f t="shared" si="509"/>
        <v>23</v>
      </c>
      <c r="GU27" s="26">
        <f t="shared" si="510"/>
        <v>57.316999999999993</v>
      </c>
      <c r="GV27" s="24" t="str">
        <f t="shared" si="511"/>
        <v>E</v>
      </c>
      <c r="GW27" s="27">
        <f t="shared" si="512"/>
        <v>1.1499999999999999</v>
      </c>
      <c r="GX27" s="24">
        <f t="shared" si="513"/>
        <v>40</v>
      </c>
      <c r="GY27" s="27">
        <f t="shared" si="514"/>
        <v>2859.1733333333332</v>
      </c>
      <c r="GZ27" s="27">
        <f t="shared" si="515"/>
        <v>83</v>
      </c>
      <c r="HA27" s="26">
        <f t="shared" si="516"/>
        <v>71.479333333333329</v>
      </c>
      <c r="HB27" s="27" t="str">
        <f t="shared" si="517"/>
        <v>C</v>
      </c>
      <c r="HC27" s="26">
        <f t="shared" si="518"/>
        <v>2.0750000000000002</v>
      </c>
      <c r="HD27" s="24">
        <f t="shared" si="519"/>
        <v>10</v>
      </c>
      <c r="HE27" s="24" t="str">
        <f t="shared" si="520"/>
        <v>6A</v>
      </c>
      <c r="HF27" s="24">
        <f t="shared" si="521"/>
        <v>11</v>
      </c>
      <c r="HG27" s="24">
        <f>IF(B27="","",'Q2'!$C$8)</f>
        <v>50</v>
      </c>
      <c r="HH27" s="24">
        <f>IF(A27="","",'Q2'!DE27)</f>
        <v>0</v>
      </c>
      <c r="HI27" s="24">
        <f>IF(B27="","",'Q2'!DF27)</f>
        <v>0</v>
      </c>
      <c r="HJ27" s="24">
        <f>IF(B27="","",'Q2'!DG27)</f>
        <v>0</v>
      </c>
      <c r="HK27" s="24">
        <f t="shared" si="522"/>
        <v>0</v>
      </c>
      <c r="HL27" s="25">
        <f t="shared" si="523"/>
        <v>1</v>
      </c>
      <c r="HM27" s="7">
        <v>60</v>
      </c>
      <c r="HN27" s="7">
        <v>65</v>
      </c>
      <c r="HO27" s="7">
        <v>80</v>
      </c>
      <c r="HP27" s="7">
        <v>70</v>
      </c>
      <c r="HQ27" s="7">
        <v>70</v>
      </c>
      <c r="HR27" s="7">
        <v>75</v>
      </c>
      <c r="HS27" s="7">
        <v>55</v>
      </c>
      <c r="HT27" s="7"/>
      <c r="HU27" s="7"/>
      <c r="HV27" s="7">
        <v>67</v>
      </c>
      <c r="HW27" s="7"/>
      <c r="HX27" s="7">
        <v>28</v>
      </c>
      <c r="HY27" s="7">
        <v>8</v>
      </c>
      <c r="HZ27" s="7">
        <v>61</v>
      </c>
      <c r="IA27" s="7">
        <v>55</v>
      </c>
      <c r="IB27" s="7">
        <v>53</v>
      </c>
      <c r="IC27" s="7" t="str">
        <f t="shared" si="524"/>
        <v>D</v>
      </c>
      <c r="ID27" s="7" t="str">
        <f t="shared" si="525"/>
        <v>D</v>
      </c>
      <c r="IE27" s="7" t="str">
        <f t="shared" si="526"/>
        <v>B</v>
      </c>
      <c r="IF27" s="7" t="str">
        <f t="shared" si="527"/>
        <v>C</v>
      </c>
      <c r="IG27" s="7" t="str">
        <f t="shared" si="528"/>
        <v>C</v>
      </c>
      <c r="IH27" s="7" t="str">
        <f t="shared" si="529"/>
        <v>C</v>
      </c>
      <c r="II27" s="7" t="str">
        <f t="shared" si="530"/>
        <v>E</v>
      </c>
      <c r="IJ27" s="7" t="str">
        <f t="shared" si="531"/>
        <v/>
      </c>
      <c r="IK27" s="7" t="str">
        <f t="shared" si="532"/>
        <v/>
      </c>
      <c r="IL27" s="24" t="str">
        <f t="shared" si="533"/>
        <v>D</v>
      </c>
      <c r="IM27" s="24" t="str">
        <f t="shared" si="534"/>
        <v/>
      </c>
      <c r="IN27" s="24" t="str">
        <f t="shared" si="535"/>
        <v>F</v>
      </c>
      <c r="IO27" s="24" t="str">
        <f t="shared" si="536"/>
        <v>F</v>
      </c>
      <c r="IP27" s="24" t="str">
        <f t="shared" si="537"/>
        <v>D</v>
      </c>
      <c r="IQ27" s="24" t="str">
        <f t="shared" si="538"/>
        <v>E</v>
      </c>
      <c r="IR27" s="24" t="str">
        <f t="shared" si="539"/>
        <v>E</v>
      </c>
      <c r="IS27" s="24">
        <f t="shared" si="540"/>
        <v>2</v>
      </c>
      <c r="IT27" s="24">
        <f t="shared" si="541"/>
        <v>2</v>
      </c>
      <c r="IU27" s="24">
        <f t="shared" si="542"/>
        <v>3</v>
      </c>
      <c r="IV27" s="24">
        <f t="shared" si="543"/>
        <v>1</v>
      </c>
      <c r="IW27" s="24">
        <f t="shared" si="544"/>
        <v>5</v>
      </c>
      <c r="IX27" s="24">
        <f t="shared" si="545"/>
        <v>3</v>
      </c>
      <c r="IY27" s="24">
        <f t="shared" si="546"/>
        <v>2</v>
      </c>
      <c r="IZ27" s="24" t="str">
        <f t="shared" si="547"/>
        <v/>
      </c>
      <c r="JA27" s="24" t="str">
        <f t="shared" si="548"/>
        <v/>
      </c>
      <c r="JB27" s="24">
        <f t="shared" si="549"/>
        <v>5</v>
      </c>
      <c r="JC27" s="24" t="str">
        <f t="shared" si="550"/>
        <v/>
      </c>
      <c r="JD27" s="24">
        <f t="shared" si="551"/>
        <v>5</v>
      </c>
      <c r="JE27" s="24">
        <f t="shared" si="552"/>
        <v>3</v>
      </c>
      <c r="JF27" s="24">
        <f t="shared" si="553"/>
        <v>2</v>
      </c>
      <c r="JG27" s="24">
        <f t="shared" si="554"/>
        <v>2</v>
      </c>
      <c r="JH27" s="24">
        <f t="shared" si="555"/>
        <v>2</v>
      </c>
      <c r="JI27" s="26">
        <f t="shared" si="556"/>
        <v>120</v>
      </c>
      <c r="JJ27" s="26">
        <f t="shared" si="557"/>
        <v>130</v>
      </c>
      <c r="JK27" s="26">
        <f t="shared" si="558"/>
        <v>240</v>
      </c>
      <c r="JL27" s="26">
        <f t="shared" si="559"/>
        <v>70</v>
      </c>
      <c r="JM27" s="26">
        <f t="shared" si="560"/>
        <v>350</v>
      </c>
      <c r="JN27" s="26">
        <f t="shared" si="561"/>
        <v>225</v>
      </c>
      <c r="JO27" s="26">
        <f t="shared" si="562"/>
        <v>110</v>
      </c>
      <c r="JP27" s="26" t="str">
        <f t="shared" si="563"/>
        <v/>
      </c>
      <c r="JQ27" s="24">
        <f t="shared" si="564"/>
        <v>335</v>
      </c>
      <c r="JR27" s="24" t="str">
        <f t="shared" si="565"/>
        <v/>
      </c>
      <c r="JS27" s="24">
        <f t="shared" si="566"/>
        <v>140</v>
      </c>
      <c r="JT27" s="24">
        <f t="shared" si="567"/>
        <v>24</v>
      </c>
      <c r="JU27" s="24">
        <f t="shared" si="568"/>
        <v>122</v>
      </c>
      <c r="JV27" s="24">
        <f t="shared" si="569"/>
        <v>110</v>
      </c>
      <c r="JW27" s="24">
        <f t="shared" si="570"/>
        <v>106</v>
      </c>
      <c r="JX27" s="24">
        <f t="shared" si="571"/>
        <v>3</v>
      </c>
      <c r="JY27" s="24">
        <f t="shared" si="572"/>
        <v>3</v>
      </c>
      <c r="JZ27" s="24">
        <f t="shared" si="573"/>
        <v>9</v>
      </c>
      <c r="KA27" s="24">
        <f t="shared" si="574"/>
        <v>2</v>
      </c>
      <c r="KB27" s="24">
        <f t="shared" si="575"/>
        <v>10</v>
      </c>
      <c r="KC27" s="24">
        <f t="shared" si="576"/>
        <v>6</v>
      </c>
      <c r="KD27" s="24">
        <f t="shared" si="577"/>
        <v>2</v>
      </c>
      <c r="KE27" s="24" t="str">
        <f t="shared" si="578"/>
        <v/>
      </c>
      <c r="KF27" s="24" t="str">
        <f t="shared" si="579"/>
        <v/>
      </c>
      <c r="KG27" s="24">
        <f t="shared" si="580"/>
        <v>7.5</v>
      </c>
      <c r="KH27" s="24" t="str">
        <f t="shared" si="581"/>
        <v/>
      </c>
      <c r="KI27" s="24">
        <f t="shared" si="582"/>
        <v>0</v>
      </c>
      <c r="KJ27" s="24">
        <f t="shared" si="583"/>
        <v>0</v>
      </c>
      <c r="KK27" s="24">
        <f t="shared" si="584"/>
        <v>3</v>
      </c>
      <c r="KL27" s="24">
        <f t="shared" si="585"/>
        <v>2</v>
      </c>
      <c r="KM27" s="24">
        <f t="shared" si="586"/>
        <v>2</v>
      </c>
      <c r="KN27" s="24">
        <f t="shared" si="587"/>
        <v>18</v>
      </c>
      <c r="KO27" s="26">
        <f t="shared" si="588"/>
        <v>1245</v>
      </c>
      <c r="KP27" s="26">
        <f t="shared" si="589"/>
        <v>35</v>
      </c>
      <c r="KQ27" s="26">
        <f t="shared" si="590"/>
        <v>69.166666666666671</v>
      </c>
      <c r="KR27" s="24" t="str">
        <f t="shared" si="591"/>
        <v>D</v>
      </c>
      <c r="KS27" s="26">
        <f t="shared" si="592"/>
        <v>1.9444444444444444</v>
      </c>
      <c r="KT27" s="24">
        <f t="shared" si="593"/>
        <v>19</v>
      </c>
      <c r="KU27" s="24">
        <f t="shared" si="594"/>
        <v>837</v>
      </c>
      <c r="KV27" s="26">
        <f t="shared" si="595"/>
        <v>14.5</v>
      </c>
      <c r="KW27" s="26">
        <f t="shared" si="596"/>
        <v>44.05263157894737</v>
      </c>
      <c r="KX27" s="24" t="str">
        <f t="shared" si="597"/>
        <v>F</v>
      </c>
      <c r="KY27" s="27">
        <f t="shared" si="598"/>
        <v>0.76315789473684215</v>
      </c>
      <c r="KZ27" s="24">
        <f t="shared" si="599"/>
        <v>37</v>
      </c>
      <c r="LA27" s="27">
        <f t="shared" si="600"/>
        <v>2082</v>
      </c>
      <c r="LB27" s="27">
        <f t="shared" si="601"/>
        <v>49.5</v>
      </c>
      <c r="LC27" s="26">
        <f t="shared" si="602"/>
        <v>56.270270270270274</v>
      </c>
      <c r="LD27" s="24" t="str">
        <f t="shared" si="603"/>
        <v>E</v>
      </c>
      <c r="LE27" s="26">
        <f t="shared" si="604"/>
        <v>1.3378378378378379</v>
      </c>
      <c r="LF27" s="24">
        <f t="shared" si="605"/>
        <v>10</v>
      </c>
      <c r="LG27" s="24" t="str">
        <f t="shared" si="606"/>
        <v>6A</v>
      </c>
      <c r="LH27" s="24">
        <f t="shared" si="607"/>
        <v>11</v>
      </c>
      <c r="LI27" s="26">
        <f>IF('Q2'!G27="","",SUM((AVERAGE('Q1'!G27,'Q2'!G27)*0.5))+(HM27*0.5))</f>
        <v>68.5</v>
      </c>
      <c r="LJ27" s="26">
        <f>IF('Q2'!H27="","",SUM((AVERAGE('Q1'!H27,'Q2'!H27)*0.5))+(HN27*0.5))</f>
        <v>75.183333333333337</v>
      </c>
      <c r="LK27" s="26">
        <f>IF('Q2'!I27="","",SUM((AVERAGE('Q1'!I27,'Q2'!I27)*0.5))+(HO27*0.5))</f>
        <v>82.966666666666669</v>
      </c>
      <c r="LL27" s="26">
        <f>IF('Q2'!J27="","",SUM((AVERAGE('Q1'!J27,'Q2'!J27)*0.5))+(HP27*0.5))</f>
        <v>76.166666666666671</v>
      </c>
      <c r="LM27" s="26">
        <f>IF('Q2'!K27="","",SUM((AVERAGE('Q1'!K27,'Q2'!K27)*0.5))+(HQ27*0.5))</f>
        <v>77.733333333333348</v>
      </c>
      <c r="LN27" s="26">
        <f>IF('Q2'!L27="","",SUM((AVERAGE('Q1'!L27,'Q2'!L27)*0.5))+(HR27*0.5))</f>
        <v>79.083333333333343</v>
      </c>
      <c r="LO27" s="26">
        <f>IF('Q2'!M27="","",SUM((AVERAGE('Q1'!M27,'Q2'!M27)*0.5))+(HS27*0.5))</f>
        <v>70.283333333333331</v>
      </c>
      <c r="LP27" s="26">
        <f>IF('Q2'!N27="","",SUM((AVERAGE('Q1'!N27,'Q2'!N27)*1)))</f>
        <v>100</v>
      </c>
      <c r="LQ27" s="26">
        <f>IF('Q2'!O27="","",SUM((AVERAGE('Q1'!O27,'Q2'!O27)*1)))</f>
        <v>100</v>
      </c>
      <c r="LR27" s="26">
        <f>IF('Q2'!P27="","",SUM((AVERAGE('Q1'!P27,'Q2'!P27)*0.5))+(HV27*0.5))</f>
        <v>72.87</v>
      </c>
      <c r="LS27" s="26">
        <f>IF('Q2'!Q27="","",SUM((AVERAGE('Q1'!Q27,'Q2'!Q27)*1))+(HW27*1))</f>
        <v>78.739999999999995</v>
      </c>
      <c r="LT27" s="26">
        <f>IF('Q2'!R27="","",SUM((AVERAGE('Q1'!R27,'Q2'!R27)*0.5))+(HX27*0.5))</f>
        <v>39.81</v>
      </c>
      <c r="LU27" s="26">
        <f>IF('Q2'!S27="","",SUM((AVERAGE('Q1'!S27,'Q2'!S27)*0.5))+(HY27*0.5))</f>
        <v>23.3</v>
      </c>
      <c r="LV27" s="26">
        <f>IF('Q2'!T27="","",SUM((AVERAGE('Q1'!T27,'Q2'!T27)*0.5))+(HZ27*0.5))</f>
        <v>55.5</v>
      </c>
      <c r="LW27" s="26">
        <f>IF('Q2'!U27="","",SUM((AVERAGE('Q1'!U27,'Q2'!U27)*0.5))+(IA27*0.5))</f>
        <v>52.5</v>
      </c>
      <c r="LX27" s="26">
        <f>IF('Q2'!V27="","",SUM((AVERAGE('Q1'!V27,'Q2'!V27)*0.5))+(IB27*0.5))</f>
        <v>51.5</v>
      </c>
      <c r="LY27" s="26" t="str">
        <f t="shared" si="608"/>
        <v>D</v>
      </c>
      <c r="LZ27" s="26" t="str">
        <f t="shared" si="609"/>
        <v>C</v>
      </c>
      <c r="MA27" s="26" t="str">
        <f t="shared" si="610"/>
        <v>B</v>
      </c>
      <c r="MB27" s="26" t="str">
        <f t="shared" si="611"/>
        <v>C</v>
      </c>
      <c r="MC27" s="26" t="str">
        <f t="shared" si="612"/>
        <v>C</v>
      </c>
      <c r="MD27" s="26" t="str">
        <f t="shared" si="613"/>
        <v>C</v>
      </c>
      <c r="ME27" s="26" t="str">
        <f t="shared" si="614"/>
        <v>C</v>
      </c>
      <c r="MF27" s="26" t="str">
        <f t="shared" si="615"/>
        <v>A</v>
      </c>
      <c r="MG27" s="26" t="str">
        <f t="shared" si="616"/>
        <v>A</v>
      </c>
      <c r="MH27" s="24" t="str">
        <f t="shared" si="617"/>
        <v>C</v>
      </c>
      <c r="MI27" s="24" t="str">
        <f t="shared" si="618"/>
        <v>C</v>
      </c>
      <c r="MJ27" s="24" t="str">
        <f t="shared" si="619"/>
        <v>F</v>
      </c>
      <c r="MK27" s="24" t="str">
        <f t="shared" si="620"/>
        <v>F</v>
      </c>
      <c r="ML27" s="24" t="str">
        <f t="shared" si="621"/>
        <v>E</v>
      </c>
      <c r="MM27" s="24" t="str">
        <f t="shared" si="622"/>
        <v>E</v>
      </c>
      <c r="MN27" s="24" t="str">
        <f t="shared" si="623"/>
        <v>E</v>
      </c>
      <c r="MO27" s="24">
        <f t="shared" si="624"/>
        <v>2</v>
      </c>
      <c r="MP27" s="24">
        <f t="shared" si="625"/>
        <v>2</v>
      </c>
      <c r="MQ27" s="24">
        <f t="shared" si="626"/>
        <v>3</v>
      </c>
      <c r="MR27" s="24">
        <f t="shared" si="627"/>
        <v>1</v>
      </c>
      <c r="MS27" s="24">
        <f t="shared" si="628"/>
        <v>5</v>
      </c>
      <c r="MT27" s="24">
        <f t="shared" si="629"/>
        <v>3</v>
      </c>
      <c r="MU27" s="24">
        <f t="shared" si="630"/>
        <v>2</v>
      </c>
      <c r="MV27" s="24">
        <f t="shared" si="631"/>
        <v>1</v>
      </c>
      <c r="MW27" s="24">
        <f t="shared" si="632"/>
        <v>1</v>
      </c>
      <c r="MX27" s="24">
        <f t="shared" si="633"/>
        <v>5</v>
      </c>
      <c r="MY27" s="24">
        <f t="shared" si="634"/>
        <v>1</v>
      </c>
      <c r="MZ27" s="24">
        <f t="shared" si="635"/>
        <v>5</v>
      </c>
      <c r="NA27" s="24">
        <f t="shared" si="636"/>
        <v>3</v>
      </c>
      <c r="NB27" s="24">
        <f t="shared" si="637"/>
        <v>2</v>
      </c>
      <c r="NC27" s="24">
        <f t="shared" si="638"/>
        <v>2</v>
      </c>
      <c r="ND27" s="24">
        <f t="shared" si="639"/>
        <v>2</v>
      </c>
      <c r="NE27" s="26">
        <f t="shared" si="640"/>
        <v>137</v>
      </c>
      <c r="NF27" s="26">
        <f t="shared" si="641"/>
        <v>150.36666666666667</v>
      </c>
      <c r="NG27" s="26">
        <f t="shared" si="642"/>
        <v>248.9</v>
      </c>
      <c r="NH27" s="26">
        <f t="shared" si="643"/>
        <v>76.166666666666671</v>
      </c>
      <c r="NI27" s="26">
        <f t="shared" si="644"/>
        <v>388.66666666666674</v>
      </c>
      <c r="NJ27" s="26">
        <f t="shared" si="645"/>
        <v>237.25000000000003</v>
      </c>
      <c r="NK27" s="26">
        <f t="shared" si="646"/>
        <v>140.56666666666666</v>
      </c>
      <c r="NL27" s="26">
        <f t="shared" si="647"/>
        <v>100</v>
      </c>
      <c r="NM27" s="26">
        <f t="shared" si="648"/>
        <v>100</v>
      </c>
      <c r="NN27" s="26">
        <f t="shared" si="649"/>
        <v>364.35</v>
      </c>
      <c r="NO27" s="26">
        <f t="shared" si="650"/>
        <v>78.739999999999995</v>
      </c>
      <c r="NP27" s="26">
        <f t="shared" si="651"/>
        <v>199.05</v>
      </c>
      <c r="NQ27" s="26">
        <f t="shared" si="652"/>
        <v>69.900000000000006</v>
      </c>
      <c r="NR27" s="26">
        <f t="shared" si="653"/>
        <v>111</v>
      </c>
      <c r="NS27" s="26">
        <f t="shared" si="654"/>
        <v>105</v>
      </c>
      <c r="NT27" s="26">
        <f t="shared" si="655"/>
        <v>103</v>
      </c>
      <c r="NU27" s="24">
        <f t="shared" si="656"/>
        <v>3</v>
      </c>
      <c r="NV27" s="24">
        <f t="shared" si="657"/>
        <v>4</v>
      </c>
      <c r="NW27" s="24">
        <f t="shared" si="658"/>
        <v>9</v>
      </c>
      <c r="NX27" s="24">
        <f t="shared" si="659"/>
        <v>2</v>
      </c>
      <c r="NY27" s="24">
        <f t="shared" si="660"/>
        <v>10</v>
      </c>
      <c r="NZ27" s="24">
        <f t="shared" si="661"/>
        <v>6</v>
      </c>
      <c r="OA27" s="24">
        <f t="shared" si="662"/>
        <v>4</v>
      </c>
      <c r="OB27" s="24">
        <f t="shared" si="663"/>
        <v>4</v>
      </c>
      <c r="OC27" s="24">
        <f t="shared" si="664"/>
        <v>4</v>
      </c>
      <c r="OD27" s="24">
        <f t="shared" si="665"/>
        <v>10</v>
      </c>
      <c r="OE27" s="24">
        <f t="shared" si="666"/>
        <v>2</v>
      </c>
      <c r="OF27" s="24">
        <f t="shared" si="667"/>
        <v>0</v>
      </c>
      <c r="OG27" s="24">
        <f t="shared" si="668"/>
        <v>0</v>
      </c>
      <c r="OH27" s="24">
        <f t="shared" si="669"/>
        <v>2</v>
      </c>
      <c r="OI27" s="24">
        <f t="shared" si="670"/>
        <v>2</v>
      </c>
      <c r="OJ27" s="24">
        <f t="shared" si="671"/>
        <v>2</v>
      </c>
      <c r="OK27" s="24">
        <f t="shared" si="672"/>
        <v>20</v>
      </c>
      <c r="OL27" s="24">
        <f t="shared" si="673"/>
        <v>1578.9166666666667</v>
      </c>
      <c r="OM27" s="26">
        <f t="shared" si="674"/>
        <v>46</v>
      </c>
      <c r="ON27" s="26">
        <f t="shared" si="343"/>
        <v>78.94583333333334</v>
      </c>
      <c r="OO27" s="24" t="str">
        <f t="shared" si="675"/>
        <v>C</v>
      </c>
      <c r="OP27" s="26">
        <f t="shared" si="676"/>
        <v>2.2999999999999998</v>
      </c>
      <c r="OQ27" s="24">
        <f t="shared" si="677"/>
        <v>20</v>
      </c>
      <c r="OR27" s="26">
        <f t="shared" si="678"/>
        <v>1031.04</v>
      </c>
      <c r="OS27" s="26">
        <f t="shared" si="679"/>
        <v>18</v>
      </c>
      <c r="OT27" s="26">
        <f t="shared" si="680"/>
        <v>51.552</v>
      </c>
      <c r="OU27" s="24" t="str">
        <f t="shared" si="681"/>
        <v>E</v>
      </c>
      <c r="OV27" s="27">
        <f t="shared" si="682"/>
        <v>0.9</v>
      </c>
      <c r="OW27" s="24">
        <f t="shared" si="683"/>
        <v>40</v>
      </c>
      <c r="OX27" s="27">
        <f t="shared" si="684"/>
        <v>2609.9566666666669</v>
      </c>
      <c r="OY27" s="27">
        <f t="shared" si="685"/>
        <v>64</v>
      </c>
      <c r="OZ27" s="26">
        <f t="shared" si="686"/>
        <v>65.248916666666673</v>
      </c>
      <c r="PA27" s="27" t="str">
        <f t="shared" si="687"/>
        <v>D</v>
      </c>
      <c r="PB27" s="26">
        <f t="shared" si="688"/>
        <v>1.6</v>
      </c>
      <c r="PC27" s="24" t="e">
        <f t="shared" si="689"/>
        <v>#N/A</v>
      </c>
      <c r="PD27" s="24" t="str">
        <f t="shared" si="690"/>
        <v>6A</v>
      </c>
      <c r="PE27" s="24">
        <f t="shared" si="691"/>
        <v>11</v>
      </c>
      <c r="PF27" s="24">
        <f t="shared" si="692"/>
        <v>100</v>
      </c>
      <c r="PG27" s="24">
        <f t="shared" si="693"/>
        <v>0</v>
      </c>
      <c r="PH27" s="24">
        <f t="shared" si="694"/>
        <v>0</v>
      </c>
      <c r="PI27" s="24">
        <f t="shared" si="695"/>
        <v>0</v>
      </c>
      <c r="PJ27" s="24">
        <f t="shared" si="696"/>
        <v>0</v>
      </c>
      <c r="PK27" s="25">
        <f t="shared" si="697"/>
        <v>1</v>
      </c>
    </row>
  </sheetData>
  <mergeCells count="403">
    <mergeCell ref="LP13:LP14"/>
    <mergeCell ref="LQ13:LQ14"/>
    <mergeCell ref="OW14:PB14"/>
    <mergeCell ref="LF13:LF14"/>
    <mergeCell ref="LG13:LG14"/>
    <mergeCell ref="LH13:LH14"/>
    <mergeCell ref="KZ12:LH12"/>
    <mergeCell ref="OK12:OP12"/>
    <mergeCell ref="OK13:OK14"/>
    <mergeCell ref="OL13:OL14"/>
    <mergeCell ref="OM13:OM14"/>
    <mergeCell ref="ON13:ON14"/>
    <mergeCell ref="OO13:OO14"/>
    <mergeCell ref="OP13:OP14"/>
    <mergeCell ref="OQ12:OV12"/>
    <mergeCell ref="NI13:NI14"/>
    <mergeCell ref="NJ13:NJ14"/>
    <mergeCell ref="NK13:NK14"/>
    <mergeCell ref="NL13:NL14"/>
    <mergeCell ref="NM13:NM14"/>
    <mergeCell ref="NU12:OC12"/>
    <mergeCell ref="NU13:NU14"/>
    <mergeCell ref="NV13:NV14"/>
    <mergeCell ref="NW13:NW14"/>
    <mergeCell ref="KT12:KY12"/>
    <mergeCell ref="KZ14:LE14"/>
    <mergeCell ref="NZ13:NZ14"/>
    <mergeCell ref="OA13:OA14"/>
    <mergeCell ref="OB13:OB14"/>
    <mergeCell ref="OC13:OC14"/>
    <mergeCell ref="LI12:LQ12"/>
    <mergeCell ref="LY12:MG12"/>
    <mergeCell ref="LY13:LY14"/>
    <mergeCell ref="LZ13:LZ14"/>
    <mergeCell ref="MA13:MA14"/>
    <mergeCell ref="MB13:MB14"/>
    <mergeCell ref="MC13:MC14"/>
    <mergeCell ref="MD13:MD14"/>
    <mergeCell ref="ME13:ME14"/>
    <mergeCell ref="MF13:MF14"/>
    <mergeCell ref="MG13:MG14"/>
    <mergeCell ref="LI13:LI14"/>
    <mergeCell ref="LJ13:LJ14"/>
    <mergeCell ref="LK13:LK14"/>
    <mergeCell ref="LL13:LL14"/>
    <mergeCell ref="LM13:LM14"/>
    <mergeCell ref="LN13:LN14"/>
    <mergeCell ref="LO13:LO14"/>
    <mergeCell ref="HV11:LE11"/>
    <mergeCell ref="KY13:KY14"/>
    <mergeCell ref="IS12:JA12"/>
    <mergeCell ref="JI12:JP12"/>
    <mergeCell ref="JI13:JI14"/>
    <mergeCell ref="JJ13:JJ14"/>
    <mergeCell ref="JK13:JK14"/>
    <mergeCell ref="JL13:JL14"/>
    <mergeCell ref="JM13:JM14"/>
    <mergeCell ref="JN13:JN14"/>
    <mergeCell ref="JO13:JO14"/>
    <mergeCell ref="JP13:JP14"/>
    <mergeCell ref="JX12:KF12"/>
    <mergeCell ref="JX13:JX14"/>
    <mergeCell ref="JY13:JY14"/>
    <mergeCell ref="JZ13:JZ14"/>
    <mergeCell ref="KA13:KA14"/>
    <mergeCell ref="KB13:KB14"/>
    <mergeCell ref="KC13:KC14"/>
    <mergeCell ref="KD13:KD14"/>
    <mergeCell ref="KE13:KE14"/>
    <mergeCell ref="KF13:KF14"/>
    <mergeCell ref="KN12:KS12"/>
    <mergeCell ref="KN13:KN14"/>
    <mergeCell ref="GR12:GW12"/>
    <mergeCell ref="GX14:HC14"/>
    <mergeCell ref="GV13:GV14"/>
    <mergeCell ref="GW13:GW14"/>
    <mergeCell ref="HM11:HU11"/>
    <mergeCell ref="IC12:IK12"/>
    <mergeCell ref="IC13:IC14"/>
    <mergeCell ref="ID13:ID14"/>
    <mergeCell ref="IE13:IE14"/>
    <mergeCell ref="IF13:IF14"/>
    <mergeCell ref="IG13:IG14"/>
    <mergeCell ref="IH13:IH14"/>
    <mergeCell ref="II13:II14"/>
    <mergeCell ref="IJ13:IJ14"/>
    <mergeCell ref="IK13:IK14"/>
    <mergeCell ref="HM13:HM14"/>
    <mergeCell ref="HN13:HN14"/>
    <mergeCell ref="HO13:HO14"/>
    <mergeCell ref="HP13:HP14"/>
    <mergeCell ref="HQ13:HQ14"/>
    <mergeCell ref="HR13:HR14"/>
    <mergeCell ref="HS13:HS14"/>
    <mergeCell ref="HT13:HT14"/>
    <mergeCell ref="HU13:HU14"/>
    <mergeCell ref="GB13:GB14"/>
    <mergeCell ref="GC13:GC14"/>
    <mergeCell ref="GD13:GD14"/>
    <mergeCell ref="GL12:GQ12"/>
    <mergeCell ref="GL13:GL14"/>
    <mergeCell ref="GM13:GM14"/>
    <mergeCell ref="GN13:GN14"/>
    <mergeCell ref="GO13:GO14"/>
    <mergeCell ref="GP13:GP14"/>
    <mergeCell ref="GQ13:GQ14"/>
    <mergeCell ref="CI12:CN12"/>
    <mergeCell ref="CI13:CI14"/>
    <mergeCell ref="CJ13:CJ14"/>
    <mergeCell ref="CK13:CK14"/>
    <mergeCell ref="CL13:CL14"/>
    <mergeCell ref="CM13:CM14"/>
    <mergeCell ref="CN13:CN14"/>
    <mergeCell ref="CO12:CT12"/>
    <mergeCell ref="CU14:CZ14"/>
    <mergeCell ref="CT13:CT14"/>
    <mergeCell ref="BJ13:BJ14"/>
    <mergeCell ref="BK13:BK14"/>
    <mergeCell ref="AB13:AB14"/>
    <mergeCell ref="AC13:AC14"/>
    <mergeCell ref="AD13:AD14"/>
    <mergeCell ref="AE13:AE14"/>
    <mergeCell ref="BS12:CA12"/>
    <mergeCell ref="BS13:BS14"/>
    <mergeCell ref="BT13:BT14"/>
    <mergeCell ref="BU13:BU14"/>
    <mergeCell ref="BV13:BV14"/>
    <mergeCell ref="BW13:BW14"/>
    <mergeCell ref="BX13:BX14"/>
    <mergeCell ref="BY13:BY14"/>
    <mergeCell ref="BZ13:BZ14"/>
    <mergeCell ref="CA13:CA14"/>
    <mergeCell ref="LR12:LX12"/>
    <mergeCell ref="KI13:KI14"/>
    <mergeCell ref="HV12:IB12"/>
    <mergeCell ref="PJ13:PJ14"/>
    <mergeCell ref="PK13:PK14"/>
    <mergeCell ref="A8:B8"/>
    <mergeCell ref="E13:E14"/>
    <mergeCell ref="F13:F14"/>
    <mergeCell ref="P13:P14"/>
    <mergeCell ref="Q13:Q14"/>
    <mergeCell ref="A10:B10"/>
    <mergeCell ref="A11:B11"/>
    <mergeCell ref="OD12:OJ12"/>
    <mergeCell ref="EI12:EO12"/>
    <mergeCell ref="EY12:FE12"/>
    <mergeCell ref="FO12:FU12"/>
    <mergeCell ref="GE12:GK12"/>
    <mergeCell ref="PG12:PK12"/>
    <mergeCell ref="MH13:MH14"/>
    <mergeCell ref="H13:H14"/>
    <mergeCell ref="I13:I14"/>
    <mergeCell ref="J13:J14"/>
    <mergeCell ref="K13:K14"/>
    <mergeCell ref="L13:L14"/>
    <mergeCell ref="MI13:MI14"/>
    <mergeCell ref="MJ13:MJ14"/>
    <mergeCell ref="ML13:ML14"/>
    <mergeCell ref="NN13:NN14"/>
    <mergeCell ref="PG13:PG14"/>
    <mergeCell ref="PH13:PH14"/>
    <mergeCell ref="PI13:PI14"/>
    <mergeCell ref="MH12:MN12"/>
    <mergeCell ref="MX12:ND12"/>
    <mergeCell ref="NN12:NT12"/>
    <mergeCell ref="NT13:NT14"/>
    <mergeCell ref="OI13:OI14"/>
    <mergeCell ref="OJ13:OJ14"/>
    <mergeCell ref="MO12:MW12"/>
    <mergeCell ref="NE12:NM12"/>
    <mergeCell ref="NE13:NE14"/>
    <mergeCell ref="NF13:NF14"/>
    <mergeCell ref="NG13:NG14"/>
    <mergeCell ref="NH13:NH14"/>
    <mergeCell ref="OU13:OU14"/>
    <mergeCell ref="OV13:OV14"/>
    <mergeCell ref="NX13:NX14"/>
    <mergeCell ref="PC13:PC14"/>
    <mergeCell ref="PD13:PD14"/>
    <mergeCell ref="PE13:PE14"/>
    <mergeCell ref="PF13:PF14"/>
    <mergeCell ref="OF13:OF14"/>
    <mergeCell ref="OH13:OH14"/>
    <mergeCell ref="OQ13:OQ14"/>
    <mergeCell ref="OR13:OR14"/>
    <mergeCell ref="OS13:OS14"/>
    <mergeCell ref="OT13:OT14"/>
    <mergeCell ref="NO13:NO14"/>
    <mergeCell ref="NP13:NP14"/>
    <mergeCell ref="NR13:NR14"/>
    <mergeCell ref="OD13:OD14"/>
    <mergeCell ref="OE13:OE14"/>
    <mergeCell ref="MM13:MM14"/>
    <mergeCell ref="MN13:MN14"/>
    <mergeCell ref="NS13:NS14"/>
    <mergeCell ref="NY13:NY14"/>
    <mergeCell ref="KW13:KW14"/>
    <mergeCell ref="KX13:KX14"/>
    <mergeCell ref="KG13:KG14"/>
    <mergeCell ref="KH13:KH14"/>
    <mergeCell ref="HZ13:HZ14"/>
    <mergeCell ref="KK13:KK14"/>
    <mergeCell ref="KT13:KT14"/>
    <mergeCell ref="KU13:KU14"/>
    <mergeCell ref="JU13:JU14"/>
    <mergeCell ref="KO13:KO14"/>
    <mergeCell ref="KP13:KP14"/>
    <mergeCell ref="KQ13:KQ14"/>
    <mergeCell ref="KR13:KR14"/>
    <mergeCell ref="KS13:KS14"/>
    <mergeCell ref="IA13:IA14"/>
    <mergeCell ref="IB13:IB14"/>
    <mergeCell ref="IQ13:IQ14"/>
    <mergeCell ref="IR13:IR14"/>
    <mergeCell ref="JS13:JS14"/>
    <mergeCell ref="JT13:JT14"/>
    <mergeCell ref="KJ13:KJ14"/>
    <mergeCell ref="IL12:IR12"/>
    <mergeCell ref="JQ12:JW12"/>
    <mergeCell ref="JB12:JH12"/>
    <mergeCell ref="KG12:KM12"/>
    <mergeCell ref="KV13:KV14"/>
    <mergeCell ref="FF12:FN12"/>
    <mergeCell ref="HH13:HH14"/>
    <mergeCell ref="HI13:HI14"/>
    <mergeCell ref="HJ13:HJ14"/>
    <mergeCell ref="HK13:HK14"/>
    <mergeCell ref="GT13:GT14"/>
    <mergeCell ref="GU13:GU14"/>
    <mergeCell ref="FJ13:FJ14"/>
    <mergeCell ref="FK13:FK14"/>
    <mergeCell ref="FL13:FL14"/>
    <mergeCell ref="FM13:FM14"/>
    <mergeCell ref="FN13:FN14"/>
    <mergeCell ref="FV12:GD12"/>
    <mergeCell ref="FV13:FV14"/>
    <mergeCell ref="FW13:FW14"/>
    <mergeCell ref="FX13:FX14"/>
    <mergeCell ref="FY13:FY14"/>
    <mergeCell ref="FZ13:FZ14"/>
    <mergeCell ref="GA13:GA14"/>
    <mergeCell ref="CQ13:CQ14"/>
    <mergeCell ref="CR13:CR14"/>
    <mergeCell ref="CS13:CS14"/>
    <mergeCell ref="CB13:CB14"/>
    <mergeCell ref="CC13:CC14"/>
    <mergeCell ref="CD13:CD14"/>
    <mergeCell ref="DA13:DA14"/>
    <mergeCell ref="FF13:FF14"/>
    <mergeCell ref="FG13:FG14"/>
    <mergeCell ref="DS13:DS14"/>
    <mergeCell ref="DT13:DT14"/>
    <mergeCell ref="DU13:DU14"/>
    <mergeCell ref="DW13:DW14"/>
    <mergeCell ref="EI13:EI14"/>
    <mergeCell ref="EJ13:EJ14"/>
    <mergeCell ref="EK13:EK14"/>
    <mergeCell ref="EM13:EM14"/>
    <mergeCell ref="CG13:CG14"/>
    <mergeCell ref="CH13:CH14"/>
    <mergeCell ref="A9:B9"/>
    <mergeCell ref="A12:F12"/>
    <mergeCell ref="R13:R14"/>
    <mergeCell ref="T13:T14"/>
    <mergeCell ref="AF13:AF14"/>
    <mergeCell ref="AG13:AG14"/>
    <mergeCell ref="AH13:AH14"/>
    <mergeCell ref="CB12:CH12"/>
    <mergeCell ref="AV12:BB12"/>
    <mergeCell ref="D11:S11"/>
    <mergeCell ref="W12:AE12"/>
    <mergeCell ref="W13:W14"/>
    <mergeCell ref="X13:X14"/>
    <mergeCell ref="Y13:Y14"/>
    <mergeCell ref="Z13:Z14"/>
    <mergeCell ref="AA13:AA14"/>
    <mergeCell ref="AJ13:AJ14"/>
    <mergeCell ref="BL13:BL14"/>
    <mergeCell ref="BM13:BM14"/>
    <mergeCell ref="BN13:BN14"/>
    <mergeCell ref="BP13:BP14"/>
    <mergeCell ref="M13:M14"/>
    <mergeCell ref="N13:N14"/>
    <mergeCell ref="O13:O14"/>
    <mergeCell ref="LR13:LR14"/>
    <mergeCell ref="GJ13:GJ14"/>
    <mergeCell ref="GK13:GK14"/>
    <mergeCell ref="CF13:CF14"/>
    <mergeCell ref="CO13:CO14"/>
    <mergeCell ref="FH13:FH14"/>
    <mergeCell ref="FI13:FI14"/>
    <mergeCell ref="EN13:EN14"/>
    <mergeCell ref="EO13:EO14"/>
    <mergeCell ref="DR13:DR14"/>
    <mergeCell ref="HF13:HF14"/>
    <mergeCell ref="HG13:HG14"/>
    <mergeCell ref="GG13:GG14"/>
    <mergeCell ref="DH13:DH14"/>
    <mergeCell ref="DI13:DI14"/>
    <mergeCell ref="DB13:DB14"/>
    <mergeCell ref="DC13:DC14"/>
    <mergeCell ref="DD13:DD14"/>
    <mergeCell ref="DE13:DE14"/>
    <mergeCell ref="DF13:DF14"/>
    <mergeCell ref="DG13:DG14"/>
    <mergeCell ref="CP13:CP14"/>
    <mergeCell ref="IN13:IN14"/>
    <mergeCell ref="IP13:IP14"/>
    <mergeCell ref="A13:A14"/>
    <mergeCell ref="B13:B14"/>
    <mergeCell ref="C13:C14"/>
    <mergeCell ref="D13:D14"/>
    <mergeCell ref="P12:V12"/>
    <mergeCell ref="AF12:AL12"/>
    <mergeCell ref="BL12:BR12"/>
    <mergeCell ref="U13:U14"/>
    <mergeCell ref="V13:V14"/>
    <mergeCell ref="AK13:AK14"/>
    <mergeCell ref="AL13:AL14"/>
    <mergeCell ref="BQ13:BQ14"/>
    <mergeCell ref="BR13:BR14"/>
    <mergeCell ref="AM12:AU12"/>
    <mergeCell ref="G12:O12"/>
    <mergeCell ref="G13:G14"/>
    <mergeCell ref="BC12:BK12"/>
    <mergeCell ref="BC13:BC14"/>
    <mergeCell ref="BD13:BD14"/>
    <mergeCell ref="BE13:BE14"/>
    <mergeCell ref="BF13:BF14"/>
    <mergeCell ref="BG13:BG14"/>
    <mergeCell ref="BH13:BH14"/>
    <mergeCell ref="BI13:BI14"/>
    <mergeCell ref="IO13:IO14"/>
    <mergeCell ref="JQ13:JQ14"/>
    <mergeCell ref="JR13:JR14"/>
    <mergeCell ref="IL13:IL14"/>
    <mergeCell ref="LS13:LS14"/>
    <mergeCell ref="LT13:LT14"/>
    <mergeCell ref="DE12:DI12"/>
    <mergeCell ref="HD13:HD14"/>
    <mergeCell ref="HE13:HE14"/>
    <mergeCell ref="FQ13:FQ14"/>
    <mergeCell ref="FS13:FS14"/>
    <mergeCell ref="GE13:GE14"/>
    <mergeCell ref="GF13:GF14"/>
    <mergeCell ref="FT13:FT14"/>
    <mergeCell ref="FU13:FU14"/>
    <mergeCell ref="FO13:FO14"/>
    <mergeCell ref="FP13:FP14"/>
    <mergeCell ref="GI13:GI14"/>
    <mergeCell ref="GS13:GS14"/>
    <mergeCell ref="HL13:HL14"/>
    <mergeCell ref="HH12:HL12"/>
    <mergeCell ref="DS12:DY12"/>
    <mergeCell ref="EP12:EX12"/>
    <mergeCell ref="GR13:GR14"/>
    <mergeCell ref="LU13:LU14"/>
    <mergeCell ref="MK13:MK14"/>
    <mergeCell ref="NQ13:NQ14"/>
    <mergeCell ref="OG13:OG14"/>
    <mergeCell ref="S13:S14"/>
    <mergeCell ref="AI13:AI14"/>
    <mergeCell ref="BO13:BO14"/>
    <mergeCell ref="CE13:CE14"/>
    <mergeCell ref="DV13:DV14"/>
    <mergeCell ref="EL13:EL14"/>
    <mergeCell ref="FR13:FR14"/>
    <mergeCell ref="GH13:GH14"/>
    <mergeCell ref="HY13:HY14"/>
    <mergeCell ref="JV13:JV14"/>
    <mergeCell ref="JW13:JW14"/>
    <mergeCell ref="KL13:KL14"/>
    <mergeCell ref="KM13:KM14"/>
    <mergeCell ref="LW13:LW14"/>
    <mergeCell ref="LX13:LX14"/>
    <mergeCell ref="HV13:HV14"/>
    <mergeCell ref="HW13:HW14"/>
    <mergeCell ref="HX13:HX14"/>
    <mergeCell ref="IM13:IM14"/>
    <mergeCell ref="LV13:LV14"/>
    <mergeCell ref="DJ11:DY11"/>
    <mergeCell ref="DZ12:EH12"/>
    <mergeCell ref="DZ13:DZ14"/>
    <mergeCell ref="EA13:EA14"/>
    <mergeCell ref="EB13:EB14"/>
    <mergeCell ref="EC13:EC14"/>
    <mergeCell ref="ED13:ED14"/>
    <mergeCell ref="EE13:EE14"/>
    <mergeCell ref="EF13:EF14"/>
    <mergeCell ref="EG13:EG14"/>
    <mergeCell ref="EH13:EH14"/>
    <mergeCell ref="DX13:DX14"/>
    <mergeCell ref="DY13:DY14"/>
    <mergeCell ref="DJ12:DR12"/>
    <mergeCell ref="DJ13:DJ14"/>
    <mergeCell ref="DK13:DK14"/>
    <mergeCell ref="DL13:DL14"/>
    <mergeCell ref="DM13:DM14"/>
    <mergeCell ref="DN13:DN14"/>
    <mergeCell ref="DO13:DO14"/>
    <mergeCell ref="DP13:DP14"/>
    <mergeCell ref="DQ13:DQ14"/>
  </mergeCells>
  <conditionalFormatting sqref="CR15:CR27 GU15:GU27 KW15:KW27 OT15:OT27">
    <cfRule type="cellIs" dxfId="17" priority="10" operator="lessThan">
      <formula>50</formula>
    </cfRule>
  </conditionalFormatting>
  <conditionalFormatting sqref="CS15:CS27 GV15:GV27 KX15:KX27 OU15:OU27">
    <cfRule type="cellIs" dxfId="16" priority="9" operator="equal">
      <formula>"F"</formula>
    </cfRule>
  </conditionalFormatting>
  <dataValidations count="1">
    <dataValidation allowBlank="1" showInputMessage="1" showErrorMessage="1" promptTitle="Creadit" prompt="Please insert credit here!" sqref="NU14:NX14 G14:J14 BC14:BF14 W14:Z14 BS14:BV14 DZ14:EC14 FF14:FI14 FV14:FY14 HM14:HP14 IC14:IF14 JI14:JL14 JX14:KA14 LI14:LL14 LY14:MB14 NE14:NH14 DJ14:DM14" xr:uid="{00000000-0002-0000-0400-000000000000}"/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B0F0"/>
  </sheetPr>
  <dimension ref="A1:DQ99"/>
  <sheetViews>
    <sheetView topLeftCell="A8" zoomScale="70" zoomScaleNormal="70" workbookViewId="0">
      <pane xSplit="6" ySplit="7" topLeftCell="CO15" activePane="bottomRight" state="frozen"/>
      <selection activeCell="C46" sqref="C46"/>
      <selection pane="topRight" activeCell="C46" sqref="C46"/>
      <selection pane="bottomLeft" activeCell="C46" sqref="C46"/>
      <selection pane="bottomRight" activeCell="DC28" sqref="DC28"/>
    </sheetView>
  </sheetViews>
  <sheetFormatPr defaultRowHeight="14.5" x14ac:dyDescent="0.35"/>
  <cols>
    <col min="2" max="2" width="23.81640625" customWidth="1"/>
    <col min="3" max="3" width="28.453125" style="33" customWidth="1"/>
    <col min="115" max="115" width="26.453125" customWidth="1"/>
  </cols>
  <sheetData>
    <row r="1" spans="1:121" s="4" customFormat="1" x14ac:dyDescent="0.35">
      <c r="C1" s="31"/>
    </row>
    <row r="2" spans="1:121" s="4" customFormat="1" x14ac:dyDescent="0.35">
      <c r="C2" s="31"/>
    </row>
    <row r="3" spans="1:121" s="4" customFormat="1" x14ac:dyDescent="0.35">
      <c r="C3" s="31"/>
    </row>
    <row r="4" spans="1:121" s="4" customFormat="1" x14ac:dyDescent="0.35">
      <c r="C4" s="31"/>
    </row>
    <row r="5" spans="1:121" s="4" customFormat="1" x14ac:dyDescent="0.35">
      <c r="C5" s="31"/>
    </row>
    <row r="6" spans="1:121" s="4" customFormat="1" x14ac:dyDescent="0.35">
      <c r="C6" s="31"/>
    </row>
    <row r="7" spans="1:121" s="4" customFormat="1" x14ac:dyDescent="0.35">
      <c r="C7" s="31"/>
    </row>
    <row r="8" spans="1:121" s="4" customFormat="1" ht="20" x14ac:dyDescent="0.35">
      <c r="A8" s="281" t="s">
        <v>23</v>
      </c>
      <c r="B8" s="281"/>
      <c r="C8" s="15">
        <v>50</v>
      </c>
    </row>
    <row r="9" spans="1:121" s="4" customFormat="1" ht="20" x14ac:dyDescent="0.35">
      <c r="A9" s="281" t="s">
        <v>32</v>
      </c>
      <c r="B9" s="281"/>
      <c r="C9" s="15" t="s">
        <v>235</v>
      </c>
      <c r="D9" s="5"/>
    </row>
    <row r="10" spans="1:121" s="4" customFormat="1" ht="20" x14ac:dyDescent="0.35">
      <c r="A10" s="283" t="s">
        <v>47</v>
      </c>
      <c r="B10" s="284"/>
      <c r="C10" s="15" t="s">
        <v>109</v>
      </c>
      <c r="D10" s="5"/>
    </row>
    <row r="11" spans="1:121" s="4" customFormat="1" ht="20.25" customHeight="1" thickBot="1" x14ac:dyDescent="0.4">
      <c r="A11" s="241" t="s">
        <v>46</v>
      </c>
      <c r="B11" s="242"/>
      <c r="C11" s="16" t="s">
        <v>53</v>
      </c>
      <c r="D11" s="6"/>
      <c r="BL11" s="282"/>
      <c r="BM11" s="282"/>
      <c r="BN11" s="282"/>
      <c r="BO11" s="282"/>
      <c r="BP11" s="282"/>
      <c r="BQ11" s="282"/>
      <c r="BR11" s="282"/>
      <c r="BS11" s="31"/>
      <c r="BT11" s="31"/>
      <c r="BU11" s="31"/>
      <c r="BV11" s="31"/>
      <c r="BW11" s="31"/>
      <c r="BX11" s="31"/>
      <c r="BY11" s="31"/>
      <c r="BZ11" s="31"/>
      <c r="CA11" s="31"/>
    </row>
    <row r="12" spans="1:121" ht="18" customHeight="1" thickBot="1" x14ac:dyDescent="0.4">
      <c r="A12" s="237"/>
      <c r="B12" s="237"/>
      <c r="C12" s="237"/>
      <c r="D12" s="237"/>
      <c r="E12" s="237"/>
      <c r="F12" s="237"/>
      <c r="G12" s="245" t="s">
        <v>57</v>
      </c>
      <c r="H12" s="245"/>
      <c r="I12" s="245"/>
      <c r="J12" s="245"/>
      <c r="K12" s="245"/>
      <c r="L12" s="245"/>
      <c r="M12" s="245"/>
      <c r="N12" s="245"/>
      <c r="O12" s="246"/>
      <c r="P12" s="186" t="s">
        <v>12</v>
      </c>
      <c r="Q12" s="186"/>
      <c r="R12" s="186"/>
      <c r="S12" s="186"/>
      <c r="T12" s="186"/>
      <c r="U12" s="186"/>
      <c r="V12" s="186"/>
      <c r="W12" s="329" t="s">
        <v>67</v>
      </c>
      <c r="X12" s="329"/>
      <c r="Y12" s="329"/>
      <c r="Z12" s="329"/>
      <c r="AA12" s="329"/>
      <c r="AB12" s="329"/>
      <c r="AC12" s="329"/>
      <c r="AD12" s="329"/>
      <c r="AE12" s="330"/>
      <c r="AF12" s="211" t="s">
        <v>68</v>
      </c>
      <c r="AG12" s="211"/>
      <c r="AH12" s="211"/>
      <c r="AI12" s="211"/>
      <c r="AJ12" s="211"/>
      <c r="AK12" s="211"/>
      <c r="AL12" s="211"/>
      <c r="AM12" s="172" t="s">
        <v>69</v>
      </c>
      <c r="AN12" s="172"/>
      <c r="AO12" s="172"/>
      <c r="AP12" s="172"/>
      <c r="AQ12" s="172"/>
      <c r="AR12" s="172"/>
      <c r="AS12" s="172"/>
      <c r="AT12" s="172"/>
      <c r="AU12" s="173"/>
      <c r="AV12" s="186" t="s">
        <v>77</v>
      </c>
      <c r="AW12" s="186"/>
      <c r="AX12" s="186"/>
      <c r="AY12" s="186"/>
      <c r="AZ12" s="186"/>
      <c r="BA12" s="186"/>
      <c r="BB12" s="186"/>
      <c r="BC12" s="176" t="s">
        <v>71</v>
      </c>
      <c r="BD12" s="177"/>
      <c r="BE12" s="177"/>
      <c r="BF12" s="177"/>
      <c r="BG12" s="177"/>
      <c r="BH12" s="177"/>
      <c r="BI12" s="177"/>
      <c r="BJ12" s="177"/>
      <c r="BK12" s="178"/>
      <c r="BL12" s="186" t="s">
        <v>78</v>
      </c>
      <c r="BM12" s="186"/>
      <c r="BN12" s="186"/>
      <c r="BO12" s="186"/>
      <c r="BP12" s="186"/>
      <c r="BQ12" s="186"/>
      <c r="BR12" s="186"/>
      <c r="BS12" s="221" t="s">
        <v>73</v>
      </c>
      <c r="BT12" s="221"/>
      <c r="BU12" s="221"/>
      <c r="BV12" s="221"/>
      <c r="BW12" s="221"/>
      <c r="BX12" s="221"/>
      <c r="BY12" s="221"/>
      <c r="BZ12" s="221"/>
      <c r="CA12" s="221"/>
      <c r="CB12" s="204" t="s">
        <v>13</v>
      </c>
      <c r="CC12" s="204"/>
      <c r="CD12" s="204"/>
      <c r="CE12" s="204"/>
      <c r="CF12" s="204"/>
      <c r="CG12" s="204"/>
      <c r="CH12" s="204"/>
      <c r="CI12" s="200" t="s">
        <v>75</v>
      </c>
      <c r="CJ12" s="201"/>
      <c r="CK12" s="201"/>
      <c r="CL12" s="201"/>
      <c r="CM12" s="201"/>
      <c r="CN12" s="202"/>
      <c r="CO12" s="203" t="s">
        <v>76</v>
      </c>
      <c r="CP12" s="204"/>
      <c r="CQ12" s="204"/>
      <c r="CR12" s="204"/>
      <c r="CS12" s="204"/>
      <c r="CT12" s="204"/>
      <c r="CU12" s="187" t="s">
        <v>30</v>
      </c>
      <c r="CV12" s="188"/>
      <c r="CW12" s="188"/>
      <c r="CX12" s="188"/>
      <c r="CY12" s="188"/>
      <c r="CZ12" s="188"/>
      <c r="DA12" s="188"/>
      <c r="DB12" s="188"/>
      <c r="DC12" s="188"/>
      <c r="DD12" s="189"/>
      <c r="DE12" s="263" t="s">
        <v>24</v>
      </c>
      <c r="DF12" s="263"/>
      <c r="DG12" s="263"/>
      <c r="DH12" s="263"/>
      <c r="DI12" s="263"/>
      <c r="DK12" s="247" t="s">
        <v>111</v>
      </c>
      <c r="DL12" s="247"/>
      <c r="DM12" s="247"/>
      <c r="DN12" s="247"/>
      <c r="DO12" s="247"/>
      <c r="DP12" s="247"/>
      <c r="DQ12" s="260" t="s">
        <v>112</v>
      </c>
    </row>
    <row r="13" spans="1:121" ht="126.75" customHeight="1" thickBot="1" x14ac:dyDescent="0.4">
      <c r="A13" s="238" t="s">
        <v>0</v>
      </c>
      <c r="B13" s="238" t="s">
        <v>1</v>
      </c>
      <c r="C13" s="238" t="s">
        <v>2</v>
      </c>
      <c r="D13" s="238" t="s">
        <v>4</v>
      </c>
      <c r="E13" s="238" t="s">
        <v>3</v>
      </c>
      <c r="F13" s="238" t="s">
        <v>5</v>
      </c>
      <c r="G13" s="213" t="s">
        <v>59</v>
      </c>
      <c r="H13" s="213" t="s">
        <v>66</v>
      </c>
      <c r="I13" s="213" t="s">
        <v>60</v>
      </c>
      <c r="J13" s="213" t="s">
        <v>114</v>
      </c>
      <c r="K13" s="215" t="s">
        <v>61</v>
      </c>
      <c r="L13" s="205" t="s">
        <v>102</v>
      </c>
      <c r="M13" s="207" t="s">
        <v>62</v>
      </c>
      <c r="N13" s="209" t="s">
        <v>63</v>
      </c>
      <c r="O13" s="209" t="s">
        <v>64</v>
      </c>
      <c r="P13" s="240" t="s">
        <v>6</v>
      </c>
      <c r="Q13" s="231" t="s">
        <v>50</v>
      </c>
      <c r="R13" s="231" t="s">
        <v>52</v>
      </c>
      <c r="S13" s="231" t="s">
        <v>54</v>
      </c>
      <c r="T13" s="231" t="s">
        <v>31</v>
      </c>
      <c r="U13" s="231" t="s">
        <v>51</v>
      </c>
      <c r="V13" s="235" t="s">
        <v>7</v>
      </c>
      <c r="W13" s="222" t="s">
        <v>59</v>
      </c>
      <c r="X13" s="222" t="s">
        <v>66</v>
      </c>
      <c r="Y13" s="222" t="s">
        <v>60</v>
      </c>
      <c r="Z13" s="222" t="s">
        <v>114</v>
      </c>
      <c r="AA13" s="224" t="s">
        <v>61</v>
      </c>
      <c r="AB13" s="225" t="s">
        <v>102</v>
      </c>
      <c r="AC13" s="227" t="s">
        <v>62</v>
      </c>
      <c r="AD13" s="229" t="s">
        <v>63</v>
      </c>
      <c r="AE13" s="229" t="s">
        <v>64</v>
      </c>
      <c r="AF13" s="196" t="s">
        <v>6</v>
      </c>
      <c r="AG13" s="195" t="s">
        <v>50</v>
      </c>
      <c r="AH13" s="195" t="s">
        <v>52</v>
      </c>
      <c r="AI13" s="195" t="s">
        <v>54</v>
      </c>
      <c r="AJ13" s="195" t="s">
        <v>31</v>
      </c>
      <c r="AK13" s="195" t="s">
        <v>51</v>
      </c>
      <c r="AL13" s="195" t="s">
        <v>7</v>
      </c>
      <c r="AM13" s="46" t="s">
        <v>59</v>
      </c>
      <c r="AN13" s="46" t="s">
        <v>66</v>
      </c>
      <c r="AO13" s="46" t="s">
        <v>60</v>
      </c>
      <c r="AP13" s="46" t="s">
        <v>115</v>
      </c>
      <c r="AQ13" s="46" t="s">
        <v>61</v>
      </c>
      <c r="AR13" s="46" t="s">
        <v>65</v>
      </c>
      <c r="AS13" s="46" t="s">
        <v>62</v>
      </c>
      <c r="AT13" s="46" t="s">
        <v>63</v>
      </c>
      <c r="AU13" s="46" t="s">
        <v>64</v>
      </c>
      <c r="AV13" s="11" t="s">
        <v>6</v>
      </c>
      <c r="AW13" s="12" t="s">
        <v>50</v>
      </c>
      <c r="AX13" s="12" t="s">
        <v>52</v>
      </c>
      <c r="AY13" s="12" t="s">
        <v>54</v>
      </c>
      <c r="AZ13" s="12" t="s">
        <v>31</v>
      </c>
      <c r="BA13" s="12" t="s">
        <v>51</v>
      </c>
      <c r="BB13" s="12" t="s">
        <v>7</v>
      </c>
      <c r="BC13" s="174" t="s">
        <v>59</v>
      </c>
      <c r="BD13" s="174" t="s">
        <v>66</v>
      </c>
      <c r="BE13" s="174" t="s">
        <v>60</v>
      </c>
      <c r="BF13" s="174" t="s">
        <v>114</v>
      </c>
      <c r="BG13" s="179" t="s">
        <v>61</v>
      </c>
      <c r="BH13" s="180" t="s">
        <v>102</v>
      </c>
      <c r="BI13" s="182" t="s">
        <v>62</v>
      </c>
      <c r="BJ13" s="184" t="s">
        <v>63</v>
      </c>
      <c r="BK13" s="184" t="s">
        <v>64</v>
      </c>
      <c r="BL13" s="220" t="s">
        <v>6</v>
      </c>
      <c r="BM13" s="193" t="s">
        <v>50</v>
      </c>
      <c r="BN13" s="193" t="s">
        <v>52</v>
      </c>
      <c r="BO13" s="193" t="s">
        <v>54</v>
      </c>
      <c r="BP13" s="193" t="s">
        <v>31</v>
      </c>
      <c r="BQ13" s="285" t="s">
        <v>51</v>
      </c>
      <c r="BR13" s="285" t="s">
        <v>7</v>
      </c>
      <c r="BS13" s="222" t="s">
        <v>59</v>
      </c>
      <c r="BT13" s="222" t="s">
        <v>66</v>
      </c>
      <c r="BU13" s="222" t="s">
        <v>60</v>
      </c>
      <c r="BV13" s="222" t="s">
        <v>114</v>
      </c>
      <c r="BW13" s="224" t="s">
        <v>61</v>
      </c>
      <c r="BX13" s="225" t="s">
        <v>102</v>
      </c>
      <c r="BY13" s="227" t="s">
        <v>62</v>
      </c>
      <c r="BZ13" s="229" t="s">
        <v>63</v>
      </c>
      <c r="CA13" s="229" t="s">
        <v>64</v>
      </c>
      <c r="CB13" s="240" t="s">
        <v>6</v>
      </c>
      <c r="CC13" s="231" t="s">
        <v>50</v>
      </c>
      <c r="CD13" s="231" t="s">
        <v>52</v>
      </c>
      <c r="CE13" s="231" t="s">
        <v>54</v>
      </c>
      <c r="CF13" s="231" t="s">
        <v>31</v>
      </c>
      <c r="CG13" s="231" t="s">
        <v>51</v>
      </c>
      <c r="CH13" s="235" t="s">
        <v>7</v>
      </c>
      <c r="CI13" s="170" t="s">
        <v>14</v>
      </c>
      <c r="CJ13" s="171" t="s">
        <v>15</v>
      </c>
      <c r="CK13" s="170" t="s">
        <v>16</v>
      </c>
      <c r="CL13" s="170" t="s">
        <v>49</v>
      </c>
      <c r="CM13" s="170" t="s">
        <v>48</v>
      </c>
      <c r="CN13" s="170" t="s">
        <v>19</v>
      </c>
      <c r="CO13" s="232" t="s">
        <v>14</v>
      </c>
      <c r="CP13" s="233" t="s">
        <v>15</v>
      </c>
      <c r="CQ13" s="232" t="s">
        <v>16</v>
      </c>
      <c r="CR13" s="232" t="s">
        <v>17</v>
      </c>
      <c r="CS13" s="232" t="s">
        <v>18</v>
      </c>
      <c r="CT13" s="232" t="s">
        <v>19</v>
      </c>
      <c r="CU13" s="55" t="s">
        <v>14</v>
      </c>
      <c r="CV13" s="51" t="s">
        <v>15</v>
      </c>
      <c r="CW13" s="51" t="s">
        <v>16</v>
      </c>
      <c r="CX13" s="51" t="s">
        <v>49</v>
      </c>
      <c r="CY13" s="51" t="s">
        <v>48</v>
      </c>
      <c r="CZ13" s="51" t="s">
        <v>19</v>
      </c>
      <c r="DA13" s="190" t="s">
        <v>20</v>
      </c>
      <c r="DB13" s="190" t="s">
        <v>21</v>
      </c>
      <c r="DC13" s="262" t="s">
        <v>22</v>
      </c>
      <c r="DD13" s="262" t="s">
        <v>23</v>
      </c>
      <c r="DE13" s="264" t="s">
        <v>25</v>
      </c>
      <c r="DF13" s="264" t="s">
        <v>26</v>
      </c>
      <c r="DG13" s="264" t="s">
        <v>27</v>
      </c>
      <c r="DH13" s="265" t="s">
        <v>28</v>
      </c>
      <c r="DI13" s="264" t="s">
        <v>29</v>
      </c>
      <c r="DK13" s="248" t="s">
        <v>1</v>
      </c>
      <c r="DL13" s="250" t="s">
        <v>113</v>
      </c>
      <c r="DM13" s="252" t="s">
        <v>8</v>
      </c>
      <c r="DN13" s="254" t="s">
        <v>9</v>
      </c>
      <c r="DO13" s="256" t="s">
        <v>10</v>
      </c>
      <c r="DP13" s="258" t="s">
        <v>11</v>
      </c>
      <c r="DQ13" s="260"/>
    </row>
    <row r="14" spans="1:121" ht="39.75" customHeight="1" x14ac:dyDescent="0.35">
      <c r="A14" s="238"/>
      <c r="B14" s="238"/>
      <c r="C14" s="238"/>
      <c r="D14" s="238"/>
      <c r="E14" s="238"/>
      <c r="F14" s="238"/>
      <c r="G14" s="214"/>
      <c r="H14" s="214"/>
      <c r="I14" s="214"/>
      <c r="J14" s="214"/>
      <c r="K14" s="215"/>
      <c r="L14" s="206"/>
      <c r="M14" s="208"/>
      <c r="N14" s="210"/>
      <c r="O14" s="210"/>
      <c r="P14" s="240"/>
      <c r="Q14" s="231"/>
      <c r="R14" s="231"/>
      <c r="S14" s="231"/>
      <c r="T14" s="231"/>
      <c r="U14" s="231"/>
      <c r="V14" s="286"/>
      <c r="W14" s="223"/>
      <c r="X14" s="223"/>
      <c r="Y14" s="223"/>
      <c r="Z14" s="223"/>
      <c r="AA14" s="224"/>
      <c r="AB14" s="226"/>
      <c r="AC14" s="228"/>
      <c r="AD14" s="230"/>
      <c r="AE14" s="230"/>
      <c r="AF14" s="196"/>
      <c r="AG14" s="195"/>
      <c r="AH14" s="195"/>
      <c r="AI14" s="195"/>
      <c r="AJ14" s="195"/>
      <c r="AK14" s="195"/>
      <c r="AL14" s="195"/>
      <c r="AM14" s="47">
        <v>2</v>
      </c>
      <c r="AN14" s="47">
        <v>2</v>
      </c>
      <c r="AO14" s="47">
        <v>3</v>
      </c>
      <c r="AP14" s="47">
        <v>1</v>
      </c>
      <c r="AQ14" s="47">
        <v>5</v>
      </c>
      <c r="AR14" s="47">
        <v>3</v>
      </c>
      <c r="AS14" s="47">
        <v>2</v>
      </c>
      <c r="AT14" s="47">
        <v>1</v>
      </c>
      <c r="AU14" s="47">
        <v>1</v>
      </c>
      <c r="AV14" s="2">
        <v>5</v>
      </c>
      <c r="AW14" s="2">
        <v>1</v>
      </c>
      <c r="AX14" s="2">
        <v>5</v>
      </c>
      <c r="AY14" s="2">
        <v>3</v>
      </c>
      <c r="AZ14" s="2">
        <v>2</v>
      </c>
      <c r="BA14" s="2">
        <v>2</v>
      </c>
      <c r="BB14" s="2">
        <v>2</v>
      </c>
      <c r="BC14" s="175"/>
      <c r="BD14" s="175"/>
      <c r="BE14" s="175"/>
      <c r="BF14" s="175"/>
      <c r="BG14" s="179"/>
      <c r="BH14" s="181"/>
      <c r="BI14" s="183"/>
      <c r="BJ14" s="185"/>
      <c r="BK14" s="185"/>
      <c r="BL14" s="220"/>
      <c r="BM14" s="193"/>
      <c r="BN14" s="193"/>
      <c r="BO14" s="193"/>
      <c r="BP14" s="193"/>
      <c r="BQ14" s="192"/>
      <c r="BR14" s="192"/>
      <c r="BS14" s="223"/>
      <c r="BT14" s="223"/>
      <c r="BU14" s="223"/>
      <c r="BV14" s="223"/>
      <c r="BW14" s="224"/>
      <c r="BX14" s="226"/>
      <c r="BY14" s="228"/>
      <c r="BZ14" s="230"/>
      <c r="CA14" s="230"/>
      <c r="CB14" s="240"/>
      <c r="CC14" s="231"/>
      <c r="CD14" s="231"/>
      <c r="CE14" s="231"/>
      <c r="CF14" s="231"/>
      <c r="CG14" s="231"/>
      <c r="CH14" s="286"/>
      <c r="CI14" s="170"/>
      <c r="CJ14" s="171"/>
      <c r="CK14" s="170"/>
      <c r="CL14" s="170"/>
      <c r="CM14" s="170"/>
      <c r="CN14" s="170"/>
      <c r="CO14" s="232"/>
      <c r="CP14" s="233"/>
      <c r="CQ14" s="232"/>
      <c r="CR14" s="232"/>
      <c r="CS14" s="232"/>
      <c r="CT14" s="232"/>
      <c r="CU14" s="169" t="s">
        <v>30</v>
      </c>
      <c r="CV14" s="169"/>
      <c r="CW14" s="169"/>
      <c r="CX14" s="169"/>
      <c r="CY14" s="169"/>
      <c r="CZ14" s="169"/>
      <c r="DA14" s="191"/>
      <c r="DB14" s="191"/>
      <c r="DC14" s="262"/>
      <c r="DD14" s="262"/>
      <c r="DE14" s="264"/>
      <c r="DF14" s="264"/>
      <c r="DG14" s="264"/>
      <c r="DH14" s="265"/>
      <c r="DI14" s="264"/>
      <c r="DK14" s="249"/>
      <c r="DL14" s="251"/>
      <c r="DM14" s="253"/>
      <c r="DN14" s="255"/>
      <c r="DO14" s="257"/>
      <c r="DP14" s="259"/>
      <c r="DQ14" s="261"/>
    </row>
    <row r="15" spans="1:121" ht="27" customHeight="1" x14ac:dyDescent="1.25">
      <c r="A15" s="24">
        <f>IF(B15="","",1)</f>
        <v>1</v>
      </c>
      <c r="B15" s="66" t="s">
        <v>212</v>
      </c>
      <c r="C15" s="67" t="s">
        <v>211</v>
      </c>
      <c r="D15" s="68" t="s">
        <v>125</v>
      </c>
      <c r="E15" s="154">
        <v>691</v>
      </c>
      <c r="F15" s="68" t="s">
        <v>237</v>
      </c>
      <c r="G15" s="7">
        <v>83.666666666666671</v>
      </c>
      <c r="H15" s="7">
        <v>88.100000000000009</v>
      </c>
      <c r="I15" s="7">
        <v>84.63333333333334</v>
      </c>
      <c r="J15" s="7">
        <v>83.666666666666671</v>
      </c>
      <c r="K15" s="7">
        <v>86.366666666666674</v>
      </c>
      <c r="L15" s="7">
        <v>83.566666666666677</v>
      </c>
      <c r="M15" s="7">
        <v>88.533333333333331</v>
      </c>
      <c r="N15" s="7">
        <v>97</v>
      </c>
      <c r="O15" s="7">
        <v>97</v>
      </c>
      <c r="P15" s="7">
        <v>87.960000000000008</v>
      </c>
      <c r="Q15" s="7">
        <v>87.960000000000008</v>
      </c>
      <c r="R15" s="7">
        <v>83.53</v>
      </c>
      <c r="S15" s="7">
        <v>74.66</v>
      </c>
      <c r="T15" s="7">
        <v>86</v>
      </c>
      <c r="U15" s="7">
        <v>99.333333333333343</v>
      </c>
      <c r="V15" s="7">
        <v>97</v>
      </c>
      <c r="W15" s="3" t="str">
        <f t="shared" ref="W15:W46" si="0">IF(G15="","",IF(G15&gt;=90,"A",IF(G15&gt;=80,"B",IF(G15&gt;=70,"C",IF(G15&gt;=60,"D",IF(G15&gt;=50,"E",IF(G15&gt;=0,"F","")))))))</f>
        <v>B</v>
      </c>
      <c r="X15" s="3" t="str">
        <f t="shared" ref="X15:X46" si="1">IF(H15="","",IF(H15&gt;=90,"A",IF(H15&gt;=80,"B",IF(H15&gt;=70,"C",IF(H15&gt;=60,"D",IF(H15&gt;=50,"E",IF(H15&gt;=0,"F","")))))))</f>
        <v>B</v>
      </c>
      <c r="Y15" s="3" t="str">
        <f t="shared" ref="Y15:Y46" si="2">IF(I15="","",IF(I15&gt;=90,"A",IF(I15&gt;=80,"B",IF(I15&gt;=70,"C",IF(I15&gt;=60,"D",IF(I15&gt;=50,"E",IF(I15&gt;=0,"F","")))))))</f>
        <v>B</v>
      </c>
      <c r="Z15" s="3" t="str">
        <f t="shared" ref="Z15:Z46" si="3">IF(J15="","",IF(J15&gt;=90,"A",IF(J15&gt;=80,"B",IF(J15&gt;=70,"C",IF(J15&gt;=60,"D",IF(J15&gt;=50,"E",IF(J15&gt;=0,"F","")))))))</f>
        <v>B</v>
      </c>
      <c r="AA15" s="3" t="str">
        <f t="shared" ref="AA15:AA46" si="4">IF(K15="","",IF(K15&gt;=90,"A",IF(K15&gt;=80,"B",IF(K15&gt;=70,"C",IF(K15&gt;=60,"D",IF(K15&gt;=50,"E",IF(K15&gt;=0,"F","")))))))</f>
        <v>B</v>
      </c>
      <c r="AB15" s="3" t="str">
        <f t="shared" ref="AB15:AB46" si="5">IF(L15="","",IF(L15&gt;=90,"A",IF(L15&gt;=80,"B",IF(L15&gt;=70,"C",IF(L15&gt;=60,"D",IF(L15&gt;=50,"E",IF(L15&gt;=0,"F","")))))))</f>
        <v>B</v>
      </c>
      <c r="AC15" s="3" t="str">
        <f t="shared" ref="AC15:AC46" si="6">IF(M15="","",IF(M15&gt;=90,"A",IF(M15&gt;=80,"B",IF(M15&gt;=70,"C",IF(M15&gt;=60,"D",IF(M15&gt;=50,"E",IF(M15&gt;=0,"F","")))))))</f>
        <v>B</v>
      </c>
      <c r="AD15" s="3" t="str">
        <f t="shared" ref="AD15:AD46" si="7">IF(N15="","",IF(N15&gt;=90,"A",IF(N15&gt;=80,"B",IF(N15&gt;=70,"C",IF(N15&gt;=60,"D",IF(N15&gt;=50,"E",IF(N15&gt;=0,"F","")))))))</f>
        <v>A</v>
      </c>
      <c r="AE15" s="3" t="str">
        <f t="shared" ref="AE15:AE46" si="8">IF(O15="","",IF(O15&gt;=90,"A",IF(O15&gt;=80,"B",IF(O15&gt;=70,"C",IF(O15&gt;=60,"D",IF(O15&gt;=50,"E",IF(O15&gt;=0,"F","")))))))</f>
        <v>A</v>
      </c>
      <c r="AF15" s="24" t="str">
        <f t="shared" ref="AF15:AF46" si="9">IF(P15="","",IF(P15&gt;=90,"A",IF(P15&gt;=80,"B",IF(P15&gt;=70,"C",IF(P15&gt;=60,"D",IF(P15&gt;=50,"E",IF(P15&gt;=0,"F","")))))))</f>
        <v>B</v>
      </c>
      <c r="AG15" s="24" t="str">
        <f t="shared" ref="AG15:AG46" si="10">IF(Q15="","",IF(Q15&gt;=90,"A",IF(Q15&gt;=80,"B",IF(Q15&gt;=70,"C",IF(Q15&gt;=60,"D",IF(Q15&gt;=50,"E",IF(Q15&gt;=0,"F","")))))))</f>
        <v>B</v>
      </c>
      <c r="AH15" s="24" t="str">
        <f t="shared" ref="AH15:AH46" si="11">IF(R15="","",IF(R15&gt;=90,"A",IF(R15&gt;=80,"B",IF(R15&gt;=70,"C",IF(R15&gt;=60,"D",IF(R15&gt;=50,"E",IF(R15&gt;=0,"F","")))))))</f>
        <v>B</v>
      </c>
      <c r="AI15" s="24" t="str">
        <f t="shared" ref="AI15:AI46" si="12">IF(S15="","",IF(S15&gt;=90,"A",IF(S15&gt;=80,"B",IF(S15&gt;=70,"C",IF(S15&gt;=60,"D",IF(S15&gt;=50,"E",IF(S15&gt;=0,"F","")))))))</f>
        <v>C</v>
      </c>
      <c r="AJ15" s="24" t="str">
        <f t="shared" ref="AJ15:AJ46" si="13">IF(T15="","",IF(T15&gt;=90,"A",IF(T15&gt;=80,"B",IF(T15&gt;=70,"C",IF(T15&gt;=60,"D",IF(T15&gt;=50,"E",IF(T15&gt;=0,"F","")))))))</f>
        <v>B</v>
      </c>
      <c r="AK15" s="24" t="str">
        <f t="shared" ref="AK15:AK46" si="14">IF(U15="","",IF(U15&gt;=90,"A",IF(U15&gt;=80,"B",IF(U15&gt;=70,"C",IF(U15&gt;=60,"D",IF(U15&gt;=50,"E",IF(U15&gt;=0,"F","")))))))</f>
        <v>A</v>
      </c>
      <c r="AL15" s="24" t="str">
        <f t="shared" ref="AL15:AL46" si="15">IF(V15="","",IF(V15&gt;=90,"A",IF(V15&gt;=80,"B",IF(V15&gt;=70,"C",IF(V15&gt;=60,"D",IF(V15&gt;=50,"E",IF(V15&gt;=0,"F","")))))))</f>
        <v>A</v>
      </c>
      <c r="AM15" s="24">
        <f t="shared" ref="AM15:AM46" si="16">IF(G15="","",$AM$14)</f>
        <v>2</v>
      </c>
      <c r="AN15" s="24">
        <f t="shared" ref="AN15:AN46" si="17">IF(H15="","",$AN$14)</f>
        <v>2</v>
      </c>
      <c r="AO15" s="24">
        <f t="shared" ref="AO15:AO46" si="18">IF(I15="","",$AO$14)</f>
        <v>3</v>
      </c>
      <c r="AP15" s="24">
        <f t="shared" ref="AP15:AP46" si="19">IF(J15="","",$AP$14)</f>
        <v>1</v>
      </c>
      <c r="AQ15" s="24">
        <f t="shared" ref="AQ15:AQ46" si="20">IF(K15="","",$AQ$14)</f>
        <v>5</v>
      </c>
      <c r="AR15" s="24">
        <f t="shared" ref="AR15:AR46" si="21">IF(L15="","",$AR$14)</f>
        <v>3</v>
      </c>
      <c r="AS15" s="24">
        <f t="shared" ref="AS15:AS46" si="22">IF(M15="","",$AS$14)</f>
        <v>2</v>
      </c>
      <c r="AT15" s="24">
        <f t="shared" ref="AT15:AT46" si="23">IF(N15="","",$AT$14)</f>
        <v>1</v>
      </c>
      <c r="AU15" s="24">
        <f t="shared" ref="AU15:AU46" si="24">IF(O15="","",$AU$14)</f>
        <v>1</v>
      </c>
      <c r="AV15" s="24">
        <f t="shared" ref="AV15:AV46" si="25">IF(P15="","",$AV$14)</f>
        <v>5</v>
      </c>
      <c r="AW15" s="24">
        <f t="shared" ref="AW15:AW46" si="26">IF(Q15="","",$AW$14)</f>
        <v>1</v>
      </c>
      <c r="AX15" s="24">
        <f t="shared" ref="AX15:AX46" si="27">IF(R15="","",$AX$14)</f>
        <v>5</v>
      </c>
      <c r="AY15" s="24">
        <f t="shared" ref="AY15:AY46" si="28">IF(S15="","",$AY$14)</f>
        <v>3</v>
      </c>
      <c r="AZ15" s="24">
        <f t="shared" ref="AZ15:AZ46" si="29">IF(T15="","",$AZ$14)</f>
        <v>2</v>
      </c>
      <c r="BA15" s="24">
        <f t="shared" ref="BA15:BA46" si="30">IF(U15="","",$BA$14)</f>
        <v>2</v>
      </c>
      <c r="BB15" s="24">
        <f t="shared" ref="BB15:BB46" si="31">IF(V15="","",$BB$14)</f>
        <v>2</v>
      </c>
      <c r="BC15" s="24">
        <f t="shared" ref="BC15:BC46" si="32">IF(OR(G15="",AM15=""),"",PRODUCT(G15,AM15))</f>
        <v>167.33333333333334</v>
      </c>
      <c r="BD15" s="24">
        <f t="shared" ref="BD15:BD46" si="33">IF(OR(H15="",AN15=""),"",PRODUCT(H15,AN15))</f>
        <v>176.20000000000002</v>
      </c>
      <c r="BE15" s="24">
        <f t="shared" ref="BE15:BE46" si="34">IF(OR(I15="",AO15=""),"",PRODUCT(I15,AO15))</f>
        <v>253.90000000000003</v>
      </c>
      <c r="BF15" s="24">
        <f t="shared" ref="BF15:BF46" si="35">IF(OR(J15="",AP15=""),"",PRODUCT(J15,AP15))</f>
        <v>83.666666666666671</v>
      </c>
      <c r="BG15" s="24">
        <f t="shared" ref="BG15:BG46" si="36">IF(OR(K15="",AQ15=""),"",PRODUCT(K15,AQ15))</f>
        <v>431.83333333333337</v>
      </c>
      <c r="BH15" s="24">
        <f t="shared" ref="BH15:BH46" si="37">IF(OR(L15="",AR15=""),"",PRODUCT(L15,AR15))</f>
        <v>250.70000000000005</v>
      </c>
      <c r="BI15" s="24">
        <f t="shared" ref="BI15:BI46" si="38">IF(OR(M15="",AS15=""),"",PRODUCT(M15,AS15))</f>
        <v>177.06666666666666</v>
      </c>
      <c r="BJ15" s="24">
        <f t="shared" ref="BJ15:BJ46" si="39">IF(OR(N15="",AT15=""),"",PRODUCT(N15,AT15))</f>
        <v>97</v>
      </c>
      <c r="BK15" s="24">
        <f t="shared" ref="BK15:BK46" si="40">IF(OR(O15="",AU15=""),"",PRODUCT(O15,AU15))</f>
        <v>97</v>
      </c>
      <c r="BL15" s="26">
        <f t="shared" ref="BL15:BL46" si="41">IF(OR(P15="",AV15=""),"",PRODUCT(P15,AV15))</f>
        <v>439.80000000000007</v>
      </c>
      <c r="BM15" s="26">
        <f t="shared" ref="BM15:BM46" si="42">IF(OR(Q15="",AW15=""),"",PRODUCT(Q15,AW15))</f>
        <v>87.960000000000008</v>
      </c>
      <c r="BN15" s="26">
        <f t="shared" ref="BN15:BN46" si="43">IF(OR(R15="",AX15=""),"",PRODUCT(R15,AX15))</f>
        <v>417.65</v>
      </c>
      <c r="BO15" s="26">
        <f t="shared" ref="BO15:BO46" si="44">IF(OR(S15="",AY15=""),"",PRODUCT(S15,AY15))</f>
        <v>223.98</v>
      </c>
      <c r="BP15" s="26">
        <f t="shared" ref="BP15:BP46" si="45">IF(OR(T15="",AZ15=""),"",PRODUCT(T15,AZ15))</f>
        <v>172</v>
      </c>
      <c r="BQ15" s="26">
        <f t="shared" ref="BQ15:BQ46" si="46">IF(OR(U15="",BA15=""),"",PRODUCT(U15,BA15))</f>
        <v>198.66666666666669</v>
      </c>
      <c r="BR15" s="26">
        <f t="shared" ref="BR15:BR46" si="47">IF(OR(V15="",BB15=""),"",PRODUCT(V15,BB15))</f>
        <v>194</v>
      </c>
      <c r="BS15" s="24">
        <f t="shared" ref="BS15:BS29" si="48">IF(OR(AM15="",W15=""),"",AM15*(IF(OR(W15="A",W15="a"),4,(IF(OR(W523="B",W15="b"),3,(IF(OR(W15="C",W15="c"),2,(IF(OR(W15="D",W15="d"),1.5,(IF(OR(W15="E",W15="e"),1,(IF(OR(W15="F",W15="f"),0)))))))))))))</f>
        <v>6</v>
      </c>
      <c r="BT15" s="24">
        <f t="shared" ref="BT15:BT29" si="49">IF(OR(AN15="",X15=""),"",AN15*(IF(OR(X15="A",X15="a"),4,(IF(OR(X523="B",X15="b"),3,(IF(OR(X15="C",X15="c"),2,(IF(OR(X15="D",X15="d"),1.5,(IF(OR(X15="E",X15="e"),1,(IF(OR(X15="F",X15="f"),0)))))))))))))</f>
        <v>6</v>
      </c>
      <c r="BU15" s="24">
        <f t="shared" ref="BU15:BU29" si="50">IF(OR(AO15="",Y15=""),"",AO15*(IF(OR(Y15="A",Y15="a"),4,(IF(OR(Y523="B",Y15="b"),3,(IF(OR(Y15="C",Y15="c"),2,(IF(OR(Y15="D",Y15="d"),1.5,(IF(OR(Y15="E",Y15="e"),1,(IF(OR(Y15="F",Y15="f"),0)))))))))))))</f>
        <v>9</v>
      </c>
      <c r="BV15" s="24">
        <f t="shared" ref="BV15:BV29" si="51">IF(OR(AP15="",Z15=""),"",AP15*(IF(OR(Z15="A",Z15="a"),4,(IF(OR(Z523="B",Z15="b"),3,(IF(OR(Z15="C",Z15="c"),2,(IF(OR(Z15="D",Z15="d"),1.5,(IF(OR(Z15="E",Z15="e"),1,(IF(OR(Z15="F",Z15="f"),0)))))))))))))</f>
        <v>3</v>
      </c>
      <c r="BW15" s="24">
        <f t="shared" ref="BW15:BW29" si="52">IF(OR(AQ15="",AA15=""),"",AQ15*(IF(OR(AA15="A",AA15="a"),4,(IF(OR(AA523="B",AA15="b"),3,(IF(OR(AA15="C",AA15="c"),2,(IF(OR(AA15="D",AA15="d"),1.5,(IF(OR(AA15="E",AA15="e"),1,(IF(OR(AA15="F",AA15="f"),0)))))))))))))</f>
        <v>15</v>
      </c>
      <c r="BX15" s="24">
        <f t="shared" ref="BX15:BX29" si="53">IF(OR(AR15="",AB15=""),"",AR15*(IF(OR(AB15="A",AB15="a"),4,(IF(OR(AB523="B",AB15="b"),3,(IF(OR(AB15="C",AB15="c"),2,(IF(OR(AB15="D",AB15="d"),1.5,(IF(OR(AB15="E",AB15="e"),1,(IF(OR(AB15="F",AB15="f"),0)))))))))))))</f>
        <v>9</v>
      </c>
      <c r="BY15" s="24">
        <f t="shared" ref="BY15:BY29" si="54">IF(OR(AS15="",AC15=""),"",AS15*(IF(OR(AC15="A",AC15="a"),4,(IF(OR(AC523="B",AC15="b"),3,(IF(OR(AC15="C",AC15="c"),2,(IF(OR(AC15="D",AC15="d"),1.5,(IF(OR(AC15="E",AC15="e"),1,(IF(OR(AC15="F",AC15="f"),0)))))))))))))</f>
        <v>6</v>
      </c>
      <c r="BZ15" s="24">
        <f t="shared" ref="BZ15:BZ29" si="55">IF(OR(AT15="",AD15=""),"",AT15*(IF(OR(AD15="A",AD15="a"),4,(IF(OR(AD523="B",AD15="b"),3,(IF(OR(AD15="C",AD15="c"),2,(IF(OR(AD15="D",AD15="d"),1.5,(IF(OR(AD15="E",AD15="e"),1,(IF(OR(AD15="F",AD15="f"),0)))))))))))))</f>
        <v>4</v>
      </c>
      <c r="CA15" s="24">
        <f t="shared" ref="CA15:CA29" si="56">IF(OR(AU15="",AE15=""),"",AU15*(IF(OR(AE15="A",AE15="a"),4,(IF(OR(AE523="B",AE15="b"),3,(IF(OR(AE15="C",AE15="c"),2,(IF(OR(AE15="D",AE15="d"),1.5,(IF(OR(AE15="E",AE15="e"),1,(IF(OR(AE15="F",AE15="f"),0)))))))))))))</f>
        <v>4</v>
      </c>
      <c r="CB15" s="24">
        <f t="shared" ref="CB15:CB29" si="57">IF(OR(AV15="",AF15=""),"",AV15*(IF(OR(AF15="A",AF15="a"),4,(IF(OR(AF523="B",AF15="b"),3,(IF(OR(AF15="C",AF15="c"),2,(IF(OR(AF15="D",AF15="d"),1.5,(IF(OR(AF15="E",AF15="e"),1,(IF(OR(AF15="F",AF15="f"),0)))))))))))))</f>
        <v>15</v>
      </c>
      <c r="CC15" s="24">
        <f t="shared" ref="CC15:CC29" si="58">IF(OR(AW15="",AG15=""),"",AW15*(IF(OR(AG15="A",AG15="a"),4,(IF(OR(AG523="B",AG15="b"),3,(IF(OR(AG15="C",AG15="c"),2,(IF(OR(AG15="D",AG15="d"),1.5,(IF(OR(AG15="E",AG15="e"),1,(IF(OR(AG15="F",AG15="f"),0)))))))))))))</f>
        <v>3</v>
      </c>
      <c r="CD15" s="24">
        <f t="shared" ref="CD15:CD29" si="59">IF(OR(AX15="",AH15=""),"",AX15*(IF(OR(AH15="A",AH15="a"),4,(IF(OR(AH523="B",AH15="b"),3,(IF(OR(AH15="C",AH15="c"),2,(IF(OR(AH15="D",AH15="d"),1.5,(IF(OR(AH15="E",AH15="e"),1,(IF(OR(AH15="F",AH15="f"),0)))))))))))))</f>
        <v>15</v>
      </c>
      <c r="CE15" s="24">
        <f t="shared" ref="CE15:CE29" si="60">IF(OR(AY15="",AI15=""),"",AY15*(IF(OR(AI15="A",AI15="a"),4,(IF(OR(AI523="B",AI15="b"),3,(IF(OR(AI15="C",AI15="c"),2,(IF(OR(AI15="D",AI15="d"),1.5,(IF(OR(AI15="E",AI15="e"),1,(IF(OR(AI15="F",AI15="f"),0)))))))))))))</f>
        <v>6</v>
      </c>
      <c r="CF15" s="24">
        <f t="shared" ref="CF15:CF29" si="61">IF(OR(AZ15="",AJ15=""),"",AZ15*(IF(OR(AJ15="A",AJ15="a"),4,(IF(OR(AJ523="B",AJ15="b"),3,(IF(OR(AJ15="C",AJ15="c"),2,(IF(OR(AJ15="D",AJ15="d"),1.5,(IF(OR(AJ15="E",AJ15="e"),1,(IF(OR(AJ15="F",AJ15="f"),0)))))))))))))</f>
        <v>6</v>
      </c>
      <c r="CG15" s="24">
        <f t="shared" ref="CG15:CG29" si="62">IF(OR(BA15="",AK15=""),"",BA15*(IF(OR(AK15="A",AK15="a"),4,(IF(OR(AK523="B",AK15="b"),3,(IF(OR(AK15="C",AK15="c"),2,(IF(OR(AK15="D",AK15="d"),1.5,(IF(OR(AK15="E",AK15="e"),1,(IF(OR(AK15="F",AK15="f"),0)))))))))))))</f>
        <v>8</v>
      </c>
      <c r="CH15" s="24">
        <f t="shared" ref="CH15:CH29" si="63">IF(OR(BB15="",AL15=""),"",BB15*(IF(OR(AL15="A",AL15="a"),4,(IF(OR(AL523="B",AL15="b"),3,(IF(OR(AL15="C",AL15="c"),2,(IF(OR(AL15="D",AL15="d"),1.5,(IF(OR(AL15="E",AL15="e"),1,(IF(OR(AL15="F",AL15="f"),0)))))))))))))</f>
        <v>8</v>
      </c>
      <c r="CI15" s="24">
        <f t="shared" ref="CI15:CI46" si="64">IF(B15="","",SUM(AM15:AU15))</f>
        <v>20</v>
      </c>
      <c r="CJ15" s="24">
        <f>IF(B15="","",SUM(BC15:BK15))</f>
        <v>1734.7</v>
      </c>
      <c r="CK15" s="26">
        <f t="shared" ref="CK15:CK46" si="65">IF(B15="","",SUM(BS15:CA15))</f>
        <v>62</v>
      </c>
      <c r="CL15" s="26">
        <f>IF(OR(CI15="",CJ15=""),"",CJ15/CI15)</f>
        <v>86.734999999999999</v>
      </c>
      <c r="CM15" s="24" t="str">
        <f>IF(CL15="","",IF(CL15&gt;=90,"A",IF(CL15&gt;=80,"B",IF(CL15&gt;=70,"C",IF(CL15&gt;=60,"D",IF(CL15&gt;=50,"E",IF(CL15&gt;=0,"F","")))))))</f>
        <v>B</v>
      </c>
      <c r="CN15" s="26">
        <f t="shared" ref="CN15:CN46" si="66">IF(B15="","",CK15/CI15)</f>
        <v>3.1</v>
      </c>
      <c r="CO15" s="24">
        <f t="shared" ref="CO15:CO46" si="67">IF(B15="","",SUM(AV15:BB15))</f>
        <v>20</v>
      </c>
      <c r="CP15" s="26">
        <f t="shared" ref="CP15:CP46" si="68">IF(B15="","",SUM(BL15:BR15))</f>
        <v>1734.0566666666668</v>
      </c>
      <c r="CQ15" s="26">
        <f t="shared" ref="CQ15:CQ46" si="69">IF(B15="","",SUM(CB15:CH15))</f>
        <v>61</v>
      </c>
      <c r="CR15" s="26">
        <f>IF(OR(CO15="",CP15=""),"",CP15/CO15)</f>
        <v>86.702833333333345</v>
      </c>
      <c r="CS15" s="24" t="str">
        <f>IF(CR15="","",IF(CR15&gt;=90,"A",IF(CR15&gt;=80,"B",IF(CR15&gt;=70,"C",IF(CR15&gt;=60,"D",IF(CR15&gt;=50,"E",IF(CR15&gt;=0,"F","")))))))</f>
        <v>B</v>
      </c>
      <c r="CT15" s="27">
        <f t="shared" ref="CT15:CT46" si="70">IF(B15="","",CQ15/CO15)</f>
        <v>3.05</v>
      </c>
      <c r="CU15" s="24">
        <f t="shared" ref="CU15:CU46" si="71">IF(SUM(AM15:BB15)=0,"",IF(OR(B15="",F15="I",F15="II",F15="M",F15="A"),(SUM(AM15:BB15)),IF(OR(B15="",F15="III"),(SUM(CI15,CO15)))))</f>
        <v>40</v>
      </c>
      <c r="CV15" s="27">
        <f t="shared" ref="CV15:CV46" si="72">IF(SUM(AM15:BB15)=0,"",IF(OR(B15="",F15="I",F15="II",F15="M",F15="A"),(SUM(BC15:BR15)),IF(OR(B15="",F15="III"),(SUM(CJ15,CP15)))))</f>
        <v>3468.7566666666667</v>
      </c>
      <c r="CW15" s="27">
        <f t="shared" ref="CW15:CW46" si="73">IF(SUM(AM15:BB15)=0,"",IF(OR(B15="",F15="I",F15="II",F15="M",F15="A"),(SUM(BS15:CH15)),IF(OR(B15="",F15="III"),(SUM(CQ15,CK15)))))</f>
        <v>123</v>
      </c>
      <c r="CX15" s="26">
        <f>IF(OR(CU15=0,CV15=0),0,IF(OR(CU15="",CV15=""),"",CV15/CU15))</f>
        <v>86.718916666666672</v>
      </c>
      <c r="CY15" s="27" t="str">
        <f>IF(CX15="","",IF(CX15&gt;=90,"A",IF(CX15&gt;=80,"B",IF(CX15&gt;=70,"C",IF(CX15&gt;=60,"D",IF(CX15&gt;=50,"E",IF(CX15&gt;=0,"F","")))))))</f>
        <v>B</v>
      </c>
      <c r="CZ15" s="26">
        <f t="shared" ref="CZ15:CZ46" si="74">IF(B15="","",CW15/CU15)</f>
        <v>3.0750000000000002</v>
      </c>
      <c r="DA15" s="24">
        <f t="shared" ref="DA15:DA46" si="75">IF(OR(B15="",CX15=""),"",RANK(CX15,$CX$15:$CX$97))</f>
        <v>4</v>
      </c>
      <c r="DB15" s="24" t="str">
        <f t="shared" ref="DB15:DB46" si="76">IF(B15="","",$C$9)</f>
        <v>6A</v>
      </c>
      <c r="DC15" s="24">
        <f t="shared" ref="DC15:DC46" si="77">IF(B15="","",COUNTA($B$15:$B$99))</f>
        <v>13</v>
      </c>
      <c r="DD15" s="24">
        <f t="shared" ref="DD15:DD46" si="78">IF(B15="","",$C$8)</f>
        <v>50</v>
      </c>
      <c r="DE15" s="1">
        <v>0</v>
      </c>
      <c r="DF15" s="1">
        <v>0</v>
      </c>
      <c r="DG15" s="1">
        <v>0</v>
      </c>
      <c r="DH15" s="24">
        <f t="shared" ref="DH15:DH46" si="79">IF(B15="","",DF15+DG15)</f>
        <v>0</v>
      </c>
      <c r="DI15" s="25">
        <f t="shared" ref="DI15:DI46" si="80">IF(B15="","",(DD15-DH15)/DD15)</f>
        <v>1</v>
      </c>
      <c r="DJ15" t="str">
        <f t="shared" ref="DJ15:DJ46" si="81">IF(B15="","",$C$11)</f>
        <v>2024-2025</v>
      </c>
      <c r="DK15" s="135"/>
      <c r="DL15" s="9"/>
      <c r="DM15" s="9"/>
      <c r="DN15" s="9"/>
      <c r="DO15" s="9"/>
      <c r="DP15" s="9"/>
      <c r="DQ15" s="136" t="b">
        <f t="shared" ref="DQ15:DQ46" si="82">EXACT(B15,DK15)</f>
        <v>0</v>
      </c>
    </row>
    <row r="16" spans="1:121" ht="27" customHeight="1" x14ac:dyDescent="1.25">
      <c r="A16" s="24">
        <f>IF(B16="","",A15+1)</f>
        <v>2</v>
      </c>
      <c r="B16" s="66" t="s">
        <v>127</v>
      </c>
      <c r="C16" s="67" t="s">
        <v>128</v>
      </c>
      <c r="D16" s="68" t="s">
        <v>124</v>
      </c>
      <c r="E16" s="154">
        <v>689</v>
      </c>
      <c r="F16" s="68" t="s">
        <v>237</v>
      </c>
      <c r="G16" s="7">
        <v>85.333333333333343</v>
      </c>
      <c r="H16" s="7">
        <v>87.966666666666669</v>
      </c>
      <c r="I16" s="7">
        <v>85.666666666666671</v>
      </c>
      <c r="J16" s="7">
        <v>85.333333333333343</v>
      </c>
      <c r="K16" s="7">
        <v>86.26666666666668</v>
      </c>
      <c r="L16" s="7">
        <v>85.366666666666674</v>
      </c>
      <c r="M16" s="7">
        <v>87.566666666666677</v>
      </c>
      <c r="N16" s="7">
        <v>96</v>
      </c>
      <c r="O16" s="7">
        <v>96</v>
      </c>
      <c r="P16" s="7">
        <v>85.740000000000009</v>
      </c>
      <c r="Q16" s="7">
        <v>85.740000000000009</v>
      </c>
      <c r="R16" s="7">
        <v>70.37</v>
      </c>
      <c r="S16" s="7">
        <v>77.34</v>
      </c>
      <c r="T16" s="7">
        <v>90</v>
      </c>
      <c r="U16" s="7">
        <v>92</v>
      </c>
      <c r="V16" s="7">
        <v>96</v>
      </c>
      <c r="W16" s="3" t="str">
        <f t="shared" si="0"/>
        <v>B</v>
      </c>
      <c r="X16" s="3" t="str">
        <f t="shared" si="1"/>
        <v>B</v>
      </c>
      <c r="Y16" s="3" t="str">
        <f t="shared" si="2"/>
        <v>B</v>
      </c>
      <c r="Z16" s="3" t="str">
        <f t="shared" si="3"/>
        <v>B</v>
      </c>
      <c r="AA16" s="3" t="str">
        <f t="shared" si="4"/>
        <v>B</v>
      </c>
      <c r="AB16" s="3" t="str">
        <f t="shared" si="5"/>
        <v>B</v>
      </c>
      <c r="AC16" s="3" t="str">
        <f t="shared" si="6"/>
        <v>B</v>
      </c>
      <c r="AD16" s="3" t="str">
        <f t="shared" si="7"/>
        <v>A</v>
      </c>
      <c r="AE16" s="3" t="str">
        <f t="shared" si="8"/>
        <v>A</v>
      </c>
      <c r="AF16" s="24" t="str">
        <f t="shared" si="9"/>
        <v>B</v>
      </c>
      <c r="AG16" s="24" t="str">
        <f t="shared" si="10"/>
        <v>B</v>
      </c>
      <c r="AH16" s="24" t="str">
        <f t="shared" si="11"/>
        <v>C</v>
      </c>
      <c r="AI16" s="24" t="str">
        <f t="shared" si="12"/>
        <v>C</v>
      </c>
      <c r="AJ16" s="24" t="str">
        <f t="shared" si="13"/>
        <v>A</v>
      </c>
      <c r="AK16" s="24" t="str">
        <f t="shared" si="14"/>
        <v>A</v>
      </c>
      <c r="AL16" s="24" t="str">
        <f t="shared" si="15"/>
        <v>A</v>
      </c>
      <c r="AM16" s="24">
        <f t="shared" si="16"/>
        <v>2</v>
      </c>
      <c r="AN16" s="24">
        <f t="shared" si="17"/>
        <v>2</v>
      </c>
      <c r="AO16" s="24">
        <f t="shared" si="18"/>
        <v>3</v>
      </c>
      <c r="AP16" s="24">
        <f t="shared" si="19"/>
        <v>1</v>
      </c>
      <c r="AQ16" s="24">
        <f t="shared" si="20"/>
        <v>5</v>
      </c>
      <c r="AR16" s="24">
        <f t="shared" si="21"/>
        <v>3</v>
      </c>
      <c r="AS16" s="24">
        <f t="shared" si="22"/>
        <v>2</v>
      </c>
      <c r="AT16" s="24">
        <f t="shared" si="23"/>
        <v>1</v>
      </c>
      <c r="AU16" s="24">
        <f t="shared" si="24"/>
        <v>1</v>
      </c>
      <c r="AV16" s="24">
        <f t="shared" si="25"/>
        <v>5</v>
      </c>
      <c r="AW16" s="24">
        <f t="shared" si="26"/>
        <v>1</v>
      </c>
      <c r="AX16" s="24">
        <f t="shared" si="27"/>
        <v>5</v>
      </c>
      <c r="AY16" s="24">
        <f t="shared" si="28"/>
        <v>3</v>
      </c>
      <c r="AZ16" s="24">
        <f t="shared" si="29"/>
        <v>2</v>
      </c>
      <c r="BA16" s="24">
        <f t="shared" si="30"/>
        <v>2</v>
      </c>
      <c r="BB16" s="24">
        <f t="shared" si="31"/>
        <v>2</v>
      </c>
      <c r="BC16" s="24">
        <f t="shared" si="32"/>
        <v>170.66666666666669</v>
      </c>
      <c r="BD16" s="24">
        <f t="shared" si="33"/>
        <v>175.93333333333334</v>
      </c>
      <c r="BE16" s="24">
        <f t="shared" si="34"/>
        <v>257</v>
      </c>
      <c r="BF16" s="24">
        <f t="shared" si="35"/>
        <v>85.333333333333343</v>
      </c>
      <c r="BG16" s="24">
        <f t="shared" si="36"/>
        <v>431.33333333333337</v>
      </c>
      <c r="BH16" s="24">
        <f t="shared" si="37"/>
        <v>256.10000000000002</v>
      </c>
      <c r="BI16" s="24">
        <f t="shared" si="38"/>
        <v>175.13333333333335</v>
      </c>
      <c r="BJ16" s="24">
        <f t="shared" si="39"/>
        <v>96</v>
      </c>
      <c r="BK16" s="24">
        <f t="shared" si="40"/>
        <v>96</v>
      </c>
      <c r="BL16" s="26">
        <f t="shared" si="41"/>
        <v>428.70000000000005</v>
      </c>
      <c r="BM16" s="26">
        <f t="shared" si="42"/>
        <v>85.740000000000009</v>
      </c>
      <c r="BN16" s="26">
        <f t="shared" si="43"/>
        <v>351.85</v>
      </c>
      <c r="BO16" s="26">
        <f t="shared" si="44"/>
        <v>232.02</v>
      </c>
      <c r="BP16" s="26">
        <f t="shared" si="45"/>
        <v>180</v>
      </c>
      <c r="BQ16" s="26">
        <f t="shared" si="46"/>
        <v>184</v>
      </c>
      <c r="BR16" s="26">
        <f t="shared" si="47"/>
        <v>192</v>
      </c>
      <c r="BS16" s="24">
        <f t="shared" si="48"/>
        <v>6</v>
      </c>
      <c r="BT16" s="24">
        <f t="shared" si="49"/>
        <v>6</v>
      </c>
      <c r="BU16" s="24">
        <f t="shared" si="50"/>
        <v>9</v>
      </c>
      <c r="BV16" s="24">
        <f t="shared" si="51"/>
        <v>3</v>
      </c>
      <c r="BW16" s="24">
        <f t="shared" si="52"/>
        <v>15</v>
      </c>
      <c r="BX16" s="24">
        <f t="shared" si="53"/>
        <v>9</v>
      </c>
      <c r="BY16" s="24">
        <f t="shared" si="54"/>
        <v>6</v>
      </c>
      <c r="BZ16" s="24">
        <f t="shared" si="55"/>
        <v>4</v>
      </c>
      <c r="CA16" s="24">
        <f t="shared" si="56"/>
        <v>4</v>
      </c>
      <c r="CB16" s="24">
        <f t="shared" si="57"/>
        <v>15</v>
      </c>
      <c r="CC16" s="24">
        <f t="shared" si="58"/>
        <v>3</v>
      </c>
      <c r="CD16" s="24">
        <f t="shared" si="59"/>
        <v>10</v>
      </c>
      <c r="CE16" s="24">
        <f t="shared" si="60"/>
        <v>6</v>
      </c>
      <c r="CF16" s="24">
        <f t="shared" si="61"/>
        <v>8</v>
      </c>
      <c r="CG16" s="24">
        <f t="shared" si="62"/>
        <v>8</v>
      </c>
      <c r="CH16" s="24">
        <f t="shared" si="63"/>
        <v>8</v>
      </c>
      <c r="CI16" s="24">
        <f t="shared" si="64"/>
        <v>20</v>
      </c>
      <c r="CJ16" s="24">
        <f t="shared" ref="CJ16:CJ79" si="83">IF(B16="","",SUM(BC16:BK16))</f>
        <v>1743.5000000000002</v>
      </c>
      <c r="CK16" s="26">
        <f t="shared" si="65"/>
        <v>62</v>
      </c>
      <c r="CL16" s="26">
        <f t="shared" ref="CL16:CL79" si="84">IF(OR(CI16="",CJ16=""),"",CJ16/CI16)</f>
        <v>87.175000000000011</v>
      </c>
      <c r="CM16" s="24" t="str">
        <f t="shared" ref="CM16:CM79" si="85">IF(CL16="","",IF(CL16&gt;=90,"A",IF(CL16&gt;=80,"B",IF(CL16&gt;=70,"C",IF(CL16&gt;=60,"D",IF(CL16&gt;=50,"E",IF(CL16&gt;=0,"F","")))))))</f>
        <v>B</v>
      </c>
      <c r="CN16" s="26">
        <f t="shared" si="66"/>
        <v>3.1</v>
      </c>
      <c r="CO16" s="24">
        <f t="shared" si="67"/>
        <v>20</v>
      </c>
      <c r="CP16" s="26">
        <f t="shared" si="68"/>
        <v>1654.3100000000002</v>
      </c>
      <c r="CQ16" s="26">
        <f t="shared" si="69"/>
        <v>58</v>
      </c>
      <c r="CR16" s="26">
        <f t="shared" ref="CR16:CR78" si="86">IF(OR(CO16="",CP16=""),"",CP16/CO16)</f>
        <v>82.715500000000006</v>
      </c>
      <c r="CS16" s="24" t="str">
        <f t="shared" ref="CS16:CS78" si="87">IF(CR16="","",IF(CR16&gt;=90,"A",IF(CR16&gt;=80,"B",IF(CR16&gt;=70,"C",IF(CR16&gt;=60,"D",IF(CR16&gt;=50,"E",IF(CR16&gt;=0,"F","")))))))</f>
        <v>B</v>
      </c>
      <c r="CT16" s="27">
        <f t="shared" si="70"/>
        <v>2.9</v>
      </c>
      <c r="CU16" s="24">
        <f t="shared" si="71"/>
        <v>40</v>
      </c>
      <c r="CV16" s="27">
        <f t="shared" si="72"/>
        <v>3397.8100000000004</v>
      </c>
      <c r="CW16" s="27">
        <f t="shared" si="73"/>
        <v>120</v>
      </c>
      <c r="CX16" s="26">
        <f t="shared" ref="CX16:CX79" si="88">IF(OR(CU16=0,CV16=0),0,IF(OR(CU16="",CV16=""),"",CV16/CU16))</f>
        <v>84.945250000000016</v>
      </c>
      <c r="CY16" s="27" t="str">
        <f t="shared" ref="CY16:CY79" si="89">IF(CX16="","",IF(CX16&gt;=90,"A",IF(CX16&gt;=80,"B",IF(CX16&gt;=70,"C",IF(CX16&gt;=60,"D",IF(CX16&gt;=50,"E",IF(CX16&gt;=0,"F","")))))))</f>
        <v>B</v>
      </c>
      <c r="CZ16" s="26">
        <f t="shared" si="74"/>
        <v>3</v>
      </c>
      <c r="DA16" s="24">
        <f t="shared" si="75"/>
        <v>6</v>
      </c>
      <c r="DB16" s="24" t="str">
        <f t="shared" si="76"/>
        <v>6A</v>
      </c>
      <c r="DC16" s="24">
        <f t="shared" si="77"/>
        <v>13</v>
      </c>
      <c r="DD16" s="24">
        <f t="shared" si="78"/>
        <v>50</v>
      </c>
      <c r="DE16" s="1">
        <v>0</v>
      </c>
      <c r="DF16" s="1">
        <v>0</v>
      </c>
      <c r="DG16" s="1">
        <v>0</v>
      </c>
      <c r="DH16" s="24">
        <f t="shared" si="79"/>
        <v>0</v>
      </c>
      <c r="DI16" s="25">
        <f t="shared" si="80"/>
        <v>1</v>
      </c>
      <c r="DJ16" t="str">
        <f t="shared" si="81"/>
        <v>2024-2025</v>
      </c>
      <c r="DK16" s="9"/>
      <c r="DL16" s="9"/>
      <c r="DM16" s="9"/>
      <c r="DN16" s="9"/>
      <c r="DO16" s="9"/>
      <c r="DP16" s="9"/>
      <c r="DQ16" s="136" t="b">
        <f t="shared" si="82"/>
        <v>0</v>
      </c>
    </row>
    <row r="17" spans="1:121" ht="27" customHeight="1" x14ac:dyDescent="1.25">
      <c r="A17" s="24">
        <f t="shared" ref="A17:A79" si="90">IF(B17="","",A16+1)</f>
        <v>3</v>
      </c>
      <c r="B17" s="66" t="s">
        <v>129</v>
      </c>
      <c r="C17" s="67" t="s">
        <v>130</v>
      </c>
      <c r="D17" s="68" t="s">
        <v>124</v>
      </c>
      <c r="E17" s="154">
        <v>688</v>
      </c>
      <c r="F17" s="68" t="s">
        <v>237</v>
      </c>
      <c r="G17" s="7">
        <v>90.333333333333343</v>
      </c>
      <c r="H17" s="7">
        <v>89.76666666666668</v>
      </c>
      <c r="I17" s="7">
        <v>89.76666666666668</v>
      </c>
      <c r="J17" s="7">
        <v>89</v>
      </c>
      <c r="K17" s="7">
        <v>91.5</v>
      </c>
      <c r="L17" s="7">
        <v>89.100000000000009</v>
      </c>
      <c r="M17" s="7">
        <v>90.333333333333343</v>
      </c>
      <c r="N17" s="7">
        <v>97</v>
      </c>
      <c r="O17" s="7">
        <v>97</v>
      </c>
      <c r="P17" s="7">
        <v>86.84</v>
      </c>
      <c r="Q17" s="7">
        <v>86.84</v>
      </c>
      <c r="R17" s="7">
        <v>76.400000000000006</v>
      </c>
      <c r="S17" s="7">
        <v>57.38</v>
      </c>
      <c r="T17" s="7">
        <v>87</v>
      </c>
      <c r="U17" s="7">
        <v>80.333333333333343</v>
      </c>
      <c r="V17" s="7">
        <v>79.67</v>
      </c>
      <c r="W17" s="3" t="str">
        <f t="shared" si="0"/>
        <v>A</v>
      </c>
      <c r="X17" s="3" t="str">
        <f t="shared" si="1"/>
        <v>B</v>
      </c>
      <c r="Y17" s="3" t="str">
        <f t="shared" si="2"/>
        <v>B</v>
      </c>
      <c r="Z17" s="3" t="str">
        <f t="shared" si="3"/>
        <v>B</v>
      </c>
      <c r="AA17" s="3" t="str">
        <f t="shared" si="4"/>
        <v>A</v>
      </c>
      <c r="AB17" s="3" t="str">
        <f t="shared" si="5"/>
        <v>B</v>
      </c>
      <c r="AC17" s="3" t="str">
        <f t="shared" si="6"/>
        <v>A</v>
      </c>
      <c r="AD17" s="3" t="str">
        <f t="shared" si="7"/>
        <v>A</v>
      </c>
      <c r="AE17" s="3" t="str">
        <f t="shared" si="8"/>
        <v>A</v>
      </c>
      <c r="AF17" s="24" t="str">
        <f t="shared" si="9"/>
        <v>B</v>
      </c>
      <c r="AG17" s="24" t="str">
        <f t="shared" si="10"/>
        <v>B</v>
      </c>
      <c r="AH17" s="24" t="str">
        <f t="shared" si="11"/>
        <v>C</v>
      </c>
      <c r="AI17" s="24" t="str">
        <f t="shared" si="12"/>
        <v>E</v>
      </c>
      <c r="AJ17" s="24" t="str">
        <f t="shared" si="13"/>
        <v>B</v>
      </c>
      <c r="AK17" s="24" t="str">
        <f t="shared" si="14"/>
        <v>B</v>
      </c>
      <c r="AL17" s="24" t="str">
        <f t="shared" si="15"/>
        <v>C</v>
      </c>
      <c r="AM17" s="24">
        <f t="shared" si="16"/>
        <v>2</v>
      </c>
      <c r="AN17" s="24">
        <f t="shared" si="17"/>
        <v>2</v>
      </c>
      <c r="AO17" s="24">
        <f t="shared" si="18"/>
        <v>3</v>
      </c>
      <c r="AP17" s="24">
        <f t="shared" si="19"/>
        <v>1</v>
      </c>
      <c r="AQ17" s="24">
        <f t="shared" si="20"/>
        <v>5</v>
      </c>
      <c r="AR17" s="24">
        <f t="shared" si="21"/>
        <v>3</v>
      </c>
      <c r="AS17" s="24">
        <f t="shared" si="22"/>
        <v>2</v>
      </c>
      <c r="AT17" s="24">
        <f t="shared" si="23"/>
        <v>1</v>
      </c>
      <c r="AU17" s="24">
        <f t="shared" si="24"/>
        <v>1</v>
      </c>
      <c r="AV17" s="24">
        <f t="shared" si="25"/>
        <v>5</v>
      </c>
      <c r="AW17" s="24">
        <f t="shared" si="26"/>
        <v>1</v>
      </c>
      <c r="AX17" s="24">
        <f t="shared" si="27"/>
        <v>5</v>
      </c>
      <c r="AY17" s="24">
        <f t="shared" si="28"/>
        <v>3</v>
      </c>
      <c r="AZ17" s="24">
        <f t="shared" si="29"/>
        <v>2</v>
      </c>
      <c r="BA17" s="24">
        <f t="shared" si="30"/>
        <v>2</v>
      </c>
      <c r="BB17" s="24">
        <f t="shared" si="31"/>
        <v>2</v>
      </c>
      <c r="BC17" s="24">
        <f t="shared" si="32"/>
        <v>180.66666666666669</v>
      </c>
      <c r="BD17" s="24">
        <f t="shared" si="33"/>
        <v>179.53333333333336</v>
      </c>
      <c r="BE17" s="24">
        <f t="shared" si="34"/>
        <v>269.30000000000007</v>
      </c>
      <c r="BF17" s="24">
        <f t="shared" si="35"/>
        <v>89</v>
      </c>
      <c r="BG17" s="24">
        <f t="shared" si="36"/>
        <v>457.5</v>
      </c>
      <c r="BH17" s="24">
        <f t="shared" si="37"/>
        <v>267.3</v>
      </c>
      <c r="BI17" s="24">
        <f t="shared" si="38"/>
        <v>180.66666666666669</v>
      </c>
      <c r="BJ17" s="24">
        <f t="shared" si="39"/>
        <v>97</v>
      </c>
      <c r="BK17" s="24">
        <f t="shared" si="40"/>
        <v>97</v>
      </c>
      <c r="BL17" s="26">
        <f t="shared" si="41"/>
        <v>434.20000000000005</v>
      </c>
      <c r="BM17" s="26">
        <f t="shared" si="42"/>
        <v>86.84</v>
      </c>
      <c r="BN17" s="26">
        <f t="shared" si="43"/>
        <v>382</v>
      </c>
      <c r="BO17" s="26">
        <f t="shared" si="44"/>
        <v>172.14000000000001</v>
      </c>
      <c r="BP17" s="26">
        <f t="shared" si="45"/>
        <v>174</v>
      </c>
      <c r="BQ17" s="26">
        <f t="shared" si="46"/>
        <v>160.66666666666669</v>
      </c>
      <c r="BR17" s="26">
        <f t="shared" si="47"/>
        <v>159.34</v>
      </c>
      <c r="BS17" s="24">
        <f t="shared" si="48"/>
        <v>8</v>
      </c>
      <c r="BT17" s="24">
        <f t="shared" si="49"/>
        <v>6</v>
      </c>
      <c r="BU17" s="24">
        <f t="shared" si="50"/>
        <v>9</v>
      </c>
      <c r="BV17" s="24">
        <f t="shared" si="51"/>
        <v>3</v>
      </c>
      <c r="BW17" s="24">
        <f t="shared" si="52"/>
        <v>20</v>
      </c>
      <c r="BX17" s="24">
        <f t="shared" si="53"/>
        <v>9</v>
      </c>
      <c r="BY17" s="24">
        <f t="shared" si="54"/>
        <v>8</v>
      </c>
      <c r="BZ17" s="24">
        <f t="shared" si="55"/>
        <v>4</v>
      </c>
      <c r="CA17" s="24">
        <f t="shared" si="56"/>
        <v>4</v>
      </c>
      <c r="CB17" s="24">
        <f t="shared" si="57"/>
        <v>15</v>
      </c>
      <c r="CC17" s="24">
        <f t="shared" si="58"/>
        <v>3</v>
      </c>
      <c r="CD17" s="24">
        <f t="shared" si="59"/>
        <v>10</v>
      </c>
      <c r="CE17" s="24">
        <f t="shared" si="60"/>
        <v>3</v>
      </c>
      <c r="CF17" s="24">
        <f t="shared" si="61"/>
        <v>6</v>
      </c>
      <c r="CG17" s="24">
        <f t="shared" si="62"/>
        <v>6</v>
      </c>
      <c r="CH17" s="24">
        <f t="shared" si="63"/>
        <v>4</v>
      </c>
      <c r="CI17" s="24">
        <f t="shared" si="64"/>
        <v>20</v>
      </c>
      <c r="CJ17" s="24">
        <f t="shared" si="83"/>
        <v>1817.9666666666667</v>
      </c>
      <c r="CK17" s="26">
        <f t="shared" si="65"/>
        <v>71</v>
      </c>
      <c r="CL17" s="26">
        <f t="shared" si="84"/>
        <v>90.898333333333341</v>
      </c>
      <c r="CM17" s="24" t="str">
        <f t="shared" si="85"/>
        <v>A</v>
      </c>
      <c r="CN17" s="26">
        <f t="shared" si="66"/>
        <v>3.55</v>
      </c>
      <c r="CO17" s="24">
        <f t="shared" si="67"/>
        <v>20</v>
      </c>
      <c r="CP17" s="26">
        <f t="shared" si="68"/>
        <v>1569.1866666666667</v>
      </c>
      <c r="CQ17" s="26">
        <f t="shared" si="69"/>
        <v>47</v>
      </c>
      <c r="CR17" s="26">
        <f t="shared" si="86"/>
        <v>78.459333333333333</v>
      </c>
      <c r="CS17" s="24" t="str">
        <f t="shared" si="87"/>
        <v>C</v>
      </c>
      <c r="CT17" s="27">
        <f t="shared" si="70"/>
        <v>2.35</v>
      </c>
      <c r="CU17" s="24">
        <f t="shared" si="71"/>
        <v>40</v>
      </c>
      <c r="CV17" s="27">
        <f t="shared" si="72"/>
        <v>3387.1533333333336</v>
      </c>
      <c r="CW17" s="27">
        <f t="shared" si="73"/>
        <v>118</v>
      </c>
      <c r="CX17" s="26">
        <f t="shared" si="88"/>
        <v>84.678833333333344</v>
      </c>
      <c r="CY17" s="27" t="str">
        <f t="shared" si="89"/>
        <v>B</v>
      </c>
      <c r="CZ17" s="26">
        <f t="shared" si="74"/>
        <v>2.95</v>
      </c>
      <c r="DA17" s="24">
        <f t="shared" si="75"/>
        <v>7</v>
      </c>
      <c r="DB17" s="24" t="str">
        <f t="shared" si="76"/>
        <v>6A</v>
      </c>
      <c r="DC17" s="24">
        <f t="shared" si="77"/>
        <v>13</v>
      </c>
      <c r="DD17" s="24">
        <f t="shared" si="78"/>
        <v>50</v>
      </c>
      <c r="DE17" s="1">
        <v>0</v>
      </c>
      <c r="DF17" s="1">
        <v>0</v>
      </c>
      <c r="DG17" s="1">
        <v>0</v>
      </c>
      <c r="DH17" s="24">
        <f t="shared" si="79"/>
        <v>0</v>
      </c>
      <c r="DI17" s="25">
        <f t="shared" si="80"/>
        <v>1</v>
      </c>
      <c r="DJ17" t="str">
        <f t="shared" si="81"/>
        <v>2024-2025</v>
      </c>
      <c r="DK17" s="9"/>
      <c r="DL17" s="9"/>
      <c r="DM17" s="9"/>
      <c r="DN17" s="9"/>
      <c r="DO17" s="9"/>
      <c r="DP17" s="9"/>
      <c r="DQ17" s="136" t="b">
        <f t="shared" si="82"/>
        <v>0</v>
      </c>
    </row>
    <row r="18" spans="1:121" ht="27" customHeight="1" x14ac:dyDescent="1.25">
      <c r="A18" s="24">
        <f t="shared" si="90"/>
        <v>4</v>
      </c>
      <c r="B18" s="66" t="s">
        <v>131</v>
      </c>
      <c r="C18" s="67" t="s">
        <v>132</v>
      </c>
      <c r="D18" s="68" t="s">
        <v>124</v>
      </c>
      <c r="E18" s="154">
        <v>693</v>
      </c>
      <c r="F18" s="68" t="s">
        <v>237</v>
      </c>
      <c r="G18" s="7">
        <v>89</v>
      </c>
      <c r="H18" s="7">
        <v>93.5</v>
      </c>
      <c r="I18" s="7">
        <v>89.5</v>
      </c>
      <c r="J18" s="7">
        <v>90</v>
      </c>
      <c r="K18" s="7">
        <v>91.4</v>
      </c>
      <c r="L18" s="7">
        <v>88.733333333333348</v>
      </c>
      <c r="M18" s="7">
        <v>91.2</v>
      </c>
      <c r="N18" s="7">
        <v>97</v>
      </c>
      <c r="O18" s="7">
        <v>97</v>
      </c>
      <c r="P18" s="7">
        <v>94.286666666666662</v>
      </c>
      <c r="Q18" s="7">
        <v>94.286666666666662</v>
      </c>
      <c r="R18" s="7">
        <v>89.57</v>
      </c>
      <c r="S18" s="7">
        <v>88.67</v>
      </c>
      <c r="T18" s="7">
        <v>88</v>
      </c>
      <c r="U18" s="7">
        <v>90.333333333333343</v>
      </c>
      <c r="V18" s="7">
        <v>88.67</v>
      </c>
      <c r="W18" s="3" t="str">
        <f t="shared" si="0"/>
        <v>B</v>
      </c>
      <c r="X18" s="3" t="str">
        <f t="shared" si="1"/>
        <v>A</v>
      </c>
      <c r="Y18" s="3" t="str">
        <f t="shared" si="2"/>
        <v>B</v>
      </c>
      <c r="Z18" s="3" t="str">
        <f t="shared" si="3"/>
        <v>A</v>
      </c>
      <c r="AA18" s="3" t="str">
        <f t="shared" si="4"/>
        <v>A</v>
      </c>
      <c r="AB18" s="3" t="str">
        <f t="shared" si="5"/>
        <v>B</v>
      </c>
      <c r="AC18" s="3" t="str">
        <f t="shared" si="6"/>
        <v>A</v>
      </c>
      <c r="AD18" s="3" t="str">
        <f t="shared" si="7"/>
        <v>A</v>
      </c>
      <c r="AE18" s="3" t="str">
        <f t="shared" si="8"/>
        <v>A</v>
      </c>
      <c r="AF18" s="24" t="str">
        <f t="shared" si="9"/>
        <v>A</v>
      </c>
      <c r="AG18" s="24" t="str">
        <f t="shared" si="10"/>
        <v>A</v>
      </c>
      <c r="AH18" s="24" t="str">
        <f t="shared" si="11"/>
        <v>B</v>
      </c>
      <c r="AI18" s="24" t="str">
        <f t="shared" si="12"/>
        <v>B</v>
      </c>
      <c r="AJ18" s="24" t="str">
        <f t="shared" si="13"/>
        <v>B</v>
      </c>
      <c r="AK18" s="24" t="str">
        <f t="shared" si="14"/>
        <v>A</v>
      </c>
      <c r="AL18" s="24" t="str">
        <f t="shared" si="15"/>
        <v>B</v>
      </c>
      <c r="AM18" s="24">
        <f t="shared" si="16"/>
        <v>2</v>
      </c>
      <c r="AN18" s="24">
        <f t="shared" si="17"/>
        <v>2</v>
      </c>
      <c r="AO18" s="24">
        <f t="shared" si="18"/>
        <v>3</v>
      </c>
      <c r="AP18" s="24">
        <f t="shared" si="19"/>
        <v>1</v>
      </c>
      <c r="AQ18" s="24">
        <f t="shared" si="20"/>
        <v>5</v>
      </c>
      <c r="AR18" s="24">
        <f t="shared" si="21"/>
        <v>3</v>
      </c>
      <c r="AS18" s="24">
        <f t="shared" si="22"/>
        <v>2</v>
      </c>
      <c r="AT18" s="24">
        <f t="shared" si="23"/>
        <v>1</v>
      </c>
      <c r="AU18" s="24">
        <f t="shared" si="24"/>
        <v>1</v>
      </c>
      <c r="AV18" s="24">
        <f t="shared" si="25"/>
        <v>5</v>
      </c>
      <c r="AW18" s="24">
        <f t="shared" si="26"/>
        <v>1</v>
      </c>
      <c r="AX18" s="24">
        <f t="shared" si="27"/>
        <v>5</v>
      </c>
      <c r="AY18" s="24">
        <f t="shared" si="28"/>
        <v>3</v>
      </c>
      <c r="AZ18" s="24">
        <f t="shared" si="29"/>
        <v>2</v>
      </c>
      <c r="BA18" s="24">
        <f t="shared" si="30"/>
        <v>2</v>
      </c>
      <c r="BB18" s="24">
        <f t="shared" si="31"/>
        <v>2</v>
      </c>
      <c r="BC18" s="24">
        <f t="shared" si="32"/>
        <v>178</v>
      </c>
      <c r="BD18" s="24">
        <f t="shared" si="33"/>
        <v>187</v>
      </c>
      <c r="BE18" s="24">
        <f t="shared" si="34"/>
        <v>268.5</v>
      </c>
      <c r="BF18" s="24">
        <f t="shared" si="35"/>
        <v>90</v>
      </c>
      <c r="BG18" s="24">
        <f t="shared" si="36"/>
        <v>457</v>
      </c>
      <c r="BH18" s="24">
        <f t="shared" si="37"/>
        <v>266.20000000000005</v>
      </c>
      <c r="BI18" s="24">
        <f t="shared" si="38"/>
        <v>182.4</v>
      </c>
      <c r="BJ18" s="24">
        <f t="shared" si="39"/>
        <v>97</v>
      </c>
      <c r="BK18" s="24">
        <f t="shared" si="40"/>
        <v>97</v>
      </c>
      <c r="BL18" s="26">
        <f t="shared" si="41"/>
        <v>471.43333333333328</v>
      </c>
      <c r="BM18" s="26">
        <f t="shared" si="42"/>
        <v>94.286666666666662</v>
      </c>
      <c r="BN18" s="26">
        <f t="shared" si="43"/>
        <v>447.84999999999997</v>
      </c>
      <c r="BO18" s="26">
        <f t="shared" si="44"/>
        <v>266.01</v>
      </c>
      <c r="BP18" s="26">
        <f t="shared" si="45"/>
        <v>176</v>
      </c>
      <c r="BQ18" s="26">
        <f t="shared" si="46"/>
        <v>180.66666666666669</v>
      </c>
      <c r="BR18" s="26">
        <f t="shared" si="47"/>
        <v>177.34</v>
      </c>
      <c r="BS18" s="24">
        <f t="shared" si="48"/>
        <v>6</v>
      </c>
      <c r="BT18" s="24">
        <f t="shared" si="49"/>
        <v>8</v>
      </c>
      <c r="BU18" s="24">
        <f t="shared" si="50"/>
        <v>9</v>
      </c>
      <c r="BV18" s="24">
        <f t="shared" si="51"/>
        <v>4</v>
      </c>
      <c r="BW18" s="24">
        <f t="shared" si="52"/>
        <v>20</v>
      </c>
      <c r="BX18" s="24">
        <f t="shared" si="53"/>
        <v>9</v>
      </c>
      <c r="BY18" s="24">
        <f t="shared" si="54"/>
        <v>8</v>
      </c>
      <c r="BZ18" s="24">
        <f t="shared" si="55"/>
        <v>4</v>
      </c>
      <c r="CA18" s="24">
        <f t="shared" si="56"/>
        <v>4</v>
      </c>
      <c r="CB18" s="24">
        <f t="shared" si="57"/>
        <v>20</v>
      </c>
      <c r="CC18" s="24">
        <f t="shared" si="58"/>
        <v>4</v>
      </c>
      <c r="CD18" s="24">
        <f t="shared" si="59"/>
        <v>15</v>
      </c>
      <c r="CE18" s="24">
        <f t="shared" si="60"/>
        <v>9</v>
      </c>
      <c r="CF18" s="24">
        <f t="shared" si="61"/>
        <v>6</v>
      </c>
      <c r="CG18" s="24">
        <f t="shared" si="62"/>
        <v>8</v>
      </c>
      <c r="CH18" s="24">
        <f t="shared" si="63"/>
        <v>6</v>
      </c>
      <c r="CI18" s="24">
        <f t="shared" si="64"/>
        <v>20</v>
      </c>
      <c r="CJ18" s="24">
        <f t="shared" si="83"/>
        <v>1823.1000000000001</v>
      </c>
      <c r="CK18" s="26">
        <f t="shared" si="65"/>
        <v>72</v>
      </c>
      <c r="CL18" s="26">
        <f t="shared" si="84"/>
        <v>91.155000000000001</v>
      </c>
      <c r="CM18" s="24" t="str">
        <f t="shared" si="85"/>
        <v>A</v>
      </c>
      <c r="CN18" s="26">
        <f t="shared" si="66"/>
        <v>3.6</v>
      </c>
      <c r="CO18" s="24">
        <f t="shared" si="67"/>
        <v>20</v>
      </c>
      <c r="CP18" s="26">
        <f t="shared" si="68"/>
        <v>1813.5866666666666</v>
      </c>
      <c r="CQ18" s="26">
        <f t="shared" si="69"/>
        <v>68</v>
      </c>
      <c r="CR18" s="26">
        <f t="shared" si="86"/>
        <v>90.679333333333332</v>
      </c>
      <c r="CS18" s="24" t="str">
        <f t="shared" si="87"/>
        <v>A</v>
      </c>
      <c r="CT18" s="27">
        <f t="shared" si="70"/>
        <v>3.4</v>
      </c>
      <c r="CU18" s="24">
        <f t="shared" si="71"/>
        <v>40</v>
      </c>
      <c r="CV18" s="27">
        <f t="shared" si="72"/>
        <v>3636.686666666667</v>
      </c>
      <c r="CW18" s="27">
        <f t="shared" si="73"/>
        <v>140</v>
      </c>
      <c r="CX18" s="26">
        <f t="shared" si="88"/>
        <v>90.917166666666674</v>
      </c>
      <c r="CY18" s="27" t="str">
        <f t="shared" si="89"/>
        <v>A</v>
      </c>
      <c r="CZ18" s="26">
        <f t="shared" si="74"/>
        <v>3.5</v>
      </c>
      <c r="DA18" s="24">
        <f t="shared" si="75"/>
        <v>1</v>
      </c>
      <c r="DB18" s="24" t="str">
        <f t="shared" si="76"/>
        <v>6A</v>
      </c>
      <c r="DC18" s="24">
        <f t="shared" si="77"/>
        <v>13</v>
      </c>
      <c r="DD18" s="24">
        <f t="shared" si="78"/>
        <v>50</v>
      </c>
      <c r="DE18" s="1">
        <v>0</v>
      </c>
      <c r="DF18" s="1">
        <v>0</v>
      </c>
      <c r="DG18" s="1">
        <v>2</v>
      </c>
      <c r="DH18" s="24">
        <f t="shared" si="79"/>
        <v>2</v>
      </c>
      <c r="DI18" s="25">
        <f t="shared" si="80"/>
        <v>0.96</v>
      </c>
      <c r="DJ18" t="str">
        <f t="shared" si="81"/>
        <v>2024-2025</v>
      </c>
      <c r="DK18" s="9"/>
      <c r="DL18" s="9"/>
      <c r="DM18" s="9"/>
      <c r="DN18" s="9"/>
      <c r="DO18" s="9"/>
      <c r="DP18" s="9"/>
      <c r="DQ18" s="136" t="b">
        <f t="shared" si="82"/>
        <v>0</v>
      </c>
    </row>
    <row r="19" spans="1:121" ht="27" customHeight="1" x14ac:dyDescent="1.25">
      <c r="A19" s="24">
        <f t="shared" si="90"/>
        <v>5</v>
      </c>
      <c r="B19" s="66" t="s">
        <v>133</v>
      </c>
      <c r="C19" s="67" t="s">
        <v>134</v>
      </c>
      <c r="D19" s="68" t="s">
        <v>124</v>
      </c>
      <c r="E19" s="154">
        <v>694</v>
      </c>
      <c r="F19" s="68" t="s">
        <v>237</v>
      </c>
      <c r="G19" s="7">
        <v>67</v>
      </c>
      <c r="H19" s="7">
        <v>76.933333333333337</v>
      </c>
      <c r="I19" s="7">
        <v>69.800000000000011</v>
      </c>
      <c r="J19" s="7">
        <v>68.333333333333343</v>
      </c>
      <c r="K19" s="7">
        <v>75.366666666666674</v>
      </c>
      <c r="L19" s="7">
        <v>73.466666666666669</v>
      </c>
      <c r="M19" s="7">
        <v>76.5</v>
      </c>
      <c r="N19" s="7">
        <v>95</v>
      </c>
      <c r="O19" s="7">
        <v>95</v>
      </c>
      <c r="P19" s="7">
        <v>80.88000000000001</v>
      </c>
      <c r="Q19" s="7">
        <v>80.88000000000001</v>
      </c>
      <c r="R19" s="7">
        <v>54.83</v>
      </c>
      <c r="S19" s="7">
        <v>66.91</v>
      </c>
      <c r="T19" s="7">
        <v>80</v>
      </c>
      <c r="U19" s="7">
        <v>79</v>
      </c>
      <c r="V19" s="7">
        <v>76.33</v>
      </c>
      <c r="W19" s="3" t="str">
        <f t="shared" si="0"/>
        <v>D</v>
      </c>
      <c r="X19" s="3" t="str">
        <f t="shared" si="1"/>
        <v>C</v>
      </c>
      <c r="Y19" s="3" t="str">
        <f t="shared" si="2"/>
        <v>D</v>
      </c>
      <c r="Z19" s="3" t="str">
        <f t="shared" si="3"/>
        <v>D</v>
      </c>
      <c r="AA19" s="3" t="str">
        <f t="shared" si="4"/>
        <v>C</v>
      </c>
      <c r="AB19" s="3" t="str">
        <f t="shared" si="5"/>
        <v>C</v>
      </c>
      <c r="AC19" s="3" t="str">
        <f t="shared" si="6"/>
        <v>C</v>
      </c>
      <c r="AD19" s="3" t="str">
        <f t="shared" si="7"/>
        <v>A</v>
      </c>
      <c r="AE19" s="3" t="str">
        <f t="shared" si="8"/>
        <v>A</v>
      </c>
      <c r="AF19" s="24" t="str">
        <f t="shared" si="9"/>
        <v>B</v>
      </c>
      <c r="AG19" s="24" t="str">
        <f t="shared" si="10"/>
        <v>B</v>
      </c>
      <c r="AH19" s="24" t="str">
        <f t="shared" si="11"/>
        <v>E</v>
      </c>
      <c r="AI19" s="24" t="str">
        <f t="shared" si="12"/>
        <v>D</v>
      </c>
      <c r="AJ19" s="24" t="str">
        <f t="shared" si="13"/>
        <v>B</v>
      </c>
      <c r="AK19" s="24" t="str">
        <f t="shared" si="14"/>
        <v>C</v>
      </c>
      <c r="AL19" s="24" t="str">
        <f t="shared" si="15"/>
        <v>C</v>
      </c>
      <c r="AM19" s="24">
        <f t="shared" si="16"/>
        <v>2</v>
      </c>
      <c r="AN19" s="24">
        <f t="shared" si="17"/>
        <v>2</v>
      </c>
      <c r="AO19" s="24">
        <f t="shared" si="18"/>
        <v>3</v>
      </c>
      <c r="AP19" s="24">
        <f t="shared" si="19"/>
        <v>1</v>
      </c>
      <c r="AQ19" s="24">
        <f t="shared" si="20"/>
        <v>5</v>
      </c>
      <c r="AR19" s="24">
        <f t="shared" si="21"/>
        <v>3</v>
      </c>
      <c r="AS19" s="24">
        <f t="shared" si="22"/>
        <v>2</v>
      </c>
      <c r="AT19" s="24">
        <f t="shared" si="23"/>
        <v>1</v>
      </c>
      <c r="AU19" s="24">
        <f t="shared" si="24"/>
        <v>1</v>
      </c>
      <c r="AV19" s="24">
        <f t="shared" si="25"/>
        <v>5</v>
      </c>
      <c r="AW19" s="24">
        <f t="shared" si="26"/>
        <v>1</v>
      </c>
      <c r="AX19" s="24">
        <f t="shared" si="27"/>
        <v>5</v>
      </c>
      <c r="AY19" s="24">
        <f t="shared" si="28"/>
        <v>3</v>
      </c>
      <c r="AZ19" s="24">
        <f t="shared" si="29"/>
        <v>2</v>
      </c>
      <c r="BA19" s="24">
        <f t="shared" si="30"/>
        <v>2</v>
      </c>
      <c r="BB19" s="24">
        <f t="shared" si="31"/>
        <v>2</v>
      </c>
      <c r="BC19" s="24">
        <f t="shared" si="32"/>
        <v>134</v>
      </c>
      <c r="BD19" s="24">
        <f t="shared" si="33"/>
        <v>153.86666666666667</v>
      </c>
      <c r="BE19" s="24">
        <f t="shared" si="34"/>
        <v>209.40000000000003</v>
      </c>
      <c r="BF19" s="24">
        <f t="shared" si="35"/>
        <v>68.333333333333343</v>
      </c>
      <c r="BG19" s="24">
        <f t="shared" si="36"/>
        <v>376.83333333333337</v>
      </c>
      <c r="BH19" s="24">
        <f t="shared" si="37"/>
        <v>220.4</v>
      </c>
      <c r="BI19" s="24">
        <f t="shared" si="38"/>
        <v>153</v>
      </c>
      <c r="BJ19" s="24">
        <f t="shared" si="39"/>
        <v>95</v>
      </c>
      <c r="BK19" s="24">
        <f t="shared" si="40"/>
        <v>95</v>
      </c>
      <c r="BL19" s="26">
        <f t="shared" si="41"/>
        <v>404.40000000000003</v>
      </c>
      <c r="BM19" s="26">
        <f t="shared" si="42"/>
        <v>80.88000000000001</v>
      </c>
      <c r="BN19" s="26">
        <f t="shared" si="43"/>
        <v>274.14999999999998</v>
      </c>
      <c r="BO19" s="26">
        <f t="shared" si="44"/>
        <v>200.73</v>
      </c>
      <c r="BP19" s="26">
        <f t="shared" si="45"/>
        <v>160</v>
      </c>
      <c r="BQ19" s="26">
        <f t="shared" si="46"/>
        <v>158</v>
      </c>
      <c r="BR19" s="26">
        <f t="shared" si="47"/>
        <v>152.66</v>
      </c>
      <c r="BS19" s="24">
        <f t="shared" si="48"/>
        <v>3</v>
      </c>
      <c r="BT19" s="24">
        <f t="shared" si="49"/>
        <v>4</v>
      </c>
      <c r="BU19" s="24">
        <f t="shared" si="50"/>
        <v>4.5</v>
      </c>
      <c r="BV19" s="24">
        <f t="shared" si="51"/>
        <v>1.5</v>
      </c>
      <c r="BW19" s="24">
        <f t="shared" si="52"/>
        <v>10</v>
      </c>
      <c r="BX19" s="24">
        <f t="shared" si="53"/>
        <v>6</v>
      </c>
      <c r="BY19" s="24">
        <f t="shared" si="54"/>
        <v>4</v>
      </c>
      <c r="BZ19" s="24">
        <f t="shared" si="55"/>
        <v>4</v>
      </c>
      <c r="CA19" s="24">
        <f t="shared" si="56"/>
        <v>4</v>
      </c>
      <c r="CB19" s="24">
        <f t="shared" si="57"/>
        <v>15</v>
      </c>
      <c r="CC19" s="24">
        <f t="shared" si="58"/>
        <v>3</v>
      </c>
      <c r="CD19" s="24">
        <f t="shared" si="59"/>
        <v>5</v>
      </c>
      <c r="CE19" s="24">
        <f t="shared" si="60"/>
        <v>4.5</v>
      </c>
      <c r="CF19" s="24">
        <f t="shared" si="61"/>
        <v>6</v>
      </c>
      <c r="CG19" s="24">
        <f t="shared" si="62"/>
        <v>4</v>
      </c>
      <c r="CH19" s="24">
        <f t="shared" si="63"/>
        <v>4</v>
      </c>
      <c r="CI19" s="24">
        <f t="shared" si="64"/>
        <v>20</v>
      </c>
      <c r="CJ19" s="24">
        <f t="shared" si="83"/>
        <v>1505.8333333333335</v>
      </c>
      <c r="CK19" s="26">
        <f t="shared" si="65"/>
        <v>41</v>
      </c>
      <c r="CL19" s="26">
        <f t="shared" si="84"/>
        <v>75.291666666666671</v>
      </c>
      <c r="CM19" s="24" t="str">
        <f t="shared" si="85"/>
        <v>C</v>
      </c>
      <c r="CN19" s="26">
        <f t="shared" si="66"/>
        <v>2.0499999999999998</v>
      </c>
      <c r="CO19" s="24">
        <f t="shared" si="67"/>
        <v>20</v>
      </c>
      <c r="CP19" s="26">
        <f t="shared" si="68"/>
        <v>1430.8200000000002</v>
      </c>
      <c r="CQ19" s="26">
        <f t="shared" si="69"/>
        <v>41.5</v>
      </c>
      <c r="CR19" s="26">
        <f t="shared" si="86"/>
        <v>71.541000000000011</v>
      </c>
      <c r="CS19" s="24" t="str">
        <f t="shared" si="87"/>
        <v>C</v>
      </c>
      <c r="CT19" s="27">
        <f t="shared" si="70"/>
        <v>2.0750000000000002</v>
      </c>
      <c r="CU19" s="24">
        <f t="shared" si="71"/>
        <v>40</v>
      </c>
      <c r="CV19" s="27">
        <f t="shared" si="72"/>
        <v>2936.6533333333336</v>
      </c>
      <c r="CW19" s="27">
        <f t="shared" si="73"/>
        <v>82.5</v>
      </c>
      <c r="CX19" s="26">
        <f t="shared" si="88"/>
        <v>73.416333333333341</v>
      </c>
      <c r="CY19" s="27" t="str">
        <f t="shared" si="89"/>
        <v>C</v>
      </c>
      <c r="CZ19" s="26">
        <f t="shared" si="74"/>
        <v>2.0625</v>
      </c>
      <c r="DA19" s="24">
        <f t="shared" si="75"/>
        <v>11</v>
      </c>
      <c r="DB19" s="24" t="str">
        <f t="shared" si="76"/>
        <v>6A</v>
      </c>
      <c r="DC19" s="24">
        <f t="shared" si="77"/>
        <v>13</v>
      </c>
      <c r="DD19" s="24">
        <f t="shared" si="78"/>
        <v>50</v>
      </c>
      <c r="DE19" s="1">
        <v>0</v>
      </c>
      <c r="DF19" s="1">
        <v>0</v>
      </c>
      <c r="DG19" s="1">
        <v>0</v>
      </c>
      <c r="DH19" s="24">
        <f t="shared" si="79"/>
        <v>0</v>
      </c>
      <c r="DI19" s="25">
        <f t="shared" si="80"/>
        <v>1</v>
      </c>
      <c r="DJ19" t="str">
        <f t="shared" si="81"/>
        <v>2024-2025</v>
      </c>
      <c r="DK19" s="9"/>
      <c r="DL19" s="9"/>
      <c r="DM19" s="9"/>
      <c r="DN19" s="9"/>
      <c r="DO19" s="9"/>
      <c r="DP19" s="9"/>
      <c r="DQ19" s="136" t="b">
        <f t="shared" si="82"/>
        <v>0</v>
      </c>
    </row>
    <row r="20" spans="1:121" ht="27" customHeight="1" x14ac:dyDescent="1.25">
      <c r="A20" s="24">
        <f t="shared" si="90"/>
        <v>6</v>
      </c>
      <c r="B20" s="66" t="s">
        <v>135</v>
      </c>
      <c r="C20" s="67" t="s">
        <v>136</v>
      </c>
      <c r="D20" s="68" t="s">
        <v>125</v>
      </c>
      <c r="E20" s="154">
        <v>720</v>
      </c>
      <c r="F20" s="68" t="s">
        <v>237</v>
      </c>
      <c r="G20" s="7">
        <v>87.333333333333343</v>
      </c>
      <c r="H20" s="7">
        <v>91.233333333333348</v>
      </c>
      <c r="I20" s="7">
        <v>88.066666666666677</v>
      </c>
      <c r="J20" s="7">
        <v>91.333333333333343</v>
      </c>
      <c r="K20" s="7">
        <v>90.066666666666677</v>
      </c>
      <c r="L20" s="7">
        <v>87.26666666666668</v>
      </c>
      <c r="M20" s="7">
        <v>90.133333333333326</v>
      </c>
      <c r="N20" s="7">
        <v>98</v>
      </c>
      <c r="O20" s="7">
        <v>98</v>
      </c>
      <c r="P20" s="7">
        <v>92.593333333333334</v>
      </c>
      <c r="Q20" s="7">
        <v>92.593333333333334</v>
      </c>
      <c r="R20" s="7">
        <v>69.23</v>
      </c>
      <c r="S20" s="7">
        <v>70.72</v>
      </c>
      <c r="T20" s="7">
        <v>93</v>
      </c>
      <c r="U20" s="7">
        <v>95.666666666666671</v>
      </c>
      <c r="V20" s="7">
        <v>96.5</v>
      </c>
      <c r="W20" s="3" t="str">
        <f t="shared" si="0"/>
        <v>B</v>
      </c>
      <c r="X20" s="3" t="str">
        <f t="shared" si="1"/>
        <v>A</v>
      </c>
      <c r="Y20" s="3" t="str">
        <f t="shared" si="2"/>
        <v>B</v>
      </c>
      <c r="Z20" s="3" t="str">
        <f t="shared" si="3"/>
        <v>A</v>
      </c>
      <c r="AA20" s="3" t="str">
        <f t="shared" si="4"/>
        <v>A</v>
      </c>
      <c r="AB20" s="3" t="str">
        <f t="shared" si="5"/>
        <v>B</v>
      </c>
      <c r="AC20" s="3" t="str">
        <f t="shared" si="6"/>
        <v>A</v>
      </c>
      <c r="AD20" s="3" t="str">
        <f t="shared" si="7"/>
        <v>A</v>
      </c>
      <c r="AE20" s="3" t="str">
        <f t="shared" si="8"/>
        <v>A</v>
      </c>
      <c r="AF20" s="24" t="str">
        <f t="shared" si="9"/>
        <v>A</v>
      </c>
      <c r="AG20" s="24" t="str">
        <f t="shared" si="10"/>
        <v>A</v>
      </c>
      <c r="AH20" s="24" t="str">
        <f t="shared" si="11"/>
        <v>D</v>
      </c>
      <c r="AI20" s="24" t="str">
        <f t="shared" si="12"/>
        <v>C</v>
      </c>
      <c r="AJ20" s="24" t="str">
        <f t="shared" si="13"/>
        <v>A</v>
      </c>
      <c r="AK20" s="24" t="str">
        <f t="shared" si="14"/>
        <v>A</v>
      </c>
      <c r="AL20" s="24" t="str">
        <f t="shared" si="15"/>
        <v>A</v>
      </c>
      <c r="AM20" s="24">
        <f t="shared" si="16"/>
        <v>2</v>
      </c>
      <c r="AN20" s="24">
        <f t="shared" si="17"/>
        <v>2</v>
      </c>
      <c r="AO20" s="24">
        <f t="shared" si="18"/>
        <v>3</v>
      </c>
      <c r="AP20" s="24">
        <f t="shared" si="19"/>
        <v>1</v>
      </c>
      <c r="AQ20" s="24">
        <f t="shared" si="20"/>
        <v>5</v>
      </c>
      <c r="AR20" s="24">
        <f t="shared" si="21"/>
        <v>3</v>
      </c>
      <c r="AS20" s="24">
        <f t="shared" si="22"/>
        <v>2</v>
      </c>
      <c r="AT20" s="24">
        <f t="shared" si="23"/>
        <v>1</v>
      </c>
      <c r="AU20" s="24">
        <f t="shared" si="24"/>
        <v>1</v>
      </c>
      <c r="AV20" s="24">
        <f t="shared" si="25"/>
        <v>5</v>
      </c>
      <c r="AW20" s="24">
        <f t="shared" si="26"/>
        <v>1</v>
      </c>
      <c r="AX20" s="24">
        <f t="shared" si="27"/>
        <v>5</v>
      </c>
      <c r="AY20" s="24">
        <f t="shared" si="28"/>
        <v>3</v>
      </c>
      <c r="AZ20" s="24">
        <f t="shared" si="29"/>
        <v>2</v>
      </c>
      <c r="BA20" s="24">
        <f t="shared" si="30"/>
        <v>2</v>
      </c>
      <c r="BB20" s="24">
        <f t="shared" si="31"/>
        <v>2</v>
      </c>
      <c r="BC20" s="24">
        <f t="shared" si="32"/>
        <v>174.66666666666669</v>
      </c>
      <c r="BD20" s="24">
        <f t="shared" si="33"/>
        <v>182.4666666666667</v>
      </c>
      <c r="BE20" s="24">
        <f t="shared" si="34"/>
        <v>264.20000000000005</v>
      </c>
      <c r="BF20" s="24">
        <f t="shared" si="35"/>
        <v>91.333333333333343</v>
      </c>
      <c r="BG20" s="24">
        <f t="shared" si="36"/>
        <v>450.33333333333337</v>
      </c>
      <c r="BH20" s="24">
        <f t="shared" si="37"/>
        <v>261.80000000000007</v>
      </c>
      <c r="BI20" s="24">
        <f t="shared" si="38"/>
        <v>180.26666666666665</v>
      </c>
      <c r="BJ20" s="24">
        <f t="shared" si="39"/>
        <v>98</v>
      </c>
      <c r="BK20" s="24">
        <f t="shared" si="40"/>
        <v>98</v>
      </c>
      <c r="BL20" s="26">
        <f t="shared" si="41"/>
        <v>462.9666666666667</v>
      </c>
      <c r="BM20" s="26">
        <f t="shared" si="42"/>
        <v>92.593333333333334</v>
      </c>
      <c r="BN20" s="26">
        <f t="shared" si="43"/>
        <v>346.15000000000003</v>
      </c>
      <c r="BO20" s="26">
        <f t="shared" si="44"/>
        <v>212.16</v>
      </c>
      <c r="BP20" s="26">
        <f t="shared" si="45"/>
        <v>186</v>
      </c>
      <c r="BQ20" s="26">
        <f t="shared" si="46"/>
        <v>191.33333333333334</v>
      </c>
      <c r="BR20" s="26">
        <f t="shared" si="47"/>
        <v>193</v>
      </c>
      <c r="BS20" s="24">
        <f t="shared" si="48"/>
        <v>6</v>
      </c>
      <c r="BT20" s="24">
        <f t="shared" si="49"/>
        <v>8</v>
      </c>
      <c r="BU20" s="24">
        <f t="shared" si="50"/>
        <v>9</v>
      </c>
      <c r="BV20" s="24">
        <f t="shared" si="51"/>
        <v>4</v>
      </c>
      <c r="BW20" s="24">
        <f t="shared" si="52"/>
        <v>20</v>
      </c>
      <c r="BX20" s="24">
        <f t="shared" si="53"/>
        <v>9</v>
      </c>
      <c r="BY20" s="24">
        <f t="shared" si="54"/>
        <v>8</v>
      </c>
      <c r="BZ20" s="24">
        <f t="shared" si="55"/>
        <v>4</v>
      </c>
      <c r="CA20" s="24">
        <f t="shared" si="56"/>
        <v>4</v>
      </c>
      <c r="CB20" s="24">
        <f t="shared" si="57"/>
        <v>20</v>
      </c>
      <c r="CC20" s="24">
        <f t="shared" si="58"/>
        <v>4</v>
      </c>
      <c r="CD20" s="24">
        <f t="shared" si="59"/>
        <v>7.5</v>
      </c>
      <c r="CE20" s="24">
        <f t="shared" si="60"/>
        <v>6</v>
      </c>
      <c r="CF20" s="24">
        <f t="shared" si="61"/>
        <v>8</v>
      </c>
      <c r="CG20" s="24">
        <f t="shared" si="62"/>
        <v>8</v>
      </c>
      <c r="CH20" s="24">
        <f t="shared" si="63"/>
        <v>8</v>
      </c>
      <c r="CI20" s="24">
        <f t="shared" si="64"/>
        <v>20</v>
      </c>
      <c r="CJ20" s="24">
        <f t="shared" si="83"/>
        <v>1801.0666666666668</v>
      </c>
      <c r="CK20" s="26">
        <f t="shared" si="65"/>
        <v>72</v>
      </c>
      <c r="CL20" s="26">
        <f t="shared" si="84"/>
        <v>90.053333333333342</v>
      </c>
      <c r="CM20" s="24" t="str">
        <f t="shared" si="85"/>
        <v>A</v>
      </c>
      <c r="CN20" s="26">
        <f t="shared" si="66"/>
        <v>3.6</v>
      </c>
      <c r="CO20" s="24">
        <f t="shared" si="67"/>
        <v>20</v>
      </c>
      <c r="CP20" s="26">
        <f t="shared" si="68"/>
        <v>1684.2033333333334</v>
      </c>
      <c r="CQ20" s="26">
        <f t="shared" si="69"/>
        <v>61.5</v>
      </c>
      <c r="CR20" s="26">
        <f t="shared" si="86"/>
        <v>84.210166666666666</v>
      </c>
      <c r="CS20" s="24" t="str">
        <f t="shared" si="87"/>
        <v>B</v>
      </c>
      <c r="CT20" s="27">
        <f t="shared" si="70"/>
        <v>3.0750000000000002</v>
      </c>
      <c r="CU20" s="24">
        <f t="shared" si="71"/>
        <v>40</v>
      </c>
      <c r="CV20" s="27">
        <f t="shared" si="72"/>
        <v>3485.2700000000004</v>
      </c>
      <c r="CW20" s="27">
        <f t="shared" si="73"/>
        <v>133.5</v>
      </c>
      <c r="CX20" s="26">
        <f t="shared" si="88"/>
        <v>87.131750000000011</v>
      </c>
      <c r="CY20" s="27" t="str">
        <f t="shared" si="89"/>
        <v>B</v>
      </c>
      <c r="CZ20" s="26">
        <f t="shared" si="74"/>
        <v>3.3374999999999999</v>
      </c>
      <c r="DA20" s="24">
        <f t="shared" si="75"/>
        <v>3</v>
      </c>
      <c r="DB20" s="24" t="str">
        <f t="shared" si="76"/>
        <v>6A</v>
      </c>
      <c r="DC20" s="24">
        <f t="shared" si="77"/>
        <v>13</v>
      </c>
      <c r="DD20" s="24">
        <f t="shared" si="78"/>
        <v>50</v>
      </c>
      <c r="DE20" s="1">
        <v>0</v>
      </c>
      <c r="DF20" s="1">
        <v>0</v>
      </c>
      <c r="DG20" s="1">
        <v>0</v>
      </c>
      <c r="DH20" s="24">
        <f t="shared" si="79"/>
        <v>0</v>
      </c>
      <c r="DI20" s="25">
        <f t="shared" si="80"/>
        <v>1</v>
      </c>
      <c r="DJ20" t="str">
        <f t="shared" si="81"/>
        <v>2024-2025</v>
      </c>
      <c r="DK20" s="9"/>
      <c r="DL20" s="9"/>
      <c r="DM20" s="9"/>
      <c r="DN20" s="9"/>
      <c r="DO20" s="9"/>
      <c r="DP20" s="9"/>
      <c r="DQ20" s="136" t="b">
        <f t="shared" si="82"/>
        <v>0</v>
      </c>
    </row>
    <row r="21" spans="1:121" ht="27" customHeight="1" x14ac:dyDescent="1.25">
      <c r="A21" s="24">
        <f t="shared" si="90"/>
        <v>7</v>
      </c>
      <c r="B21" s="66" t="s">
        <v>137</v>
      </c>
      <c r="C21" s="67" t="s">
        <v>138</v>
      </c>
      <c r="D21" s="68" t="s">
        <v>124</v>
      </c>
      <c r="E21" s="154">
        <v>690</v>
      </c>
      <c r="F21" s="68" t="s">
        <v>237</v>
      </c>
      <c r="G21" s="7">
        <v>78.666666666666657</v>
      </c>
      <c r="H21" s="7">
        <v>83.300000000000011</v>
      </c>
      <c r="I21" s="7">
        <v>79.733333333333334</v>
      </c>
      <c r="J21" s="7">
        <v>78.666666666666657</v>
      </c>
      <c r="K21" s="7">
        <v>82.9</v>
      </c>
      <c r="L21" s="7">
        <v>81.066666666666663</v>
      </c>
      <c r="M21" s="7">
        <v>82.5</v>
      </c>
      <c r="N21" s="7">
        <v>96</v>
      </c>
      <c r="O21" s="7">
        <v>96</v>
      </c>
      <c r="P21" s="7">
        <v>89.753333333333345</v>
      </c>
      <c r="Q21" s="7">
        <v>89.753333333333345</v>
      </c>
      <c r="R21" s="7">
        <v>68.099999999999994</v>
      </c>
      <c r="S21" s="7">
        <v>84.62</v>
      </c>
      <c r="T21" s="7">
        <v>85</v>
      </c>
      <c r="U21" s="7">
        <v>98</v>
      </c>
      <c r="V21" s="7">
        <v>98</v>
      </c>
      <c r="W21" s="3" t="str">
        <f t="shared" si="0"/>
        <v>C</v>
      </c>
      <c r="X21" s="3" t="str">
        <f t="shared" si="1"/>
        <v>B</v>
      </c>
      <c r="Y21" s="3" t="str">
        <f t="shared" si="2"/>
        <v>C</v>
      </c>
      <c r="Z21" s="3" t="str">
        <f t="shared" si="3"/>
        <v>C</v>
      </c>
      <c r="AA21" s="3" t="str">
        <f t="shared" si="4"/>
        <v>B</v>
      </c>
      <c r="AB21" s="3" t="str">
        <f t="shared" si="5"/>
        <v>B</v>
      </c>
      <c r="AC21" s="3" t="str">
        <f t="shared" si="6"/>
        <v>B</v>
      </c>
      <c r="AD21" s="3" t="str">
        <f t="shared" si="7"/>
        <v>A</v>
      </c>
      <c r="AE21" s="3" t="str">
        <f t="shared" si="8"/>
        <v>A</v>
      </c>
      <c r="AF21" s="24" t="str">
        <f t="shared" si="9"/>
        <v>B</v>
      </c>
      <c r="AG21" s="24" t="str">
        <f t="shared" si="10"/>
        <v>B</v>
      </c>
      <c r="AH21" s="24" t="str">
        <f t="shared" si="11"/>
        <v>D</v>
      </c>
      <c r="AI21" s="24" t="str">
        <f t="shared" si="12"/>
        <v>B</v>
      </c>
      <c r="AJ21" s="24" t="str">
        <f t="shared" si="13"/>
        <v>B</v>
      </c>
      <c r="AK21" s="24" t="str">
        <f t="shared" si="14"/>
        <v>A</v>
      </c>
      <c r="AL21" s="24" t="str">
        <f t="shared" si="15"/>
        <v>A</v>
      </c>
      <c r="AM21" s="24">
        <f t="shared" si="16"/>
        <v>2</v>
      </c>
      <c r="AN21" s="24">
        <f t="shared" si="17"/>
        <v>2</v>
      </c>
      <c r="AO21" s="24">
        <f t="shared" si="18"/>
        <v>3</v>
      </c>
      <c r="AP21" s="24">
        <f t="shared" si="19"/>
        <v>1</v>
      </c>
      <c r="AQ21" s="24">
        <f t="shared" si="20"/>
        <v>5</v>
      </c>
      <c r="AR21" s="24">
        <f t="shared" si="21"/>
        <v>3</v>
      </c>
      <c r="AS21" s="24">
        <f t="shared" si="22"/>
        <v>2</v>
      </c>
      <c r="AT21" s="24">
        <f t="shared" si="23"/>
        <v>1</v>
      </c>
      <c r="AU21" s="24">
        <f t="shared" si="24"/>
        <v>1</v>
      </c>
      <c r="AV21" s="24">
        <f t="shared" si="25"/>
        <v>5</v>
      </c>
      <c r="AW21" s="24">
        <f t="shared" si="26"/>
        <v>1</v>
      </c>
      <c r="AX21" s="24">
        <f t="shared" si="27"/>
        <v>5</v>
      </c>
      <c r="AY21" s="24">
        <f t="shared" si="28"/>
        <v>3</v>
      </c>
      <c r="AZ21" s="24">
        <f t="shared" si="29"/>
        <v>2</v>
      </c>
      <c r="BA21" s="24">
        <f t="shared" si="30"/>
        <v>2</v>
      </c>
      <c r="BB21" s="24">
        <f t="shared" si="31"/>
        <v>2</v>
      </c>
      <c r="BC21" s="24">
        <f t="shared" si="32"/>
        <v>157.33333333333331</v>
      </c>
      <c r="BD21" s="24">
        <f t="shared" si="33"/>
        <v>166.60000000000002</v>
      </c>
      <c r="BE21" s="24">
        <f t="shared" si="34"/>
        <v>239.2</v>
      </c>
      <c r="BF21" s="24">
        <f t="shared" si="35"/>
        <v>78.666666666666657</v>
      </c>
      <c r="BG21" s="24">
        <f t="shared" si="36"/>
        <v>414.5</v>
      </c>
      <c r="BH21" s="24">
        <f t="shared" si="37"/>
        <v>243.2</v>
      </c>
      <c r="BI21" s="24">
        <f t="shared" si="38"/>
        <v>165</v>
      </c>
      <c r="BJ21" s="24">
        <f t="shared" si="39"/>
        <v>96</v>
      </c>
      <c r="BK21" s="24">
        <f t="shared" si="40"/>
        <v>96</v>
      </c>
      <c r="BL21" s="26">
        <f t="shared" si="41"/>
        <v>448.76666666666671</v>
      </c>
      <c r="BM21" s="26">
        <f t="shared" si="42"/>
        <v>89.753333333333345</v>
      </c>
      <c r="BN21" s="26">
        <f t="shared" si="43"/>
        <v>340.5</v>
      </c>
      <c r="BO21" s="26">
        <f t="shared" si="44"/>
        <v>253.86</v>
      </c>
      <c r="BP21" s="26">
        <f t="shared" si="45"/>
        <v>170</v>
      </c>
      <c r="BQ21" s="26">
        <f t="shared" si="46"/>
        <v>196</v>
      </c>
      <c r="BR21" s="26">
        <f t="shared" si="47"/>
        <v>196</v>
      </c>
      <c r="BS21" s="24">
        <f t="shared" si="48"/>
        <v>4</v>
      </c>
      <c r="BT21" s="24">
        <f t="shared" si="49"/>
        <v>6</v>
      </c>
      <c r="BU21" s="24">
        <f t="shared" si="50"/>
        <v>6</v>
      </c>
      <c r="BV21" s="24">
        <f t="shared" si="51"/>
        <v>2</v>
      </c>
      <c r="BW21" s="24">
        <f t="shared" si="52"/>
        <v>15</v>
      </c>
      <c r="BX21" s="24">
        <f t="shared" si="53"/>
        <v>9</v>
      </c>
      <c r="BY21" s="24">
        <f t="shared" si="54"/>
        <v>6</v>
      </c>
      <c r="BZ21" s="24">
        <f t="shared" si="55"/>
        <v>4</v>
      </c>
      <c r="CA21" s="24">
        <f t="shared" si="56"/>
        <v>4</v>
      </c>
      <c r="CB21" s="24">
        <f t="shared" si="57"/>
        <v>15</v>
      </c>
      <c r="CC21" s="24">
        <f t="shared" si="58"/>
        <v>3</v>
      </c>
      <c r="CD21" s="24">
        <f t="shared" si="59"/>
        <v>7.5</v>
      </c>
      <c r="CE21" s="24">
        <f t="shared" si="60"/>
        <v>9</v>
      </c>
      <c r="CF21" s="24">
        <f t="shared" si="61"/>
        <v>6</v>
      </c>
      <c r="CG21" s="24">
        <f t="shared" si="62"/>
        <v>8</v>
      </c>
      <c r="CH21" s="24">
        <f t="shared" si="63"/>
        <v>8</v>
      </c>
      <c r="CI21" s="24">
        <f t="shared" si="64"/>
        <v>20</v>
      </c>
      <c r="CJ21" s="24">
        <f t="shared" si="83"/>
        <v>1656.5</v>
      </c>
      <c r="CK21" s="26">
        <f t="shared" si="65"/>
        <v>56</v>
      </c>
      <c r="CL21" s="26">
        <f t="shared" si="84"/>
        <v>82.825000000000003</v>
      </c>
      <c r="CM21" s="24" t="str">
        <f t="shared" si="85"/>
        <v>B</v>
      </c>
      <c r="CN21" s="26">
        <f t="shared" si="66"/>
        <v>2.8</v>
      </c>
      <c r="CO21" s="24">
        <f t="shared" si="67"/>
        <v>20</v>
      </c>
      <c r="CP21" s="26">
        <f t="shared" si="68"/>
        <v>1694.88</v>
      </c>
      <c r="CQ21" s="26">
        <f t="shared" si="69"/>
        <v>56.5</v>
      </c>
      <c r="CR21" s="26">
        <f t="shared" si="86"/>
        <v>84.744</v>
      </c>
      <c r="CS21" s="24" t="str">
        <f t="shared" si="87"/>
        <v>B</v>
      </c>
      <c r="CT21" s="27">
        <f t="shared" si="70"/>
        <v>2.8250000000000002</v>
      </c>
      <c r="CU21" s="24">
        <f t="shared" si="71"/>
        <v>40</v>
      </c>
      <c r="CV21" s="27">
        <f t="shared" si="72"/>
        <v>3351.3800000000006</v>
      </c>
      <c r="CW21" s="27">
        <f t="shared" si="73"/>
        <v>112.5</v>
      </c>
      <c r="CX21" s="26">
        <f t="shared" si="88"/>
        <v>83.784500000000008</v>
      </c>
      <c r="CY21" s="27" t="str">
        <f t="shared" si="89"/>
        <v>B</v>
      </c>
      <c r="CZ21" s="26">
        <f t="shared" si="74"/>
        <v>2.8125</v>
      </c>
      <c r="DA21" s="24">
        <f t="shared" si="75"/>
        <v>8</v>
      </c>
      <c r="DB21" s="24" t="str">
        <f t="shared" si="76"/>
        <v>6A</v>
      </c>
      <c r="DC21" s="24">
        <f t="shared" si="77"/>
        <v>13</v>
      </c>
      <c r="DD21" s="24">
        <f t="shared" si="78"/>
        <v>50</v>
      </c>
      <c r="DE21" s="1">
        <v>0</v>
      </c>
      <c r="DF21" s="1">
        <v>0</v>
      </c>
      <c r="DG21" s="1">
        <v>0</v>
      </c>
      <c r="DH21" s="24">
        <f t="shared" si="79"/>
        <v>0</v>
      </c>
      <c r="DI21" s="25">
        <f t="shared" si="80"/>
        <v>1</v>
      </c>
      <c r="DJ21" t="str">
        <f t="shared" si="81"/>
        <v>2024-2025</v>
      </c>
      <c r="DK21" s="9"/>
      <c r="DL21" s="9"/>
      <c r="DM21" s="9"/>
      <c r="DN21" s="9"/>
      <c r="DO21" s="9"/>
      <c r="DP21" s="9"/>
      <c r="DQ21" s="136" t="b">
        <f t="shared" si="82"/>
        <v>0</v>
      </c>
    </row>
    <row r="22" spans="1:121" ht="27" customHeight="1" x14ac:dyDescent="1.25">
      <c r="A22" s="24">
        <f t="shared" si="90"/>
        <v>8</v>
      </c>
      <c r="B22" s="66" t="s">
        <v>139</v>
      </c>
      <c r="C22" s="67" t="s">
        <v>140</v>
      </c>
      <c r="D22" s="68" t="s">
        <v>125</v>
      </c>
      <c r="E22" s="154">
        <v>687</v>
      </c>
      <c r="F22" s="68" t="s">
        <v>237</v>
      </c>
      <c r="G22" s="7">
        <v>86</v>
      </c>
      <c r="H22" s="7">
        <v>90.166666666666671</v>
      </c>
      <c r="I22" s="7">
        <v>87.300000000000011</v>
      </c>
      <c r="J22" s="7">
        <v>86</v>
      </c>
      <c r="K22" s="7">
        <v>90.466666666666669</v>
      </c>
      <c r="L22" s="7">
        <v>86.4</v>
      </c>
      <c r="M22" s="7">
        <v>89.833333333333343</v>
      </c>
      <c r="N22" s="7">
        <v>98</v>
      </c>
      <c r="O22" s="7">
        <v>98</v>
      </c>
      <c r="P22" s="7">
        <v>95.126666666666665</v>
      </c>
      <c r="Q22" s="7">
        <v>95.126666666666665</v>
      </c>
      <c r="R22" s="7">
        <v>91.23</v>
      </c>
      <c r="S22" s="7">
        <v>83.43</v>
      </c>
      <c r="T22" s="7">
        <v>89</v>
      </c>
      <c r="U22" s="7">
        <v>97</v>
      </c>
      <c r="V22" s="7">
        <v>96</v>
      </c>
      <c r="W22" s="3" t="str">
        <f t="shared" si="0"/>
        <v>B</v>
      </c>
      <c r="X22" s="3" t="str">
        <f t="shared" si="1"/>
        <v>A</v>
      </c>
      <c r="Y22" s="3" t="str">
        <f t="shared" si="2"/>
        <v>B</v>
      </c>
      <c r="Z22" s="3" t="str">
        <f t="shared" si="3"/>
        <v>B</v>
      </c>
      <c r="AA22" s="3" t="str">
        <f t="shared" si="4"/>
        <v>A</v>
      </c>
      <c r="AB22" s="3" t="str">
        <f t="shared" si="5"/>
        <v>B</v>
      </c>
      <c r="AC22" s="3" t="str">
        <f t="shared" si="6"/>
        <v>B</v>
      </c>
      <c r="AD22" s="3" t="str">
        <f t="shared" si="7"/>
        <v>A</v>
      </c>
      <c r="AE22" s="3" t="str">
        <f t="shared" si="8"/>
        <v>A</v>
      </c>
      <c r="AF22" s="24" t="str">
        <f t="shared" si="9"/>
        <v>A</v>
      </c>
      <c r="AG22" s="24" t="str">
        <f t="shared" si="10"/>
        <v>A</v>
      </c>
      <c r="AH22" s="24" t="str">
        <f t="shared" si="11"/>
        <v>A</v>
      </c>
      <c r="AI22" s="24" t="str">
        <f t="shared" si="12"/>
        <v>B</v>
      </c>
      <c r="AJ22" s="24" t="str">
        <f t="shared" si="13"/>
        <v>B</v>
      </c>
      <c r="AK22" s="24" t="str">
        <f t="shared" si="14"/>
        <v>A</v>
      </c>
      <c r="AL22" s="24" t="str">
        <f t="shared" si="15"/>
        <v>A</v>
      </c>
      <c r="AM22" s="24">
        <f t="shared" si="16"/>
        <v>2</v>
      </c>
      <c r="AN22" s="24">
        <f t="shared" si="17"/>
        <v>2</v>
      </c>
      <c r="AO22" s="24">
        <f t="shared" si="18"/>
        <v>3</v>
      </c>
      <c r="AP22" s="24">
        <f t="shared" si="19"/>
        <v>1</v>
      </c>
      <c r="AQ22" s="24">
        <f t="shared" si="20"/>
        <v>5</v>
      </c>
      <c r="AR22" s="24">
        <f t="shared" si="21"/>
        <v>3</v>
      </c>
      <c r="AS22" s="24">
        <f t="shared" si="22"/>
        <v>2</v>
      </c>
      <c r="AT22" s="24">
        <f t="shared" si="23"/>
        <v>1</v>
      </c>
      <c r="AU22" s="24">
        <f t="shared" si="24"/>
        <v>1</v>
      </c>
      <c r="AV22" s="24">
        <f t="shared" si="25"/>
        <v>5</v>
      </c>
      <c r="AW22" s="24">
        <f t="shared" si="26"/>
        <v>1</v>
      </c>
      <c r="AX22" s="24">
        <f t="shared" si="27"/>
        <v>5</v>
      </c>
      <c r="AY22" s="24">
        <f t="shared" si="28"/>
        <v>3</v>
      </c>
      <c r="AZ22" s="24">
        <f t="shared" si="29"/>
        <v>2</v>
      </c>
      <c r="BA22" s="24">
        <f t="shared" si="30"/>
        <v>2</v>
      </c>
      <c r="BB22" s="24">
        <f t="shared" si="31"/>
        <v>2</v>
      </c>
      <c r="BC22" s="24">
        <f t="shared" si="32"/>
        <v>172</v>
      </c>
      <c r="BD22" s="24">
        <f t="shared" si="33"/>
        <v>180.33333333333334</v>
      </c>
      <c r="BE22" s="24">
        <f t="shared" si="34"/>
        <v>261.90000000000003</v>
      </c>
      <c r="BF22" s="24">
        <f t="shared" si="35"/>
        <v>86</v>
      </c>
      <c r="BG22" s="24">
        <f t="shared" si="36"/>
        <v>452.33333333333337</v>
      </c>
      <c r="BH22" s="24">
        <f t="shared" si="37"/>
        <v>259.20000000000005</v>
      </c>
      <c r="BI22" s="24">
        <f t="shared" si="38"/>
        <v>179.66666666666669</v>
      </c>
      <c r="BJ22" s="24">
        <f t="shared" si="39"/>
        <v>98</v>
      </c>
      <c r="BK22" s="24">
        <f t="shared" si="40"/>
        <v>98</v>
      </c>
      <c r="BL22" s="26">
        <f t="shared" si="41"/>
        <v>475.63333333333333</v>
      </c>
      <c r="BM22" s="26">
        <f t="shared" si="42"/>
        <v>95.126666666666665</v>
      </c>
      <c r="BN22" s="26">
        <f t="shared" si="43"/>
        <v>456.15000000000003</v>
      </c>
      <c r="BO22" s="26">
        <f t="shared" si="44"/>
        <v>250.29000000000002</v>
      </c>
      <c r="BP22" s="26">
        <f t="shared" si="45"/>
        <v>178</v>
      </c>
      <c r="BQ22" s="26">
        <f t="shared" si="46"/>
        <v>194</v>
      </c>
      <c r="BR22" s="26">
        <f t="shared" si="47"/>
        <v>192</v>
      </c>
      <c r="BS22" s="24">
        <f t="shared" si="48"/>
        <v>6</v>
      </c>
      <c r="BT22" s="24">
        <f t="shared" si="49"/>
        <v>8</v>
      </c>
      <c r="BU22" s="24">
        <f t="shared" si="50"/>
        <v>9</v>
      </c>
      <c r="BV22" s="24">
        <f t="shared" si="51"/>
        <v>3</v>
      </c>
      <c r="BW22" s="24">
        <f t="shared" si="52"/>
        <v>20</v>
      </c>
      <c r="BX22" s="24">
        <f t="shared" si="53"/>
        <v>9</v>
      </c>
      <c r="BY22" s="24">
        <f t="shared" si="54"/>
        <v>6</v>
      </c>
      <c r="BZ22" s="24">
        <f t="shared" si="55"/>
        <v>4</v>
      </c>
      <c r="CA22" s="24">
        <f t="shared" si="56"/>
        <v>4</v>
      </c>
      <c r="CB22" s="24">
        <f t="shared" si="57"/>
        <v>20</v>
      </c>
      <c r="CC22" s="24">
        <f t="shared" si="58"/>
        <v>4</v>
      </c>
      <c r="CD22" s="24">
        <f t="shared" si="59"/>
        <v>20</v>
      </c>
      <c r="CE22" s="24">
        <f t="shared" si="60"/>
        <v>9</v>
      </c>
      <c r="CF22" s="24">
        <f t="shared" si="61"/>
        <v>6</v>
      </c>
      <c r="CG22" s="24">
        <f t="shared" si="62"/>
        <v>8</v>
      </c>
      <c r="CH22" s="24">
        <f t="shared" si="63"/>
        <v>8</v>
      </c>
      <c r="CI22" s="24">
        <f t="shared" si="64"/>
        <v>20</v>
      </c>
      <c r="CJ22" s="24">
        <f t="shared" si="83"/>
        <v>1787.4333333333334</v>
      </c>
      <c r="CK22" s="26">
        <f t="shared" si="65"/>
        <v>69</v>
      </c>
      <c r="CL22" s="26">
        <f t="shared" si="84"/>
        <v>89.37166666666667</v>
      </c>
      <c r="CM22" s="24" t="str">
        <f t="shared" si="85"/>
        <v>B</v>
      </c>
      <c r="CN22" s="26">
        <f t="shared" si="66"/>
        <v>3.45</v>
      </c>
      <c r="CO22" s="24">
        <f t="shared" si="67"/>
        <v>20</v>
      </c>
      <c r="CP22" s="26">
        <f t="shared" si="68"/>
        <v>1841.2</v>
      </c>
      <c r="CQ22" s="26">
        <f t="shared" si="69"/>
        <v>75</v>
      </c>
      <c r="CR22" s="26">
        <f t="shared" si="86"/>
        <v>92.06</v>
      </c>
      <c r="CS22" s="24" t="str">
        <f t="shared" si="87"/>
        <v>A</v>
      </c>
      <c r="CT22" s="27">
        <f t="shared" si="70"/>
        <v>3.75</v>
      </c>
      <c r="CU22" s="24">
        <f t="shared" si="71"/>
        <v>40</v>
      </c>
      <c r="CV22" s="27">
        <f t="shared" si="72"/>
        <v>3628.6333333333332</v>
      </c>
      <c r="CW22" s="27">
        <f t="shared" si="73"/>
        <v>144</v>
      </c>
      <c r="CX22" s="26">
        <f t="shared" si="88"/>
        <v>90.715833333333336</v>
      </c>
      <c r="CY22" s="27" t="str">
        <f t="shared" si="89"/>
        <v>A</v>
      </c>
      <c r="CZ22" s="26">
        <f t="shared" si="74"/>
        <v>3.6</v>
      </c>
      <c r="DA22" s="24">
        <f t="shared" si="75"/>
        <v>2</v>
      </c>
      <c r="DB22" s="24" t="str">
        <f t="shared" si="76"/>
        <v>6A</v>
      </c>
      <c r="DC22" s="24">
        <f t="shared" si="77"/>
        <v>13</v>
      </c>
      <c r="DD22" s="24">
        <f t="shared" si="78"/>
        <v>50</v>
      </c>
      <c r="DE22" s="1">
        <v>0</v>
      </c>
      <c r="DF22" s="1">
        <v>0</v>
      </c>
      <c r="DG22" s="1">
        <v>2</v>
      </c>
      <c r="DH22" s="24">
        <f t="shared" si="79"/>
        <v>2</v>
      </c>
      <c r="DI22" s="25">
        <f t="shared" si="80"/>
        <v>0.96</v>
      </c>
      <c r="DJ22" t="str">
        <f t="shared" si="81"/>
        <v>2024-2025</v>
      </c>
      <c r="DK22" s="9"/>
      <c r="DL22" s="9"/>
      <c r="DM22" s="9"/>
      <c r="DN22" s="9"/>
      <c r="DO22" s="9"/>
      <c r="DP22" s="9"/>
      <c r="DQ22" s="136" t="b">
        <f t="shared" si="82"/>
        <v>0</v>
      </c>
    </row>
    <row r="23" spans="1:121" ht="27" customHeight="1" x14ac:dyDescent="1.25">
      <c r="A23" s="24">
        <f t="shared" si="90"/>
        <v>9</v>
      </c>
      <c r="B23" s="66" t="s">
        <v>141</v>
      </c>
      <c r="C23" s="69" t="s">
        <v>142</v>
      </c>
      <c r="D23" s="70" t="s">
        <v>124</v>
      </c>
      <c r="E23" s="155">
        <v>692</v>
      </c>
      <c r="F23" s="68" t="s">
        <v>237</v>
      </c>
      <c r="G23" s="22">
        <v>69.333333333333343</v>
      </c>
      <c r="H23" s="22">
        <v>81.333333333333343</v>
      </c>
      <c r="I23" s="22">
        <v>72.366666666666674</v>
      </c>
      <c r="J23" s="22">
        <v>70.666666666666657</v>
      </c>
      <c r="K23" s="22">
        <v>78.7</v>
      </c>
      <c r="L23" s="22">
        <v>76.3</v>
      </c>
      <c r="M23" s="22">
        <v>78.966666666666669</v>
      </c>
      <c r="N23" s="22">
        <v>96</v>
      </c>
      <c r="O23" s="22">
        <v>96</v>
      </c>
      <c r="P23" s="7">
        <v>64.793333333333337</v>
      </c>
      <c r="Q23" s="7">
        <v>64.793333333333337</v>
      </c>
      <c r="R23" s="7">
        <v>60.3</v>
      </c>
      <c r="S23" s="7">
        <v>58.27</v>
      </c>
      <c r="T23" s="7">
        <v>79</v>
      </c>
      <c r="U23" s="7">
        <v>76.333333333333343</v>
      </c>
      <c r="V23" s="7">
        <v>75.17</v>
      </c>
      <c r="W23" s="3" t="str">
        <f t="shared" si="0"/>
        <v>D</v>
      </c>
      <c r="X23" s="3" t="str">
        <f t="shared" si="1"/>
        <v>B</v>
      </c>
      <c r="Y23" s="3" t="str">
        <f t="shared" si="2"/>
        <v>C</v>
      </c>
      <c r="Z23" s="3" t="str">
        <f t="shared" si="3"/>
        <v>C</v>
      </c>
      <c r="AA23" s="3" t="str">
        <f t="shared" si="4"/>
        <v>C</v>
      </c>
      <c r="AB23" s="3" t="str">
        <f t="shared" si="5"/>
        <v>C</v>
      </c>
      <c r="AC23" s="3" t="str">
        <f t="shared" si="6"/>
        <v>C</v>
      </c>
      <c r="AD23" s="3" t="str">
        <f t="shared" si="7"/>
        <v>A</v>
      </c>
      <c r="AE23" s="3" t="str">
        <f t="shared" si="8"/>
        <v>A</v>
      </c>
      <c r="AF23" s="24" t="str">
        <f t="shared" si="9"/>
        <v>D</v>
      </c>
      <c r="AG23" s="24" t="str">
        <f t="shared" si="10"/>
        <v>D</v>
      </c>
      <c r="AH23" s="24" t="str">
        <f t="shared" si="11"/>
        <v>D</v>
      </c>
      <c r="AI23" s="24" t="str">
        <f t="shared" si="12"/>
        <v>E</v>
      </c>
      <c r="AJ23" s="24" t="str">
        <f t="shared" si="13"/>
        <v>C</v>
      </c>
      <c r="AK23" s="24" t="str">
        <f t="shared" si="14"/>
        <v>C</v>
      </c>
      <c r="AL23" s="24" t="str">
        <f t="shared" si="15"/>
        <v>C</v>
      </c>
      <c r="AM23" s="24">
        <f t="shared" si="16"/>
        <v>2</v>
      </c>
      <c r="AN23" s="24">
        <f t="shared" si="17"/>
        <v>2</v>
      </c>
      <c r="AO23" s="24">
        <f t="shared" si="18"/>
        <v>3</v>
      </c>
      <c r="AP23" s="24">
        <f t="shared" si="19"/>
        <v>1</v>
      </c>
      <c r="AQ23" s="24">
        <f t="shared" si="20"/>
        <v>5</v>
      </c>
      <c r="AR23" s="24">
        <f t="shared" si="21"/>
        <v>3</v>
      </c>
      <c r="AS23" s="24">
        <f t="shared" si="22"/>
        <v>2</v>
      </c>
      <c r="AT23" s="24">
        <f t="shared" si="23"/>
        <v>1</v>
      </c>
      <c r="AU23" s="24">
        <f t="shared" si="24"/>
        <v>1</v>
      </c>
      <c r="AV23" s="24">
        <f t="shared" si="25"/>
        <v>5</v>
      </c>
      <c r="AW23" s="24">
        <f t="shared" si="26"/>
        <v>1</v>
      </c>
      <c r="AX23" s="24">
        <f t="shared" si="27"/>
        <v>5</v>
      </c>
      <c r="AY23" s="24">
        <f t="shared" si="28"/>
        <v>3</v>
      </c>
      <c r="AZ23" s="24">
        <f t="shared" si="29"/>
        <v>2</v>
      </c>
      <c r="BA23" s="24">
        <f t="shared" si="30"/>
        <v>2</v>
      </c>
      <c r="BB23" s="24">
        <f t="shared" si="31"/>
        <v>2</v>
      </c>
      <c r="BC23" s="24">
        <f t="shared" si="32"/>
        <v>138.66666666666669</v>
      </c>
      <c r="BD23" s="24">
        <f t="shared" si="33"/>
        <v>162.66666666666669</v>
      </c>
      <c r="BE23" s="24">
        <f t="shared" si="34"/>
        <v>217.10000000000002</v>
      </c>
      <c r="BF23" s="24">
        <f t="shared" si="35"/>
        <v>70.666666666666657</v>
      </c>
      <c r="BG23" s="24">
        <f t="shared" si="36"/>
        <v>393.5</v>
      </c>
      <c r="BH23" s="24">
        <f t="shared" si="37"/>
        <v>228.89999999999998</v>
      </c>
      <c r="BI23" s="24">
        <f t="shared" si="38"/>
        <v>157.93333333333334</v>
      </c>
      <c r="BJ23" s="24">
        <f t="shared" si="39"/>
        <v>96</v>
      </c>
      <c r="BK23" s="24">
        <f t="shared" si="40"/>
        <v>96</v>
      </c>
      <c r="BL23" s="26">
        <f t="shared" si="41"/>
        <v>323.9666666666667</v>
      </c>
      <c r="BM23" s="26">
        <f t="shared" si="42"/>
        <v>64.793333333333337</v>
      </c>
      <c r="BN23" s="26">
        <f t="shared" si="43"/>
        <v>301.5</v>
      </c>
      <c r="BO23" s="26">
        <f t="shared" si="44"/>
        <v>174.81</v>
      </c>
      <c r="BP23" s="26">
        <f t="shared" si="45"/>
        <v>158</v>
      </c>
      <c r="BQ23" s="26">
        <f t="shared" si="46"/>
        <v>152.66666666666669</v>
      </c>
      <c r="BR23" s="26">
        <f t="shared" si="47"/>
        <v>150.34</v>
      </c>
      <c r="BS23" s="24">
        <f t="shared" si="48"/>
        <v>3</v>
      </c>
      <c r="BT23" s="24">
        <f t="shared" si="49"/>
        <v>6</v>
      </c>
      <c r="BU23" s="24">
        <f t="shared" si="50"/>
        <v>6</v>
      </c>
      <c r="BV23" s="24">
        <f t="shared" si="51"/>
        <v>2</v>
      </c>
      <c r="BW23" s="24">
        <f t="shared" si="52"/>
        <v>10</v>
      </c>
      <c r="BX23" s="24">
        <f t="shared" si="53"/>
        <v>6</v>
      </c>
      <c r="BY23" s="24">
        <f t="shared" si="54"/>
        <v>4</v>
      </c>
      <c r="BZ23" s="24">
        <f t="shared" si="55"/>
        <v>4</v>
      </c>
      <c r="CA23" s="24">
        <f t="shared" si="56"/>
        <v>4</v>
      </c>
      <c r="CB23" s="24">
        <f t="shared" si="57"/>
        <v>7.5</v>
      </c>
      <c r="CC23" s="24">
        <f t="shared" si="58"/>
        <v>1.5</v>
      </c>
      <c r="CD23" s="24">
        <f t="shared" si="59"/>
        <v>7.5</v>
      </c>
      <c r="CE23" s="24">
        <f t="shared" si="60"/>
        <v>3</v>
      </c>
      <c r="CF23" s="24">
        <f t="shared" si="61"/>
        <v>4</v>
      </c>
      <c r="CG23" s="24">
        <f t="shared" si="62"/>
        <v>4</v>
      </c>
      <c r="CH23" s="24">
        <f t="shared" si="63"/>
        <v>4</v>
      </c>
      <c r="CI23" s="24">
        <f t="shared" si="64"/>
        <v>20</v>
      </c>
      <c r="CJ23" s="24">
        <f t="shared" si="83"/>
        <v>1561.4333333333334</v>
      </c>
      <c r="CK23" s="26">
        <f t="shared" si="65"/>
        <v>45</v>
      </c>
      <c r="CL23" s="26">
        <f t="shared" si="84"/>
        <v>78.071666666666673</v>
      </c>
      <c r="CM23" s="24" t="str">
        <f t="shared" si="85"/>
        <v>C</v>
      </c>
      <c r="CN23" s="26">
        <f t="shared" si="66"/>
        <v>2.25</v>
      </c>
      <c r="CO23" s="24">
        <f t="shared" si="67"/>
        <v>20</v>
      </c>
      <c r="CP23" s="26">
        <f t="shared" si="68"/>
        <v>1326.0766666666666</v>
      </c>
      <c r="CQ23" s="26">
        <f t="shared" si="69"/>
        <v>31.5</v>
      </c>
      <c r="CR23" s="26">
        <f t="shared" si="86"/>
        <v>66.30383333333333</v>
      </c>
      <c r="CS23" s="24" t="str">
        <f t="shared" si="87"/>
        <v>D</v>
      </c>
      <c r="CT23" s="27">
        <f t="shared" si="70"/>
        <v>1.575</v>
      </c>
      <c r="CU23" s="24">
        <f t="shared" si="71"/>
        <v>40</v>
      </c>
      <c r="CV23" s="27">
        <f t="shared" si="72"/>
        <v>2887.51</v>
      </c>
      <c r="CW23" s="27">
        <f t="shared" si="73"/>
        <v>76.5</v>
      </c>
      <c r="CX23" s="26">
        <f t="shared" si="88"/>
        <v>72.187750000000008</v>
      </c>
      <c r="CY23" s="27" t="str">
        <f t="shared" si="89"/>
        <v>C</v>
      </c>
      <c r="CZ23" s="26">
        <f t="shared" si="74"/>
        <v>1.9125000000000001</v>
      </c>
      <c r="DA23" s="24">
        <f t="shared" si="75"/>
        <v>12</v>
      </c>
      <c r="DB23" s="24" t="str">
        <f t="shared" si="76"/>
        <v>6A</v>
      </c>
      <c r="DC23" s="24">
        <f t="shared" si="77"/>
        <v>13</v>
      </c>
      <c r="DD23" s="24">
        <f t="shared" si="78"/>
        <v>50</v>
      </c>
      <c r="DE23" s="1">
        <v>0</v>
      </c>
      <c r="DF23" s="1">
        <v>0</v>
      </c>
      <c r="DG23" s="1">
        <v>0</v>
      </c>
      <c r="DH23" s="24">
        <f t="shared" si="79"/>
        <v>0</v>
      </c>
      <c r="DI23" s="25">
        <f t="shared" si="80"/>
        <v>1</v>
      </c>
      <c r="DJ23" t="str">
        <f t="shared" si="81"/>
        <v>2024-2025</v>
      </c>
      <c r="DK23" s="9"/>
      <c r="DL23" s="9"/>
      <c r="DM23" s="9"/>
      <c r="DN23" s="9"/>
      <c r="DO23" s="9"/>
      <c r="DP23" s="9"/>
      <c r="DQ23" s="136" t="b">
        <f t="shared" si="82"/>
        <v>0</v>
      </c>
    </row>
    <row r="24" spans="1:121" ht="27" customHeight="1" x14ac:dyDescent="1.25">
      <c r="A24" s="24">
        <f t="shared" si="90"/>
        <v>10</v>
      </c>
      <c r="B24" s="66" t="s">
        <v>143</v>
      </c>
      <c r="C24" s="69" t="s">
        <v>144</v>
      </c>
      <c r="D24" s="70" t="s">
        <v>124</v>
      </c>
      <c r="E24" s="155">
        <v>686</v>
      </c>
      <c r="F24" s="68" t="s">
        <v>237</v>
      </c>
      <c r="G24" s="22">
        <v>64.333333333333343</v>
      </c>
      <c r="H24" s="22">
        <v>75.566666666666663</v>
      </c>
      <c r="I24" s="22">
        <v>67.666666666666671</v>
      </c>
      <c r="J24" s="22">
        <v>67</v>
      </c>
      <c r="K24" s="22">
        <v>74.099999999999994</v>
      </c>
      <c r="L24" s="22">
        <v>75.066666666666677</v>
      </c>
      <c r="M24" s="22">
        <v>75.066666666666677</v>
      </c>
      <c r="N24" s="22">
        <v>95</v>
      </c>
      <c r="O24" s="22">
        <v>95</v>
      </c>
      <c r="P24" s="7">
        <v>85.086666666666673</v>
      </c>
      <c r="Q24" s="7">
        <v>85.086666666666673</v>
      </c>
      <c r="R24" s="7">
        <v>72.430000000000007</v>
      </c>
      <c r="S24" s="7">
        <v>58.23</v>
      </c>
      <c r="T24" s="7">
        <v>83</v>
      </c>
      <c r="U24" s="7">
        <v>76</v>
      </c>
      <c r="V24" s="7">
        <v>76</v>
      </c>
      <c r="W24" s="3" t="str">
        <f t="shared" si="0"/>
        <v>D</v>
      </c>
      <c r="X24" s="3" t="str">
        <f t="shared" si="1"/>
        <v>C</v>
      </c>
      <c r="Y24" s="3" t="str">
        <f t="shared" si="2"/>
        <v>D</v>
      </c>
      <c r="Z24" s="3" t="str">
        <f t="shared" si="3"/>
        <v>D</v>
      </c>
      <c r="AA24" s="3" t="str">
        <f t="shared" si="4"/>
        <v>C</v>
      </c>
      <c r="AB24" s="3" t="str">
        <f t="shared" si="5"/>
        <v>C</v>
      </c>
      <c r="AC24" s="3" t="str">
        <f t="shared" si="6"/>
        <v>C</v>
      </c>
      <c r="AD24" s="3" t="str">
        <f t="shared" si="7"/>
        <v>A</v>
      </c>
      <c r="AE24" s="3" t="str">
        <f t="shared" si="8"/>
        <v>A</v>
      </c>
      <c r="AF24" s="24" t="str">
        <f t="shared" si="9"/>
        <v>B</v>
      </c>
      <c r="AG24" s="24" t="str">
        <f t="shared" si="10"/>
        <v>B</v>
      </c>
      <c r="AH24" s="24" t="str">
        <f t="shared" si="11"/>
        <v>C</v>
      </c>
      <c r="AI24" s="24" t="str">
        <f t="shared" si="12"/>
        <v>E</v>
      </c>
      <c r="AJ24" s="24" t="str">
        <f t="shared" si="13"/>
        <v>B</v>
      </c>
      <c r="AK24" s="24" t="str">
        <f t="shared" si="14"/>
        <v>C</v>
      </c>
      <c r="AL24" s="24" t="str">
        <f t="shared" si="15"/>
        <v>C</v>
      </c>
      <c r="AM24" s="24">
        <f t="shared" si="16"/>
        <v>2</v>
      </c>
      <c r="AN24" s="24">
        <f t="shared" si="17"/>
        <v>2</v>
      </c>
      <c r="AO24" s="24">
        <f t="shared" si="18"/>
        <v>3</v>
      </c>
      <c r="AP24" s="24">
        <f t="shared" si="19"/>
        <v>1</v>
      </c>
      <c r="AQ24" s="24">
        <f t="shared" si="20"/>
        <v>5</v>
      </c>
      <c r="AR24" s="24">
        <f t="shared" si="21"/>
        <v>3</v>
      </c>
      <c r="AS24" s="24">
        <f t="shared" si="22"/>
        <v>2</v>
      </c>
      <c r="AT24" s="24">
        <f t="shared" si="23"/>
        <v>1</v>
      </c>
      <c r="AU24" s="24">
        <f t="shared" si="24"/>
        <v>1</v>
      </c>
      <c r="AV24" s="24">
        <f t="shared" si="25"/>
        <v>5</v>
      </c>
      <c r="AW24" s="24">
        <f t="shared" si="26"/>
        <v>1</v>
      </c>
      <c r="AX24" s="24">
        <f t="shared" si="27"/>
        <v>5</v>
      </c>
      <c r="AY24" s="24">
        <f t="shared" si="28"/>
        <v>3</v>
      </c>
      <c r="AZ24" s="24">
        <f t="shared" si="29"/>
        <v>2</v>
      </c>
      <c r="BA24" s="24">
        <f t="shared" si="30"/>
        <v>2</v>
      </c>
      <c r="BB24" s="24">
        <f t="shared" si="31"/>
        <v>2</v>
      </c>
      <c r="BC24" s="24">
        <f t="shared" si="32"/>
        <v>128.66666666666669</v>
      </c>
      <c r="BD24" s="24">
        <f t="shared" si="33"/>
        <v>151.13333333333333</v>
      </c>
      <c r="BE24" s="24">
        <f t="shared" si="34"/>
        <v>203</v>
      </c>
      <c r="BF24" s="24">
        <f t="shared" si="35"/>
        <v>67</v>
      </c>
      <c r="BG24" s="24">
        <f t="shared" si="36"/>
        <v>370.5</v>
      </c>
      <c r="BH24" s="24">
        <f t="shared" si="37"/>
        <v>225.20000000000005</v>
      </c>
      <c r="BI24" s="24">
        <f t="shared" si="38"/>
        <v>150.13333333333335</v>
      </c>
      <c r="BJ24" s="24">
        <f t="shared" si="39"/>
        <v>95</v>
      </c>
      <c r="BK24" s="24">
        <f t="shared" si="40"/>
        <v>95</v>
      </c>
      <c r="BL24" s="26">
        <f t="shared" si="41"/>
        <v>425.43333333333339</v>
      </c>
      <c r="BM24" s="26">
        <f t="shared" si="42"/>
        <v>85.086666666666673</v>
      </c>
      <c r="BN24" s="26">
        <f t="shared" si="43"/>
        <v>362.15000000000003</v>
      </c>
      <c r="BO24" s="26">
        <f t="shared" si="44"/>
        <v>174.69</v>
      </c>
      <c r="BP24" s="26">
        <f t="shared" si="45"/>
        <v>166</v>
      </c>
      <c r="BQ24" s="26">
        <f t="shared" si="46"/>
        <v>152</v>
      </c>
      <c r="BR24" s="26">
        <f t="shared" si="47"/>
        <v>152</v>
      </c>
      <c r="BS24" s="24">
        <f t="shared" si="48"/>
        <v>3</v>
      </c>
      <c r="BT24" s="24">
        <f t="shared" si="49"/>
        <v>4</v>
      </c>
      <c r="BU24" s="24">
        <f t="shared" si="50"/>
        <v>4.5</v>
      </c>
      <c r="BV24" s="24">
        <f t="shared" si="51"/>
        <v>1.5</v>
      </c>
      <c r="BW24" s="24">
        <f t="shared" si="52"/>
        <v>10</v>
      </c>
      <c r="BX24" s="24">
        <f t="shared" si="53"/>
        <v>6</v>
      </c>
      <c r="BY24" s="24">
        <f t="shared" si="54"/>
        <v>4</v>
      </c>
      <c r="BZ24" s="24">
        <f t="shared" si="55"/>
        <v>4</v>
      </c>
      <c r="CA24" s="24">
        <f t="shared" si="56"/>
        <v>4</v>
      </c>
      <c r="CB24" s="24">
        <f t="shared" si="57"/>
        <v>15</v>
      </c>
      <c r="CC24" s="24">
        <f t="shared" si="58"/>
        <v>3</v>
      </c>
      <c r="CD24" s="24">
        <f t="shared" si="59"/>
        <v>10</v>
      </c>
      <c r="CE24" s="24">
        <f t="shared" si="60"/>
        <v>3</v>
      </c>
      <c r="CF24" s="24">
        <f t="shared" si="61"/>
        <v>6</v>
      </c>
      <c r="CG24" s="24">
        <f t="shared" si="62"/>
        <v>4</v>
      </c>
      <c r="CH24" s="24">
        <f t="shared" si="63"/>
        <v>4</v>
      </c>
      <c r="CI24" s="24">
        <f t="shared" si="64"/>
        <v>20</v>
      </c>
      <c r="CJ24" s="24">
        <f t="shared" si="83"/>
        <v>1485.6333333333334</v>
      </c>
      <c r="CK24" s="26">
        <f t="shared" si="65"/>
        <v>41</v>
      </c>
      <c r="CL24" s="26">
        <f t="shared" si="84"/>
        <v>74.281666666666666</v>
      </c>
      <c r="CM24" s="24" t="str">
        <f t="shared" si="85"/>
        <v>C</v>
      </c>
      <c r="CN24" s="26">
        <f t="shared" si="66"/>
        <v>2.0499999999999998</v>
      </c>
      <c r="CO24" s="24">
        <f t="shared" si="67"/>
        <v>20</v>
      </c>
      <c r="CP24" s="26">
        <f t="shared" si="68"/>
        <v>1517.3600000000001</v>
      </c>
      <c r="CQ24" s="26">
        <f t="shared" si="69"/>
        <v>45</v>
      </c>
      <c r="CR24" s="26">
        <f t="shared" si="86"/>
        <v>75.868000000000009</v>
      </c>
      <c r="CS24" s="24" t="str">
        <f t="shared" si="87"/>
        <v>C</v>
      </c>
      <c r="CT24" s="27">
        <f t="shared" si="70"/>
        <v>2.25</v>
      </c>
      <c r="CU24" s="24">
        <f t="shared" si="71"/>
        <v>40</v>
      </c>
      <c r="CV24" s="27">
        <f t="shared" si="72"/>
        <v>3002.9933333333333</v>
      </c>
      <c r="CW24" s="27">
        <f t="shared" si="73"/>
        <v>86</v>
      </c>
      <c r="CX24" s="26">
        <f t="shared" si="88"/>
        <v>75.074833333333331</v>
      </c>
      <c r="CY24" s="27" t="str">
        <f t="shared" si="89"/>
        <v>C</v>
      </c>
      <c r="CZ24" s="26">
        <f t="shared" si="74"/>
        <v>2.15</v>
      </c>
      <c r="DA24" s="24">
        <f t="shared" si="75"/>
        <v>10</v>
      </c>
      <c r="DB24" s="24" t="str">
        <f t="shared" si="76"/>
        <v>6A</v>
      </c>
      <c r="DC24" s="24">
        <f t="shared" si="77"/>
        <v>13</v>
      </c>
      <c r="DD24" s="24">
        <f t="shared" si="78"/>
        <v>50</v>
      </c>
      <c r="DE24" s="1">
        <v>0</v>
      </c>
      <c r="DF24" s="1">
        <v>0</v>
      </c>
      <c r="DG24" s="1">
        <v>1</v>
      </c>
      <c r="DH24" s="24">
        <f t="shared" si="79"/>
        <v>1</v>
      </c>
      <c r="DI24" s="25">
        <f t="shared" si="80"/>
        <v>0.98</v>
      </c>
      <c r="DJ24" t="str">
        <f t="shared" si="81"/>
        <v>2024-2025</v>
      </c>
      <c r="DK24" s="9"/>
      <c r="DL24" s="9"/>
      <c r="DM24" s="9"/>
      <c r="DN24" s="9"/>
      <c r="DO24" s="9"/>
      <c r="DP24" s="9"/>
      <c r="DQ24" s="136" t="b">
        <f t="shared" si="82"/>
        <v>0</v>
      </c>
    </row>
    <row r="25" spans="1:121" ht="27" customHeight="1" x14ac:dyDescent="1.25">
      <c r="A25" s="24">
        <f t="shared" si="90"/>
        <v>11</v>
      </c>
      <c r="B25" s="66" t="s">
        <v>246</v>
      </c>
      <c r="C25" s="69" t="s">
        <v>247</v>
      </c>
      <c r="D25" s="70" t="s">
        <v>124</v>
      </c>
      <c r="E25" s="155">
        <v>789</v>
      </c>
      <c r="F25" s="68" t="s">
        <v>237</v>
      </c>
      <c r="G25" s="22">
        <v>61</v>
      </c>
      <c r="H25" s="22">
        <v>69.2</v>
      </c>
      <c r="I25" s="22">
        <v>64</v>
      </c>
      <c r="J25" s="22">
        <v>63.666666666666671</v>
      </c>
      <c r="K25" s="22">
        <v>68.599999999999994</v>
      </c>
      <c r="L25" s="22">
        <v>70.333333333333329</v>
      </c>
      <c r="M25" s="22">
        <v>69.76666666666668</v>
      </c>
      <c r="N25" s="22">
        <v>93</v>
      </c>
      <c r="O25" s="22">
        <v>93</v>
      </c>
      <c r="P25" s="7">
        <v>81.446666666666673</v>
      </c>
      <c r="Q25" s="7">
        <v>81.446666666666673</v>
      </c>
      <c r="R25" s="7">
        <v>52.5</v>
      </c>
      <c r="S25" s="7">
        <v>47.09</v>
      </c>
      <c r="T25" s="7">
        <v>79</v>
      </c>
      <c r="U25" s="7">
        <v>75</v>
      </c>
      <c r="V25" s="7">
        <v>75</v>
      </c>
      <c r="W25" s="3" t="str">
        <f t="shared" si="0"/>
        <v>D</v>
      </c>
      <c r="X25" s="3" t="str">
        <f t="shared" si="1"/>
        <v>D</v>
      </c>
      <c r="Y25" s="3" t="str">
        <f t="shared" si="2"/>
        <v>D</v>
      </c>
      <c r="Z25" s="3" t="str">
        <f t="shared" si="3"/>
        <v>D</v>
      </c>
      <c r="AA25" s="3" t="str">
        <f t="shared" si="4"/>
        <v>D</v>
      </c>
      <c r="AB25" s="3" t="str">
        <f t="shared" si="5"/>
        <v>C</v>
      </c>
      <c r="AC25" s="3" t="str">
        <f t="shared" si="6"/>
        <v>D</v>
      </c>
      <c r="AD25" s="3" t="str">
        <f t="shared" si="7"/>
        <v>A</v>
      </c>
      <c r="AE25" s="3" t="str">
        <f t="shared" si="8"/>
        <v>A</v>
      </c>
      <c r="AF25" s="24" t="str">
        <f t="shared" si="9"/>
        <v>B</v>
      </c>
      <c r="AG25" s="24" t="str">
        <f t="shared" si="10"/>
        <v>B</v>
      </c>
      <c r="AH25" s="24" t="str">
        <f t="shared" si="11"/>
        <v>E</v>
      </c>
      <c r="AI25" s="24" t="str">
        <f t="shared" si="12"/>
        <v>F</v>
      </c>
      <c r="AJ25" s="24" t="str">
        <f t="shared" si="13"/>
        <v>C</v>
      </c>
      <c r="AK25" s="24" t="str">
        <f t="shared" si="14"/>
        <v>C</v>
      </c>
      <c r="AL25" s="24" t="str">
        <f t="shared" si="15"/>
        <v>C</v>
      </c>
      <c r="AM25" s="24">
        <f t="shared" si="16"/>
        <v>2</v>
      </c>
      <c r="AN25" s="24">
        <f t="shared" si="17"/>
        <v>2</v>
      </c>
      <c r="AO25" s="24">
        <f t="shared" si="18"/>
        <v>3</v>
      </c>
      <c r="AP25" s="24">
        <f t="shared" si="19"/>
        <v>1</v>
      </c>
      <c r="AQ25" s="24">
        <f t="shared" si="20"/>
        <v>5</v>
      </c>
      <c r="AR25" s="24">
        <f t="shared" si="21"/>
        <v>3</v>
      </c>
      <c r="AS25" s="24">
        <f t="shared" si="22"/>
        <v>2</v>
      </c>
      <c r="AT25" s="24">
        <f t="shared" si="23"/>
        <v>1</v>
      </c>
      <c r="AU25" s="24">
        <f t="shared" si="24"/>
        <v>1</v>
      </c>
      <c r="AV25" s="24">
        <f t="shared" si="25"/>
        <v>5</v>
      </c>
      <c r="AW25" s="24">
        <f t="shared" si="26"/>
        <v>1</v>
      </c>
      <c r="AX25" s="24">
        <f t="shared" si="27"/>
        <v>5</v>
      </c>
      <c r="AY25" s="24">
        <f t="shared" si="28"/>
        <v>3</v>
      </c>
      <c r="AZ25" s="24">
        <f t="shared" si="29"/>
        <v>2</v>
      </c>
      <c r="BA25" s="24">
        <f t="shared" si="30"/>
        <v>2</v>
      </c>
      <c r="BB25" s="24">
        <f t="shared" si="31"/>
        <v>2</v>
      </c>
      <c r="BC25" s="24">
        <f t="shared" si="32"/>
        <v>122</v>
      </c>
      <c r="BD25" s="24">
        <f t="shared" si="33"/>
        <v>138.4</v>
      </c>
      <c r="BE25" s="24">
        <f t="shared" si="34"/>
        <v>192</v>
      </c>
      <c r="BF25" s="24">
        <f t="shared" si="35"/>
        <v>63.666666666666671</v>
      </c>
      <c r="BG25" s="24">
        <f t="shared" si="36"/>
        <v>343</v>
      </c>
      <c r="BH25" s="24">
        <f t="shared" si="37"/>
        <v>211</v>
      </c>
      <c r="BI25" s="24">
        <f t="shared" si="38"/>
        <v>139.53333333333336</v>
      </c>
      <c r="BJ25" s="24">
        <f t="shared" si="39"/>
        <v>93</v>
      </c>
      <c r="BK25" s="24">
        <f t="shared" si="40"/>
        <v>93</v>
      </c>
      <c r="BL25" s="26">
        <f t="shared" si="41"/>
        <v>407.23333333333335</v>
      </c>
      <c r="BM25" s="26">
        <f t="shared" si="42"/>
        <v>81.446666666666673</v>
      </c>
      <c r="BN25" s="26">
        <f t="shared" si="43"/>
        <v>262.5</v>
      </c>
      <c r="BO25" s="26">
        <f t="shared" si="44"/>
        <v>141.27000000000001</v>
      </c>
      <c r="BP25" s="26">
        <f t="shared" si="45"/>
        <v>158</v>
      </c>
      <c r="BQ25" s="26">
        <f t="shared" si="46"/>
        <v>150</v>
      </c>
      <c r="BR25" s="26">
        <f t="shared" si="47"/>
        <v>150</v>
      </c>
      <c r="BS25" s="24">
        <f t="shared" si="48"/>
        <v>3</v>
      </c>
      <c r="BT25" s="24">
        <f t="shared" si="49"/>
        <v>3</v>
      </c>
      <c r="BU25" s="24">
        <f t="shared" si="50"/>
        <v>4.5</v>
      </c>
      <c r="BV25" s="24">
        <f t="shared" si="51"/>
        <v>1.5</v>
      </c>
      <c r="BW25" s="24">
        <f t="shared" si="52"/>
        <v>7.5</v>
      </c>
      <c r="BX25" s="24">
        <f t="shared" si="53"/>
        <v>6</v>
      </c>
      <c r="BY25" s="24">
        <f t="shared" si="54"/>
        <v>3</v>
      </c>
      <c r="BZ25" s="24">
        <f t="shared" si="55"/>
        <v>4</v>
      </c>
      <c r="CA25" s="24">
        <f t="shared" si="56"/>
        <v>4</v>
      </c>
      <c r="CB25" s="24">
        <f t="shared" si="57"/>
        <v>15</v>
      </c>
      <c r="CC25" s="24">
        <f t="shared" si="58"/>
        <v>3</v>
      </c>
      <c r="CD25" s="24">
        <f t="shared" si="59"/>
        <v>5</v>
      </c>
      <c r="CE25" s="24">
        <f t="shared" si="60"/>
        <v>0</v>
      </c>
      <c r="CF25" s="24">
        <f t="shared" si="61"/>
        <v>4</v>
      </c>
      <c r="CG25" s="24">
        <f t="shared" si="62"/>
        <v>4</v>
      </c>
      <c r="CH25" s="24">
        <f t="shared" si="63"/>
        <v>4</v>
      </c>
      <c r="CI25" s="24">
        <f t="shared" si="64"/>
        <v>20</v>
      </c>
      <c r="CJ25" s="24">
        <f t="shared" si="83"/>
        <v>1395.6</v>
      </c>
      <c r="CK25" s="26">
        <f t="shared" si="65"/>
        <v>36.5</v>
      </c>
      <c r="CL25" s="26">
        <f t="shared" si="84"/>
        <v>69.78</v>
      </c>
      <c r="CM25" s="24" t="str">
        <f t="shared" si="85"/>
        <v>D</v>
      </c>
      <c r="CN25" s="26">
        <f t="shared" si="66"/>
        <v>1.825</v>
      </c>
      <c r="CO25" s="24">
        <f t="shared" si="67"/>
        <v>20</v>
      </c>
      <c r="CP25" s="26">
        <f t="shared" si="68"/>
        <v>1350.45</v>
      </c>
      <c r="CQ25" s="26">
        <f t="shared" si="69"/>
        <v>35</v>
      </c>
      <c r="CR25" s="26">
        <f t="shared" si="86"/>
        <v>67.522500000000008</v>
      </c>
      <c r="CS25" s="24" t="str">
        <f t="shared" si="87"/>
        <v>D</v>
      </c>
      <c r="CT25" s="27">
        <f t="shared" si="70"/>
        <v>1.75</v>
      </c>
      <c r="CU25" s="24">
        <f t="shared" si="71"/>
        <v>40</v>
      </c>
      <c r="CV25" s="27">
        <f t="shared" si="72"/>
        <v>2746.0499999999997</v>
      </c>
      <c r="CW25" s="27">
        <f t="shared" si="73"/>
        <v>71.5</v>
      </c>
      <c r="CX25" s="26">
        <f t="shared" si="88"/>
        <v>68.65124999999999</v>
      </c>
      <c r="CY25" s="27" t="str">
        <f t="shared" si="89"/>
        <v>D</v>
      </c>
      <c r="CZ25" s="26">
        <f t="shared" si="74"/>
        <v>1.7875000000000001</v>
      </c>
      <c r="DA25" s="24">
        <f t="shared" si="75"/>
        <v>13</v>
      </c>
      <c r="DB25" s="24" t="str">
        <f t="shared" si="76"/>
        <v>6A</v>
      </c>
      <c r="DC25" s="24">
        <f t="shared" si="77"/>
        <v>13</v>
      </c>
      <c r="DD25" s="24">
        <f t="shared" si="78"/>
        <v>50</v>
      </c>
      <c r="DE25" s="1">
        <v>0</v>
      </c>
      <c r="DF25" s="1">
        <v>0</v>
      </c>
      <c r="DG25" s="1">
        <v>1</v>
      </c>
      <c r="DH25" s="24">
        <f t="shared" si="79"/>
        <v>1</v>
      </c>
      <c r="DI25" s="25">
        <f t="shared" si="80"/>
        <v>0.98</v>
      </c>
      <c r="DJ25" t="str">
        <f t="shared" si="81"/>
        <v>2024-2025</v>
      </c>
      <c r="DK25" s="9"/>
      <c r="DL25" s="9"/>
      <c r="DM25" s="9"/>
      <c r="DN25" s="9"/>
      <c r="DO25" s="9"/>
      <c r="DP25" s="9"/>
      <c r="DQ25" s="136" t="b">
        <f t="shared" si="82"/>
        <v>0</v>
      </c>
    </row>
    <row r="26" spans="1:121" ht="27" customHeight="1" x14ac:dyDescent="1.25">
      <c r="A26" s="24">
        <f t="shared" si="90"/>
        <v>12</v>
      </c>
      <c r="B26" s="66" t="s">
        <v>248</v>
      </c>
      <c r="C26" s="69" t="s">
        <v>249</v>
      </c>
      <c r="D26" s="70" t="s">
        <v>124</v>
      </c>
      <c r="E26" s="155">
        <v>769</v>
      </c>
      <c r="F26" s="68" t="s">
        <v>237</v>
      </c>
      <c r="G26" s="22">
        <v>87.666666666666671</v>
      </c>
      <c r="H26" s="22">
        <v>88.266666666666666</v>
      </c>
      <c r="I26" s="22">
        <v>87.433333333333337</v>
      </c>
      <c r="J26" s="22">
        <v>91.666666666666671</v>
      </c>
      <c r="K26" s="22">
        <v>88.3</v>
      </c>
      <c r="L26" s="22">
        <v>84.3</v>
      </c>
      <c r="M26" s="22">
        <v>87.666666666666671</v>
      </c>
      <c r="N26" s="22">
        <v>97</v>
      </c>
      <c r="O26" s="22">
        <v>97</v>
      </c>
      <c r="P26" s="7">
        <v>83.740000000000009</v>
      </c>
      <c r="Q26" s="7">
        <v>83.740000000000009</v>
      </c>
      <c r="R26" s="7">
        <v>84.4</v>
      </c>
      <c r="S26" s="7">
        <v>78.67</v>
      </c>
      <c r="T26" s="7">
        <v>87</v>
      </c>
      <c r="U26" s="7">
        <v>77</v>
      </c>
      <c r="V26" s="7">
        <v>82</v>
      </c>
      <c r="W26" s="3" t="str">
        <f t="shared" si="0"/>
        <v>B</v>
      </c>
      <c r="X26" s="3" t="str">
        <f t="shared" si="1"/>
        <v>B</v>
      </c>
      <c r="Y26" s="3" t="str">
        <f t="shared" si="2"/>
        <v>B</v>
      </c>
      <c r="Z26" s="3" t="str">
        <f t="shared" si="3"/>
        <v>A</v>
      </c>
      <c r="AA26" s="3" t="str">
        <f t="shared" si="4"/>
        <v>B</v>
      </c>
      <c r="AB26" s="3" t="str">
        <f t="shared" si="5"/>
        <v>B</v>
      </c>
      <c r="AC26" s="3" t="str">
        <f t="shared" si="6"/>
        <v>B</v>
      </c>
      <c r="AD26" s="3" t="str">
        <f t="shared" si="7"/>
        <v>A</v>
      </c>
      <c r="AE26" s="3" t="str">
        <f t="shared" si="8"/>
        <v>A</v>
      </c>
      <c r="AF26" s="24" t="str">
        <f t="shared" si="9"/>
        <v>B</v>
      </c>
      <c r="AG26" s="24" t="str">
        <f t="shared" si="10"/>
        <v>B</v>
      </c>
      <c r="AH26" s="24" t="str">
        <f t="shared" si="11"/>
        <v>B</v>
      </c>
      <c r="AI26" s="24" t="str">
        <f t="shared" si="12"/>
        <v>C</v>
      </c>
      <c r="AJ26" s="24" t="str">
        <f t="shared" si="13"/>
        <v>B</v>
      </c>
      <c r="AK26" s="24" t="str">
        <f t="shared" si="14"/>
        <v>C</v>
      </c>
      <c r="AL26" s="24" t="str">
        <f t="shared" si="15"/>
        <v>B</v>
      </c>
      <c r="AM26" s="24">
        <f t="shared" si="16"/>
        <v>2</v>
      </c>
      <c r="AN26" s="24">
        <f t="shared" si="17"/>
        <v>2</v>
      </c>
      <c r="AO26" s="24">
        <f t="shared" si="18"/>
        <v>3</v>
      </c>
      <c r="AP26" s="24">
        <f t="shared" si="19"/>
        <v>1</v>
      </c>
      <c r="AQ26" s="24">
        <f t="shared" si="20"/>
        <v>5</v>
      </c>
      <c r="AR26" s="24">
        <f t="shared" si="21"/>
        <v>3</v>
      </c>
      <c r="AS26" s="24">
        <f t="shared" si="22"/>
        <v>2</v>
      </c>
      <c r="AT26" s="24">
        <f t="shared" si="23"/>
        <v>1</v>
      </c>
      <c r="AU26" s="24">
        <f t="shared" si="24"/>
        <v>1</v>
      </c>
      <c r="AV26" s="24">
        <f t="shared" si="25"/>
        <v>5</v>
      </c>
      <c r="AW26" s="24">
        <f t="shared" si="26"/>
        <v>1</v>
      </c>
      <c r="AX26" s="24">
        <f t="shared" si="27"/>
        <v>5</v>
      </c>
      <c r="AY26" s="24">
        <f t="shared" si="28"/>
        <v>3</v>
      </c>
      <c r="AZ26" s="24">
        <f t="shared" si="29"/>
        <v>2</v>
      </c>
      <c r="BA26" s="24">
        <f t="shared" si="30"/>
        <v>2</v>
      </c>
      <c r="BB26" s="24">
        <f t="shared" si="31"/>
        <v>2</v>
      </c>
      <c r="BC26" s="24">
        <f t="shared" si="32"/>
        <v>175.33333333333334</v>
      </c>
      <c r="BD26" s="24">
        <f t="shared" si="33"/>
        <v>176.53333333333333</v>
      </c>
      <c r="BE26" s="24">
        <f t="shared" si="34"/>
        <v>262.3</v>
      </c>
      <c r="BF26" s="24">
        <f t="shared" si="35"/>
        <v>91.666666666666671</v>
      </c>
      <c r="BG26" s="24">
        <f t="shared" si="36"/>
        <v>441.5</v>
      </c>
      <c r="BH26" s="24">
        <f t="shared" si="37"/>
        <v>252.89999999999998</v>
      </c>
      <c r="BI26" s="24">
        <f t="shared" si="38"/>
        <v>175.33333333333334</v>
      </c>
      <c r="BJ26" s="24">
        <f t="shared" si="39"/>
        <v>97</v>
      </c>
      <c r="BK26" s="24">
        <f t="shared" si="40"/>
        <v>97</v>
      </c>
      <c r="BL26" s="26">
        <f t="shared" si="41"/>
        <v>418.70000000000005</v>
      </c>
      <c r="BM26" s="26">
        <f t="shared" si="42"/>
        <v>83.740000000000009</v>
      </c>
      <c r="BN26" s="26">
        <f t="shared" si="43"/>
        <v>422</v>
      </c>
      <c r="BO26" s="26">
        <f t="shared" si="44"/>
        <v>236.01</v>
      </c>
      <c r="BP26" s="26">
        <f t="shared" si="45"/>
        <v>174</v>
      </c>
      <c r="BQ26" s="26">
        <f t="shared" si="46"/>
        <v>154</v>
      </c>
      <c r="BR26" s="26">
        <f t="shared" si="47"/>
        <v>164</v>
      </c>
      <c r="BS26" s="24">
        <f t="shared" si="48"/>
        <v>6</v>
      </c>
      <c r="BT26" s="24">
        <f t="shared" si="49"/>
        <v>6</v>
      </c>
      <c r="BU26" s="24">
        <f t="shared" si="50"/>
        <v>9</v>
      </c>
      <c r="BV26" s="24">
        <f t="shared" si="51"/>
        <v>4</v>
      </c>
      <c r="BW26" s="24">
        <f t="shared" si="52"/>
        <v>15</v>
      </c>
      <c r="BX26" s="24">
        <f t="shared" si="53"/>
        <v>9</v>
      </c>
      <c r="BY26" s="24">
        <f t="shared" si="54"/>
        <v>6</v>
      </c>
      <c r="BZ26" s="24">
        <f t="shared" si="55"/>
        <v>4</v>
      </c>
      <c r="CA26" s="24">
        <f t="shared" si="56"/>
        <v>4</v>
      </c>
      <c r="CB26" s="24">
        <f t="shared" si="57"/>
        <v>15</v>
      </c>
      <c r="CC26" s="24">
        <f t="shared" si="58"/>
        <v>3</v>
      </c>
      <c r="CD26" s="24">
        <f t="shared" si="59"/>
        <v>15</v>
      </c>
      <c r="CE26" s="24">
        <f t="shared" si="60"/>
        <v>6</v>
      </c>
      <c r="CF26" s="24">
        <f t="shared" si="61"/>
        <v>6</v>
      </c>
      <c r="CG26" s="24">
        <f t="shared" si="62"/>
        <v>4</v>
      </c>
      <c r="CH26" s="24">
        <f t="shared" si="63"/>
        <v>6</v>
      </c>
      <c r="CI26" s="24">
        <f t="shared" si="64"/>
        <v>20</v>
      </c>
      <c r="CJ26" s="24">
        <f t="shared" si="83"/>
        <v>1769.5666666666668</v>
      </c>
      <c r="CK26" s="26">
        <f t="shared" si="65"/>
        <v>63</v>
      </c>
      <c r="CL26" s="26">
        <f t="shared" si="84"/>
        <v>88.478333333333339</v>
      </c>
      <c r="CM26" s="24" t="str">
        <f t="shared" si="85"/>
        <v>B</v>
      </c>
      <c r="CN26" s="26">
        <f t="shared" si="66"/>
        <v>3.15</v>
      </c>
      <c r="CO26" s="24">
        <f t="shared" si="67"/>
        <v>20</v>
      </c>
      <c r="CP26" s="26">
        <f t="shared" si="68"/>
        <v>1652.45</v>
      </c>
      <c r="CQ26" s="26">
        <f t="shared" si="69"/>
        <v>55</v>
      </c>
      <c r="CR26" s="26">
        <f t="shared" si="86"/>
        <v>82.622500000000002</v>
      </c>
      <c r="CS26" s="24" t="str">
        <f t="shared" si="87"/>
        <v>B</v>
      </c>
      <c r="CT26" s="27">
        <f t="shared" si="70"/>
        <v>2.75</v>
      </c>
      <c r="CU26" s="24">
        <f t="shared" si="71"/>
        <v>40</v>
      </c>
      <c r="CV26" s="27">
        <f t="shared" si="72"/>
        <v>3422.0166666666673</v>
      </c>
      <c r="CW26" s="27">
        <f t="shared" si="73"/>
        <v>118</v>
      </c>
      <c r="CX26" s="26">
        <f t="shared" si="88"/>
        <v>85.550416666666678</v>
      </c>
      <c r="CY26" s="27" t="str">
        <f t="shared" si="89"/>
        <v>B</v>
      </c>
      <c r="CZ26" s="26">
        <f t="shared" si="74"/>
        <v>2.95</v>
      </c>
      <c r="DA26" s="24">
        <f t="shared" si="75"/>
        <v>5</v>
      </c>
      <c r="DB26" s="24" t="str">
        <f t="shared" si="76"/>
        <v>6A</v>
      </c>
      <c r="DC26" s="24">
        <f t="shared" si="77"/>
        <v>13</v>
      </c>
      <c r="DD26" s="24">
        <f t="shared" si="78"/>
        <v>50</v>
      </c>
      <c r="DE26" s="1">
        <v>0</v>
      </c>
      <c r="DF26" s="1">
        <v>0</v>
      </c>
      <c r="DG26" s="1">
        <v>0</v>
      </c>
      <c r="DH26" s="24">
        <f t="shared" si="79"/>
        <v>0</v>
      </c>
      <c r="DI26" s="25">
        <f t="shared" si="80"/>
        <v>1</v>
      </c>
      <c r="DJ26" t="str">
        <f t="shared" si="81"/>
        <v>2024-2025</v>
      </c>
      <c r="DK26" s="9"/>
      <c r="DL26" s="9"/>
      <c r="DM26" s="9"/>
      <c r="DN26" s="9"/>
      <c r="DO26" s="9"/>
      <c r="DP26" s="9"/>
      <c r="DQ26" s="136" t="b">
        <f t="shared" si="82"/>
        <v>0</v>
      </c>
    </row>
    <row r="27" spans="1:121" ht="27" customHeight="1" x14ac:dyDescent="1.25">
      <c r="A27" s="24">
        <f t="shared" si="90"/>
        <v>13</v>
      </c>
      <c r="B27" s="66" t="s">
        <v>250</v>
      </c>
      <c r="C27" s="69" t="s">
        <v>251</v>
      </c>
      <c r="D27" s="70" t="s">
        <v>124</v>
      </c>
      <c r="E27" s="155">
        <v>773</v>
      </c>
      <c r="F27" s="68" t="s">
        <v>237</v>
      </c>
      <c r="G27" s="22">
        <v>85</v>
      </c>
      <c r="H27" s="22">
        <v>86.666666666666671</v>
      </c>
      <c r="I27" s="22">
        <v>85.4</v>
      </c>
      <c r="J27" s="22">
        <v>87.333333333333343</v>
      </c>
      <c r="K27" s="22">
        <v>86.066666666666677</v>
      </c>
      <c r="L27" s="22">
        <v>84.966666666666669</v>
      </c>
      <c r="M27" s="22">
        <v>85.166666666666671</v>
      </c>
      <c r="N27" s="22">
        <v>97</v>
      </c>
      <c r="O27" s="22">
        <v>97</v>
      </c>
      <c r="P27" s="7">
        <v>82.44</v>
      </c>
      <c r="Q27" s="7">
        <v>82.44</v>
      </c>
      <c r="R27" s="7">
        <v>60.93</v>
      </c>
      <c r="S27" s="7">
        <v>62.06</v>
      </c>
      <c r="T27" s="7">
        <v>83</v>
      </c>
      <c r="U27" s="7">
        <v>74</v>
      </c>
      <c r="V27" s="7">
        <v>75</v>
      </c>
      <c r="W27" s="3" t="str">
        <f t="shared" si="0"/>
        <v>B</v>
      </c>
      <c r="X27" s="3" t="str">
        <f t="shared" si="1"/>
        <v>B</v>
      </c>
      <c r="Y27" s="3" t="str">
        <f t="shared" si="2"/>
        <v>B</v>
      </c>
      <c r="Z27" s="3" t="str">
        <f t="shared" si="3"/>
        <v>B</v>
      </c>
      <c r="AA27" s="3" t="str">
        <f t="shared" si="4"/>
        <v>B</v>
      </c>
      <c r="AB27" s="3" t="str">
        <f t="shared" si="5"/>
        <v>B</v>
      </c>
      <c r="AC27" s="3" t="str">
        <f t="shared" si="6"/>
        <v>B</v>
      </c>
      <c r="AD27" s="3" t="str">
        <f t="shared" si="7"/>
        <v>A</v>
      </c>
      <c r="AE27" s="3" t="str">
        <f t="shared" si="8"/>
        <v>A</v>
      </c>
      <c r="AF27" s="24" t="str">
        <f t="shared" si="9"/>
        <v>B</v>
      </c>
      <c r="AG27" s="24" t="str">
        <f t="shared" si="10"/>
        <v>B</v>
      </c>
      <c r="AH27" s="24" t="str">
        <f t="shared" si="11"/>
        <v>D</v>
      </c>
      <c r="AI27" s="24" t="str">
        <f t="shared" si="12"/>
        <v>D</v>
      </c>
      <c r="AJ27" s="24" t="str">
        <f t="shared" si="13"/>
        <v>B</v>
      </c>
      <c r="AK27" s="24" t="str">
        <f t="shared" si="14"/>
        <v>C</v>
      </c>
      <c r="AL27" s="24" t="str">
        <f t="shared" si="15"/>
        <v>C</v>
      </c>
      <c r="AM27" s="24">
        <f t="shared" si="16"/>
        <v>2</v>
      </c>
      <c r="AN27" s="24">
        <f t="shared" si="17"/>
        <v>2</v>
      </c>
      <c r="AO27" s="24">
        <f t="shared" si="18"/>
        <v>3</v>
      </c>
      <c r="AP27" s="24">
        <f t="shared" si="19"/>
        <v>1</v>
      </c>
      <c r="AQ27" s="24">
        <f t="shared" si="20"/>
        <v>5</v>
      </c>
      <c r="AR27" s="24">
        <f t="shared" si="21"/>
        <v>3</v>
      </c>
      <c r="AS27" s="24">
        <f t="shared" si="22"/>
        <v>2</v>
      </c>
      <c r="AT27" s="24">
        <f t="shared" si="23"/>
        <v>1</v>
      </c>
      <c r="AU27" s="24">
        <f t="shared" si="24"/>
        <v>1</v>
      </c>
      <c r="AV27" s="24">
        <f t="shared" si="25"/>
        <v>5</v>
      </c>
      <c r="AW27" s="24">
        <f t="shared" si="26"/>
        <v>1</v>
      </c>
      <c r="AX27" s="24">
        <f t="shared" si="27"/>
        <v>5</v>
      </c>
      <c r="AY27" s="24">
        <f t="shared" si="28"/>
        <v>3</v>
      </c>
      <c r="AZ27" s="24">
        <f t="shared" si="29"/>
        <v>2</v>
      </c>
      <c r="BA27" s="24">
        <f t="shared" si="30"/>
        <v>2</v>
      </c>
      <c r="BB27" s="24">
        <f t="shared" si="31"/>
        <v>2</v>
      </c>
      <c r="BC27" s="24">
        <f t="shared" si="32"/>
        <v>170</v>
      </c>
      <c r="BD27" s="24">
        <f t="shared" si="33"/>
        <v>173.33333333333334</v>
      </c>
      <c r="BE27" s="24">
        <f t="shared" si="34"/>
        <v>256.20000000000005</v>
      </c>
      <c r="BF27" s="24">
        <f t="shared" si="35"/>
        <v>87.333333333333343</v>
      </c>
      <c r="BG27" s="24">
        <f t="shared" si="36"/>
        <v>430.33333333333337</v>
      </c>
      <c r="BH27" s="24">
        <f t="shared" si="37"/>
        <v>254.9</v>
      </c>
      <c r="BI27" s="24">
        <f t="shared" si="38"/>
        <v>170.33333333333334</v>
      </c>
      <c r="BJ27" s="24">
        <f t="shared" si="39"/>
        <v>97</v>
      </c>
      <c r="BK27" s="24">
        <f t="shared" si="40"/>
        <v>97</v>
      </c>
      <c r="BL27" s="26">
        <f t="shared" si="41"/>
        <v>412.2</v>
      </c>
      <c r="BM27" s="26">
        <f t="shared" si="42"/>
        <v>82.44</v>
      </c>
      <c r="BN27" s="26">
        <f t="shared" si="43"/>
        <v>304.64999999999998</v>
      </c>
      <c r="BO27" s="26">
        <f t="shared" si="44"/>
        <v>186.18</v>
      </c>
      <c r="BP27" s="26">
        <f t="shared" si="45"/>
        <v>166</v>
      </c>
      <c r="BQ27" s="26">
        <f t="shared" si="46"/>
        <v>148</v>
      </c>
      <c r="BR27" s="26">
        <f t="shared" si="47"/>
        <v>150</v>
      </c>
      <c r="BS27" s="24">
        <f t="shared" si="48"/>
        <v>6</v>
      </c>
      <c r="BT27" s="24">
        <f t="shared" si="49"/>
        <v>6</v>
      </c>
      <c r="BU27" s="24">
        <f t="shared" si="50"/>
        <v>9</v>
      </c>
      <c r="BV27" s="24">
        <f t="shared" si="51"/>
        <v>3</v>
      </c>
      <c r="BW27" s="24">
        <f t="shared" si="52"/>
        <v>15</v>
      </c>
      <c r="BX27" s="24">
        <f t="shared" si="53"/>
        <v>9</v>
      </c>
      <c r="BY27" s="24">
        <f t="shared" si="54"/>
        <v>6</v>
      </c>
      <c r="BZ27" s="24">
        <f t="shared" si="55"/>
        <v>4</v>
      </c>
      <c r="CA27" s="24">
        <f t="shared" si="56"/>
        <v>4</v>
      </c>
      <c r="CB27" s="24">
        <f t="shared" si="57"/>
        <v>15</v>
      </c>
      <c r="CC27" s="24">
        <f t="shared" si="58"/>
        <v>3</v>
      </c>
      <c r="CD27" s="24">
        <f t="shared" si="59"/>
        <v>7.5</v>
      </c>
      <c r="CE27" s="24">
        <f t="shared" si="60"/>
        <v>4.5</v>
      </c>
      <c r="CF27" s="24">
        <f t="shared" si="61"/>
        <v>6</v>
      </c>
      <c r="CG27" s="24">
        <f t="shared" si="62"/>
        <v>4</v>
      </c>
      <c r="CH27" s="24">
        <f t="shared" si="63"/>
        <v>4</v>
      </c>
      <c r="CI27" s="24">
        <f t="shared" si="64"/>
        <v>20</v>
      </c>
      <c r="CJ27" s="24">
        <f t="shared" si="83"/>
        <v>1736.4333333333336</v>
      </c>
      <c r="CK27" s="26">
        <f t="shared" si="65"/>
        <v>62</v>
      </c>
      <c r="CL27" s="26">
        <f t="shared" si="84"/>
        <v>86.821666666666687</v>
      </c>
      <c r="CM27" s="24" t="str">
        <f t="shared" si="85"/>
        <v>B</v>
      </c>
      <c r="CN27" s="26">
        <f t="shared" si="66"/>
        <v>3.1</v>
      </c>
      <c r="CO27" s="24">
        <f t="shared" si="67"/>
        <v>20</v>
      </c>
      <c r="CP27" s="26">
        <f t="shared" si="68"/>
        <v>1449.47</v>
      </c>
      <c r="CQ27" s="26">
        <f t="shared" si="69"/>
        <v>44</v>
      </c>
      <c r="CR27" s="26">
        <f t="shared" si="86"/>
        <v>72.473500000000001</v>
      </c>
      <c r="CS27" s="24" t="str">
        <f t="shared" si="87"/>
        <v>C</v>
      </c>
      <c r="CT27" s="27">
        <f t="shared" si="70"/>
        <v>2.2000000000000002</v>
      </c>
      <c r="CU27" s="24">
        <f t="shared" si="71"/>
        <v>40</v>
      </c>
      <c r="CV27" s="27">
        <f t="shared" si="72"/>
        <v>3185.9033333333336</v>
      </c>
      <c r="CW27" s="27">
        <f t="shared" si="73"/>
        <v>106</v>
      </c>
      <c r="CX27" s="26">
        <f t="shared" si="88"/>
        <v>79.647583333333344</v>
      </c>
      <c r="CY27" s="27" t="str">
        <f t="shared" si="89"/>
        <v>C</v>
      </c>
      <c r="CZ27" s="26">
        <f t="shared" si="74"/>
        <v>2.65</v>
      </c>
      <c r="DA27" s="24">
        <f t="shared" si="75"/>
        <v>9</v>
      </c>
      <c r="DB27" s="24" t="str">
        <f t="shared" si="76"/>
        <v>6A</v>
      </c>
      <c r="DC27" s="24">
        <f t="shared" si="77"/>
        <v>13</v>
      </c>
      <c r="DD27" s="24">
        <f t="shared" si="78"/>
        <v>50</v>
      </c>
      <c r="DE27" s="1">
        <v>0</v>
      </c>
      <c r="DF27" s="1">
        <v>0</v>
      </c>
      <c r="DG27" s="1">
        <v>0</v>
      </c>
      <c r="DH27" s="24">
        <f t="shared" si="79"/>
        <v>0</v>
      </c>
      <c r="DI27" s="25">
        <f t="shared" si="80"/>
        <v>1</v>
      </c>
      <c r="DJ27" t="str">
        <f t="shared" si="81"/>
        <v>2024-2025</v>
      </c>
      <c r="DK27" s="9"/>
      <c r="DL27" s="9"/>
      <c r="DM27" s="9"/>
      <c r="DN27" s="9"/>
      <c r="DO27" s="9"/>
      <c r="DP27" s="9"/>
      <c r="DQ27" s="136" t="b">
        <f t="shared" si="82"/>
        <v>0</v>
      </c>
    </row>
    <row r="28" spans="1:121" ht="27" customHeight="1" x14ac:dyDescent="1.25">
      <c r="A28" s="24" t="str">
        <f t="shared" si="90"/>
        <v/>
      </c>
      <c r="B28" s="66"/>
      <c r="C28" s="69"/>
      <c r="D28" s="70"/>
      <c r="E28" s="70"/>
      <c r="F28" s="69"/>
      <c r="G28" s="22"/>
      <c r="H28" s="22"/>
      <c r="I28" s="22"/>
      <c r="J28" s="22"/>
      <c r="K28" s="22"/>
      <c r="L28" s="22"/>
      <c r="M28" s="22"/>
      <c r="N28" s="22"/>
      <c r="O28" s="22"/>
      <c r="P28" s="7"/>
      <c r="Q28" s="7"/>
      <c r="R28" s="7"/>
      <c r="S28" s="7"/>
      <c r="T28" s="7"/>
      <c r="U28" s="7"/>
      <c r="V28" s="7"/>
      <c r="W28" s="3" t="str">
        <f t="shared" si="0"/>
        <v/>
      </c>
      <c r="X28" s="3" t="str">
        <f t="shared" si="1"/>
        <v/>
      </c>
      <c r="Y28" s="3" t="str">
        <f t="shared" si="2"/>
        <v/>
      </c>
      <c r="Z28" s="3" t="str">
        <f t="shared" si="3"/>
        <v/>
      </c>
      <c r="AA28" s="3" t="str">
        <f t="shared" si="4"/>
        <v/>
      </c>
      <c r="AB28" s="3" t="str">
        <f t="shared" si="5"/>
        <v/>
      </c>
      <c r="AC28" s="3" t="str">
        <f t="shared" si="6"/>
        <v/>
      </c>
      <c r="AD28" s="3" t="str">
        <f t="shared" si="7"/>
        <v/>
      </c>
      <c r="AE28" s="3" t="str">
        <f t="shared" si="8"/>
        <v/>
      </c>
      <c r="AF28" s="24" t="str">
        <f t="shared" si="9"/>
        <v/>
      </c>
      <c r="AG28" s="24" t="str">
        <f t="shared" si="10"/>
        <v/>
      </c>
      <c r="AH28" s="24" t="str">
        <f t="shared" si="11"/>
        <v/>
      </c>
      <c r="AI28" s="24" t="str">
        <f t="shared" si="12"/>
        <v/>
      </c>
      <c r="AJ28" s="24" t="str">
        <f t="shared" si="13"/>
        <v/>
      </c>
      <c r="AK28" s="24" t="str">
        <f t="shared" si="14"/>
        <v/>
      </c>
      <c r="AL28" s="24" t="str">
        <f t="shared" si="15"/>
        <v/>
      </c>
      <c r="AM28" s="24" t="str">
        <f t="shared" si="16"/>
        <v/>
      </c>
      <c r="AN28" s="24" t="str">
        <f t="shared" si="17"/>
        <v/>
      </c>
      <c r="AO28" s="24" t="str">
        <f t="shared" si="18"/>
        <v/>
      </c>
      <c r="AP28" s="24" t="str">
        <f t="shared" si="19"/>
        <v/>
      </c>
      <c r="AQ28" s="24" t="str">
        <f t="shared" si="20"/>
        <v/>
      </c>
      <c r="AR28" s="24" t="str">
        <f t="shared" si="21"/>
        <v/>
      </c>
      <c r="AS28" s="24" t="str">
        <f t="shared" si="22"/>
        <v/>
      </c>
      <c r="AT28" s="24" t="str">
        <f t="shared" si="23"/>
        <v/>
      </c>
      <c r="AU28" s="24" t="str">
        <f t="shared" si="24"/>
        <v/>
      </c>
      <c r="AV28" s="24" t="str">
        <f t="shared" si="25"/>
        <v/>
      </c>
      <c r="AW28" s="24" t="str">
        <f t="shared" si="26"/>
        <v/>
      </c>
      <c r="AX28" s="24" t="str">
        <f t="shared" si="27"/>
        <v/>
      </c>
      <c r="AY28" s="24" t="str">
        <f t="shared" si="28"/>
        <v/>
      </c>
      <c r="AZ28" s="24" t="str">
        <f t="shared" si="29"/>
        <v/>
      </c>
      <c r="BA28" s="24" t="str">
        <f t="shared" si="30"/>
        <v/>
      </c>
      <c r="BB28" s="24" t="str">
        <f t="shared" si="31"/>
        <v/>
      </c>
      <c r="BC28" s="24" t="str">
        <f t="shared" si="32"/>
        <v/>
      </c>
      <c r="BD28" s="24" t="str">
        <f t="shared" si="33"/>
        <v/>
      </c>
      <c r="BE28" s="24" t="str">
        <f t="shared" si="34"/>
        <v/>
      </c>
      <c r="BF28" s="24" t="str">
        <f t="shared" si="35"/>
        <v/>
      </c>
      <c r="BG28" s="24" t="str">
        <f t="shared" si="36"/>
        <v/>
      </c>
      <c r="BH28" s="24" t="str">
        <f t="shared" si="37"/>
        <v/>
      </c>
      <c r="BI28" s="24" t="str">
        <f t="shared" si="38"/>
        <v/>
      </c>
      <c r="BJ28" s="24" t="str">
        <f t="shared" si="39"/>
        <v/>
      </c>
      <c r="BK28" s="24" t="str">
        <f t="shared" si="40"/>
        <v/>
      </c>
      <c r="BL28" s="26" t="str">
        <f t="shared" si="41"/>
        <v/>
      </c>
      <c r="BM28" s="26" t="str">
        <f t="shared" si="42"/>
        <v/>
      </c>
      <c r="BN28" s="26" t="str">
        <f t="shared" si="43"/>
        <v/>
      </c>
      <c r="BO28" s="26" t="str">
        <f t="shared" si="44"/>
        <v/>
      </c>
      <c r="BP28" s="26" t="str">
        <f t="shared" si="45"/>
        <v/>
      </c>
      <c r="BQ28" s="26" t="str">
        <f t="shared" si="46"/>
        <v/>
      </c>
      <c r="BR28" s="26" t="str">
        <f t="shared" si="47"/>
        <v/>
      </c>
      <c r="BS28" s="24" t="str">
        <f t="shared" si="48"/>
        <v/>
      </c>
      <c r="BT28" s="24" t="str">
        <f t="shared" si="49"/>
        <v/>
      </c>
      <c r="BU28" s="24" t="str">
        <f t="shared" si="50"/>
        <v/>
      </c>
      <c r="BV28" s="24" t="str">
        <f t="shared" si="51"/>
        <v/>
      </c>
      <c r="BW28" s="24" t="str">
        <f t="shared" si="52"/>
        <v/>
      </c>
      <c r="BX28" s="24" t="str">
        <f t="shared" si="53"/>
        <v/>
      </c>
      <c r="BY28" s="24" t="str">
        <f t="shared" si="54"/>
        <v/>
      </c>
      <c r="BZ28" s="24" t="str">
        <f t="shared" si="55"/>
        <v/>
      </c>
      <c r="CA28" s="24" t="str">
        <f t="shared" si="56"/>
        <v/>
      </c>
      <c r="CB28" s="24" t="str">
        <f t="shared" si="57"/>
        <v/>
      </c>
      <c r="CC28" s="24" t="str">
        <f t="shared" si="58"/>
        <v/>
      </c>
      <c r="CD28" s="24" t="str">
        <f t="shared" si="59"/>
        <v/>
      </c>
      <c r="CE28" s="24" t="str">
        <f t="shared" si="60"/>
        <v/>
      </c>
      <c r="CF28" s="24" t="str">
        <f t="shared" si="61"/>
        <v/>
      </c>
      <c r="CG28" s="24" t="str">
        <f t="shared" si="62"/>
        <v/>
      </c>
      <c r="CH28" s="24" t="str">
        <f t="shared" si="63"/>
        <v/>
      </c>
      <c r="CI28" s="24" t="str">
        <f t="shared" si="64"/>
        <v/>
      </c>
      <c r="CJ28" s="24" t="str">
        <f t="shared" si="83"/>
        <v/>
      </c>
      <c r="CK28" s="26" t="str">
        <f t="shared" si="65"/>
        <v/>
      </c>
      <c r="CL28" s="26" t="str">
        <f t="shared" si="84"/>
        <v/>
      </c>
      <c r="CM28" s="24" t="str">
        <f t="shared" si="85"/>
        <v/>
      </c>
      <c r="CN28" s="26" t="str">
        <f t="shared" si="66"/>
        <v/>
      </c>
      <c r="CO28" s="24" t="str">
        <f t="shared" si="67"/>
        <v/>
      </c>
      <c r="CP28" s="26" t="str">
        <f t="shared" si="68"/>
        <v/>
      </c>
      <c r="CQ28" s="26" t="str">
        <f t="shared" si="69"/>
        <v/>
      </c>
      <c r="CR28" s="26" t="str">
        <f t="shared" si="86"/>
        <v/>
      </c>
      <c r="CS28" s="24" t="str">
        <f t="shared" si="87"/>
        <v/>
      </c>
      <c r="CT28" s="27" t="str">
        <f t="shared" si="70"/>
        <v/>
      </c>
      <c r="CU28" s="24" t="str">
        <f t="shared" si="71"/>
        <v/>
      </c>
      <c r="CV28" s="27" t="str">
        <f t="shared" si="72"/>
        <v/>
      </c>
      <c r="CW28" s="27" t="str">
        <f t="shared" si="73"/>
        <v/>
      </c>
      <c r="CX28" s="26" t="str">
        <f t="shared" si="88"/>
        <v/>
      </c>
      <c r="CY28" s="27" t="str">
        <f t="shared" si="89"/>
        <v/>
      </c>
      <c r="CZ28" s="26" t="str">
        <f t="shared" si="74"/>
        <v/>
      </c>
      <c r="DA28" s="24" t="str">
        <f t="shared" si="75"/>
        <v/>
      </c>
      <c r="DB28" s="24" t="str">
        <f t="shared" si="76"/>
        <v/>
      </c>
      <c r="DC28" s="24" t="str">
        <f t="shared" si="77"/>
        <v/>
      </c>
      <c r="DD28" s="24" t="str">
        <f t="shared" si="78"/>
        <v/>
      </c>
      <c r="DE28" s="1">
        <v>0</v>
      </c>
      <c r="DF28" s="1">
        <v>0</v>
      </c>
      <c r="DG28" s="1">
        <v>0</v>
      </c>
      <c r="DH28" s="24" t="str">
        <f t="shared" si="79"/>
        <v/>
      </c>
      <c r="DI28" s="25" t="str">
        <f t="shared" si="80"/>
        <v/>
      </c>
      <c r="DJ28" t="str">
        <f t="shared" si="81"/>
        <v/>
      </c>
      <c r="DK28" s="9"/>
      <c r="DL28" s="9"/>
      <c r="DM28" s="9"/>
      <c r="DN28" s="9"/>
      <c r="DO28" s="9"/>
      <c r="DP28" s="9"/>
      <c r="DQ28" s="136" t="b">
        <f t="shared" si="82"/>
        <v>1</v>
      </c>
    </row>
    <row r="29" spans="1:121" ht="27" customHeight="1" x14ac:dyDescent="1.25">
      <c r="A29" s="24" t="str">
        <f t="shared" si="90"/>
        <v/>
      </c>
      <c r="B29" s="69"/>
      <c r="C29" s="69"/>
      <c r="D29" s="70"/>
      <c r="E29" s="70"/>
      <c r="F29" s="69"/>
      <c r="G29" s="22"/>
      <c r="H29" s="22"/>
      <c r="I29" s="22"/>
      <c r="J29" s="22"/>
      <c r="K29" s="22"/>
      <c r="L29" s="22"/>
      <c r="M29" s="22"/>
      <c r="N29" s="22"/>
      <c r="O29" s="22"/>
      <c r="P29" s="7"/>
      <c r="Q29" s="7"/>
      <c r="R29" s="7"/>
      <c r="S29" s="7"/>
      <c r="T29" s="7"/>
      <c r="U29" s="7"/>
      <c r="V29" s="7"/>
      <c r="W29" s="3" t="str">
        <f t="shared" si="0"/>
        <v/>
      </c>
      <c r="X29" s="3" t="str">
        <f t="shared" si="1"/>
        <v/>
      </c>
      <c r="Y29" s="3" t="str">
        <f t="shared" si="2"/>
        <v/>
      </c>
      <c r="Z29" s="3" t="str">
        <f t="shared" si="3"/>
        <v/>
      </c>
      <c r="AA29" s="3" t="str">
        <f t="shared" si="4"/>
        <v/>
      </c>
      <c r="AB29" s="3" t="str">
        <f t="shared" si="5"/>
        <v/>
      </c>
      <c r="AC29" s="3" t="str">
        <f t="shared" si="6"/>
        <v/>
      </c>
      <c r="AD29" s="3" t="str">
        <f t="shared" si="7"/>
        <v/>
      </c>
      <c r="AE29" s="3" t="str">
        <f t="shared" si="8"/>
        <v/>
      </c>
      <c r="AF29" s="24" t="str">
        <f t="shared" si="9"/>
        <v/>
      </c>
      <c r="AG29" s="24" t="str">
        <f t="shared" si="10"/>
        <v/>
      </c>
      <c r="AH29" s="24" t="str">
        <f t="shared" si="11"/>
        <v/>
      </c>
      <c r="AI29" s="24" t="str">
        <f t="shared" si="12"/>
        <v/>
      </c>
      <c r="AJ29" s="24" t="str">
        <f t="shared" si="13"/>
        <v/>
      </c>
      <c r="AK29" s="24" t="str">
        <f t="shared" si="14"/>
        <v/>
      </c>
      <c r="AL29" s="24" t="str">
        <f t="shared" si="15"/>
        <v/>
      </c>
      <c r="AM29" s="24" t="str">
        <f t="shared" si="16"/>
        <v/>
      </c>
      <c r="AN29" s="24" t="str">
        <f t="shared" si="17"/>
        <v/>
      </c>
      <c r="AO29" s="24" t="str">
        <f t="shared" si="18"/>
        <v/>
      </c>
      <c r="AP29" s="24" t="str">
        <f t="shared" si="19"/>
        <v/>
      </c>
      <c r="AQ29" s="24" t="str">
        <f t="shared" si="20"/>
        <v/>
      </c>
      <c r="AR29" s="24" t="str">
        <f t="shared" si="21"/>
        <v/>
      </c>
      <c r="AS29" s="24" t="str">
        <f t="shared" si="22"/>
        <v/>
      </c>
      <c r="AT29" s="24" t="str">
        <f t="shared" si="23"/>
        <v/>
      </c>
      <c r="AU29" s="24" t="str">
        <f t="shared" si="24"/>
        <v/>
      </c>
      <c r="AV29" s="24" t="str">
        <f t="shared" si="25"/>
        <v/>
      </c>
      <c r="AW29" s="24" t="str">
        <f t="shared" si="26"/>
        <v/>
      </c>
      <c r="AX29" s="24" t="str">
        <f t="shared" si="27"/>
        <v/>
      </c>
      <c r="AY29" s="24" t="str">
        <f t="shared" si="28"/>
        <v/>
      </c>
      <c r="AZ29" s="24" t="str">
        <f t="shared" si="29"/>
        <v/>
      </c>
      <c r="BA29" s="24" t="str">
        <f t="shared" si="30"/>
        <v/>
      </c>
      <c r="BB29" s="24" t="str">
        <f t="shared" si="31"/>
        <v/>
      </c>
      <c r="BC29" s="24" t="str">
        <f t="shared" si="32"/>
        <v/>
      </c>
      <c r="BD29" s="24" t="str">
        <f t="shared" si="33"/>
        <v/>
      </c>
      <c r="BE29" s="24" t="str">
        <f t="shared" si="34"/>
        <v/>
      </c>
      <c r="BF29" s="24" t="str">
        <f t="shared" si="35"/>
        <v/>
      </c>
      <c r="BG29" s="24" t="str">
        <f t="shared" si="36"/>
        <v/>
      </c>
      <c r="BH29" s="24" t="str">
        <f t="shared" si="37"/>
        <v/>
      </c>
      <c r="BI29" s="24" t="str">
        <f t="shared" si="38"/>
        <v/>
      </c>
      <c r="BJ29" s="24" t="str">
        <f t="shared" si="39"/>
        <v/>
      </c>
      <c r="BK29" s="24" t="str">
        <f t="shared" si="40"/>
        <v/>
      </c>
      <c r="BL29" s="26" t="str">
        <f t="shared" si="41"/>
        <v/>
      </c>
      <c r="BM29" s="26" t="str">
        <f t="shared" si="42"/>
        <v/>
      </c>
      <c r="BN29" s="26" t="str">
        <f t="shared" si="43"/>
        <v/>
      </c>
      <c r="BO29" s="26" t="str">
        <f t="shared" si="44"/>
        <v/>
      </c>
      <c r="BP29" s="26" t="str">
        <f t="shared" si="45"/>
        <v/>
      </c>
      <c r="BQ29" s="26" t="str">
        <f t="shared" si="46"/>
        <v/>
      </c>
      <c r="BR29" s="26" t="str">
        <f t="shared" si="47"/>
        <v/>
      </c>
      <c r="BS29" s="24" t="str">
        <f t="shared" si="48"/>
        <v/>
      </c>
      <c r="BT29" s="24" t="str">
        <f t="shared" si="49"/>
        <v/>
      </c>
      <c r="BU29" s="24" t="str">
        <f t="shared" si="50"/>
        <v/>
      </c>
      <c r="BV29" s="24" t="str">
        <f t="shared" si="51"/>
        <v/>
      </c>
      <c r="BW29" s="24" t="str">
        <f t="shared" si="52"/>
        <v/>
      </c>
      <c r="BX29" s="24" t="str">
        <f t="shared" si="53"/>
        <v/>
      </c>
      <c r="BY29" s="24" t="str">
        <f t="shared" si="54"/>
        <v/>
      </c>
      <c r="BZ29" s="24" t="str">
        <f t="shared" si="55"/>
        <v/>
      </c>
      <c r="CA29" s="24" t="str">
        <f t="shared" si="56"/>
        <v/>
      </c>
      <c r="CB29" s="24" t="str">
        <f t="shared" si="57"/>
        <v/>
      </c>
      <c r="CC29" s="24" t="str">
        <f t="shared" si="58"/>
        <v/>
      </c>
      <c r="CD29" s="24" t="str">
        <f t="shared" si="59"/>
        <v/>
      </c>
      <c r="CE29" s="24" t="str">
        <f t="shared" si="60"/>
        <v/>
      </c>
      <c r="CF29" s="24" t="str">
        <f t="shared" si="61"/>
        <v/>
      </c>
      <c r="CG29" s="24" t="str">
        <f t="shared" si="62"/>
        <v/>
      </c>
      <c r="CH29" s="24" t="str">
        <f t="shared" si="63"/>
        <v/>
      </c>
      <c r="CI29" s="24" t="str">
        <f t="shared" si="64"/>
        <v/>
      </c>
      <c r="CJ29" s="24" t="str">
        <f t="shared" si="83"/>
        <v/>
      </c>
      <c r="CK29" s="26" t="str">
        <f t="shared" si="65"/>
        <v/>
      </c>
      <c r="CL29" s="26" t="str">
        <f t="shared" si="84"/>
        <v/>
      </c>
      <c r="CM29" s="24" t="str">
        <f t="shared" si="85"/>
        <v/>
      </c>
      <c r="CN29" s="26" t="str">
        <f t="shared" si="66"/>
        <v/>
      </c>
      <c r="CO29" s="24" t="str">
        <f t="shared" si="67"/>
        <v/>
      </c>
      <c r="CP29" s="26" t="str">
        <f t="shared" si="68"/>
        <v/>
      </c>
      <c r="CQ29" s="26" t="str">
        <f t="shared" si="69"/>
        <v/>
      </c>
      <c r="CR29" s="26" t="str">
        <f t="shared" si="86"/>
        <v/>
      </c>
      <c r="CS29" s="24" t="str">
        <f t="shared" si="87"/>
        <v/>
      </c>
      <c r="CT29" s="27" t="str">
        <f t="shared" si="70"/>
        <v/>
      </c>
      <c r="CU29" s="24" t="str">
        <f t="shared" si="71"/>
        <v/>
      </c>
      <c r="CV29" s="27" t="str">
        <f t="shared" si="72"/>
        <v/>
      </c>
      <c r="CW29" s="27" t="str">
        <f t="shared" si="73"/>
        <v/>
      </c>
      <c r="CX29" s="26" t="str">
        <f t="shared" si="88"/>
        <v/>
      </c>
      <c r="CY29" s="27" t="str">
        <f t="shared" si="89"/>
        <v/>
      </c>
      <c r="CZ29" s="26" t="str">
        <f t="shared" si="74"/>
        <v/>
      </c>
      <c r="DA29" s="24" t="str">
        <f t="shared" si="75"/>
        <v/>
      </c>
      <c r="DB29" s="24" t="str">
        <f t="shared" si="76"/>
        <v/>
      </c>
      <c r="DC29" s="24" t="str">
        <f t="shared" si="77"/>
        <v/>
      </c>
      <c r="DD29" s="24" t="str">
        <f t="shared" si="78"/>
        <v/>
      </c>
      <c r="DE29" s="1">
        <v>0</v>
      </c>
      <c r="DF29" s="1">
        <v>0</v>
      </c>
      <c r="DG29" s="1">
        <v>0</v>
      </c>
      <c r="DH29" s="24" t="str">
        <f t="shared" si="79"/>
        <v/>
      </c>
      <c r="DI29" s="25" t="str">
        <f t="shared" si="80"/>
        <v/>
      </c>
      <c r="DJ29" t="str">
        <f t="shared" si="81"/>
        <v/>
      </c>
      <c r="DK29" s="9"/>
      <c r="DL29" s="9"/>
      <c r="DM29" s="9"/>
      <c r="DN29" s="9"/>
      <c r="DO29" s="9"/>
      <c r="DP29" s="9"/>
      <c r="DQ29" s="136" t="b">
        <f t="shared" si="82"/>
        <v>1</v>
      </c>
    </row>
    <row r="30" spans="1:121" ht="27" customHeight="1" x14ac:dyDescent="1.25">
      <c r="A30" s="24" t="str">
        <f t="shared" si="90"/>
        <v/>
      </c>
      <c r="B30" s="69"/>
      <c r="C30" s="69"/>
      <c r="D30" s="70"/>
      <c r="E30" s="70"/>
      <c r="F30" s="69"/>
      <c r="G30" s="22"/>
      <c r="H30" s="22"/>
      <c r="I30" s="22"/>
      <c r="J30" s="22"/>
      <c r="K30" s="22"/>
      <c r="L30" s="22"/>
      <c r="M30" s="22"/>
      <c r="N30" s="22"/>
      <c r="O30" s="22"/>
      <c r="P30" s="7"/>
      <c r="Q30" s="7"/>
      <c r="R30" s="7"/>
      <c r="S30" s="7"/>
      <c r="T30" s="7"/>
      <c r="U30" s="7"/>
      <c r="V30" s="7"/>
      <c r="W30" s="3" t="str">
        <f t="shared" si="0"/>
        <v/>
      </c>
      <c r="X30" s="3" t="str">
        <f t="shared" si="1"/>
        <v/>
      </c>
      <c r="Y30" s="3" t="str">
        <f t="shared" si="2"/>
        <v/>
      </c>
      <c r="Z30" s="3" t="str">
        <f t="shared" si="3"/>
        <v/>
      </c>
      <c r="AA30" s="3" t="str">
        <f t="shared" si="4"/>
        <v/>
      </c>
      <c r="AB30" s="3" t="str">
        <f t="shared" si="5"/>
        <v/>
      </c>
      <c r="AC30" s="3" t="str">
        <f t="shared" si="6"/>
        <v/>
      </c>
      <c r="AD30" s="3" t="str">
        <f t="shared" si="7"/>
        <v/>
      </c>
      <c r="AE30" s="3" t="str">
        <f t="shared" si="8"/>
        <v/>
      </c>
      <c r="AF30" s="24" t="str">
        <f t="shared" si="9"/>
        <v/>
      </c>
      <c r="AG30" s="24" t="str">
        <f t="shared" si="10"/>
        <v/>
      </c>
      <c r="AH30" s="24" t="str">
        <f t="shared" si="11"/>
        <v/>
      </c>
      <c r="AI30" s="24" t="str">
        <f t="shared" si="12"/>
        <v/>
      </c>
      <c r="AJ30" s="24" t="str">
        <f t="shared" si="13"/>
        <v/>
      </c>
      <c r="AK30" s="24" t="str">
        <f t="shared" si="14"/>
        <v/>
      </c>
      <c r="AL30" s="24" t="str">
        <f t="shared" si="15"/>
        <v/>
      </c>
      <c r="AM30" s="24" t="str">
        <f t="shared" si="16"/>
        <v/>
      </c>
      <c r="AN30" s="24" t="str">
        <f t="shared" si="17"/>
        <v/>
      </c>
      <c r="AO30" s="24" t="str">
        <f t="shared" si="18"/>
        <v/>
      </c>
      <c r="AP30" s="24" t="str">
        <f t="shared" si="19"/>
        <v/>
      </c>
      <c r="AQ30" s="24" t="str">
        <f t="shared" si="20"/>
        <v/>
      </c>
      <c r="AR30" s="24" t="str">
        <f t="shared" si="21"/>
        <v/>
      </c>
      <c r="AS30" s="24" t="str">
        <f t="shared" si="22"/>
        <v/>
      </c>
      <c r="AT30" s="24" t="str">
        <f t="shared" si="23"/>
        <v/>
      </c>
      <c r="AU30" s="24" t="str">
        <f t="shared" si="24"/>
        <v/>
      </c>
      <c r="AV30" s="24" t="str">
        <f t="shared" si="25"/>
        <v/>
      </c>
      <c r="AW30" s="24" t="str">
        <f t="shared" si="26"/>
        <v/>
      </c>
      <c r="AX30" s="24" t="str">
        <f t="shared" si="27"/>
        <v/>
      </c>
      <c r="AY30" s="24" t="str">
        <f t="shared" si="28"/>
        <v/>
      </c>
      <c r="AZ30" s="24" t="str">
        <f t="shared" si="29"/>
        <v/>
      </c>
      <c r="BA30" s="24" t="str">
        <f t="shared" si="30"/>
        <v/>
      </c>
      <c r="BB30" s="24" t="str">
        <f t="shared" si="31"/>
        <v/>
      </c>
      <c r="BC30" s="24" t="str">
        <f t="shared" si="32"/>
        <v/>
      </c>
      <c r="BD30" s="24" t="str">
        <f t="shared" si="33"/>
        <v/>
      </c>
      <c r="BE30" s="24" t="str">
        <f t="shared" si="34"/>
        <v/>
      </c>
      <c r="BF30" s="24" t="str">
        <f t="shared" si="35"/>
        <v/>
      </c>
      <c r="BG30" s="24" t="str">
        <f t="shared" si="36"/>
        <v/>
      </c>
      <c r="BH30" s="24" t="str">
        <f t="shared" si="37"/>
        <v/>
      </c>
      <c r="BI30" s="24" t="str">
        <f t="shared" si="38"/>
        <v/>
      </c>
      <c r="BJ30" s="24" t="str">
        <f t="shared" si="39"/>
        <v/>
      </c>
      <c r="BK30" s="24" t="str">
        <f t="shared" si="40"/>
        <v/>
      </c>
      <c r="BL30" s="26" t="str">
        <f t="shared" si="41"/>
        <v/>
      </c>
      <c r="BM30" s="26" t="str">
        <f t="shared" si="42"/>
        <v/>
      </c>
      <c r="BN30" s="26" t="str">
        <f t="shared" si="43"/>
        <v/>
      </c>
      <c r="BO30" s="26" t="str">
        <f t="shared" si="44"/>
        <v/>
      </c>
      <c r="BP30" s="26" t="str">
        <f t="shared" si="45"/>
        <v/>
      </c>
      <c r="BQ30" s="26" t="str">
        <f t="shared" si="46"/>
        <v/>
      </c>
      <c r="BR30" s="26" t="str">
        <f t="shared" si="47"/>
        <v/>
      </c>
      <c r="BS30" s="24" t="str">
        <f t="shared" ref="BS30:BS61" si="91">IF(OR(AM30="",W30=""),"",AM30*(IF(OR(W30="A",W30="a"),4,(IF(OR(W538="B",W30="b"),3,(IF(OR(W30="C",W30="c"),2,(IF(OR(W30="D",W30="d"),1.5,(IF(OR(W30="E",W30="e"),1,(IF(OR(W30="F",W30="f"),0)))))))))))))</f>
        <v/>
      </c>
      <c r="BT30" s="24" t="str">
        <f t="shared" ref="BT30:BT61" si="92">IF(OR(AN30="",X30=""),"",AN30*(IF(OR(X30="A",X30="a"),4,(IF(OR(X538="B",X30="b"),3,(IF(OR(X30="C",X30="c"),2,(IF(OR(X30="D",X30="d"),1.5,(IF(OR(X30="E",X30="e"),1,(IF(OR(X30="F",X30="f"),0)))))))))))))</f>
        <v/>
      </c>
      <c r="BU30" s="24" t="str">
        <f t="shared" ref="BU30:BU61" si="93">IF(OR(AO30="",Y30=""),"",AO30*(IF(OR(Y30="A",Y30="a"),4,(IF(OR(Y538="B",Y30="b"),3,(IF(OR(Y30="C",Y30="c"),2,(IF(OR(Y30="D",Y30="d"),1.5,(IF(OR(Y30="E",Y30="e"),1,(IF(OR(Y30="F",Y30="f"),0)))))))))))))</f>
        <v/>
      </c>
      <c r="BV30" s="24" t="str">
        <f t="shared" ref="BV30:BV61" si="94">IF(OR(AP30="",Z30=""),"",AP30*(IF(OR(Z30="A",Z30="a"),4,(IF(OR(Z538="B",Z30="b"),3,(IF(OR(Z30="C",Z30="c"),2,(IF(OR(Z30="D",Z30="d"),1.5,(IF(OR(Z30="E",Z30="e"),1,(IF(OR(Z30="F",Z30="f"),0)))))))))))))</f>
        <v/>
      </c>
      <c r="BW30" s="24" t="str">
        <f t="shared" ref="BW30:BW61" si="95">IF(OR(AQ30="",AA30=""),"",AQ30*(IF(OR(AA30="A",AA30="a"),4,(IF(OR(AA538="B",AA30="b"),3,(IF(OR(AA30="C",AA30="c"),2,(IF(OR(AA30="D",AA30="d"),1.5,(IF(OR(AA30="E",AA30="e"),1,(IF(OR(AA30="F",AA30="f"),0)))))))))))))</f>
        <v/>
      </c>
      <c r="BX30" s="24" t="str">
        <f t="shared" ref="BX30:BX61" si="96">IF(OR(AR30="",AB30=""),"",AR30*(IF(OR(AB30="A",AB30="a"),4,(IF(OR(AB538="B",AB30="b"),3,(IF(OR(AB30="C",AB30="c"),2,(IF(OR(AB30="D",AB30="d"),1.5,(IF(OR(AB30="E",AB30="e"),1,(IF(OR(AB30="F",AB30="f"),0)))))))))))))</f>
        <v/>
      </c>
      <c r="BY30" s="24" t="str">
        <f t="shared" ref="BY30:BY61" si="97">IF(OR(AS30="",AC30=""),"",AS30*(IF(OR(AC30="A",AC30="a"),4,(IF(OR(AC538="B",AC30="b"),3,(IF(OR(AC30="C",AC30="c"),2,(IF(OR(AC30="D",AC30="d"),1.5,(IF(OR(AC30="E",AC30="e"),1,(IF(OR(AC30="F",AC30="f"),0)))))))))))))</f>
        <v/>
      </c>
      <c r="BZ30" s="24" t="str">
        <f t="shared" ref="BZ30:BZ61" si="98">IF(OR(AT30="",AD30=""),"",AT30*(IF(OR(AD30="A",AD30="a"),4,(IF(OR(AD538="B",AD30="b"),3,(IF(OR(AD30="C",AD30="c"),2,(IF(OR(AD30="D",AD30="d"),1.5,(IF(OR(AD30="E",AD30="e"),1,(IF(OR(AD30="F",AD30="f"),0)))))))))))))</f>
        <v/>
      </c>
      <c r="CA30" s="24" t="str">
        <f t="shared" ref="CA30:CA61" si="99">IF(OR(AU30="",AE30=""),"",AU30*(IF(OR(AE30="A",AE30="a"),4,(IF(OR(AE538="B",AE30="b"),3,(IF(OR(AE30="C",AE30="c"),2,(IF(OR(AE30="D",AE30="d"),1.5,(IF(OR(AE30="E",AE30="e"),1,(IF(OR(AE30="F",AE30="f"),0)))))))))))))</f>
        <v/>
      </c>
      <c r="CB30" s="24" t="str">
        <f t="shared" ref="CB30:CB61" si="100">IF(OR(AV30="",AF30=""),"",AV30*(IF(OR(AF30="A",AF30="a"),4,(IF(OR(AF539="B",AF30="b"),3,(IF(OR(AF30="C",AF30="c"),2,(IF(OR(AF30="D",AF30="d"),1.5,(IF(OR(AF30="E",AF30="e"),1,(IF(OR(AF30="F",AF30="f"),0)))))))))))))</f>
        <v/>
      </c>
      <c r="CC30" s="24" t="str">
        <f t="shared" ref="CC30:CC61" si="101">IF(OR(AW30="",AG30=""),"",AW30*(IF(OR(AG30="A",AG30="a"),4,(IF(OR(AG539="B",AG30="b"),3,(IF(OR(AG30="C",AG30="c"),2,(IF(OR(AG30="D",AG30="d"),1.5,(IF(OR(AG30="E",AG30="e"),1,(IF(OR(AG30="F",AG30="f"),0)))))))))))))</f>
        <v/>
      </c>
      <c r="CD30" s="24" t="str">
        <f t="shared" ref="CD30:CD61" si="102">IF(OR(AX30="",AH30=""),"",AX30*(IF(OR(AH30="A",AH30="a"),4,(IF(OR(AH539="B",AH30="b"),3,(IF(OR(AH30="C",AH30="c"),2,(IF(OR(AH30="D",AH30="d"),1.5,(IF(OR(AH30="E",AH30="e"),1,(IF(OR(AH30="F",AH30="f"),0)))))))))))))</f>
        <v/>
      </c>
      <c r="CE30" s="24" t="str">
        <f t="shared" ref="CE30:CE61" si="103">IF(OR(AY30="",AI30=""),"",AY30*(IF(OR(AI30="A",AI30="a"),4,(IF(OR(AI538="B",AI30="b"),3,(IF(OR(AI30="C",AI30="c"),2,(IF(OR(AI30="D",AI30="d"),1.5,(IF(OR(AI30="E",AI30="e"),1,(IF(OR(AI30="F",AI30="f"),0)))))))))))))</f>
        <v/>
      </c>
      <c r="CF30" s="24" t="str">
        <f t="shared" ref="CF30:CF61" si="104">IF(OR(AZ30="",AJ30=""),"",AZ30*(IF(OR(AJ30="A",AJ30="a"),4,(IF(OR(AJ539="B",AJ30="b"),3,(IF(OR(AJ30="C",AJ30="c"),2,(IF(OR(AJ30="D",AJ30="d"),1.5,(IF(OR(AJ30="E",AJ30="e"),1,(IF(OR(AJ30="F",AJ30="f"),0)))))))))))))</f>
        <v/>
      </c>
      <c r="CG30" s="24" t="str">
        <f t="shared" ref="CG30:CG61" si="105">IF(OR(BA30="",AK30=""),"",BA30*(IF(OR(AK30="A",AK30="a"),4,(IF(OR(AK539="B",AK30="b"),3,(IF(OR(AK30="C",AK30="c"),2,(IF(OR(AK30="D",AK30="d"),1.5,(IF(OR(AK30="E",AK30="e"),1,(IF(OR(AK30="F",AK30="f"),0)))))))))))))</f>
        <v/>
      </c>
      <c r="CH30" s="24" t="str">
        <f t="shared" ref="CH30:CH61" si="106">IF(OR(BB30="",AL30=""),"",BB30*(IF(OR(AL30="A",AL30="a"),4,(IF(OR(AL539="B",AL30="b"),3,(IF(OR(AL30="C",AL30="c"),2,(IF(OR(AL30="D",AL30="d"),1.5,(IF(OR(AL30="E",AL30="e"),1,(IF(OR(AL30="F",AL30="f"),0)))))))))))))</f>
        <v/>
      </c>
      <c r="CI30" s="24" t="str">
        <f t="shared" si="64"/>
        <v/>
      </c>
      <c r="CJ30" s="24" t="str">
        <f t="shared" si="83"/>
        <v/>
      </c>
      <c r="CK30" s="26" t="str">
        <f t="shared" si="65"/>
        <v/>
      </c>
      <c r="CL30" s="26" t="str">
        <f t="shared" si="84"/>
        <v/>
      </c>
      <c r="CM30" s="24" t="str">
        <f t="shared" si="85"/>
        <v/>
      </c>
      <c r="CN30" s="26" t="str">
        <f t="shared" si="66"/>
        <v/>
      </c>
      <c r="CO30" s="24" t="str">
        <f t="shared" si="67"/>
        <v/>
      </c>
      <c r="CP30" s="26" t="str">
        <f t="shared" si="68"/>
        <v/>
      </c>
      <c r="CQ30" s="26" t="str">
        <f t="shared" si="69"/>
        <v/>
      </c>
      <c r="CR30" s="26" t="str">
        <f t="shared" si="86"/>
        <v/>
      </c>
      <c r="CS30" s="24" t="str">
        <f t="shared" si="87"/>
        <v/>
      </c>
      <c r="CT30" s="27" t="str">
        <f t="shared" si="70"/>
        <v/>
      </c>
      <c r="CU30" s="24" t="str">
        <f t="shared" si="71"/>
        <v/>
      </c>
      <c r="CV30" s="27" t="str">
        <f t="shared" si="72"/>
        <v/>
      </c>
      <c r="CW30" s="27" t="str">
        <f t="shared" si="73"/>
        <v/>
      </c>
      <c r="CX30" s="26" t="str">
        <f t="shared" si="88"/>
        <v/>
      </c>
      <c r="CY30" s="27" t="str">
        <f t="shared" si="89"/>
        <v/>
      </c>
      <c r="CZ30" s="26" t="str">
        <f t="shared" si="74"/>
        <v/>
      </c>
      <c r="DA30" s="24" t="str">
        <f t="shared" si="75"/>
        <v/>
      </c>
      <c r="DB30" s="24" t="str">
        <f t="shared" si="76"/>
        <v/>
      </c>
      <c r="DC30" s="24" t="str">
        <f t="shared" si="77"/>
        <v/>
      </c>
      <c r="DD30" s="24" t="str">
        <f t="shared" si="78"/>
        <v/>
      </c>
      <c r="DE30" s="1">
        <v>0</v>
      </c>
      <c r="DF30" s="1">
        <v>0</v>
      </c>
      <c r="DG30" s="1">
        <v>0</v>
      </c>
      <c r="DH30" s="24" t="str">
        <f t="shared" si="79"/>
        <v/>
      </c>
      <c r="DI30" s="25" t="str">
        <f t="shared" si="80"/>
        <v/>
      </c>
      <c r="DJ30" t="str">
        <f t="shared" si="81"/>
        <v/>
      </c>
      <c r="DK30" s="9"/>
      <c r="DL30" s="9"/>
      <c r="DM30" s="9"/>
      <c r="DN30" s="9"/>
      <c r="DO30" s="9"/>
      <c r="DP30" s="9"/>
      <c r="DQ30" s="136" t="b">
        <f t="shared" si="82"/>
        <v>1</v>
      </c>
    </row>
    <row r="31" spans="1:121" ht="27" customHeight="1" x14ac:dyDescent="1.25">
      <c r="A31" s="24" t="str">
        <f t="shared" si="90"/>
        <v/>
      </c>
      <c r="B31" s="69"/>
      <c r="C31" s="69"/>
      <c r="D31" s="70"/>
      <c r="E31" s="70"/>
      <c r="F31" s="69"/>
      <c r="G31" s="22"/>
      <c r="H31" s="22"/>
      <c r="I31" s="22"/>
      <c r="J31" s="22"/>
      <c r="K31" s="22"/>
      <c r="L31" s="22"/>
      <c r="M31" s="22"/>
      <c r="N31" s="22"/>
      <c r="O31" s="22"/>
      <c r="P31" s="7"/>
      <c r="Q31" s="7"/>
      <c r="R31" s="7"/>
      <c r="S31" s="7"/>
      <c r="T31" s="7"/>
      <c r="U31" s="7"/>
      <c r="V31" s="7"/>
      <c r="W31" s="3" t="str">
        <f t="shared" si="0"/>
        <v/>
      </c>
      <c r="X31" s="3" t="str">
        <f t="shared" si="1"/>
        <v/>
      </c>
      <c r="Y31" s="3" t="str">
        <f t="shared" si="2"/>
        <v/>
      </c>
      <c r="Z31" s="3" t="str">
        <f t="shared" si="3"/>
        <v/>
      </c>
      <c r="AA31" s="3" t="str">
        <f t="shared" si="4"/>
        <v/>
      </c>
      <c r="AB31" s="3" t="str">
        <f t="shared" si="5"/>
        <v/>
      </c>
      <c r="AC31" s="3" t="str">
        <f t="shared" si="6"/>
        <v/>
      </c>
      <c r="AD31" s="3" t="str">
        <f t="shared" si="7"/>
        <v/>
      </c>
      <c r="AE31" s="3" t="str">
        <f t="shared" si="8"/>
        <v/>
      </c>
      <c r="AF31" s="24" t="str">
        <f t="shared" si="9"/>
        <v/>
      </c>
      <c r="AG31" s="24" t="str">
        <f t="shared" si="10"/>
        <v/>
      </c>
      <c r="AH31" s="24" t="str">
        <f t="shared" si="11"/>
        <v/>
      </c>
      <c r="AI31" s="24" t="str">
        <f t="shared" si="12"/>
        <v/>
      </c>
      <c r="AJ31" s="24" t="str">
        <f t="shared" si="13"/>
        <v/>
      </c>
      <c r="AK31" s="24" t="str">
        <f t="shared" si="14"/>
        <v/>
      </c>
      <c r="AL31" s="24" t="str">
        <f t="shared" si="15"/>
        <v/>
      </c>
      <c r="AM31" s="24" t="str">
        <f t="shared" si="16"/>
        <v/>
      </c>
      <c r="AN31" s="24" t="str">
        <f t="shared" si="17"/>
        <v/>
      </c>
      <c r="AO31" s="24" t="str">
        <f t="shared" si="18"/>
        <v/>
      </c>
      <c r="AP31" s="24" t="str">
        <f t="shared" si="19"/>
        <v/>
      </c>
      <c r="AQ31" s="24" t="str">
        <f t="shared" si="20"/>
        <v/>
      </c>
      <c r="AR31" s="24" t="str">
        <f t="shared" si="21"/>
        <v/>
      </c>
      <c r="AS31" s="24" t="str">
        <f t="shared" si="22"/>
        <v/>
      </c>
      <c r="AT31" s="24" t="str">
        <f t="shared" si="23"/>
        <v/>
      </c>
      <c r="AU31" s="24" t="str">
        <f t="shared" si="24"/>
        <v/>
      </c>
      <c r="AV31" s="24" t="str">
        <f t="shared" si="25"/>
        <v/>
      </c>
      <c r="AW31" s="24" t="str">
        <f t="shared" si="26"/>
        <v/>
      </c>
      <c r="AX31" s="24" t="str">
        <f t="shared" si="27"/>
        <v/>
      </c>
      <c r="AY31" s="24" t="str">
        <f t="shared" si="28"/>
        <v/>
      </c>
      <c r="AZ31" s="24" t="str">
        <f t="shared" si="29"/>
        <v/>
      </c>
      <c r="BA31" s="24" t="str">
        <f t="shared" si="30"/>
        <v/>
      </c>
      <c r="BB31" s="24" t="str">
        <f t="shared" si="31"/>
        <v/>
      </c>
      <c r="BC31" s="24" t="str">
        <f t="shared" si="32"/>
        <v/>
      </c>
      <c r="BD31" s="24" t="str">
        <f t="shared" si="33"/>
        <v/>
      </c>
      <c r="BE31" s="24" t="str">
        <f t="shared" si="34"/>
        <v/>
      </c>
      <c r="BF31" s="24" t="str">
        <f t="shared" si="35"/>
        <v/>
      </c>
      <c r="BG31" s="24" t="str">
        <f t="shared" si="36"/>
        <v/>
      </c>
      <c r="BH31" s="24" t="str">
        <f t="shared" si="37"/>
        <v/>
      </c>
      <c r="BI31" s="24" t="str">
        <f t="shared" si="38"/>
        <v/>
      </c>
      <c r="BJ31" s="24" t="str">
        <f t="shared" si="39"/>
        <v/>
      </c>
      <c r="BK31" s="24" t="str">
        <f t="shared" si="40"/>
        <v/>
      </c>
      <c r="BL31" s="26" t="str">
        <f t="shared" si="41"/>
        <v/>
      </c>
      <c r="BM31" s="26" t="str">
        <f t="shared" si="42"/>
        <v/>
      </c>
      <c r="BN31" s="26" t="str">
        <f t="shared" si="43"/>
        <v/>
      </c>
      <c r="BO31" s="26" t="str">
        <f t="shared" si="44"/>
        <v/>
      </c>
      <c r="BP31" s="26" t="str">
        <f t="shared" si="45"/>
        <v/>
      </c>
      <c r="BQ31" s="26" t="str">
        <f t="shared" si="46"/>
        <v/>
      </c>
      <c r="BR31" s="26" t="str">
        <f t="shared" si="47"/>
        <v/>
      </c>
      <c r="BS31" s="24" t="str">
        <f t="shared" si="91"/>
        <v/>
      </c>
      <c r="BT31" s="24" t="str">
        <f t="shared" si="92"/>
        <v/>
      </c>
      <c r="BU31" s="24" t="str">
        <f t="shared" si="93"/>
        <v/>
      </c>
      <c r="BV31" s="24" t="str">
        <f t="shared" si="94"/>
        <v/>
      </c>
      <c r="BW31" s="24" t="str">
        <f t="shared" si="95"/>
        <v/>
      </c>
      <c r="BX31" s="24" t="str">
        <f t="shared" si="96"/>
        <v/>
      </c>
      <c r="BY31" s="24" t="str">
        <f t="shared" si="97"/>
        <v/>
      </c>
      <c r="BZ31" s="24" t="str">
        <f t="shared" si="98"/>
        <v/>
      </c>
      <c r="CA31" s="24" t="str">
        <f t="shared" si="99"/>
        <v/>
      </c>
      <c r="CB31" s="24" t="str">
        <f t="shared" si="100"/>
        <v/>
      </c>
      <c r="CC31" s="24" t="str">
        <f t="shared" si="101"/>
        <v/>
      </c>
      <c r="CD31" s="24" t="str">
        <f t="shared" si="102"/>
        <v/>
      </c>
      <c r="CE31" s="24" t="str">
        <f t="shared" si="103"/>
        <v/>
      </c>
      <c r="CF31" s="24" t="str">
        <f t="shared" si="104"/>
        <v/>
      </c>
      <c r="CG31" s="24" t="str">
        <f t="shared" si="105"/>
        <v/>
      </c>
      <c r="CH31" s="24" t="str">
        <f t="shared" si="106"/>
        <v/>
      </c>
      <c r="CI31" s="24" t="str">
        <f t="shared" si="64"/>
        <v/>
      </c>
      <c r="CJ31" s="24" t="str">
        <f t="shared" si="83"/>
        <v/>
      </c>
      <c r="CK31" s="26" t="str">
        <f t="shared" si="65"/>
        <v/>
      </c>
      <c r="CL31" s="26" t="str">
        <f t="shared" si="84"/>
        <v/>
      </c>
      <c r="CM31" s="24" t="str">
        <f t="shared" si="85"/>
        <v/>
      </c>
      <c r="CN31" s="26" t="str">
        <f t="shared" si="66"/>
        <v/>
      </c>
      <c r="CO31" s="24" t="str">
        <f t="shared" si="67"/>
        <v/>
      </c>
      <c r="CP31" s="26" t="str">
        <f t="shared" si="68"/>
        <v/>
      </c>
      <c r="CQ31" s="26" t="str">
        <f t="shared" si="69"/>
        <v/>
      </c>
      <c r="CR31" s="26" t="str">
        <f t="shared" si="86"/>
        <v/>
      </c>
      <c r="CS31" s="24" t="str">
        <f t="shared" si="87"/>
        <v/>
      </c>
      <c r="CT31" s="27" t="str">
        <f t="shared" si="70"/>
        <v/>
      </c>
      <c r="CU31" s="24" t="str">
        <f t="shared" si="71"/>
        <v/>
      </c>
      <c r="CV31" s="27" t="str">
        <f t="shared" si="72"/>
        <v/>
      </c>
      <c r="CW31" s="27" t="str">
        <f t="shared" si="73"/>
        <v/>
      </c>
      <c r="CX31" s="26" t="str">
        <f t="shared" si="88"/>
        <v/>
      </c>
      <c r="CY31" s="27" t="str">
        <f t="shared" si="89"/>
        <v/>
      </c>
      <c r="CZ31" s="26" t="str">
        <f t="shared" si="74"/>
        <v/>
      </c>
      <c r="DA31" s="24" t="str">
        <f t="shared" si="75"/>
        <v/>
      </c>
      <c r="DB31" s="24" t="str">
        <f t="shared" si="76"/>
        <v/>
      </c>
      <c r="DC31" s="24" t="str">
        <f t="shared" si="77"/>
        <v/>
      </c>
      <c r="DD31" s="24" t="str">
        <f t="shared" si="78"/>
        <v/>
      </c>
      <c r="DE31" s="1">
        <v>0</v>
      </c>
      <c r="DF31" s="1">
        <v>0</v>
      </c>
      <c r="DG31" s="1">
        <v>0</v>
      </c>
      <c r="DH31" s="24" t="str">
        <f t="shared" si="79"/>
        <v/>
      </c>
      <c r="DI31" s="25" t="str">
        <f t="shared" si="80"/>
        <v/>
      </c>
      <c r="DJ31" t="str">
        <f t="shared" si="81"/>
        <v/>
      </c>
      <c r="DK31" s="9"/>
      <c r="DL31" s="9"/>
      <c r="DM31" s="9"/>
      <c r="DN31" s="9"/>
      <c r="DO31" s="9"/>
      <c r="DP31" s="9"/>
      <c r="DQ31" s="136" t="b">
        <f t="shared" si="82"/>
        <v>1</v>
      </c>
    </row>
    <row r="32" spans="1:121" ht="27" customHeight="1" x14ac:dyDescent="1.25">
      <c r="A32" s="24" t="str">
        <f t="shared" si="90"/>
        <v/>
      </c>
      <c r="B32" s="69"/>
      <c r="C32" s="69"/>
      <c r="D32" s="70"/>
      <c r="E32" s="70"/>
      <c r="F32" s="69"/>
      <c r="G32" s="22"/>
      <c r="H32" s="22"/>
      <c r="I32" s="22"/>
      <c r="J32" s="22"/>
      <c r="K32" s="22"/>
      <c r="L32" s="22"/>
      <c r="M32" s="22"/>
      <c r="N32" s="22"/>
      <c r="O32" s="22"/>
      <c r="P32" s="7"/>
      <c r="Q32" s="7"/>
      <c r="R32" s="7"/>
      <c r="S32" s="7"/>
      <c r="T32" s="7"/>
      <c r="U32" s="7"/>
      <c r="V32" s="7"/>
      <c r="W32" s="3" t="str">
        <f t="shared" si="0"/>
        <v/>
      </c>
      <c r="X32" s="3" t="str">
        <f t="shared" si="1"/>
        <v/>
      </c>
      <c r="Y32" s="3" t="str">
        <f t="shared" si="2"/>
        <v/>
      </c>
      <c r="Z32" s="3" t="str">
        <f t="shared" si="3"/>
        <v/>
      </c>
      <c r="AA32" s="3" t="str">
        <f t="shared" si="4"/>
        <v/>
      </c>
      <c r="AB32" s="3" t="str">
        <f t="shared" si="5"/>
        <v/>
      </c>
      <c r="AC32" s="3" t="str">
        <f t="shared" si="6"/>
        <v/>
      </c>
      <c r="AD32" s="3" t="str">
        <f t="shared" si="7"/>
        <v/>
      </c>
      <c r="AE32" s="3" t="str">
        <f t="shared" si="8"/>
        <v/>
      </c>
      <c r="AF32" s="24" t="str">
        <f t="shared" si="9"/>
        <v/>
      </c>
      <c r="AG32" s="24" t="str">
        <f t="shared" si="10"/>
        <v/>
      </c>
      <c r="AH32" s="24" t="str">
        <f t="shared" si="11"/>
        <v/>
      </c>
      <c r="AI32" s="24" t="str">
        <f t="shared" si="12"/>
        <v/>
      </c>
      <c r="AJ32" s="24" t="str">
        <f t="shared" si="13"/>
        <v/>
      </c>
      <c r="AK32" s="24" t="str">
        <f t="shared" si="14"/>
        <v/>
      </c>
      <c r="AL32" s="24" t="str">
        <f t="shared" si="15"/>
        <v/>
      </c>
      <c r="AM32" s="24" t="str">
        <f t="shared" si="16"/>
        <v/>
      </c>
      <c r="AN32" s="24" t="str">
        <f t="shared" si="17"/>
        <v/>
      </c>
      <c r="AO32" s="24" t="str">
        <f t="shared" si="18"/>
        <v/>
      </c>
      <c r="AP32" s="24" t="str">
        <f t="shared" si="19"/>
        <v/>
      </c>
      <c r="AQ32" s="24" t="str">
        <f t="shared" si="20"/>
        <v/>
      </c>
      <c r="AR32" s="24" t="str">
        <f t="shared" si="21"/>
        <v/>
      </c>
      <c r="AS32" s="24" t="str">
        <f t="shared" si="22"/>
        <v/>
      </c>
      <c r="AT32" s="24" t="str">
        <f t="shared" si="23"/>
        <v/>
      </c>
      <c r="AU32" s="24" t="str">
        <f t="shared" si="24"/>
        <v/>
      </c>
      <c r="AV32" s="24" t="str">
        <f t="shared" si="25"/>
        <v/>
      </c>
      <c r="AW32" s="24" t="str">
        <f t="shared" si="26"/>
        <v/>
      </c>
      <c r="AX32" s="24" t="str">
        <f t="shared" si="27"/>
        <v/>
      </c>
      <c r="AY32" s="24" t="str">
        <f t="shared" si="28"/>
        <v/>
      </c>
      <c r="AZ32" s="24" t="str">
        <f t="shared" si="29"/>
        <v/>
      </c>
      <c r="BA32" s="24" t="str">
        <f t="shared" si="30"/>
        <v/>
      </c>
      <c r="BB32" s="24" t="str">
        <f t="shared" si="31"/>
        <v/>
      </c>
      <c r="BC32" s="24" t="str">
        <f t="shared" si="32"/>
        <v/>
      </c>
      <c r="BD32" s="24" t="str">
        <f t="shared" si="33"/>
        <v/>
      </c>
      <c r="BE32" s="24" t="str">
        <f t="shared" si="34"/>
        <v/>
      </c>
      <c r="BF32" s="24" t="str">
        <f t="shared" si="35"/>
        <v/>
      </c>
      <c r="BG32" s="24" t="str">
        <f t="shared" si="36"/>
        <v/>
      </c>
      <c r="BH32" s="24" t="str">
        <f t="shared" si="37"/>
        <v/>
      </c>
      <c r="BI32" s="24" t="str">
        <f t="shared" si="38"/>
        <v/>
      </c>
      <c r="BJ32" s="24" t="str">
        <f t="shared" si="39"/>
        <v/>
      </c>
      <c r="BK32" s="24" t="str">
        <f t="shared" si="40"/>
        <v/>
      </c>
      <c r="BL32" s="26" t="str">
        <f t="shared" si="41"/>
        <v/>
      </c>
      <c r="BM32" s="26" t="str">
        <f t="shared" si="42"/>
        <v/>
      </c>
      <c r="BN32" s="26" t="str">
        <f t="shared" si="43"/>
        <v/>
      </c>
      <c r="BO32" s="26" t="str">
        <f t="shared" si="44"/>
        <v/>
      </c>
      <c r="BP32" s="26" t="str">
        <f t="shared" si="45"/>
        <v/>
      </c>
      <c r="BQ32" s="26" t="str">
        <f t="shared" si="46"/>
        <v/>
      </c>
      <c r="BR32" s="26" t="str">
        <f t="shared" si="47"/>
        <v/>
      </c>
      <c r="BS32" s="24" t="str">
        <f t="shared" si="91"/>
        <v/>
      </c>
      <c r="BT32" s="24" t="str">
        <f t="shared" si="92"/>
        <v/>
      </c>
      <c r="BU32" s="24" t="str">
        <f t="shared" si="93"/>
        <v/>
      </c>
      <c r="BV32" s="24" t="str">
        <f t="shared" si="94"/>
        <v/>
      </c>
      <c r="BW32" s="24" t="str">
        <f t="shared" si="95"/>
        <v/>
      </c>
      <c r="BX32" s="24" t="str">
        <f t="shared" si="96"/>
        <v/>
      </c>
      <c r="BY32" s="24" t="str">
        <f t="shared" si="97"/>
        <v/>
      </c>
      <c r="BZ32" s="24" t="str">
        <f t="shared" si="98"/>
        <v/>
      </c>
      <c r="CA32" s="24" t="str">
        <f t="shared" si="99"/>
        <v/>
      </c>
      <c r="CB32" s="24" t="str">
        <f t="shared" si="100"/>
        <v/>
      </c>
      <c r="CC32" s="24" t="str">
        <f t="shared" si="101"/>
        <v/>
      </c>
      <c r="CD32" s="24" t="str">
        <f t="shared" si="102"/>
        <v/>
      </c>
      <c r="CE32" s="24" t="str">
        <f t="shared" si="103"/>
        <v/>
      </c>
      <c r="CF32" s="24" t="str">
        <f t="shared" si="104"/>
        <v/>
      </c>
      <c r="CG32" s="24" t="str">
        <f t="shared" si="105"/>
        <v/>
      </c>
      <c r="CH32" s="24" t="str">
        <f t="shared" si="106"/>
        <v/>
      </c>
      <c r="CI32" s="24" t="str">
        <f t="shared" si="64"/>
        <v/>
      </c>
      <c r="CJ32" s="24" t="str">
        <f t="shared" si="83"/>
        <v/>
      </c>
      <c r="CK32" s="26" t="str">
        <f t="shared" si="65"/>
        <v/>
      </c>
      <c r="CL32" s="26" t="str">
        <f t="shared" si="84"/>
        <v/>
      </c>
      <c r="CM32" s="24" t="str">
        <f t="shared" si="85"/>
        <v/>
      </c>
      <c r="CN32" s="26" t="str">
        <f t="shared" si="66"/>
        <v/>
      </c>
      <c r="CO32" s="24" t="str">
        <f t="shared" si="67"/>
        <v/>
      </c>
      <c r="CP32" s="26" t="str">
        <f t="shared" si="68"/>
        <v/>
      </c>
      <c r="CQ32" s="26" t="str">
        <f t="shared" si="69"/>
        <v/>
      </c>
      <c r="CR32" s="26" t="str">
        <f t="shared" si="86"/>
        <v/>
      </c>
      <c r="CS32" s="24" t="str">
        <f t="shared" si="87"/>
        <v/>
      </c>
      <c r="CT32" s="27" t="str">
        <f t="shared" si="70"/>
        <v/>
      </c>
      <c r="CU32" s="24" t="str">
        <f t="shared" si="71"/>
        <v/>
      </c>
      <c r="CV32" s="27" t="str">
        <f t="shared" si="72"/>
        <v/>
      </c>
      <c r="CW32" s="27" t="str">
        <f t="shared" si="73"/>
        <v/>
      </c>
      <c r="CX32" s="26" t="str">
        <f t="shared" si="88"/>
        <v/>
      </c>
      <c r="CY32" s="27" t="str">
        <f t="shared" si="89"/>
        <v/>
      </c>
      <c r="CZ32" s="26" t="str">
        <f t="shared" si="74"/>
        <v/>
      </c>
      <c r="DA32" s="24" t="str">
        <f t="shared" si="75"/>
        <v/>
      </c>
      <c r="DB32" s="24" t="str">
        <f t="shared" si="76"/>
        <v/>
      </c>
      <c r="DC32" s="24" t="str">
        <f t="shared" si="77"/>
        <v/>
      </c>
      <c r="DD32" s="24" t="str">
        <f t="shared" si="78"/>
        <v/>
      </c>
      <c r="DE32" s="1">
        <v>0</v>
      </c>
      <c r="DF32" s="1">
        <v>0</v>
      </c>
      <c r="DG32" s="1">
        <v>0</v>
      </c>
      <c r="DH32" s="24" t="str">
        <f t="shared" si="79"/>
        <v/>
      </c>
      <c r="DI32" s="25" t="str">
        <f t="shared" si="80"/>
        <v/>
      </c>
      <c r="DJ32" t="str">
        <f t="shared" si="81"/>
        <v/>
      </c>
      <c r="DK32" s="9"/>
      <c r="DL32" s="9"/>
      <c r="DM32" s="9"/>
      <c r="DN32" s="9"/>
      <c r="DO32" s="9"/>
      <c r="DP32" s="9"/>
      <c r="DQ32" s="136" t="b">
        <f t="shared" si="82"/>
        <v>1</v>
      </c>
    </row>
    <row r="33" spans="1:121" ht="27" customHeight="1" x14ac:dyDescent="1.25">
      <c r="A33" s="24" t="str">
        <f t="shared" si="90"/>
        <v/>
      </c>
      <c r="B33" s="69"/>
      <c r="C33" s="69"/>
      <c r="D33" s="70"/>
      <c r="E33" s="70"/>
      <c r="F33" s="69"/>
      <c r="G33" s="22"/>
      <c r="H33" s="22"/>
      <c r="I33" s="22"/>
      <c r="J33" s="22"/>
      <c r="K33" s="22"/>
      <c r="L33" s="22"/>
      <c r="M33" s="22"/>
      <c r="N33" s="22"/>
      <c r="O33" s="22"/>
      <c r="P33" s="7"/>
      <c r="Q33" s="7"/>
      <c r="R33" s="7"/>
      <c r="S33" s="7"/>
      <c r="T33" s="7"/>
      <c r="U33" s="7"/>
      <c r="V33" s="7"/>
      <c r="W33" s="3" t="str">
        <f t="shared" si="0"/>
        <v/>
      </c>
      <c r="X33" s="3" t="str">
        <f t="shared" si="1"/>
        <v/>
      </c>
      <c r="Y33" s="3" t="str">
        <f t="shared" si="2"/>
        <v/>
      </c>
      <c r="Z33" s="3" t="str">
        <f t="shared" si="3"/>
        <v/>
      </c>
      <c r="AA33" s="3" t="str">
        <f t="shared" si="4"/>
        <v/>
      </c>
      <c r="AB33" s="3" t="str">
        <f t="shared" si="5"/>
        <v/>
      </c>
      <c r="AC33" s="3" t="str">
        <f t="shared" si="6"/>
        <v/>
      </c>
      <c r="AD33" s="3" t="str">
        <f t="shared" si="7"/>
        <v/>
      </c>
      <c r="AE33" s="3" t="str">
        <f t="shared" si="8"/>
        <v/>
      </c>
      <c r="AF33" s="24" t="str">
        <f t="shared" si="9"/>
        <v/>
      </c>
      <c r="AG33" s="24" t="str">
        <f t="shared" si="10"/>
        <v/>
      </c>
      <c r="AH33" s="24" t="str">
        <f t="shared" si="11"/>
        <v/>
      </c>
      <c r="AI33" s="24" t="str">
        <f t="shared" si="12"/>
        <v/>
      </c>
      <c r="AJ33" s="24" t="str">
        <f t="shared" si="13"/>
        <v/>
      </c>
      <c r="AK33" s="24" t="str">
        <f t="shared" si="14"/>
        <v/>
      </c>
      <c r="AL33" s="24" t="str">
        <f t="shared" si="15"/>
        <v/>
      </c>
      <c r="AM33" s="24" t="str">
        <f t="shared" si="16"/>
        <v/>
      </c>
      <c r="AN33" s="24" t="str">
        <f t="shared" si="17"/>
        <v/>
      </c>
      <c r="AO33" s="24" t="str">
        <f t="shared" si="18"/>
        <v/>
      </c>
      <c r="AP33" s="24" t="str">
        <f t="shared" si="19"/>
        <v/>
      </c>
      <c r="AQ33" s="24" t="str">
        <f t="shared" si="20"/>
        <v/>
      </c>
      <c r="AR33" s="24" t="str">
        <f t="shared" si="21"/>
        <v/>
      </c>
      <c r="AS33" s="24" t="str">
        <f t="shared" si="22"/>
        <v/>
      </c>
      <c r="AT33" s="24" t="str">
        <f t="shared" si="23"/>
        <v/>
      </c>
      <c r="AU33" s="24" t="str">
        <f t="shared" si="24"/>
        <v/>
      </c>
      <c r="AV33" s="24" t="str">
        <f t="shared" si="25"/>
        <v/>
      </c>
      <c r="AW33" s="24" t="str">
        <f t="shared" si="26"/>
        <v/>
      </c>
      <c r="AX33" s="24" t="str">
        <f t="shared" si="27"/>
        <v/>
      </c>
      <c r="AY33" s="24" t="str">
        <f t="shared" si="28"/>
        <v/>
      </c>
      <c r="AZ33" s="24" t="str">
        <f t="shared" si="29"/>
        <v/>
      </c>
      <c r="BA33" s="24" t="str">
        <f t="shared" si="30"/>
        <v/>
      </c>
      <c r="BB33" s="24" t="str">
        <f t="shared" si="31"/>
        <v/>
      </c>
      <c r="BC33" s="24" t="str">
        <f t="shared" si="32"/>
        <v/>
      </c>
      <c r="BD33" s="24" t="str">
        <f t="shared" si="33"/>
        <v/>
      </c>
      <c r="BE33" s="24" t="str">
        <f t="shared" si="34"/>
        <v/>
      </c>
      <c r="BF33" s="24" t="str">
        <f t="shared" si="35"/>
        <v/>
      </c>
      <c r="BG33" s="24" t="str">
        <f t="shared" si="36"/>
        <v/>
      </c>
      <c r="BH33" s="24" t="str">
        <f t="shared" si="37"/>
        <v/>
      </c>
      <c r="BI33" s="24" t="str">
        <f t="shared" si="38"/>
        <v/>
      </c>
      <c r="BJ33" s="24" t="str">
        <f t="shared" si="39"/>
        <v/>
      </c>
      <c r="BK33" s="24" t="str">
        <f t="shared" si="40"/>
        <v/>
      </c>
      <c r="BL33" s="26" t="str">
        <f t="shared" si="41"/>
        <v/>
      </c>
      <c r="BM33" s="26" t="str">
        <f t="shared" si="42"/>
        <v/>
      </c>
      <c r="BN33" s="26" t="str">
        <f t="shared" si="43"/>
        <v/>
      </c>
      <c r="BO33" s="26" t="str">
        <f t="shared" si="44"/>
        <v/>
      </c>
      <c r="BP33" s="26" t="str">
        <f t="shared" si="45"/>
        <v/>
      </c>
      <c r="BQ33" s="26" t="str">
        <f t="shared" si="46"/>
        <v/>
      </c>
      <c r="BR33" s="26" t="str">
        <f t="shared" si="47"/>
        <v/>
      </c>
      <c r="BS33" s="24" t="str">
        <f t="shared" si="91"/>
        <v/>
      </c>
      <c r="BT33" s="24" t="str">
        <f t="shared" si="92"/>
        <v/>
      </c>
      <c r="BU33" s="24" t="str">
        <f t="shared" si="93"/>
        <v/>
      </c>
      <c r="BV33" s="24" t="str">
        <f t="shared" si="94"/>
        <v/>
      </c>
      <c r="BW33" s="24" t="str">
        <f t="shared" si="95"/>
        <v/>
      </c>
      <c r="BX33" s="24" t="str">
        <f t="shared" si="96"/>
        <v/>
      </c>
      <c r="BY33" s="24" t="str">
        <f t="shared" si="97"/>
        <v/>
      </c>
      <c r="BZ33" s="24" t="str">
        <f t="shared" si="98"/>
        <v/>
      </c>
      <c r="CA33" s="24" t="str">
        <f t="shared" si="99"/>
        <v/>
      </c>
      <c r="CB33" s="24" t="str">
        <f t="shared" si="100"/>
        <v/>
      </c>
      <c r="CC33" s="24" t="str">
        <f t="shared" si="101"/>
        <v/>
      </c>
      <c r="CD33" s="24" t="str">
        <f t="shared" si="102"/>
        <v/>
      </c>
      <c r="CE33" s="24" t="str">
        <f t="shared" si="103"/>
        <v/>
      </c>
      <c r="CF33" s="24" t="str">
        <f t="shared" si="104"/>
        <v/>
      </c>
      <c r="CG33" s="24" t="str">
        <f t="shared" si="105"/>
        <v/>
      </c>
      <c r="CH33" s="24" t="str">
        <f t="shared" si="106"/>
        <v/>
      </c>
      <c r="CI33" s="24" t="str">
        <f t="shared" si="64"/>
        <v/>
      </c>
      <c r="CJ33" s="24" t="str">
        <f t="shared" si="83"/>
        <v/>
      </c>
      <c r="CK33" s="26" t="str">
        <f t="shared" si="65"/>
        <v/>
      </c>
      <c r="CL33" s="26" t="str">
        <f t="shared" si="84"/>
        <v/>
      </c>
      <c r="CM33" s="24" t="str">
        <f t="shared" si="85"/>
        <v/>
      </c>
      <c r="CN33" s="26" t="str">
        <f t="shared" si="66"/>
        <v/>
      </c>
      <c r="CO33" s="24" t="str">
        <f t="shared" si="67"/>
        <v/>
      </c>
      <c r="CP33" s="26" t="str">
        <f t="shared" si="68"/>
        <v/>
      </c>
      <c r="CQ33" s="26" t="str">
        <f t="shared" si="69"/>
        <v/>
      </c>
      <c r="CR33" s="26" t="str">
        <f t="shared" si="86"/>
        <v/>
      </c>
      <c r="CS33" s="24" t="str">
        <f t="shared" si="87"/>
        <v/>
      </c>
      <c r="CT33" s="27" t="str">
        <f t="shared" si="70"/>
        <v/>
      </c>
      <c r="CU33" s="24" t="str">
        <f t="shared" si="71"/>
        <v/>
      </c>
      <c r="CV33" s="27" t="str">
        <f t="shared" si="72"/>
        <v/>
      </c>
      <c r="CW33" s="27" t="str">
        <f t="shared" si="73"/>
        <v/>
      </c>
      <c r="CX33" s="26" t="str">
        <f t="shared" si="88"/>
        <v/>
      </c>
      <c r="CY33" s="27" t="str">
        <f t="shared" si="89"/>
        <v/>
      </c>
      <c r="CZ33" s="26" t="str">
        <f t="shared" si="74"/>
        <v/>
      </c>
      <c r="DA33" s="24" t="str">
        <f t="shared" si="75"/>
        <v/>
      </c>
      <c r="DB33" s="24" t="str">
        <f t="shared" si="76"/>
        <v/>
      </c>
      <c r="DC33" s="24" t="str">
        <f t="shared" si="77"/>
        <v/>
      </c>
      <c r="DD33" s="24" t="str">
        <f t="shared" si="78"/>
        <v/>
      </c>
      <c r="DE33" s="1">
        <v>0</v>
      </c>
      <c r="DF33" s="1">
        <v>0</v>
      </c>
      <c r="DG33" s="1">
        <v>0</v>
      </c>
      <c r="DH33" s="24" t="str">
        <f t="shared" si="79"/>
        <v/>
      </c>
      <c r="DI33" s="25" t="str">
        <f t="shared" si="80"/>
        <v/>
      </c>
      <c r="DJ33" t="str">
        <f t="shared" si="81"/>
        <v/>
      </c>
      <c r="DK33" s="9"/>
      <c r="DL33" s="9"/>
      <c r="DM33" s="9"/>
      <c r="DN33" s="9"/>
      <c r="DO33" s="9"/>
      <c r="DP33" s="9"/>
      <c r="DQ33" s="136" t="b">
        <f t="shared" si="82"/>
        <v>1</v>
      </c>
    </row>
    <row r="34" spans="1:121" ht="27" customHeight="1" x14ac:dyDescent="1.25">
      <c r="A34" s="24" t="str">
        <f t="shared" si="90"/>
        <v/>
      </c>
      <c r="B34" s="69"/>
      <c r="C34" s="69"/>
      <c r="D34" s="70"/>
      <c r="E34" s="70"/>
      <c r="F34" s="69"/>
      <c r="G34" s="22"/>
      <c r="H34" s="22"/>
      <c r="I34" s="22"/>
      <c r="J34" s="22"/>
      <c r="K34" s="22"/>
      <c r="L34" s="22"/>
      <c r="M34" s="22"/>
      <c r="N34" s="22"/>
      <c r="O34" s="22"/>
      <c r="P34" s="7"/>
      <c r="Q34" s="7"/>
      <c r="R34" s="7"/>
      <c r="S34" s="7"/>
      <c r="T34" s="7"/>
      <c r="U34" s="7"/>
      <c r="V34" s="7"/>
      <c r="W34" s="3" t="str">
        <f t="shared" si="0"/>
        <v/>
      </c>
      <c r="X34" s="3" t="str">
        <f t="shared" si="1"/>
        <v/>
      </c>
      <c r="Y34" s="3" t="str">
        <f t="shared" si="2"/>
        <v/>
      </c>
      <c r="Z34" s="3" t="str">
        <f t="shared" si="3"/>
        <v/>
      </c>
      <c r="AA34" s="3" t="str">
        <f t="shared" si="4"/>
        <v/>
      </c>
      <c r="AB34" s="3" t="str">
        <f t="shared" si="5"/>
        <v/>
      </c>
      <c r="AC34" s="3" t="str">
        <f t="shared" si="6"/>
        <v/>
      </c>
      <c r="AD34" s="3" t="str">
        <f t="shared" si="7"/>
        <v/>
      </c>
      <c r="AE34" s="3" t="str">
        <f t="shared" si="8"/>
        <v/>
      </c>
      <c r="AF34" s="24" t="str">
        <f t="shared" si="9"/>
        <v/>
      </c>
      <c r="AG34" s="24" t="str">
        <f t="shared" si="10"/>
        <v/>
      </c>
      <c r="AH34" s="24" t="str">
        <f t="shared" si="11"/>
        <v/>
      </c>
      <c r="AI34" s="24" t="str">
        <f t="shared" si="12"/>
        <v/>
      </c>
      <c r="AJ34" s="24" t="str">
        <f t="shared" si="13"/>
        <v/>
      </c>
      <c r="AK34" s="24" t="str">
        <f t="shared" si="14"/>
        <v/>
      </c>
      <c r="AL34" s="24" t="str">
        <f t="shared" si="15"/>
        <v/>
      </c>
      <c r="AM34" s="24" t="str">
        <f t="shared" si="16"/>
        <v/>
      </c>
      <c r="AN34" s="24" t="str">
        <f t="shared" si="17"/>
        <v/>
      </c>
      <c r="AO34" s="24" t="str">
        <f t="shared" si="18"/>
        <v/>
      </c>
      <c r="AP34" s="24" t="str">
        <f t="shared" si="19"/>
        <v/>
      </c>
      <c r="AQ34" s="24" t="str">
        <f t="shared" si="20"/>
        <v/>
      </c>
      <c r="AR34" s="24" t="str">
        <f t="shared" si="21"/>
        <v/>
      </c>
      <c r="AS34" s="24" t="str">
        <f t="shared" si="22"/>
        <v/>
      </c>
      <c r="AT34" s="24" t="str">
        <f t="shared" si="23"/>
        <v/>
      </c>
      <c r="AU34" s="24" t="str">
        <f t="shared" si="24"/>
        <v/>
      </c>
      <c r="AV34" s="24" t="str">
        <f t="shared" si="25"/>
        <v/>
      </c>
      <c r="AW34" s="24" t="str">
        <f t="shared" si="26"/>
        <v/>
      </c>
      <c r="AX34" s="24" t="str">
        <f t="shared" si="27"/>
        <v/>
      </c>
      <c r="AY34" s="24" t="str">
        <f t="shared" si="28"/>
        <v/>
      </c>
      <c r="AZ34" s="24" t="str">
        <f t="shared" si="29"/>
        <v/>
      </c>
      <c r="BA34" s="24" t="str">
        <f t="shared" si="30"/>
        <v/>
      </c>
      <c r="BB34" s="24" t="str">
        <f t="shared" si="31"/>
        <v/>
      </c>
      <c r="BC34" s="24" t="str">
        <f t="shared" si="32"/>
        <v/>
      </c>
      <c r="BD34" s="24" t="str">
        <f t="shared" si="33"/>
        <v/>
      </c>
      <c r="BE34" s="24" t="str">
        <f t="shared" si="34"/>
        <v/>
      </c>
      <c r="BF34" s="24" t="str">
        <f t="shared" si="35"/>
        <v/>
      </c>
      <c r="BG34" s="24" t="str">
        <f t="shared" si="36"/>
        <v/>
      </c>
      <c r="BH34" s="24" t="str">
        <f t="shared" si="37"/>
        <v/>
      </c>
      <c r="BI34" s="24" t="str">
        <f t="shared" si="38"/>
        <v/>
      </c>
      <c r="BJ34" s="24" t="str">
        <f t="shared" si="39"/>
        <v/>
      </c>
      <c r="BK34" s="24" t="str">
        <f t="shared" si="40"/>
        <v/>
      </c>
      <c r="BL34" s="26" t="str">
        <f t="shared" si="41"/>
        <v/>
      </c>
      <c r="BM34" s="26" t="str">
        <f t="shared" si="42"/>
        <v/>
      </c>
      <c r="BN34" s="26" t="str">
        <f t="shared" si="43"/>
        <v/>
      </c>
      <c r="BO34" s="26" t="str">
        <f t="shared" si="44"/>
        <v/>
      </c>
      <c r="BP34" s="26" t="str">
        <f t="shared" si="45"/>
        <v/>
      </c>
      <c r="BQ34" s="26" t="str">
        <f t="shared" si="46"/>
        <v/>
      </c>
      <c r="BR34" s="26" t="str">
        <f t="shared" si="47"/>
        <v/>
      </c>
      <c r="BS34" s="24" t="str">
        <f t="shared" si="91"/>
        <v/>
      </c>
      <c r="BT34" s="24" t="str">
        <f t="shared" si="92"/>
        <v/>
      </c>
      <c r="BU34" s="24" t="str">
        <f t="shared" si="93"/>
        <v/>
      </c>
      <c r="BV34" s="24" t="str">
        <f t="shared" si="94"/>
        <v/>
      </c>
      <c r="BW34" s="24" t="str">
        <f t="shared" si="95"/>
        <v/>
      </c>
      <c r="BX34" s="24" t="str">
        <f t="shared" si="96"/>
        <v/>
      </c>
      <c r="BY34" s="24" t="str">
        <f t="shared" si="97"/>
        <v/>
      </c>
      <c r="BZ34" s="24" t="str">
        <f t="shared" si="98"/>
        <v/>
      </c>
      <c r="CA34" s="24" t="str">
        <f t="shared" si="99"/>
        <v/>
      </c>
      <c r="CB34" s="24" t="str">
        <f t="shared" si="100"/>
        <v/>
      </c>
      <c r="CC34" s="24" t="str">
        <f t="shared" si="101"/>
        <v/>
      </c>
      <c r="CD34" s="24" t="str">
        <f t="shared" si="102"/>
        <v/>
      </c>
      <c r="CE34" s="24" t="str">
        <f t="shared" si="103"/>
        <v/>
      </c>
      <c r="CF34" s="24" t="str">
        <f t="shared" si="104"/>
        <v/>
      </c>
      <c r="CG34" s="24" t="str">
        <f t="shared" si="105"/>
        <v/>
      </c>
      <c r="CH34" s="24" t="str">
        <f t="shared" si="106"/>
        <v/>
      </c>
      <c r="CI34" s="24" t="str">
        <f t="shared" si="64"/>
        <v/>
      </c>
      <c r="CJ34" s="24" t="str">
        <f t="shared" si="83"/>
        <v/>
      </c>
      <c r="CK34" s="26" t="str">
        <f t="shared" si="65"/>
        <v/>
      </c>
      <c r="CL34" s="26" t="str">
        <f t="shared" si="84"/>
        <v/>
      </c>
      <c r="CM34" s="24" t="str">
        <f t="shared" si="85"/>
        <v/>
      </c>
      <c r="CN34" s="26" t="str">
        <f t="shared" si="66"/>
        <v/>
      </c>
      <c r="CO34" s="24" t="str">
        <f t="shared" si="67"/>
        <v/>
      </c>
      <c r="CP34" s="26" t="str">
        <f t="shared" si="68"/>
        <v/>
      </c>
      <c r="CQ34" s="26" t="str">
        <f t="shared" si="69"/>
        <v/>
      </c>
      <c r="CR34" s="26" t="str">
        <f t="shared" si="86"/>
        <v/>
      </c>
      <c r="CS34" s="24" t="str">
        <f t="shared" si="87"/>
        <v/>
      </c>
      <c r="CT34" s="27" t="str">
        <f t="shared" si="70"/>
        <v/>
      </c>
      <c r="CU34" s="24" t="str">
        <f t="shared" si="71"/>
        <v/>
      </c>
      <c r="CV34" s="27" t="str">
        <f t="shared" si="72"/>
        <v/>
      </c>
      <c r="CW34" s="27" t="str">
        <f t="shared" si="73"/>
        <v/>
      </c>
      <c r="CX34" s="26" t="str">
        <f t="shared" si="88"/>
        <v/>
      </c>
      <c r="CY34" s="27" t="str">
        <f t="shared" si="89"/>
        <v/>
      </c>
      <c r="CZ34" s="26" t="str">
        <f t="shared" si="74"/>
        <v/>
      </c>
      <c r="DA34" s="24" t="str">
        <f t="shared" si="75"/>
        <v/>
      </c>
      <c r="DB34" s="24" t="str">
        <f t="shared" si="76"/>
        <v/>
      </c>
      <c r="DC34" s="24" t="str">
        <f t="shared" si="77"/>
        <v/>
      </c>
      <c r="DD34" s="24" t="str">
        <f t="shared" si="78"/>
        <v/>
      </c>
      <c r="DE34" s="1">
        <v>0</v>
      </c>
      <c r="DF34" s="1">
        <v>0</v>
      </c>
      <c r="DG34" s="1">
        <v>0</v>
      </c>
      <c r="DH34" s="24" t="str">
        <f t="shared" si="79"/>
        <v/>
      </c>
      <c r="DI34" s="25" t="str">
        <f t="shared" si="80"/>
        <v/>
      </c>
      <c r="DJ34" t="str">
        <f t="shared" si="81"/>
        <v/>
      </c>
      <c r="DK34" s="9"/>
      <c r="DL34" s="9"/>
      <c r="DM34" s="9"/>
      <c r="DN34" s="9"/>
      <c r="DO34" s="9"/>
      <c r="DP34" s="9"/>
      <c r="DQ34" s="136" t="b">
        <f t="shared" si="82"/>
        <v>1</v>
      </c>
    </row>
    <row r="35" spans="1:121" ht="27" customHeight="1" x14ac:dyDescent="1.25">
      <c r="A35" s="24" t="str">
        <f t="shared" si="90"/>
        <v/>
      </c>
      <c r="B35" s="69"/>
      <c r="C35" s="69"/>
      <c r="D35" s="70"/>
      <c r="E35" s="70"/>
      <c r="F35" s="69"/>
      <c r="G35" s="22"/>
      <c r="H35" s="22"/>
      <c r="I35" s="22"/>
      <c r="J35" s="22"/>
      <c r="K35" s="22"/>
      <c r="L35" s="22"/>
      <c r="M35" s="22"/>
      <c r="N35" s="22"/>
      <c r="O35" s="22"/>
      <c r="P35" s="7"/>
      <c r="Q35" s="7"/>
      <c r="R35" s="7"/>
      <c r="S35" s="7"/>
      <c r="T35" s="7"/>
      <c r="U35" s="7"/>
      <c r="V35" s="7"/>
      <c r="W35" s="3" t="str">
        <f t="shared" si="0"/>
        <v/>
      </c>
      <c r="X35" s="3" t="str">
        <f t="shared" si="1"/>
        <v/>
      </c>
      <c r="Y35" s="3" t="str">
        <f t="shared" si="2"/>
        <v/>
      </c>
      <c r="Z35" s="3" t="str">
        <f t="shared" si="3"/>
        <v/>
      </c>
      <c r="AA35" s="3" t="str">
        <f t="shared" si="4"/>
        <v/>
      </c>
      <c r="AB35" s="3" t="str">
        <f t="shared" si="5"/>
        <v/>
      </c>
      <c r="AC35" s="3" t="str">
        <f t="shared" si="6"/>
        <v/>
      </c>
      <c r="AD35" s="3" t="str">
        <f t="shared" si="7"/>
        <v/>
      </c>
      <c r="AE35" s="3" t="str">
        <f t="shared" si="8"/>
        <v/>
      </c>
      <c r="AF35" s="24" t="str">
        <f t="shared" si="9"/>
        <v/>
      </c>
      <c r="AG35" s="24" t="str">
        <f t="shared" si="10"/>
        <v/>
      </c>
      <c r="AH35" s="24" t="str">
        <f t="shared" si="11"/>
        <v/>
      </c>
      <c r="AI35" s="24" t="str">
        <f t="shared" si="12"/>
        <v/>
      </c>
      <c r="AJ35" s="24" t="str">
        <f t="shared" si="13"/>
        <v/>
      </c>
      <c r="AK35" s="24" t="str">
        <f t="shared" si="14"/>
        <v/>
      </c>
      <c r="AL35" s="24" t="str">
        <f t="shared" si="15"/>
        <v/>
      </c>
      <c r="AM35" s="24" t="str">
        <f t="shared" si="16"/>
        <v/>
      </c>
      <c r="AN35" s="24" t="str">
        <f t="shared" si="17"/>
        <v/>
      </c>
      <c r="AO35" s="24" t="str">
        <f t="shared" si="18"/>
        <v/>
      </c>
      <c r="AP35" s="24" t="str">
        <f t="shared" si="19"/>
        <v/>
      </c>
      <c r="AQ35" s="24" t="str">
        <f t="shared" si="20"/>
        <v/>
      </c>
      <c r="AR35" s="24" t="str">
        <f t="shared" si="21"/>
        <v/>
      </c>
      <c r="AS35" s="24" t="str">
        <f t="shared" si="22"/>
        <v/>
      </c>
      <c r="AT35" s="24" t="str">
        <f t="shared" si="23"/>
        <v/>
      </c>
      <c r="AU35" s="24" t="str">
        <f t="shared" si="24"/>
        <v/>
      </c>
      <c r="AV35" s="24" t="str">
        <f t="shared" si="25"/>
        <v/>
      </c>
      <c r="AW35" s="24" t="str">
        <f t="shared" si="26"/>
        <v/>
      </c>
      <c r="AX35" s="24" t="str">
        <f t="shared" si="27"/>
        <v/>
      </c>
      <c r="AY35" s="24" t="str">
        <f t="shared" si="28"/>
        <v/>
      </c>
      <c r="AZ35" s="24" t="str">
        <f t="shared" si="29"/>
        <v/>
      </c>
      <c r="BA35" s="24" t="str">
        <f t="shared" si="30"/>
        <v/>
      </c>
      <c r="BB35" s="24" t="str">
        <f t="shared" si="31"/>
        <v/>
      </c>
      <c r="BC35" s="24" t="str">
        <f t="shared" si="32"/>
        <v/>
      </c>
      <c r="BD35" s="24" t="str">
        <f t="shared" si="33"/>
        <v/>
      </c>
      <c r="BE35" s="24" t="str">
        <f t="shared" si="34"/>
        <v/>
      </c>
      <c r="BF35" s="24" t="str">
        <f t="shared" si="35"/>
        <v/>
      </c>
      <c r="BG35" s="24" t="str">
        <f t="shared" si="36"/>
        <v/>
      </c>
      <c r="BH35" s="24" t="str">
        <f t="shared" si="37"/>
        <v/>
      </c>
      <c r="BI35" s="24" t="str">
        <f t="shared" si="38"/>
        <v/>
      </c>
      <c r="BJ35" s="24" t="str">
        <f t="shared" si="39"/>
        <v/>
      </c>
      <c r="BK35" s="24" t="str">
        <f t="shared" si="40"/>
        <v/>
      </c>
      <c r="BL35" s="26" t="str">
        <f t="shared" si="41"/>
        <v/>
      </c>
      <c r="BM35" s="26" t="str">
        <f t="shared" si="42"/>
        <v/>
      </c>
      <c r="BN35" s="26" t="str">
        <f t="shared" si="43"/>
        <v/>
      </c>
      <c r="BO35" s="26" t="str">
        <f t="shared" si="44"/>
        <v/>
      </c>
      <c r="BP35" s="26" t="str">
        <f t="shared" si="45"/>
        <v/>
      </c>
      <c r="BQ35" s="26" t="str">
        <f t="shared" si="46"/>
        <v/>
      </c>
      <c r="BR35" s="26" t="str">
        <f t="shared" si="47"/>
        <v/>
      </c>
      <c r="BS35" s="24" t="str">
        <f t="shared" si="91"/>
        <v/>
      </c>
      <c r="BT35" s="24" t="str">
        <f t="shared" si="92"/>
        <v/>
      </c>
      <c r="BU35" s="24" t="str">
        <f t="shared" si="93"/>
        <v/>
      </c>
      <c r="BV35" s="24" t="str">
        <f t="shared" si="94"/>
        <v/>
      </c>
      <c r="BW35" s="24" t="str">
        <f t="shared" si="95"/>
        <v/>
      </c>
      <c r="BX35" s="24" t="str">
        <f t="shared" si="96"/>
        <v/>
      </c>
      <c r="BY35" s="24" t="str">
        <f t="shared" si="97"/>
        <v/>
      </c>
      <c r="BZ35" s="24" t="str">
        <f t="shared" si="98"/>
        <v/>
      </c>
      <c r="CA35" s="24" t="str">
        <f t="shared" si="99"/>
        <v/>
      </c>
      <c r="CB35" s="24" t="str">
        <f t="shared" si="100"/>
        <v/>
      </c>
      <c r="CC35" s="24" t="str">
        <f t="shared" si="101"/>
        <v/>
      </c>
      <c r="CD35" s="24" t="str">
        <f t="shared" si="102"/>
        <v/>
      </c>
      <c r="CE35" s="24" t="str">
        <f t="shared" si="103"/>
        <v/>
      </c>
      <c r="CF35" s="24" t="str">
        <f t="shared" si="104"/>
        <v/>
      </c>
      <c r="CG35" s="24" t="str">
        <f t="shared" si="105"/>
        <v/>
      </c>
      <c r="CH35" s="24" t="str">
        <f t="shared" si="106"/>
        <v/>
      </c>
      <c r="CI35" s="24" t="str">
        <f t="shared" si="64"/>
        <v/>
      </c>
      <c r="CJ35" s="24" t="str">
        <f t="shared" si="83"/>
        <v/>
      </c>
      <c r="CK35" s="26" t="str">
        <f t="shared" si="65"/>
        <v/>
      </c>
      <c r="CL35" s="26" t="str">
        <f t="shared" si="84"/>
        <v/>
      </c>
      <c r="CM35" s="24" t="str">
        <f t="shared" si="85"/>
        <v/>
      </c>
      <c r="CN35" s="26" t="str">
        <f t="shared" si="66"/>
        <v/>
      </c>
      <c r="CO35" s="24" t="str">
        <f t="shared" si="67"/>
        <v/>
      </c>
      <c r="CP35" s="26" t="str">
        <f t="shared" si="68"/>
        <v/>
      </c>
      <c r="CQ35" s="26" t="str">
        <f t="shared" si="69"/>
        <v/>
      </c>
      <c r="CR35" s="26" t="str">
        <f t="shared" si="86"/>
        <v/>
      </c>
      <c r="CS35" s="24" t="str">
        <f t="shared" si="87"/>
        <v/>
      </c>
      <c r="CT35" s="27" t="str">
        <f t="shared" si="70"/>
        <v/>
      </c>
      <c r="CU35" s="24" t="str">
        <f t="shared" si="71"/>
        <v/>
      </c>
      <c r="CV35" s="27" t="str">
        <f t="shared" si="72"/>
        <v/>
      </c>
      <c r="CW35" s="27" t="str">
        <f t="shared" si="73"/>
        <v/>
      </c>
      <c r="CX35" s="26" t="str">
        <f t="shared" si="88"/>
        <v/>
      </c>
      <c r="CY35" s="27" t="str">
        <f t="shared" si="89"/>
        <v/>
      </c>
      <c r="CZ35" s="26" t="str">
        <f t="shared" si="74"/>
        <v/>
      </c>
      <c r="DA35" s="24" t="str">
        <f t="shared" si="75"/>
        <v/>
      </c>
      <c r="DB35" s="24" t="str">
        <f t="shared" si="76"/>
        <v/>
      </c>
      <c r="DC35" s="24" t="str">
        <f t="shared" si="77"/>
        <v/>
      </c>
      <c r="DD35" s="24" t="str">
        <f t="shared" si="78"/>
        <v/>
      </c>
      <c r="DE35" s="1">
        <v>0</v>
      </c>
      <c r="DF35" s="1">
        <v>0</v>
      </c>
      <c r="DG35" s="1">
        <v>0</v>
      </c>
      <c r="DH35" s="24" t="str">
        <f t="shared" si="79"/>
        <v/>
      </c>
      <c r="DI35" s="25" t="str">
        <f t="shared" si="80"/>
        <v/>
      </c>
      <c r="DJ35" t="str">
        <f t="shared" si="81"/>
        <v/>
      </c>
      <c r="DK35" s="9"/>
      <c r="DL35" s="9"/>
      <c r="DM35" s="9"/>
      <c r="DN35" s="9"/>
      <c r="DO35" s="9"/>
      <c r="DP35" s="9"/>
      <c r="DQ35" s="136" t="b">
        <f t="shared" si="82"/>
        <v>1</v>
      </c>
    </row>
    <row r="36" spans="1:121" ht="27" customHeight="1" x14ac:dyDescent="1.25">
      <c r="A36" s="24" t="str">
        <f t="shared" si="90"/>
        <v/>
      </c>
      <c r="B36" s="69"/>
      <c r="C36" s="69"/>
      <c r="D36" s="70"/>
      <c r="E36" s="70"/>
      <c r="F36" s="69"/>
      <c r="G36" s="22"/>
      <c r="H36" s="22"/>
      <c r="I36" s="22"/>
      <c r="J36" s="22"/>
      <c r="K36" s="22"/>
      <c r="L36" s="22"/>
      <c r="M36" s="22"/>
      <c r="N36" s="22"/>
      <c r="O36" s="22"/>
      <c r="P36" s="7"/>
      <c r="Q36" s="7"/>
      <c r="R36" s="7"/>
      <c r="S36" s="7"/>
      <c r="T36" s="7"/>
      <c r="U36" s="7"/>
      <c r="V36" s="7"/>
      <c r="W36" s="3" t="str">
        <f t="shared" si="0"/>
        <v/>
      </c>
      <c r="X36" s="3" t="str">
        <f t="shared" si="1"/>
        <v/>
      </c>
      <c r="Y36" s="3" t="str">
        <f t="shared" si="2"/>
        <v/>
      </c>
      <c r="Z36" s="3" t="str">
        <f t="shared" si="3"/>
        <v/>
      </c>
      <c r="AA36" s="3" t="str">
        <f t="shared" si="4"/>
        <v/>
      </c>
      <c r="AB36" s="3" t="str">
        <f t="shared" si="5"/>
        <v/>
      </c>
      <c r="AC36" s="3" t="str">
        <f t="shared" si="6"/>
        <v/>
      </c>
      <c r="AD36" s="3" t="str">
        <f t="shared" si="7"/>
        <v/>
      </c>
      <c r="AE36" s="3" t="str">
        <f t="shared" si="8"/>
        <v/>
      </c>
      <c r="AF36" s="24" t="str">
        <f t="shared" si="9"/>
        <v/>
      </c>
      <c r="AG36" s="24" t="str">
        <f t="shared" si="10"/>
        <v/>
      </c>
      <c r="AH36" s="24" t="str">
        <f t="shared" si="11"/>
        <v/>
      </c>
      <c r="AI36" s="24" t="str">
        <f t="shared" si="12"/>
        <v/>
      </c>
      <c r="AJ36" s="24" t="str">
        <f t="shared" si="13"/>
        <v/>
      </c>
      <c r="AK36" s="24" t="str">
        <f t="shared" si="14"/>
        <v/>
      </c>
      <c r="AL36" s="24" t="str">
        <f t="shared" si="15"/>
        <v/>
      </c>
      <c r="AM36" s="24" t="str">
        <f t="shared" si="16"/>
        <v/>
      </c>
      <c r="AN36" s="24" t="str">
        <f t="shared" si="17"/>
        <v/>
      </c>
      <c r="AO36" s="24" t="str">
        <f t="shared" si="18"/>
        <v/>
      </c>
      <c r="AP36" s="24" t="str">
        <f t="shared" si="19"/>
        <v/>
      </c>
      <c r="AQ36" s="24" t="str">
        <f t="shared" si="20"/>
        <v/>
      </c>
      <c r="AR36" s="24" t="str">
        <f t="shared" si="21"/>
        <v/>
      </c>
      <c r="AS36" s="24" t="str">
        <f t="shared" si="22"/>
        <v/>
      </c>
      <c r="AT36" s="24" t="str">
        <f t="shared" si="23"/>
        <v/>
      </c>
      <c r="AU36" s="24" t="str">
        <f t="shared" si="24"/>
        <v/>
      </c>
      <c r="AV36" s="24" t="str">
        <f t="shared" si="25"/>
        <v/>
      </c>
      <c r="AW36" s="24" t="str">
        <f t="shared" si="26"/>
        <v/>
      </c>
      <c r="AX36" s="24" t="str">
        <f t="shared" si="27"/>
        <v/>
      </c>
      <c r="AY36" s="24" t="str">
        <f t="shared" si="28"/>
        <v/>
      </c>
      <c r="AZ36" s="24" t="str">
        <f t="shared" si="29"/>
        <v/>
      </c>
      <c r="BA36" s="24" t="str">
        <f t="shared" si="30"/>
        <v/>
      </c>
      <c r="BB36" s="24" t="str">
        <f t="shared" si="31"/>
        <v/>
      </c>
      <c r="BC36" s="24" t="str">
        <f t="shared" si="32"/>
        <v/>
      </c>
      <c r="BD36" s="24" t="str">
        <f t="shared" si="33"/>
        <v/>
      </c>
      <c r="BE36" s="24" t="str">
        <f t="shared" si="34"/>
        <v/>
      </c>
      <c r="BF36" s="24" t="str">
        <f t="shared" si="35"/>
        <v/>
      </c>
      <c r="BG36" s="24" t="str">
        <f t="shared" si="36"/>
        <v/>
      </c>
      <c r="BH36" s="24" t="str">
        <f t="shared" si="37"/>
        <v/>
      </c>
      <c r="BI36" s="24" t="str">
        <f t="shared" si="38"/>
        <v/>
      </c>
      <c r="BJ36" s="24" t="str">
        <f t="shared" si="39"/>
        <v/>
      </c>
      <c r="BK36" s="24" t="str">
        <f t="shared" si="40"/>
        <v/>
      </c>
      <c r="BL36" s="26" t="str">
        <f t="shared" si="41"/>
        <v/>
      </c>
      <c r="BM36" s="26" t="str">
        <f t="shared" si="42"/>
        <v/>
      </c>
      <c r="BN36" s="26" t="str">
        <f t="shared" si="43"/>
        <v/>
      </c>
      <c r="BO36" s="26" t="str">
        <f t="shared" si="44"/>
        <v/>
      </c>
      <c r="BP36" s="26" t="str">
        <f t="shared" si="45"/>
        <v/>
      </c>
      <c r="BQ36" s="26" t="str">
        <f t="shared" si="46"/>
        <v/>
      </c>
      <c r="BR36" s="26" t="str">
        <f t="shared" si="47"/>
        <v/>
      </c>
      <c r="BS36" s="24" t="str">
        <f t="shared" si="91"/>
        <v/>
      </c>
      <c r="BT36" s="24" t="str">
        <f t="shared" si="92"/>
        <v/>
      </c>
      <c r="BU36" s="24" t="str">
        <f t="shared" si="93"/>
        <v/>
      </c>
      <c r="BV36" s="24" t="str">
        <f t="shared" si="94"/>
        <v/>
      </c>
      <c r="BW36" s="24" t="str">
        <f t="shared" si="95"/>
        <v/>
      </c>
      <c r="BX36" s="24" t="str">
        <f t="shared" si="96"/>
        <v/>
      </c>
      <c r="BY36" s="24" t="str">
        <f t="shared" si="97"/>
        <v/>
      </c>
      <c r="BZ36" s="24" t="str">
        <f t="shared" si="98"/>
        <v/>
      </c>
      <c r="CA36" s="24" t="str">
        <f t="shared" si="99"/>
        <v/>
      </c>
      <c r="CB36" s="24" t="str">
        <f t="shared" si="100"/>
        <v/>
      </c>
      <c r="CC36" s="24" t="str">
        <f t="shared" si="101"/>
        <v/>
      </c>
      <c r="CD36" s="24" t="str">
        <f t="shared" si="102"/>
        <v/>
      </c>
      <c r="CE36" s="24" t="str">
        <f t="shared" si="103"/>
        <v/>
      </c>
      <c r="CF36" s="24" t="str">
        <f t="shared" si="104"/>
        <v/>
      </c>
      <c r="CG36" s="24" t="str">
        <f t="shared" si="105"/>
        <v/>
      </c>
      <c r="CH36" s="24" t="str">
        <f t="shared" si="106"/>
        <v/>
      </c>
      <c r="CI36" s="24" t="str">
        <f t="shared" si="64"/>
        <v/>
      </c>
      <c r="CJ36" s="24" t="str">
        <f t="shared" si="83"/>
        <v/>
      </c>
      <c r="CK36" s="26" t="str">
        <f t="shared" si="65"/>
        <v/>
      </c>
      <c r="CL36" s="26" t="str">
        <f t="shared" si="84"/>
        <v/>
      </c>
      <c r="CM36" s="24" t="str">
        <f t="shared" si="85"/>
        <v/>
      </c>
      <c r="CN36" s="26" t="str">
        <f t="shared" si="66"/>
        <v/>
      </c>
      <c r="CO36" s="24" t="str">
        <f t="shared" si="67"/>
        <v/>
      </c>
      <c r="CP36" s="26" t="str">
        <f t="shared" si="68"/>
        <v/>
      </c>
      <c r="CQ36" s="26" t="str">
        <f t="shared" si="69"/>
        <v/>
      </c>
      <c r="CR36" s="26" t="str">
        <f t="shared" si="86"/>
        <v/>
      </c>
      <c r="CS36" s="24" t="str">
        <f t="shared" si="87"/>
        <v/>
      </c>
      <c r="CT36" s="27" t="str">
        <f t="shared" si="70"/>
        <v/>
      </c>
      <c r="CU36" s="24" t="str">
        <f t="shared" si="71"/>
        <v/>
      </c>
      <c r="CV36" s="27" t="str">
        <f t="shared" si="72"/>
        <v/>
      </c>
      <c r="CW36" s="27" t="str">
        <f t="shared" si="73"/>
        <v/>
      </c>
      <c r="CX36" s="26" t="str">
        <f t="shared" si="88"/>
        <v/>
      </c>
      <c r="CY36" s="27" t="str">
        <f t="shared" si="89"/>
        <v/>
      </c>
      <c r="CZ36" s="26" t="str">
        <f t="shared" si="74"/>
        <v/>
      </c>
      <c r="DA36" s="24" t="str">
        <f t="shared" si="75"/>
        <v/>
      </c>
      <c r="DB36" s="24" t="str">
        <f t="shared" si="76"/>
        <v/>
      </c>
      <c r="DC36" s="24" t="str">
        <f t="shared" si="77"/>
        <v/>
      </c>
      <c r="DD36" s="24" t="str">
        <f t="shared" si="78"/>
        <v/>
      </c>
      <c r="DE36" s="1">
        <v>0</v>
      </c>
      <c r="DF36" s="1">
        <v>0</v>
      </c>
      <c r="DG36" s="1">
        <v>0</v>
      </c>
      <c r="DH36" s="24" t="str">
        <f t="shared" si="79"/>
        <v/>
      </c>
      <c r="DI36" s="25" t="str">
        <f t="shared" si="80"/>
        <v/>
      </c>
      <c r="DJ36" t="str">
        <f t="shared" si="81"/>
        <v/>
      </c>
      <c r="DK36" s="9"/>
      <c r="DL36" s="9"/>
      <c r="DM36" s="9"/>
      <c r="DN36" s="9"/>
      <c r="DO36" s="9"/>
      <c r="DP36" s="9"/>
      <c r="DQ36" s="136" t="b">
        <f t="shared" si="82"/>
        <v>1</v>
      </c>
    </row>
    <row r="37" spans="1:121" ht="27" customHeight="1" x14ac:dyDescent="1.25">
      <c r="A37" s="24" t="str">
        <f t="shared" si="90"/>
        <v/>
      </c>
      <c r="B37" s="69"/>
      <c r="C37" s="69"/>
      <c r="D37" s="70"/>
      <c r="E37" s="70"/>
      <c r="F37" s="69"/>
      <c r="G37" s="22"/>
      <c r="H37" s="22"/>
      <c r="I37" s="22"/>
      <c r="J37" s="22"/>
      <c r="K37" s="22"/>
      <c r="L37" s="22"/>
      <c r="M37" s="22"/>
      <c r="N37" s="22"/>
      <c r="O37" s="22"/>
      <c r="P37" s="7"/>
      <c r="Q37" s="7"/>
      <c r="R37" s="7"/>
      <c r="S37" s="7"/>
      <c r="T37" s="7"/>
      <c r="U37" s="7"/>
      <c r="V37" s="7"/>
      <c r="W37" s="3" t="str">
        <f t="shared" si="0"/>
        <v/>
      </c>
      <c r="X37" s="3" t="str">
        <f t="shared" si="1"/>
        <v/>
      </c>
      <c r="Y37" s="3" t="str">
        <f t="shared" si="2"/>
        <v/>
      </c>
      <c r="Z37" s="3" t="str">
        <f t="shared" si="3"/>
        <v/>
      </c>
      <c r="AA37" s="3" t="str">
        <f t="shared" si="4"/>
        <v/>
      </c>
      <c r="AB37" s="3" t="str">
        <f t="shared" si="5"/>
        <v/>
      </c>
      <c r="AC37" s="3" t="str">
        <f t="shared" si="6"/>
        <v/>
      </c>
      <c r="AD37" s="3" t="str">
        <f t="shared" si="7"/>
        <v/>
      </c>
      <c r="AE37" s="3" t="str">
        <f t="shared" si="8"/>
        <v/>
      </c>
      <c r="AF37" s="24" t="str">
        <f t="shared" si="9"/>
        <v/>
      </c>
      <c r="AG37" s="24" t="str">
        <f t="shared" si="10"/>
        <v/>
      </c>
      <c r="AH37" s="24" t="str">
        <f t="shared" si="11"/>
        <v/>
      </c>
      <c r="AI37" s="24" t="str">
        <f t="shared" si="12"/>
        <v/>
      </c>
      <c r="AJ37" s="24" t="str">
        <f t="shared" si="13"/>
        <v/>
      </c>
      <c r="AK37" s="24" t="str">
        <f t="shared" si="14"/>
        <v/>
      </c>
      <c r="AL37" s="24" t="str">
        <f t="shared" si="15"/>
        <v/>
      </c>
      <c r="AM37" s="24" t="str">
        <f t="shared" si="16"/>
        <v/>
      </c>
      <c r="AN37" s="24" t="str">
        <f t="shared" si="17"/>
        <v/>
      </c>
      <c r="AO37" s="24" t="str">
        <f t="shared" si="18"/>
        <v/>
      </c>
      <c r="AP37" s="24" t="str">
        <f t="shared" si="19"/>
        <v/>
      </c>
      <c r="AQ37" s="24" t="str">
        <f t="shared" si="20"/>
        <v/>
      </c>
      <c r="AR37" s="24" t="str">
        <f t="shared" si="21"/>
        <v/>
      </c>
      <c r="AS37" s="24" t="str">
        <f t="shared" si="22"/>
        <v/>
      </c>
      <c r="AT37" s="24" t="str">
        <f t="shared" si="23"/>
        <v/>
      </c>
      <c r="AU37" s="24" t="str">
        <f t="shared" si="24"/>
        <v/>
      </c>
      <c r="AV37" s="24" t="str">
        <f t="shared" si="25"/>
        <v/>
      </c>
      <c r="AW37" s="24" t="str">
        <f t="shared" si="26"/>
        <v/>
      </c>
      <c r="AX37" s="24" t="str">
        <f t="shared" si="27"/>
        <v/>
      </c>
      <c r="AY37" s="24" t="str">
        <f t="shared" si="28"/>
        <v/>
      </c>
      <c r="AZ37" s="24" t="str">
        <f t="shared" si="29"/>
        <v/>
      </c>
      <c r="BA37" s="24" t="str">
        <f t="shared" si="30"/>
        <v/>
      </c>
      <c r="BB37" s="24" t="str">
        <f t="shared" si="31"/>
        <v/>
      </c>
      <c r="BC37" s="24" t="str">
        <f t="shared" si="32"/>
        <v/>
      </c>
      <c r="BD37" s="24" t="str">
        <f t="shared" si="33"/>
        <v/>
      </c>
      <c r="BE37" s="24" t="str">
        <f t="shared" si="34"/>
        <v/>
      </c>
      <c r="BF37" s="24" t="str">
        <f t="shared" si="35"/>
        <v/>
      </c>
      <c r="BG37" s="24" t="str">
        <f t="shared" si="36"/>
        <v/>
      </c>
      <c r="BH37" s="24" t="str">
        <f t="shared" si="37"/>
        <v/>
      </c>
      <c r="BI37" s="24" t="str">
        <f t="shared" si="38"/>
        <v/>
      </c>
      <c r="BJ37" s="24" t="str">
        <f t="shared" si="39"/>
        <v/>
      </c>
      <c r="BK37" s="24" t="str">
        <f t="shared" si="40"/>
        <v/>
      </c>
      <c r="BL37" s="26" t="str">
        <f t="shared" si="41"/>
        <v/>
      </c>
      <c r="BM37" s="26" t="str">
        <f t="shared" si="42"/>
        <v/>
      </c>
      <c r="BN37" s="26" t="str">
        <f t="shared" si="43"/>
        <v/>
      </c>
      <c r="BO37" s="26" t="str">
        <f t="shared" si="44"/>
        <v/>
      </c>
      <c r="BP37" s="26" t="str">
        <f t="shared" si="45"/>
        <v/>
      </c>
      <c r="BQ37" s="26" t="str">
        <f t="shared" si="46"/>
        <v/>
      </c>
      <c r="BR37" s="26" t="str">
        <f t="shared" si="47"/>
        <v/>
      </c>
      <c r="BS37" s="24" t="str">
        <f t="shared" si="91"/>
        <v/>
      </c>
      <c r="BT37" s="24" t="str">
        <f t="shared" si="92"/>
        <v/>
      </c>
      <c r="BU37" s="24" t="str">
        <f t="shared" si="93"/>
        <v/>
      </c>
      <c r="BV37" s="24" t="str">
        <f t="shared" si="94"/>
        <v/>
      </c>
      <c r="BW37" s="24" t="str">
        <f t="shared" si="95"/>
        <v/>
      </c>
      <c r="BX37" s="24" t="str">
        <f t="shared" si="96"/>
        <v/>
      </c>
      <c r="BY37" s="24" t="str">
        <f t="shared" si="97"/>
        <v/>
      </c>
      <c r="BZ37" s="24" t="str">
        <f t="shared" si="98"/>
        <v/>
      </c>
      <c r="CA37" s="24" t="str">
        <f t="shared" si="99"/>
        <v/>
      </c>
      <c r="CB37" s="24" t="str">
        <f t="shared" si="100"/>
        <v/>
      </c>
      <c r="CC37" s="24" t="str">
        <f t="shared" si="101"/>
        <v/>
      </c>
      <c r="CD37" s="24" t="str">
        <f t="shared" si="102"/>
        <v/>
      </c>
      <c r="CE37" s="24" t="str">
        <f t="shared" si="103"/>
        <v/>
      </c>
      <c r="CF37" s="24" t="str">
        <f t="shared" si="104"/>
        <v/>
      </c>
      <c r="CG37" s="24" t="str">
        <f t="shared" si="105"/>
        <v/>
      </c>
      <c r="CH37" s="24" t="str">
        <f t="shared" si="106"/>
        <v/>
      </c>
      <c r="CI37" s="24" t="str">
        <f t="shared" si="64"/>
        <v/>
      </c>
      <c r="CJ37" s="24" t="str">
        <f t="shared" si="83"/>
        <v/>
      </c>
      <c r="CK37" s="26" t="str">
        <f t="shared" si="65"/>
        <v/>
      </c>
      <c r="CL37" s="26" t="str">
        <f t="shared" si="84"/>
        <v/>
      </c>
      <c r="CM37" s="24" t="str">
        <f t="shared" si="85"/>
        <v/>
      </c>
      <c r="CN37" s="26" t="str">
        <f t="shared" si="66"/>
        <v/>
      </c>
      <c r="CO37" s="24" t="str">
        <f t="shared" si="67"/>
        <v/>
      </c>
      <c r="CP37" s="26" t="str">
        <f t="shared" si="68"/>
        <v/>
      </c>
      <c r="CQ37" s="26" t="str">
        <f t="shared" si="69"/>
        <v/>
      </c>
      <c r="CR37" s="26" t="str">
        <f t="shared" si="86"/>
        <v/>
      </c>
      <c r="CS37" s="24" t="str">
        <f t="shared" si="87"/>
        <v/>
      </c>
      <c r="CT37" s="27" t="str">
        <f t="shared" si="70"/>
        <v/>
      </c>
      <c r="CU37" s="24" t="str">
        <f t="shared" si="71"/>
        <v/>
      </c>
      <c r="CV37" s="27" t="str">
        <f t="shared" si="72"/>
        <v/>
      </c>
      <c r="CW37" s="27" t="str">
        <f t="shared" si="73"/>
        <v/>
      </c>
      <c r="CX37" s="26" t="str">
        <f t="shared" si="88"/>
        <v/>
      </c>
      <c r="CY37" s="27" t="str">
        <f t="shared" si="89"/>
        <v/>
      </c>
      <c r="CZ37" s="26" t="str">
        <f t="shared" si="74"/>
        <v/>
      </c>
      <c r="DA37" s="24" t="str">
        <f t="shared" si="75"/>
        <v/>
      </c>
      <c r="DB37" s="24" t="str">
        <f t="shared" si="76"/>
        <v/>
      </c>
      <c r="DC37" s="24" t="str">
        <f t="shared" si="77"/>
        <v/>
      </c>
      <c r="DD37" s="24" t="str">
        <f t="shared" si="78"/>
        <v/>
      </c>
      <c r="DE37" s="1">
        <v>0</v>
      </c>
      <c r="DF37" s="1">
        <v>0</v>
      </c>
      <c r="DG37" s="1">
        <v>0</v>
      </c>
      <c r="DH37" s="24" t="str">
        <f t="shared" si="79"/>
        <v/>
      </c>
      <c r="DI37" s="25" t="str">
        <f t="shared" si="80"/>
        <v/>
      </c>
      <c r="DJ37" t="str">
        <f t="shared" si="81"/>
        <v/>
      </c>
      <c r="DK37" s="9"/>
      <c r="DL37" s="9"/>
      <c r="DM37" s="9"/>
      <c r="DN37" s="9"/>
      <c r="DO37" s="9"/>
      <c r="DP37" s="9"/>
      <c r="DQ37" s="136" t="b">
        <f t="shared" si="82"/>
        <v>1</v>
      </c>
    </row>
    <row r="38" spans="1:121" ht="27" customHeight="1" x14ac:dyDescent="1.25">
      <c r="A38" s="24" t="str">
        <f t="shared" si="90"/>
        <v/>
      </c>
      <c r="B38" s="69"/>
      <c r="C38" s="69"/>
      <c r="D38" s="70"/>
      <c r="E38" s="70"/>
      <c r="F38" s="69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3" t="str">
        <f t="shared" si="0"/>
        <v/>
      </c>
      <c r="X38" s="3" t="str">
        <f t="shared" si="1"/>
        <v/>
      </c>
      <c r="Y38" s="3" t="str">
        <f t="shared" si="2"/>
        <v/>
      </c>
      <c r="Z38" s="3" t="str">
        <f t="shared" si="3"/>
        <v/>
      </c>
      <c r="AA38" s="3" t="str">
        <f t="shared" si="4"/>
        <v/>
      </c>
      <c r="AB38" s="3" t="str">
        <f t="shared" si="5"/>
        <v/>
      </c>
      <c r="AC38" s="3" t="str">
        <f t="shared" si="6"/>
        <v/>
      </c>
      <c r="AD38" s="3" t="str">
        <f t="shared" si="7"/>
        <v/>
      </c>
      <c r="AE38" s="3" t="str">
        <f t="shared" si="8"/>
        <v/>
      </c>
      <c r="AF38" s="24" t="str">
        <f t="shared" si="9"/>
        <v/>
      </c>
      <c r="AG38" s="24" t="str">
        <f t="shared" si="10"/>
        <v/>
      </c>
      <c r="AH38" s="24" t="str">
        <f t="shared" si="11"/>
        <v/>
      </c>
      <c r="AI38" s="24" t="str">
        <f t="shared" si="12"/>
        <v/>
      </c>
      <c r="AJ38" s="24" t="str">
        <f t="shared" si="13"/>
        <v/>
      </c>
      <c r="AK38" s="24" t="str">
        <f t="shared" si="14"/>
        <v/>
      </c>
      <c r="AL38" s="24" t="str">
        <f t="shared" si="15"/>
        <v/>
      </c>
      <c r="AM38" s="24" t="str">
        <f t="shared" si="16"/>
        <v/>
      </c>
      <c r="AN38" s="24" t="str">
        <f t="shared" si="17"/>
        <v/>
      </c>
      <c r="AO38" s="24" t="str">
        <f t="shared" si="18"/>
        <v/>
      </c>
      <c r="AP38" s="24" t="str">
        <f t="shared" si="19"/>
        <v/>
      </c>
      <c r="AQ38" s="24" t="str">
        <f t="shared" si="20"/>
        <v/>
      </c>
      <c r="AR38" s="24" t="str">
        <f t="shared" si="21"/>
        <v/>
      </c>
      <c r="AS38" s="24" t="str">
        <f t="shared" si="22"/>
        <v/>
      </c>
      <c r="AT38" s="24" t="str">
        <f t="shared" si="23"/>
        <v/>
      </c>
      <c r="AU38" s="24" t="str">
        <f t="shared" si="24"/>
        <v/>
      </c>
      <c r="AV38" s="24" t="str">
        <f t="shared" si="25"/>
        <v/>
      </c>
      <c r="AW38" s="24" t="str">
        <f t="shared" si="26"/>
        <v/>
      </c>
      <c r="AX38" s="24" t="str">
        <f t="shared" si="27"/>
        <v/>
      </c>
      <c r="AY38" s="24" t="str">
        <f t="shared" si="28"/>
        <v/>
      </c>
      <c r="AZ38" s="24" t="str">
        <f t="shared" si="29"/>
        <v/>
      </c>
      <c r="BA38" s="24" t="str">
        <f t="shared" si="30"/>
        <v/>
      </c>
      <c r="BB38" s="24" t="str">
        <f t="shared" si="31"/>
        <v/>
      </c>
      <c r="BC38" s="24" t="str">
        <f t="shared" si="32"/>
        <v/>
      </c>
      <c r="BD38" s="24" t="str">
        <f t="shared" si="33"/>
        <v/>
      </c>
      <c r="BE38" s="24" t="str">
        <f t="shared" si="34"/>
        <v/>
      </c>
      <c r="BF38" s="24" t="str">
        <f t="shared" si="35"/>
        <v/>
      </c>
      <c r="BG38" s="24" t="str">
        <f t="shared" si="36"/>
        <v/>
      </c>
      <c r="BH38" s="24" t="str">
        <f t="shared" si="37"/>
        <v/>
      </c>
      <c r="BI38" s="24" t="str">
        <f t="shared" si="38"/>
        <v/>
      </c>
      <c r="BJ38" s="24" t="str">
        <f t="shared" si="39"/>
        <v/>
      </c>
      <c r="BK38" s="24" t="str">
        <f t="shared" si="40"/>
        <v/>
      </c>
      <c r="BL38" s="26" t="str">
        <f t="shared" si="41"/>
        <v/>
      </c>
      <c r="BM38" s="26" t="str">
        <f t="shared" si="42"/>
        <v/>
      </c>
      <c r="BN38" s="26" t="str">
        <f t="shared" si="43"/>
        <v/>
      </c>
      <c r="BO38" s="26" t="str">
        <f t="shared" si="44"/>
        <v/>
      </c>
      <c r="BP38" s="26" t="str">
        <f t="shared" si="45"/>
        <v/>
      </c>
      <c r="BQ38" s="26" t="str">
        <f t="shared" si="46"/>
        <v/>
      </c>
      <c r="BR38" s="26" t="str">
        <f t="shared" si="47"/>
        <v/>
      </c>
      <c r="BS38" s="24" t="str">
        <f t="shared" si="91"/>
        <v/>
      </c>
      <c r="BT38" s="24" t="str">
        <f t="shared" si="92"/>
        <v/>
      </c>
      <c r="BU38" s="24" t="str">
        <f t="shared" si="93"/>
        <v/>
      </c>
      <c r="BV38" s="24" t="str">
        <f t="shared" si="94"/>
        <v/>
      </c>
      <c r="BW38" s="24" t="str">
        <f t="shared" si="95"/>
        <v/>
      </c>
      <c r="BX38" s="24" t="str">
        <f t="shared" si="96"/>
        <v/>
      </c>
      <c r="BY38" s="24" t="str">
        <f t="shared" si="97"/>
        <v/>
      </c>
      <c r="BZ38" s="24" t="str">
        <f t="shared" si="98"/>
        <v/>
      </c>
      <c r="CA38" s="24" t="str">
        <f t="shared" si="99"/>
        <v/>
      </c>
      <c r="CB38" s="24" t="str">
        <f t="shared" si="100"/>
        <v/>
      </c>
      <c r="CC38" s="24" t="str">
        <f t="shared" si="101"/>
        <v/>
      </c>
      <c r="CD38" s="24" t="str">
        <f t="shared" si="102"/>
        <v/>
      </c>
      <c r="CE38" s="24" t="str">
        <f t="shared" si="103"/>
        <v/>
      </c>
      <c r="CF38" s="24" t="str">
        <f t="shared" si="104"/>
        <v/>
      </c>
      <c r="CG38" s="24" t="str">
        <f t="shared" si="105"/>
        <v/>
      </c>
      <c r="CH38" s="24" t="str">
        <f t="shared" si="106"/>
        <v/>
      </c>
      <c r="CI38" s="24" t="str">
        <f t="shared" si="64"/>
        <v/>
      </c>
      <c r="CJ38" s="24" t="str">
        <f t="shared" si="83"/>
        <v/>
      </c>
      <c r="CK38" s="26" t="str">
        <f t="shared" si="65"/>
        <v/>
      </c>
      <c r="CL38" s="26" t="str">
        <f t="shared" si="84"/>
        <v/>
      </c>
      <c r="CM38" s="24" t="str">
        <f t="shared" si="85"/>
        <v/>
      </c>
      <c r="CN38" s="26" t="str">
        <f t="shared" si="66"/>
        <v/>
      </c>
      <c r="CO38" s="24" t="str">
        <f t="shared" si="67"/>
        <v/>
      </c>
      <c r="CP38" s="26" t="str">
        <f t="shared" si="68"/>
        <v/>
      </c>
      <c r="CQ38" s="26" t="str">
        <f t="shared" si="69"/>
        <v/>
      </c>
      <c r="CR38" s="26" t="str">
        <f t="shared" si="86"/>
        <v/>
      </c>
      <c r="CS38" s="24" t="str">
        <f t="shared" si="87"/>
        <v/>
      </c>
      <c r="CT38" s="27" t="str">
        <f t="shared" si="70"/>
        <v/>
      </c>
      <c r="CU38" s="24" t="str">
        <f t="shared" si="71"/>
        <v/>
      </c>
      <c r="CV38" s="27" t="str">
        <f t="shared" si="72"/>
        <v/>
      </c>
      <c r="CW38" s="27" t="str">
        <f t="shared" si="73"/>
        <v/>
      </c>
      <c r="CX38" s="26" t="str">
        <f t="shared" si="88"/>
        <v/>
      </c>
      <c r="CY38" s="27" t="str">
        <f t="shared" si="89"/>
        <v/>
      </c>
      <c r="CZ38" s="26" t="str">
        <f t="shared" si="74"/>
        <v/>
      </c>
      <c r="DA38" s="24" t="str">
        <f t="shared" si="75"/>
        <v/>
      </c>
      <c r="DB38" s="24" t="str">
        <f t="shared" si="76"/>
        <v/>
      </c>
      <c r="DC38" s="24" t="str">
        <f t="shared" si="77"/>
        <v/>
      </c>
      <c r="DD38" s="24" t="str">
        <f t="shared" si="78"/>
        <v/>
      </c>
      <c r="DE38" s="1">
        <v>0</v>
      </c>
      <c r="DF38" s="1">
        <v>0</v>
      </c>
      <c r="DG38" s="1">
        <v>0</v>
      </c>
      <c r="DH38" s="24" t="str">
        <f t="shared" si="79"/>
        <v/>
      </c>
      <c r="DI38" s="25" t="str">
        <f t="shared" si="80"/>
        <v/>
      </c>
      <c r="DJ38" t="str">
        <f t="shared" si="81"/>
        <v/>
      </c>
      <c r="DK38" s="9"/>
      <c r="DL38" s="9"/>
      <c r="DM38" s="9"/>
      <c r="DN38" s="9"/>
      <c r="DO38" s="9"/>
      <c r="DP38" s="9"/>
      <c r="DQ38" s="136" t="b">
        <f t="shared" si="82"/>
        <v>1</v>
      </c>
    </row>
    <row r="39" spans="1:121" ht="27" customHeight="1" x14ac:dyDescent="1.25">
      <c r="A39" s="24" t="str">
        <f t="shared" si="90"/>
        <v/>
      </c>
      <c r="B39" s="69"/>
      <c r="C39" s="69"/>
      <c r="D39" s="70"/>
      <c r="E39" s="70"/>
      <c r="F39" s="69"/>
      <c r="G39" s="22"/>
      <c r="H39" s="22"/>
      <c r="I39" s="22"/>
      <c r="J39" s="22"/>
      <c r="K39" s="22"/>
      <c r="L39" s="22"/>
      <c r="M39" s="22"/>
      <c r="N39" s="22"/>
      <c r="O39" s="22"/>
      <c r="P39" s="7"/>
      <c r="Q39" s="7"/>
      <c r="R39" s="7"/>
      <c r="S39" s="7"/>
      <c r="T39" s="7"/>
      <c r="U39" s="7"/>
      <c r="V39" s="7"/>
      <c r="W39" s="3" t="str">
        <f t="shared" si="0"/>
        <v/>
      </c>
      <c r="X39" s="3" t="str">
        <f t="shared" si="1"/>
        <v/>
      </c>
      <c r="Y39" s="3" t="str">
        <f t="shared" si="2"/>
        <v/>
      </c>
      <c r="Z39" s="3" t="str">
        <f t="shared" si="3"/>
        <v/>
      </c>
      <c r="AA39" s="3" t="str">
        <f t="shared" si="4"/>
        <v/>
      </c>
      <c r="AB39" s="3" t="str">
        <f t="shared" si="5"/>
        <v/>
      </c>
      <c r="AC39" s="3" t="str">
        <f t="shared" si="6"/>
        <v/>
      </c>
      <c r="AD39" s="3" t="str">
        <f t="shared" si="7"/>
        <v/>
      </c>
      <c r="AE39" s="3" t="str">
        <f t="shared" si="8"/>
        <v/>
      </c>
      <c r="AF39" s="24" t="str">
        <f t="shared" si="9"/>
        <v/>
      </c>
      <c r="AG39" s="24" t="str">
        <f t="shared" si="10"/>
        <v/>
      </c>
      <c r="AH39" s="24" t="str">
        <f t="shared" si="11"/>
        <v/>
      </c>
      <c r="AI39" s="24" t="str">
        <f t="shared" si="12"/>
        <v/>
      </c>
      <c r="AJ39" s="24" t="str">
        <f t="shared" si="13"/>
        <v/>
      </c>
      <c r="AK39" s="24" t="str">
        <f t="shared" si="14"/>
        <v/>
      </c>
      <c r="AL39" s="24" t="str">
        <f t="shared" si="15"/>
        <v/>
      </c>
      <c r="AM39" s="24" t="str">
        <f t="shared" si="16"/>
        <v/>
      </c>
      <c r="AN39" s="24" t="str">
        <f t="shared" si="17"/>
        <v/>
      </c>
      <c r="AO39" s="24" t="str">
        <f t="shared" si="18"/>
        <v/>
      </c>
      <c r="AP39" s="24" t="str">
        <f t="shared" si="19"/>
        <v/>
      </c>
      <c r="AQ39" s="24" t="str">
        <f t="shared" si="20"/>
        <v/>
      </c>
      <c r="AR39" s="24" t="str">
        <f t="shared" si="21"/>
        <v/>
      </c>
      <c r="AS39" s="24" t="str">
        <f t="shared" si="22"/>
        <v/>
      </c>
      <c r="AT39" s="24" t="str">
        <f t="shared" si="23"/>
        <v/>
      </c>
      <c r="AU39" s="24" t="str">
        <f t="shared" si="24"/>
        <v/>
      </c>
      <c r="AV39" s="24" t="str">
        <f t="shared" si="25"/>
        <v/>
      </c>
      <c r="AW39" s="24" t="str">
        <f t="shared" si="26"/>
        <v/>
      </c>
      <c r="AX39" s="24" t="str">
        <f t="shared" si="27"/>
        <v/>
      </c>
      <c r="AY39" s="24" t="str">
        <f t="shared" si="28"/>
        <v/>
      </c>
      <c r="AZ39" s="24" t="str">
        <f t="shared" si="29"/>
        <v/>
      </c>
      <c r="BA39" s="24" t="str">
        <f t="shared" si="30"/>
        <v/>
      </c>
      <c r="BB39" s="24" t="str">
        <f t="shared" si="31"/>
        <v/>
      </c>
      <c r="BC39" s="24" t="str">
        <f t="shared" si="32"/>
        <v/>
      </c>
      <c r="BD39" s="24" t="str">
        <f t="shared" si="33"/>
        <v/>
      </c>
      <c r="BE39" s="24" t="str">
        <f t="shared" si="34"/>
        <v/>
      </c>
      <c r="BF39" s="24" t="str">
        <f t="shared" si="35"/>
        <v/>
      </c>
      <c r="BG39" s="24" t="str">
        <f t="shared" si="36"/>
        <v/>
      </c>
      <c r="BH39" s="24" t="str">
        <f t="shared" si="37"/>
        <v/>
      </c>
      <c r="BI39" s="24" t="str">
        <f t="shared" si="38"/>
        <v/>
      </c>
      <c r="BJ39" s="24" t="str">
        <f t="shared" si="39"/>
        <v/>
      </c>
      <c r="BK39" s="24" t="str">
        <f t="shared" si="40"/>
        <v/>
      </c>
      <c r="BL39" s="26" t="str">
        <f t="shared" si="41"/>
        <v/>
      </c>
      <c r="BM39" s="26" t="str">
        <f t="shared" si="42"/>
        <v/>
      </c>
      <c r="BN39" s="26" t="str">
        <f t="shared" si="43"/>
        <v/>
      </c>
      <c r="BO39" s="26" t="str">
        <f t="shared" si="44"/>
        <v/>
      </c>
      <c r="BP39" s="26" t="str">
        <f t="shared" si="45"/>
        <v/>
      </c>
      <c r="BQ39" s="26" t="str">
        <f t="shared" si="46"/>
        <v/>
      </c>
      <c r="BR39" s="26" t="str">
        <f t="shared" si="47"/>
        <v/>
      </c>
      <c r="BS39" s="24" t="str">
        <f t="shared" si="91"/>
        <v/>
      </c>
      <c r="BT39" s="24" t="str">
        <f t="shared" si="92"/>
        <v/>
      </c>
      <c r="BU39" s="24" t="str">
        <f t="shared" si="93"/>
        <v/>
      </c>
      <c r="BV39" s="24" t="str">
        <f t="shared" si="94"/>
        <v/>
      </c>
      <c r="BW39" s="24" t="str">
        <f t="shared" si="95"/>
        <v/>
      </c>
      <c r="BX39" s="24" t="str">
        <f t="shared" si="96"/>
        <v/>
      </c>
      <c r="BY39" s="24" t="str">
        <f t="shared" si="97"/>
        <v/>
      </c>
      <c r="BZ39" s="24" t="str">
        <f t="shared" si="98"/>
        <v/>
      </c>
      <c r="CA39" s="24" t="str">
        <f t="shared" si="99"/>
        <v/>
      </c>
      <c r="CB39" s="24" t="str">
        <f t="shared" si="100"/>
        <v/>
      </c>
      <c r="CC39" s="24" t="str">
        <f t="shared" si="101"/>
        <v/>
      </c>
      <c r="CD39" s="24" t="str">
        <f t="shared" si="102"/>
        <v/>
      </c>
      <c r="CE39" s="24" t="str">
        <f t="shared" si="103"/>
        <v/>
      </c>
      <c r="CF39" s="24" t="str">
        <f t="shared" si="104"/>
        <v/>
      </c>
      <c r="CG39" s="24" t="str">
        <f t="shared" si="105"/>
        <v/>
      </c>
      <c r="CH39" s="24" t="str">
        <f t="shared" si="106"/>
        <v/>
      </c>
      <c r="CI39" s="24" t="str">
        <f t="shared" si="64"/>
        <v/>
      </c>
      <c r="CJ39" s="24" t="str">
        <f t="shared" si="83"/>
        <v/>
      </c>
      <c r="CK39" s="26" t="str">
        <f t="shared" si="65"/>
        <v/>
      </c>
      <c r="CL39" s="26" t="str">
        <f t="shared" si="84"/>
        <v/>
      </c>
      <c r="CM39" s="24" t="str">
        <f t="shared" si="85"/>
        <v/>
      </c>
      <c r="CN39" s="26" t="str">
        <f t="shared" si="66"/>
        <v/>
      </c>
      <c r="CO39" s="24" t="str">
        <f t="shared" si="67"/>
        <v/>
      </c>
      <c r="CP39" s="26" t="str">
        <f t="shared" si="68"/>
        <v/>
      </c>
      <c r="CQ39" s="26" t="str">
        <f t="shared" si="69"/>
        <v/>
      </c>
      <c r="CR39" s="26" t="str">
        <f t="shared" si="86"/>
        <v/>
      </c>
      <c r="CS39" s="24" t="str">
        <f t="shared" si="87"/>
        <v/>
      </c>
      <c r="CT39" s="27" t="str">
        <f t="shared" si="70"/>
        <v/>
      </c>
      <c r="CU39" s="24" t="str">
        <f t="shared" si="71"/>
        <v/>
      </c>
      <c r="CV39" s="27" t="str">
        <f t="shared" si="72"/>
        <v/>
      </c>
      <c r="CW39" s="27" t="str">
        <f t="shared" si="73"/>
        <v/>
      </c>
      <c r="CX39" s="26" t="str">
        <f t="shared" si="88"/>
        <v/>
      </c>
      <c r="CY39" s="27" t="str">
        <f t="shared" si="89"/>
        <v/>
      </c>
      <c r="CZ39" s="26" t="str">
        <f t="shared" si="74"/>
        <v/>
      </c>
      <c r="DA39" s="24" t="str">
        <f t="shared" si="75"/>
        <v/>
      </c>
      <c r="DB39" s="24" t="str">
        <f t="shared" si="76"/>
        <v/>
      </c>
      <c r="DC39" s="24" t="str">
        <f t="shared" si="77"/>
        <v/>
      </c>
      <c r="DD39" s="24" t="str">
        <f t="shared" si="78"/>
        <v/>
      </c>
      <c r="DE39" s="1">
        <v>0</v>
      </c>
      <c r="DF39" s="1">
        <v>0</v>
      </c>
      <c r="DG39" s="1">
        <v>0</v>
      </c>
      <c r="DH39" s="24" t="str">
        <f t="shared" si="79"/>
        <v/>
      </c>
      <c r="DI39" s="25" t="str">
        <f t="shared" si="80"/>
        <v/>
      </c>
      <c r="DJ39" t="str">
        <f t="shared" si="81"/>
        <v/>
      </c>
      <c r="DK39" s="9"/>
      <c r="DL39" s="9"/>
      <c r="DM39" s="9"/>
      <c r="DN39" s="9"/>
      <c r="DO39" s="9"/>
      <c r="DP39" s="9"/>
      <c r="DQ39" s="136" t="b">
        <f t="shared" si="82"/>
        <v>1</v>
      </c>
    </row>
    <row r="40" spans="1:121" ht="27" customHeight="1" x14ac:dyDescent="1.25">
      <c r="A40" s="24" t="str">
        <f t="shared" si="90"/>
        <v/>
      </c>
      <c r="B40" s="69"/>
      <c r="C40" s="69"/>
      <c r="D40" s="70"/>
      <c r="E40" s="70"/>
      <c r="F40" s="69"/>
      <c r="G40" s="22"/>
      <c r="H40" s="22"/>
      <c r="I40" s="22"/>
      <c r="J40" s="22"/>
      <c r="K40" s="22"/>
      <c r="L40" s="22"/>
      <c r="M40" s="22"/>
      <c r="N40" s="22"/>
      <c r="O40" s="22"/>
      <c r="P40" s="7"/>
      <c r="Q40" s="7"/>
      <c r="R40" s="7"/>
      <c r="S40" s="7"/>
      <c r="T40" s="7"/>
      <c r="U40" s="7"/>
      <c r="V40" s="7"/>
      <c r="W40" s="3" t="str">
        <f t="shared" si="0"/>
        <v/>
      </c>
      <c r="X40" s="3" t="str">
        <f t="shared" si="1"/>
        <v/>
      </c>
      <c r="Y40" s="3" t="str">
        <f t="shared" si="2"/>
        <v/>
      </c>
      <c r="Z40" s="3" t="str">
        <f t="shared" si="3"/>
        <v/>
      </c>
      <c r="AA40" s="3" t="str">
        <f t="shared" si="4"/>
        <v/>
      </c>
      <c r="AB40" s="3" t="str">
        <f t="shared" si="5"/>
        <v/>
      </c>
      <c r="AC40" s="3" t="str">
        <f t="shared" si="6"/>
        <v/>
      </c>
      <c r="AD40" s="3" t="str">
        <f t="shared" si="7"/>
        <v/>
      </c>
      <c r="AE40" s="3" t="str">
        <f t="shared" si="8"/>
        <v/>
      </c>
      <c r="AF40" s="24" t="str">
        <f t="shared" si="9"/>
        <v/>
      </c>
      <c r="AG40" s="24" t="str">
        <f t="shared" si="10"/>
        <v/>
      </c>
      <c r="AH40" s="24" t="str">
        <f t="shared" si="11"/>
        <v/>
      </c>
      <c r="AI40" s="24" t="str">
        <f t="shared" si="12"/>
        <v/>
      </c>
      <c r="AJ40" s="24" t="str">
        <f t="shared" si="13"/>
        <v/>
      </c>
      <c r="AK40" s="24" t="str">
        <f t="shared" si="14"/>
        <v/>
      </c>
      <c r="AL40" s="24" t="str">
        <f t="shared" si="15"/>
        <v/>
      </c>
      <c r="AM40" s="24" t="str">
        <f t="shared" si="16"/>
        <v/>
      </c>
      <c r="AN40" s="24" t="str">
        <f t="shared" si="17"/>
        <v/>
      </c>
      <c r="AO40" s="24" t="str">
        <f t="shared" si="18"/>
        <v/>
      </c>
      <c r="AP40" s="24" t="str">
        <f t="shared" si="19"/>
        <v/>
      </c>
      <c r="AQ40" s="24" t="str">
        <f t="shared" si="20"/>
        <v/>
      </c>
      <c r="AR40" s="24" t="str">
        <f t="shared" si="21"/>
        <v/>
      </c>
      <c r="AS40" s="24" t="str">
        <f t="shared" si="22"/>
        <v/>
      </c>
      <c r="AT40" s="24" t="str">
        <f t="shared" si="23"/>
        <v/>
      </c>
      <c r="AU40" s="24" t="str">
        <f t="shared" si="24"/>
        <v/>
      </c>
      <c r="AV40" s="24" t="str">
        <f t="shared" si="25"/>
        <v/>
      </c>
      <c r="AW40" s="24" t="str">
        <f t="shared" si="26"/>
        <v/>
      </c>
      <c r="AX40" s="24" t="str">
        <f t="shared" si="27"/>
        <v/>
      </c>
      <c r="AY40" s="24" t="str">
        <f t="shared" si="28"/>
        <v/>
      </c>
      <c r="AZ40" s="24" t="str">
        <f t="shared" si="29"/>
        <v/>
      </c>
      <c r="BA40" s="24" t="str">
        <f t="shared" si="30"/>
        <v/>
      </c>
      <c r="BB40" s="24" t="str">
        <f t="shared" si="31"/>
        <v/>
      </c>
      <c r="BC40" s="24" t="str">
        <f t="shared" si="32"/>
        <v/>
      </c>
      <c r="BD40" s="24" t="str">
        <f t="shared" si="33"/>
        <v/>
      </c>
      <c r="BE40" s="24" t="str">
        <f t="shared" si="34"/>
        <v/>
      </c>
      <c r="BF40" s="24" t="str">
        <f t="shared" si="35"/>
        <v/>
      </c>
      <c r="BG40" s="24" t="str">
        <f t="shared" si="36"/>
        <v/>
      </c>
      <c r="BH40" s="24" t="str">
        <f t="shared" si="37"/>
        <v/>
      </c>
      <c r="BI40" s="24" t="str">
        <f t="shared" si="38"/>
        <v/>
      </c>
      <c r="BJ40" s="24" t="str">
        <f t="shared" si="39"/>
        <v/>
      </c>
      <c r="BK40" s="24" t="str">
        <f t="shared" si="40"/>
        <v/>
      </c>
      <c r="BL40" s="26" t="str">
        <f t="shared" si="41"/>
        <v/>
      </c>
      <c r="BM40" s="26" t="str">
        <f t="shared" si="42"/>
        <v/>
      </c>
      <c r="BN40" s="26" t="str">
        <f t="shared" si="43"/>
        <v/>
      </c>
      <c r="BO40" s="26" t="str">
        <f t="shared" si="44"/>
        <v/>
      </c>
      <c r="BP40" s="26" t="str">
        <f t="shared" si="45"/>
        <v/>
      </c>
      <c r="BQ40" s="26" t="str">
        <f t="shared" si="46"/>
        <v/>
      </c>
      <c r="BR40" s="26" t="str">
        <f t="shared" si="47"/>
        <v/>
      </c>
      <c r="BS40" s="24" t="str">
        <f t="shared" si="91"/>
        <v/>
      </c>
      <c r="BT40" s="24" t="str">
        <f t="shared" si="92"/>
        <v/>
      </c>
      <c r="BU40" s="24" t="str">
        <f t="shared" si="93"/>
        <v/>
      </c>
      <c r="BV40" s="24" t="str">
        <f t="shared" si="94"/>
        <v/>
      </c>
      <c r="BW40" s="24" t="str">
        <f t="shared" si="95"/>
        <v/>
      </c>
      <c r="BX40" s="24" t="str">
        <f t="shared" si="96"/>
        <v/>
      </c>
      <c r="BY40" s="24" t="str">
        <f t="shared" si="97"/>
        <v/>
      </c>
      <c r="BZ40" s="24" t="str">
        <f t="shared" si="98"/>
        <v/>
      </c>
      <c r="CA40" s="24" t="str">
        <f t="shared" si="99"/>
        <v/>
      </c>
      <c r="CB40" s="24" t="str">
        <f t="shared" si="100"/>
        <v/>
      </c>
      <c r="CC40" s="24" t="str">
        <f t="shared" si="101"/>
        <v/>
      </c>
      <c r="CD40" s="24" t="str">
        <f t="shared" si="102"/>
        <v/>
      </c>
      <c r="CE40" s="24" t="str">
        <f t="shared" si="103"/>
        <v/>
      </c>
      <c r="CF40" s="24" t="str">
        <f t="shared" si="104"/>
        <v/>
      </c>
      <c r="CG40" s="24" t="str">
        <f t="shared" si="105"/>
        <v/>
      </c>
      <c r="CH40" s="24" t="str">
        <f t="shared" si="106"/>
        <v/>
      </c>
      <c r="CI40" s="24" t="str">
        <f t="shared" si="64"/>
        <v/>
      </c>
      <c r="CJ40" s="24" t="str">
        <f t="shared" si="83"/>
        <v/>
      </c>
      <c r="CK40" s="26" t="str">
        <f t="shared" si="65"/>
        <v/>
      </c>
      <c r="CL40" s="26" t="str">
        <f t="shared" si="84"/>
        <v/>
      </c>
      <c r="CM40" s="24" t="str">
        <f t="shared" si="85"/>
        <v/>
      </c>
      <c r="CN40" s="26" t="str">
        <f t="shared" si="66"/>
        <v/>
      </c>
      <c r="CO40" s="24" t="str">
        <f t="shared" si="67"/>
        <v/>
      </c>
      <c r="CP40" s="26" t="str">
        <f t="shared" si="68"/>
        <v/>
      </c>
      <c r="CQ40" s="26" t="str">
        <f t="shared" si="69"/>
        <v/>
      </c>
      <c r="CR40" s="26" t="str">
        <f t="shared" si="86"/>
        <v/>
      </c>
      <c r="CS40" s="24" t="str">
        <f t="shared" si="87"/>
        <v/>
      </c>
      <c r="CT40" s="27" t="str">
        <f t="shared" si="70"/>
        <v/>
      </c>
      <c r="CU40" s="24" t="str">
        <f t="shared" si="71"/>
        <v/>
      </c>
      <c r="CV40" s="27" t="str">
        <f t="shared" si="72"/>
        <v/>
      </c>
      <c r="CW40" s="27" t="str">
        <f t="shared" si="73"/>
        <v/>
      </c>
      <c r="CX40" s="26" t="str">
        <f t="shared" si="88"/>
        <v/>
      </c>
      <c r="CY40" s="27" t="str">
        <f t="shared" si="89"/>
        <v/>
      </c>
      <c r="CZ40" s="26" t="str">
        <f t="shared" si="74"/>
        <v/>
      </c>
      <c r="DA40" s="24" t="str">
        <f t="shared" si="75"/>
        <v/>
      </c>
      <c r="DB40" s="24" t="str">
        <f t="shared" si="76"/>
        <v/>
      </c>
      <c r="DC40" s="24" t="str">
        <f t="shared" si="77"/>
        <v/>
      </c>
      <c r="DD40" s="24" t="str">
        <f t="shared" si="78"/>
        <v/>
      </c>
      <c r="DE40" s="1">
        <v>0</v>
      </c>
      <c r="DF40" s="1">
        <v>0</v>
      </c>
      <c r="DG40" s="1">
        <v>0</v>
      </c>
      <c r="DH40" s="24" t="str">
        <f t="shared" si="79"/>
        <v/>
      </c>
      <c r="DI40" s="25" t="str">
        <f t="shared" si="80"/>
        <v/>
      </c>
      <c r="DJ40" t="str">
        <f t="shared" si="81"/>
        <v/>
      </c>
      <c r="DK40" s="9"/>
      <c r="DL40" s="9"/>
      <c r="DM40" s="9"/>
      <c r="DN40" s="9"/>
      <c r="DO40" s="9"/>
      <c r="DP40" s="9"/>
      <c r="DQ40" s="136" t="b">
        <f t="shared" si="82"/>
        <v>1</v>
      </c>
    </row>
    <row r="41" spans="1:121" ht="27" customHeight="1" x14ac:dyDescent="1.25">
      <c r="A41" s="24" t="str">
        <f t="shared" si="90"/>
        <v/>
      </c>
      <c r="B41" s="69"/>
      <c r="C41" s="69"/>
      <c r="D41" s="70"/>
      <c r="E41" s="70"/>
      <c r="F41" s="69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3" t="str">
        <f t="shared" si="0"/>
        <v/>
      </c>
      <c r="X41" s="3" t="str">
        <f t="shared" si="1"/>
        <v/>
      </c>
      <c r="Y41" s="3" t="str">
        <f t="shared" si="2"/>
        <v/>
      </c>
      <c r="Z41" s="3" t="str">
        <f t="shared" si="3"/>
        <v/>
      </c>
      <c r="AA41" s="3" t="str">
        <f t="shared" si="4"/>
        <v/>
      </c>
      <c r="AB41" s="3" t="str">
        <f t="shared" si="5"/>
        <v/>
      </c>
      <c r="AC41" s="3" t="str">
        <f t="shared" si="6"/>
        <v/>
      </c>
      <c r="AD41" s="3" t="str">
        <f t="shared" si="7"/>
        <v/>
      </c>
      <c r="AE41" s="3" t="str">
        <f t="shared" si="8"/>
        <v/>
      </c>
      <c r="AF41" s="24" t="str">
        <f t="shared" si="9"/>
        <v/>
      </c>
      <c r="AG41" s="24" t="str">
        <f t="shared" si="10"/>
        <v/>
      </c>
      <c r="AH41" s="24" t="str">
        <f t="shared" si="11"/>
        <v/>
      </c>
      <c r="AI41" s="24" t="str">
        <f t="shared" si="12"/>
        <v/>
      </c>
      <c r="AJ41" s="24" t="str">
        <f t="shared" si="13"/>
        <v/>
      </c>
      <c r="AK41" s="24" t="str">
        <f t="shared" si="14"/>
        <v/>
      </c>
      <c r="AL41" s="24" t="str">
        <f t="shared" si="15"/>
        <v/>
      </c>
      <c r="AM41" s="24" t="str">
        <f t="shared" si="16"/>
        <v/>
      </c>
      <c r="AN41" s="24" t="str">
        <f t="shared" si="17"/>
        <v/>
      </c>
      <c r="AO41" s="24" t="str">
        <f t="shared" si="18"/>
        <v/>
      </c>
      <c r="AP41" s="24" t="str">
        <f t="shared" si="19"/>
        <v/>
      </c>
      <c r="AQ41" s="24" t="str">
        <f t="shared" si="20"/>
        <v/>
      </c>
      <c r="AR41" s="24" t="str">
        <f t="shared" si="21"/>
        <v/>
      </c>
      <c r="AS41" s="24" t="str">
        <f t="shared" si="22"/>
        <v/>
      </c>
      <c r="AT41" s="24" t="str">
        <f t="shared" si="23"/>
        <v/>
      </c>
      <c r="AU41" s="24" t="str">
        <f t="shared" si="24"/>
        <v/>
      </c>
      <c r="AV41" s="24" t="str">
        <f t="shared" si="25"/>
        <v/>
      </c>
      <c r="AW41" s="24" t="str">
        <f t="shared" si="26"/>
        <v/>
      </c>
      <c r="AX41" s="24" t="str">
        <f t="shared" si="27"/>
        <v/>
      </c>
      <c r="AY41" s="24" t="str">
        <f t="shared" si="28"/>
        <v/>
      </c>
      <c r="AZ41" s="24" t="str">
        <f t="shared" si="29"/>
        <v/>
      </c>
      <c r="BA41" s="24" t="str">
        <f t="shared" si="30"/>
        <v/>
      </c>
      <c r="BB41" s="24" t="str">
        <f t="shared" si="31"/>
        <v/>
      </c>
      <c r="BC41" s="24" t="str">
        <f t="shared" si="32"/>
        <v/>
      </c>
      <c r="BD41" s="24" t="str">
        <f t="shared" si="33"/>
        <v/>
      </c>
      <c r="BE41" s="24" t="str">
        <f t="shared" si="34"/>
        <v/>
      </c>
      <c r="BF41" s="24" t="str">
        <f t="shared" si="35"/>
        <v/>
      </c>
      <c r="BG41" s="24" t="str">
        <f t="shared" si="36"/>
        <v/>
      </c>
      <c r="BH41" s="24" t="str">
        <f t="shared" si="37"/>
        <v/>
      </c>
      <c r="BI41" s="24" t="str">
        <f t="shared" si="38"/>
        <v/>
      </c>
      <c r="BJ41" s="24" t="str">
        <f t="shared" si="39"/>
        <v/>
      </c>
      <c r="BK41" s="24" t="str">
        <f t="shared" si="40"/>
        <v/>
      </c>
      <c r="BL41" s="26" t="str">
        <f t="shared" si="41"/>
        <v/>
      </c>
      <c r="BM41" s="26" t="str">
        <f t="shared" si="42"/>
        <v/>
      </c>
      <c r="BN41" s="26" t="str">
        <f t="shared" si="43"/>
        <v/>
      </c>
      <c r="BO41" s="26" t="str">
        <f t="shared" si="44"/>
        <v/>
      </c>
      <c r="BP41" s="26" t="str">
        <f t="shared" si="45"/>
        <v/>
      </c>
      <c r="BQ41" s="26" t="str">
        <f t="shared" si="46"/>
        <v/>
      </c>
      <c r="BR41" s="26" t="str">
        <f t="shared" si="47"/>
        <v/>
      </c>
      <c r="BS41" s="24" t="str">
        <f t="shared" si="91"/>
        <v/>
      </c>
      <c r="BT41" s="24" t="str">
        <f t="shared" si="92"/>
        <v/>
      </c>
      <c r="BU41" s="24" t="str">
        <f t="shared" si="93"/>
        <v/>
      </c>
      <c r="BV41" s="24" t="str">
        <f t="shared" si="94"/>
        <v/>
      </c>
      <c r="BW41" s="24" t="str">
        <f t="shared" si="95"/>
        <v/>
      </c>
      <c r="BX41" s="24" t="str">
        <f t="shared" si="96"/>
        <v/>
      </c>
      <c r="BY41" s="24" t="str">
        <f t="shared" si="97"/>
        <v/>
      </c>
      <c r="BZ41" s="24" t="str">
        <f t="shared" si="98"/>
        <v/>
      </c>
      <c r="CA41" s="24" t="str">
        <f t="shared" si="99"/>
        <v/>
      </c>
      <c r="CB41" s="24" t="str">
        <f t="shared" si="100"/>
        <v/>
      </c>
      <c r="CC41" s="24" t="str">
        <f t="shared" si="101"/>
        <v/>
      </c>
      <c r="CD41" s="24" t="str">
        <f t="shared" si="102"/>
        <v/>
      </c>
      <c r="CE41" s="24" t="str">
        <f t="shared" si="103"/>
        <v/>
      </c>
      <c r="CF41" s="24" t="str">
        <f t="shared" si="104"/>
        <v/>
      </c>
      <c r="CG41" s="24" t="str">
        <f t="shared" si="105"/>
        <v/>
      </c>
      <c r="CH41" s="24" t="str">
        <f t="shared" si="106"/>
        <v/>
      </c>
      <c r="CI41" s="24" t="str">
        <f t="shared" si="64"/>
        <v/>
      </c>
      <c r="CJ41" s="24" t="str">
        <f t="shared" si="83"/>
        <v/>
      </c>
      <c r="CK41" s="26" t="str">
        <f t="shared" si="65"/>
        <v/>
      </c>
      <c r="CL41" s="26" t="str">
        <f t="shared" si="84"/>
        <v/>
      </c>
      <c r="CM41" s="24" t="str">
        <f t="shared" si="85"/>
        <v/>
      </c>
      <c r="CN41" s="26" t="str">
        <f t="shared" si="66"/>
        <v/>
      </c>
      <c r="CO41" s="24" t="str">
        <f t="shared" si="67"/>
        <v/>
      </c>
      <c r="CP41" s="26" t="str">
        <f t="shared" si="68"/>
        <v/>
      </c>
      <c r="CQ41" s="26" t="str">
        <f t="shared" si="69"/>
        <v/>
      </c>
      <c r="CR41" s="26" t="str">
        <f t="shared" si="86"/>
        <v/>
      </c>
      <c r="CS41" s="24" t="str">
        <f t="shared" si="87"/>
        <v/>
      </c>
      <c r="CT41" s="27" t="str">
        <f t="shared" si="70"/>
        <v/>
      </c>
      <c r="CU41" s="24" t="str">
        <f t="shared" si="71"/>
        <v/>
      </c>
      <c r="CV41" s="27" t="str">
        <f t="shared" si="72"/>
        <v/>
      </c>
      <c r="CW41" s="27" t="str">
        <f t="shared" si="73"/>
        <v/>
      </c>
      <c r="CX41" s="26" t="str">
        <f t="shared" si="88"/>
        <v/>
      </c>
      <c r="CY41" s="27" t="str">
        <f t="shared" si="89"/>
        <v/>
      </c>
      <c r="CZ41" s="26" t="str">
        <f t="shared" si="74"/>
        <v/>
      </c>
      <c r="DA41" s="24" t="str">
        <f t="shared" si="75"/>
        <v/>
      </c>
      <c r="DB41" s="24" t="str">
        <f t="shared" si="76"/>
        <v/>
      </c>
      <c r="DC41" s="24" t="str">
        <f t="shared" si="77"/>
        <v/>
      </c>
      <c r="DD41" s="24" t="str">
        <f t="shared" si="78"/>
        <v/>
      </c>
      <c r="DE41" s="1">
        <v>0</v>
      </c>
      <c r="DF41" s="1">
        <v>0</v>
      </c>
      <c r="DG41" s="1">
        <v>0</v>
      </c>
      <c r="DH41" s="24" t="str">
        <f t="shared" si="79"/>
        <v/>
      </c>
      <c r="DI41" s="25" t="str">
        <f t="shared" si="80"/>
        <v/>
      </c>
      <c r="DJ41" t="str">
        <f t="shared" si="81"/>
        <v/>
      </c>
      <c r="DK41" s="9"/>
      <c r="DL41" s="9"/>
      <c r="DM41" s="9"/>
      <c r="DN41" s="9"/>
      <c r="DO41" s="9"/>
      <c r="DP41" s="9"/>
      <c r="DQ41" s="136" t="b">
        <f t="shared" si="82"/>
        <v>1</v>
      </c>
    </row>
    <row r="42" spans="1:121" ht="27" customHeight="1" x14ac:dyDescent="1.25">
      <c r="A42" s="24" t="str">
        <f t="shared" si="90"/>
        <v/>
      </c>
      <c r="B42" s="69"/>
      <c r="C42" s="69"/>
      <c r="D42" s="70"/>
      <c r="E42" s="70"/>
      <c r="F42" s="69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3" t="str">
        <f t="shared" si="0"/>
        <v/>
      </c>
      <c r="X42" s="3" t="str">
        <f t="shared" si="1"/>
        <v/>
      </c>
      <c r="Y42" s="3" t="str">
        <f t="shared" si="2"/>
        <v/>
      </c>
      <c r="Z42" s="3" t="str">
        <f t="shared" si="3"/>
        <v/>
      </c>
      <c r="AA42" s="3" t="str">
        <f t="shared" si="4"/>
        <v/>
      </c>
      <c r="AB42" s="3" t="str">
        <f t="shared" si="5"/>
        <v/>
      </c>
      <c r="AC42" s="3" t="str">
        <f t="shared" si="6"/>
        <v/>
      </c>
      <c r="AD42" s="3" t="str">
        <f t="shared" si="7"/>
        <v/>
      </c>
      <c r="AE42" s="3" t="str">
        <f t="shared" si="8"/>
        <v/>
      </c>
      <c r="AF42" s="24" t="str">
        <f t="shared" si="9"/>
        <v/>
      </c>
      <c r="AG42" s="24" t="str">
        <f t="shared" si="10"/>
        <v/>
      </c>
      <c r="AH42" s="24" t="str">
        <f t="shared" si="11"/>
        <v/>
      </c>
      <c r="AI42" s="24" t="str">
        <f t="shared" si="12"/>
        <v/>
      </c>
      <c r="AJ42" s="24" t="str">
        <f t="shared" si="13"/>
        <v/>
      </c>
      <c r="AK42" s="24" t="str">
        <f t="shared" si="14"/>
        <v/>
      </c>
      <c r="AL42" s="24" t="str">
        <f t="shared" si="15"/>
        <v/>
      </c>
      <c r="AM42" s="24" t="str">
        <f t="shared" si="16"/>
        <v/>
      </c>
      <c r="AN42" s="24" t="str">
        <f t="shared" si="17"/>
        <v/>
      </c>
      <c r="AO42" s="24" t="str">
        <f t="shared" si="18"/>
        <v/>
      </c>
      <c r="AP42" s="24" t="str">
        <f t="shared" si="19"/>
        <v/>
      </c>
      <c r="AQ42" s="24" t="str">
        <f t="shared" si="20"/>
        <v/>
      </c>
      <c r="AR42" s="24" t="str">
        <f t="shared" si="21"/>
        <v/>
      </c>
      <c r="AS42" s="24" t="str">
        <f t="shared" si="22"/>
        <v/>
      </c>
      <c r="AT42" s="24" t="str">
        <f t="shared" si="23"/>
        <v/>
      </c>
      <c r="AU42" s="24" t="str">
        <f t="shared" si="24"/>
        <v/>
      </c>
      <c r="AV42" s="24" t="str">
        <f t="shared" si="25"/>
        <v/>
      </c>
      <c r="AW42" s="24" t="str">
        <f t="shared" si="26"/>
        <v/>
      </c>
      <c r="AX42" s="24" t="str">
        <f t="shared" si="27"/>
        <v/>
      </c>
      <c r="AY42" s="24" t="str">
        <f t="shared" si="28"/>
        <v/>
      </c>
      <c r="AZ42" s="24" t="str">
        <f t="shared" si="29"/>
        <v/>
      </c>
      <c r="BA42" s="24" t="str">
        <f t="shared" si="30"/>
        <v/>
      </c>
      <c r="BB42" s="24" t="str">
        <f t="shared" si="31"/>
        <v/>
      </c>
      <c r="BC42" s="24" t="str">
        <f t="shared" si="32"/>
        <v/>
      </c>
      <c r="BD42" s="24" t="str">
        <f t="shared" si="33"/>
        <v/>
      </c>
      <c r="BE42" s="24" t="str">
        <f t="shared" si="34"/>
        <v/>
      </c>
      <c r="BF42" s="24" t="str">
        <f t="shared" si="35"/>
        <v/>
      </c>
      <c r="BG42" s="24" t="str">
        <f t="shared" si="36"/>
        <v/>
      </c>
      <c r="BH42" s="24" t="str">
        <f t="shared" si="37"/>
        <v/>
      </c>
      <c r="BI42" s="24" t="str">
        <f t="shared" si="38"/>
        <v/>
      </c>
      <c r="BJ42" s="24" t="str">
        <f t="shared" si="39"/>
        <v/>
      </c>
      <c r="BK42" s="24" t="str">
        <f t="shared" si="40"/>
        <v/>
      </c>
      <c r="BL42" s="26" t="str">
        <f t="shared" si="41"/>
        <v/>
      </c>
      <c r="BM42" s="26" t="str">
        <f t="shared" si="42"/>
        <v/>
      </c>
      <c r="BN42" s="26" t="str">
        <f t="shared" si="43"/>
        <v/>
      </c>
      <c r="BO42" s="26" t="str">
        <f t="shared" si="44"/>
        <v/>
      </c>
      <c r="BP42" s="26" t="str">
        <f t="shared" si="45"/>
        <v/>
      </c>
      <c r="BQ42" s="26" t="str">
        <f t="shared" si="46"/>
        <v/>
      </c>
      <c r="BR42" s="26" t="str">
        <f t="shared" si="47"/>
        <v/>
      </c>
      <c r="BS42" s="24" t="str">
        <f t="shared" si="91"/>
        <v/>
      </c>
      <c r="BT42" s="24" t="str">
        <f t="shared" si="92"/>
        <v/>
      </c>
      <c r="BU42" s="24" t="str">
        <f t="shared" si="93"/>
        <v/>
      </c>
      <c r="BV42" s="24" t="str">
        <f t="shared" si="94"/>
        <v/>
      </c>
      <c r="BW42" s="24" t="str">
        <f t="shared" si="95"/>
        <v/>
      </c>
      <c r="BX42" s="24" t="str">
        <f t="shared" si="96"/>
        <v/>
      </c>
      <c r="BY42" s="24" t="str">
        <f t="shared" si="97"/>
        <v/>
      </c>
      <c r="BZ42" s="24" t="str">
        <f t="shared" si="98"/>
        <v/>
      </c>
      <c r="CA42" s="24" t="str">
        <f t="shared" si="99"/>
        <v/>
      </c>
      <c r="CB42" s="24" t="str">
        <f t="shared" si="100"/>
        <v/>
      </c>
      <c r="CC42" s="24" t="str">
        <f t="shared" si="101"/>
        <v/>
      </c>
      <c r="CD42" s="24" t="str">
        <f t="shared" si="102"/>
        <v/>
      </c>
      <c r="CE42" s="24" t="str">
        <f t="shared" si="103"/>
        <v/>
      </c>
      <c r="CF42" s="24" t="str">
        <f t="shared" si="104"/>
        <v/>
      </c>
      <c r="CG42" s="24" t="str">
        <f t="shared" si="105"/>
        <v/>
      </c>
      <c r="CH42" s="24" t="str">
        <f t="shared" si="106"/>
        <v/>
      </c>
      <c r="CI42" s="24" t="str">
        <f t="shared" si="64"/>
        <v/>
      </c>
      <c r="CJ42" s="24" t="str">
        <f t="shared" si="83"/>
        <v/>
      </c>
      <c r="CK42" s="26" t="str">
        <f t="shared" si="65"/>
        <v/>
      </c>
      <c r="CL42" s="26" t="str">
        <f t="shared" si="84"/>
        <v/>
      </c>
      <c r="CM42" s="24" t="str">
        <f t="shared" si="85"/>
        <v/>
      </c>
      <c r="CN42" s="26" t="str">
        <f t="shared" si="66"/>
        <v/>
      </c>
      <c r="CO42" s="24" t="str">
        <f t="shared" si="67"/>
        <v/>
      </c>
      <c r="CP42" s="26" t="str">
        <f t="shared" si="68"/>
        <v/>
      </c>
      <c r="CQ42" s="26" t="str">
        <f t="shared" si="69"/>
        <v/>
      </c>
      <c r="CR42" s="26" t="str">
        <f t="shared" si="86"/>
        <v/>
      </c>
      <c r="CS42" s="24" t="str">
        <f t="shared" si="87"/>
        <v/>
      </c>
      <c r="CT42" s="27" t="str">
        <f t="shared" si="70"/>
        <v/>
      </c>
      <c r="CU42" s="24" t="str">
        <f t="shared" si="71"/>
        <v/>
      </c>
      <c r="CV42" s="27" t="str">
        <f t="shared" si="72"/>
        <v/>
      </c>
      <c r="CW42" s="27" t="str">
        <f t="shared" si="73"/>
        <v/>
      </c>
      <c r="CX42" s="26" t="str">
        <f t="shared" si="88"/>
        <v/>
      </c>
      <c r="CY42" s="27" t="str">
        <f t="shared" si="89"/>
        <v/>
      </c>
      <c r="CZ42" s="26" t="str">
        <f t="shared" si="74"/>
        <v/>
      </c>
      <c r="DA42" s="24" t="str">
        <f t="shared" si="75"/>
        <v/>
      </c>
      <c r="DB42" s="24" t="str">
        <f t="shared" si="76"/>
        <v/>
      </c>
      <c r="DC42" s="24" t="str">
        <f t="shared" si="77"/>
        <v/>
      </c>
      <c r="DD42" s="24" t="str">
        <f t="shared" si="78"/>
        <v/>
      </c>
      <c r="DE42" s="1">
        <v>0</v>
      </c>
      <c r="DF42" s="1">
        <v>0</v>
      </c>
      <c r="DG42" s="1">
        <v>0</v>
      </c>
      <c r="DH42" s="24" t="str">
        <f t="shared" si="79"/>
        <v/>
      </c>
      <c r="DI42" s="25" t="str">
        <f t="shared" si="80"/>
        <v/>
      </c>
      <c r="DJ42" t="str">
        <f t="shared" si="81"/>
        <v/>
      </c>
      <c r="DK42" s="9"/>
      <c r="DL42" s="9"/>
      <c r="DM42" s="9"/>
      <c r="DN42" s="9"/>
      <c r="DO42" s="9"/>
      <c r="DP42" s="9"/>
      <c r="DQ42" s="136" t="b">
        <f t="shared" si="82"/>
        <v>1</v>
      </c>
    </row>
    <row r="43" spans="1:121" ht="27" customHeight="1" x14ac:dyDescent="1.25">
      <c r="A43" s="24" t="str">
        <f t="shared" si="90"/>
        <v/>
      </c>
      <c r="B43" s="69"/>
      <c r="C43" s="69"/>
      <c r="D43" s="70"/>
      <c r="E43" s="70"/>
      <c r="F43" s="69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3" t="str">
        <f t="shared" si="0"/>
        <v/>
      </c>
      <c r="X43" s="3" t="str">
        <f t="shared" si="1"/>
        <v/>
      </c>
      <c r="Y43" s="3" t="str">
        <f t="shared" si="2"/>
        <v/>
      </c>
      <c r="Z43" s="3" t="str">
        <f t="shared" si="3"/>
        <v/>
      </c>
      <c r="AA43" s="3" t="str">
        <f t="shared" si="4"/>
        <v/>
      </c>
      <c r="AB43" s="3" t="str">
        <f t="shared" si="5"/>
        <v/>
      </c>
      <c r="AC43" s="3" t="str">
        <f t="shared" si="6"/>
        <v/>
      </c>
      <c r="AD43" s="3" t="str">
        <f t="shared" si="7"/>
        <v/>
      </c>
      <c r="AE43" s="3" t="str">
        <f t="shared" si="8"/>
        <v/>
      </c>
      <c r="AF43" s="24" t="str">
        <f t="shared" si="9"/>
        <v/>
      </c>
      <c r="AG43" s="24" t="str">
        <f t="shared" si="10"/>
        <v/>
      </c>
      <c r="AH43" s="24" t="str">
        <f t="shared" si="11"/>
        <v/>
      </c>
      <c r="AI43" s="24" t="str">
        <f t="shared" si="12"/>
        <v/>
      </c>
      <c r="AJ43" s="24" t="str">
        <f t="shared" si="13"/>
        <v/>
      </c>
      <c r="AK43" s="24" t="str">
        <f t="shared" si="14"/>
        <v/>
      </c>
      <c r="AL43" s="24" t="str">
        <f t="shared" si="15"/>
        <v/>
      </c>
      <c r="AM43" s="24" t="str">
        <f t="shared" si="16"/>
        <v/>
      </c>
      <c r="AN43" s="24" t="str">
        <f t="shared" si="17"/>
        <v/>
      </c>
      <c r="AO43" s="24" t="str">
        <f t="shared" si="18"/>
        <v/>
      </c>
      <c r="AP43" s="24" t="str">
        <f t="shared" si="19"/>
        <v/>
      </c>
      <c r="AQ43" s="24" t="str">
        <f t="shared" si="20"/>
        <v/>
      </c>
      <c r="AR43" s="24" t="str">
        <f t="shared" si="21"/>
        <v/>
      </c>
      <c r="AS43" s="24" t="str">
        <f t="shared" si="22"/>
        <v/>
      </c>
      <c r="AT43" s="24" t="str">
        <f t="shared" si="23"/>
        <v/>
      </c>
      <c r="AU43" s="24" t="str">
        <f t="shared" si="24"/>
        <v/>
      </c>
      <c r="AV43" s="24" t="str">
        <f t="shared" si="25"/>
        <v/>
      </c>
      <c r="AW43" s="24" t="str">
        <f t="shared" si="26"/>
        <v/>
      </c>
      <c r="AX43" s="24" t="str">
        <f t="shared" si="27"/>
        <v/>
      </c>
      <c r="AY43" s="24" t="str">
        <f t="shared" si="28"/>
        <v/>
      </c>
      <c r="AZ43" s="24" t="str">
        <f t="shared" si="29"/>
        <v/>
      </c>
      <c r="BA43" s="24" t="str">
        <f t="shared" si="30"/>
        <v/>
      </c>
      <c r="BB43" s="24" t="str">
        <f t="shared" si="31"/>
        <v/>
      </c>
      <c r="BC43" s="24" t="str">
        <f t="shared" si="32"/>
        <v/>
      </c>
      <c r="BD43" s="24" t="str">
        <f t="shared" si="33"/>
        <v/>
      </c>
      <c r="BE43" s="24" t="str">
        <f t="shared" si="34"/>
        <v/>
      </c>
      <c r="BF43" s="24" t="str">
        <f t="shared" si="35"/>
        <v/>
      </c>
      <c r="BG43" s="24" t="str">
        <f t="shared" si="36"/>
        <v/>
      </c>
      <c r="BH43" s="24" t="str">
        <f t="shared" si="37"/>
        <v/>
      </c>
      <c r="BI43" s="24" t="str">
        <f t="shared" si="38"/>
        <v/>
      </c>
      <c r="BJ43" s="24" t="str">
        <f t="shared" si="39"/>
        <v/>
      </c>
      <c r="BK43" s="24" t="str">
        <f t="shared" si="40"/>
        <v/>
      </c>
      <c r="BL43" s="26" t="str">
        <f t="shared" si="41"/>
        <v/>
      </c>
      <c r="BM43" s="26" t="str">
        <f t="shared" si="42"/>
        <v/>
      </c>
      <c r="BN43" s="26" t="str">
        <f t="shared" si="43"/>
        <v/>
      </c>
      <c r="BO43" s="26" t="str">
        <f t="shared" si="44"/>
        <v/>
      </c>
      <c r="BP43" s="26" t="str">
        <f t="shared" si="45"/>
        <v/>
      </c>
      <c r="BQ43" s="26" t="str">
        <f t="shared" si="46"/>
        <v/>
      </c>
      <c r="BR43" s="26" t="str">
        <f t="shared" si="47"/>
        <v/>
      </c>
      <c r="BS43" s="24" t="str">
        <f t="shared" si="91"/>
        <v/>
      </c>
      <c r="BT43" s="24" t="str">
        <f t="shared" si="92"/>
        <v/>
      </c>
      <c r="BU43" s="24" t="str">
        <f t="shared" si="93"/>
        <v/>
      </c>
      <c r="BV43" s="24" t="str">
        <f t="shared" si="94"/>
        <v/>
      </c>
      <c r="BW43" s="24" t="str">
        <f t="shared" si="95"/>
        <v/>
      </c>
      <c r="BX43" s="24" t="str">
        <f t="shared" si="96"/>
        <v/>
      </c>
      <c r="BY43" s="24" t="str">
        <f t="shared" si="97"/>
        <v/>
      </c>
      <c r="BZ43" s="24" t="str">
        <f t="shared" si="98"/>
        <v/>
      </c>
      <c r="CA43" s="24" t="str">
        <f t="shared" si="99"/>
        <v/>
      </c>
      <c r="CB43" s="24" t="str">
        <f t="shared" si="100"/>
        <v/>
      </c>
      <c r="CC43" s="24" t="str">
        <f t="shared" si="101"/>
        <v/>
      </c>
      <c r="CD43" s="24" t="str">
        <f t="shared" si="102"/>
        <v/>
      </c>
      <c r="CE43" s="24" t="str">
        <f t="shared" si="103"/>
        <v/>
      </c>
      <c r="CF43" s="24" t="str">
        <f t="shared" si="104"/>
        <v/>
      </c>
      <c r="CG43" s="24" t="str">
        <f t="shared" si="105"/>
        <v/>
      </c>
      <c r="CH43" s="24" t="str">
        <f t="shared" si="106"/>
        <v/>
      </c>
      <c r="CI43" s="24" t="str">
        <f t="shared" si="64"/>
        <v/>
      </c>
      <c r="CJ43" s="24" t="str">
        <f t="shared" si="83"/>
        <v/>
      </c>
      <c r="CK43" s="26" t="str">
        <f t="shared" si="65"/>
        <v/>
      </c>
      <c r="CL43" s="26" t="str">
        <f t="shared" si="84"/>
        <v/>
      </c>
      <c r="CM43" s="24" t="str">
        <f t="shared" si="85"/>
        <v/>
      </c>
      <c r="CN43" s="26" t="str">
        <f t="shared" si="66"/>
        <v/>
      </c>
      <c r="CO43" s="24" t="str">
        <f t="shared" si="67"/>
        <v/>
      </c>
      <c r="CP43" s="26" t="str">
        <f t="shared" si="68"/>
        <v/>
      </c>
      <c r="CQ43" s="26" t="str">
        <f t="shared" si="69"/>
        <v/>
      </c>
      <c r="CR43" s="26" t="str">
        <f t="shared" si="86"/>
        <v/>
      </c>
      <c r="CS43" s="24" t="str">
        <f t="shared" si="87"/>
        <v/>
      </c>
      <c r="CT43" s="27" t="str">
        <f t="shared" si="70"/>
        <v/>
      </c>
      <c r="CU43" s="24" t="str">
        <f t="shared" si="71"/>
        <v/>
      </c>
      <c r="CV43" s="27" t="str">
        <f t="shared" si="72"/>
        <v/>
      </c>
      <c r="CW43" s="27" t="str">
        <f t="shared" si="73"/>
        <v/>
      </c>
      <c r="CX43" s="26" t="str">
        <f t="shared" si="88"/>
        <v/>
      </c>
      <c r="CY43" s="27" t="str">
        <f t="shared" si="89"/>
        <v/>
      </c>
      <c r="CZ43" s="26" t="str">
        <f t="shared" si="74"/>
        <v/>
      </c>
      <c r="DA43" s="24" t="str">
        <f t="shared" si="75"/>
        <v/>
      </c>
      <c r="DB43" s="24" t="str">
        <f t="shared" si="76"/>
        <v/>
      </c>
      <c r="DC43" s="24" t="str">
        <f t="shared" si="77"/>
        <v/>
      </c>
      <c r="DD43" s="24" t="str">
        <f t="shared" si="78"/>
        <v/>
      </c>
      <c r="DE43" s="1">
        <v>0</v>
      </c>
      <c r="DF43" s="1">
        <v>0</v>
      </c>
      <c r="DG43" s="1">
        <v>0</v>
      </c>
      <c r="DH43" s="24" t="str">
        <f t="shared" si="79"/>
        <v/>
      </c>
      <c r="DI43" s="25" t="str">
        <f t="shared" si="80"/>
        <v/>
      </c>
      <c r="DJ43" t="str">
        <f t="shared" si="81"/>
        <v/>
      </c>
      <c r="DK43" s="9"/>
      <c r="DL43" s="9"/>
      <c r="DM43" s="9"/>
      <c r="DN43" s="9"/>
      <c r="DO43" s="9"/>
      <c r="DP43" s="9"/>
      <c r="DQ43" s="136" t="b">
        <f t="shared" si="82"/>
        <v>1</v>
      </c>
    </row>
    <row r="44" spans="1:121" ht="27" customHeight="1" x14ac:dyDescent="1.25">
      <c r="A44" s="24" t="str">
        <f t="shared" si="90"/>
        <v/>
      </c>
      <c r="B44" s="69"/>
      <c r="C44" s="69"/>
      <c r="D44" s="70"/>
      <c r="E44" s="70"/>
      <c r="F44" s="69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3" t="str">
        <f t="shared" si="0"/>
        <v/>
      </c>
      <c r="X44" s="3" t="str">
        <f t="shared" si="1"/>
        <v/>
      </c>
      <c r="Y44" s="3" t="str">
        <f t="shared" si="2"/>
        <v/>
      </c>
      <c r="Z44" s="3" t="str">
        <f t="shared" si="3"/>
        <v/>
      </c>
      <c r="AA44" s="3" t="str">
        <f t="shared" si="4"/>
        <v/>
      </c>
      <c r="AB44" s="3" t="str">
        <f t="shared" si="5"/>
        <v/>
      </c>
      <c r="AC44" s="3" t="str">
        <f t="shared" si="6"/>
        <v/>
      </c>
      <c r="AD44" s="3" t="str">
        <f t="shared" si="7"/>
        <v/>
      </c>
      <c r="AE44" s="3" t="str">
        <f t="shared" si="8"/>
        <v/>
      </c>
      <c r="AF44" s="24" t="str">
        <f t="shared" si="9"/>
        <v/>
      </c>
      <c r="AG44" s="24" t="str">
        <f t="shared" si="10"/>
        <v/>
      </c>
      <c r="AH44" s="24" t="str">
        <f t="shared" si="11"/>
        <v/>
      </c>
      <c r="AI44" s="24" t="str">
        <f t="shared" si="12"/>
        <v/>
      </c>
      <c r="AJ44" s="24" t="str">
        <f t="shared" si="13"/>
        <v/>
      </c>
      <c r="AK44" s="24" t="str">
        <f t="shared" si="14"/>
        <v/>
      </c>
      <c r="AL44" s="24" t="str">
        <f t="shared" si="15"/>
        <v/>
      </c>
      <c r="AM44" s="24" t="str">
        <f t="shared" si="16"/>
        <v/>
      </c>
      <c r="AN44" s="24" t="str">
        <f t="shared" si="17"/>
        <v/>
      </c>
      <c r="AO44" s="24" t="str">
        <f t="shared" si="18"/>
        <v/>
      </c>
      <c r="AP44" s="24" t="str">
        <f t="shared" si="19"/>
        <v/>
      </c>
      <c r="AQ44" s="24" t="str">
        <f t="shared" si="20"/>
        <v/>
      </c>
      <c r="AR44" s="24" t="str">
        <f t="shared" si="21"/>
        <v/>
      </c>
      <c r="AS44" s="24" t="str">
        <f t="shared" si="22"/>
        <v/>
      </c>
      <c r="AT44" s="24" t="str">
        <f t="shared" si="23"/>
        <v/>
      </c>
      <c r="AU44" s="24" t="str">
        <f t="shared" si="24"/>
        <v/>
      </c>
      <c r="AV44" s="24" t="str">
        <f t="shared" si="25"/>
        <v/>
      </c>
      <c r="AW44" s="24" t="str">
        <f t="shared" si="26"/>
        <v/>
      </c>
      <c r="AX44" s="24" t="str">
        <f t="shared" si="27"/>
        <v/>
      </c>
      <c r="AY44" s="24" t="str">
        <f t="shared" si="28"/>
        <v/>
      </c>
      <c r="AZ44" s="24" t="str">
        <f t="shared" si="29"/>
        <v/>
      </c>
      <c r="BA44" s="24" t="str">
        <f t="shared" si="30"/>
        <v/>
      </c>
      <c r="BB44" s="24" t="str">
        <f t="shared" si="31"/>
        <v/>
      </c>
      <c r="BC44" s="24" t="str">
        <f t="shared" si="32"/>
        <v/>
      </c>
      <c r="BD44" s="24" t="str">
        <f t="shared" si="33"/>
        <v/>
      </c>
      <c r="BE44" s="24" t="str">
        <f t="shared" si="34"/>
        <v/>
      </c>
      <c r="BF44" s="24" t="str">
        <f t="shared" si="35"/>
        <v/>
      </c>
      <c r="BG44" s="24" t="str">
        <f t="shared" si="36"/>
        <v/>
      </c>
      <c r="BH44" s="24" t="str">
        <f t="shared" si="37"/>
        <v/>
      </c>
      <c r="BI44" s="24" t="str">
        <f t="shared" si="38"/>
        <v/>
      </c>
      <c r="BJ44" s="24" t="str">
        <f t="shared" si="39"/>
        <v/>
      </c>
      <c r="BK44" s="24" t="str">
        <f t="shared" si="40"/>
        <v/>
      </c>
      <c r="BL44" s="26" t="str">
        <f t="shared" si="41"/>
        <v/>
      </c>
      <c r="BM44" s="26" t="str">
        <f t="shared" si="42"/>
        <v/>
      </c>
      <c r="BN44" s="26" t="str">
        <f t="shared" si="43"/>
        <v/>
      </c>
      <c r="BO44" s="26" t="str">
        <f t="shared" si="44"/>
        <v/>
      </c>
      <c r="BP44" s="26" t="str">
        <f t="shared" si="45"/>
        <v/>
      </c>
      <c r="BQ44" s="26" t="str">
        <f t="shared" si="46"/>
        <v/>
      </c>
      <c r="BR44" s="26" t="str">
        <f t="shared" si="47"/>
        <v/>
      </c>
      <c r="BS44" s="24" t="str">
        <f t="shared" si="91"/>
        <v/>
      </c>
      <c r="BT44" s="24" t="str">
        <f t="shared" si="92"/>
        <v/>
      </c>
      <c r="BU44" s="24" t="str">
        <f t="shared" si="93"/>
        <v/>
      </c>
      <c r="BV44" s="24" t="str">
        <f t="shared" si="94"/>
        <v/>
      </c>
      <c r="BW44" s="24" t="str">
        <f t="shared" si="95"/>
        <v/>
      </c>
      <c r="BX44" s="24" t="str">
        <f t="shared" si="96"/>
        <v/>
      </c>
      <c r="BY44" s="24" t="str">
        <f t="shared" si="97"/>
        <v/>
      </c>
      <c r="BZ44" s="24" t="str">
        <f t="shared" si="98"/>
        <v/>
      </c>
      <c r="CA44" s="24" t="str">
        <f t="shared" si="99"/>
        <v/>
      </c>
      <c r="CB44" s="24" t="str">
        <f t="shared" si="100"/>
        <v/>
      </c>
      <c r="CC44" s="24" t="str">
        <f t="shared" si="101"/>
        <v/>
      </c>
      <c r="CD44" s="24" t="str">
        <f t="shared" si="102"/>
        <v/>
      </c>
      <c r="CE44" s="24" t="str">
        <f t="shared" si="103"/>
        <v/>
      </c>
      <c r="CF44" s="24" t="str">
        <f t="shared" si="104"/>
        <v/>
      </c>
      <c r="CG44" s="24" t="str">
        <f t="shared" si="105"/>
        <v/>
      </c>
      <c r="CH44" s="24" t="str">
        <f t="shared" si="106"/>
        <v/>
      </c>
      <c r="CI44" s="24" t="str">
        <f t="shared" si="64"/>
        <v/>
      </c>
      <c r="CJ44" s="24" t="str">
        <f t="shared" si="83"/>
        <v/>
      </c>
      <c r="CK44" s="26" t="str">
        <f t="shared" si="65"/>
        <v/>
      </c>
      <c r="CL44" s="26" t="str">
        <f t="shared" si="84"/>
        <v/>
      </c>
      <c r="CM44" s="24" t="str">
        <f t="shared" si="85"/>
        <v/>
      </c>
      <c r="CN44" s="26" t="str">
        <f t="shared" si="66"/>
        <v/>
      </c>
      <c r="CO44" s="24" t="str">
        <f t="shared" si="67"/>
        <v/>
      </c>
      <c r="CP44" s="26" t="str">
        <f t="shared" si="68"/>
        <v/>
      </c>
      <c r="CQ44" s="26" t="str">
        <f t="shared" si="69"/>
        <v/>
      </c>
      <c r="CR44" s="26" t="str">
        <f t="shared" si="86"/>
        <v/>
      </c>
      <c r="CS44" s="24" t="str">
        <f t="shared" si="87"/>
        <v/>
      </c>
      <c r="CT44" s="27" t="str">
        <f t="shared" si="70"/>
        <v/>
      </c>
      <c r="CU44" s="24" t="str">
        <f t="shared" si="71"/>
        <v/>
      </c>
      <c r="CV44" s="27" t="str">
        <f t="shared" si="72"/>
        <v/>
      </c>
      <c r="CW44" s="27" t="str">
        <f t="shared" si="73"/>
        <v/>
      </c>
      <c r="CX44" s="26" t="str">
        <f t="shared" si="88"/>
        <v/>
      </c>
      <c r="CY44" s="27" t="str">
        <f t="shared" si="89"/>
        <v/>
      </c>
      <c r="CZ44" s="26" t="str">
        <f t="shared" si="74"/>
        <v/>
      </c>
      <c r="DA44" s="24" t="str">
        <f t="shared" si="75"/>
        <v/>
      </c>
      <c r="DB44" s="24" t="str">
        <f t="shared" si="76"/>
        <v/>
      </c>
      <c r="DC44" s="24" t="str">
        <f t="shared" si="77"/>
        <v/>
      </c>
      <c r="DD44" s="24" t="str">
        <f t="shared" si="78"/>
        <v/>
      </c>
      <c r="DE44" s="1">
        <v>0</v>
      </c>
      <c r="DF44" s="1">
        <v>0</v>
      </c>
      <c r="DG44" s="1">
        <v>0</v>
      </c>
      <c r="DH44" s="24" t="str">
        <f t="shared" si="79"/>
        <v/>
      </c>
      <c r="DI44" s="25" t="str">
        <f t="shared" si="80"/>
        <v/>
      </c>
      <c r="DJ44" t="str">
        <f t="shared" si="81"/>
        <v/>
      </c>
      <c r="DK44" s="9"/>
      <c r="DL44" s="9"/>
      <c r="DM44" s="9"/>
      <c r="DN44" s="9"/>
      <c r="DO44" s="9"/>
      <c r="DP44" s="9"/>
      <c r="DQ44" s="136" t="b">
        <f t="shared" si="82"/>
        <v>1</v>
      </c>
    </row>
    <row r="45" spans="1:121" ht="27" customHeight="1" x14ac:dyDescent="1.25">
      <c r="A45" s="24" t="str">
        <f t="shared" si="90"/>
        <v/>
      </c>
      <c r="B45" s="69"/>
      <c r="C45" s="69"/>
      <c r="D45" s="69"/>
      <c r="E45" s="69"/>
      <c r="F45" s="69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3" t="str">
        <f t="shared" si="0"/>
        <v/>
      </c>
      <c r="X45" s="3" t="str">
        <f t="shared" si="1"/>
        <v/>
      </c>
      <c r="Y45" s="3" t="str">
        <f t="shared" si="2"/>
        <v/>
      </c>
      <c r="Z45" s="3" t="str">
        <f t="shared" si="3"/>
        <v/>
      </c>
      <c r="AA45" s="3" t="str">
        <f t="shared" si="4"/>
        <v/>
      </c>
      <c r="AB45" s="3" t="str">
        <f t="shared" si="5"/>
        <v/>
      </c>
      <c r="AC45" s="3" t="str">
        <f t="shared" si="6"/>
        <v/>
      </c>
      <c r="AD45" s="3" t="str">
        <f t="shared" si="7"/>
        <v/>
      </c>
      <c r="AE45" s="3" t="str">
        <f t="shared" si="8"/>
        <v/>
      </c>
      <c r="AF45" s="24" t="str">
        <f t="shared" si="9"/>
        <v/>
      </c>
      <c r="AG45" s="24" t="str">
        <f t="shared" si="10"/>
        <v/>
      </c>
      <c r="AH45" s="24" t="str">
        <f t="shared" si="11"/>
        <v/>
      </c>
      <c r="AI45" s="24" t="str">
        <f t="shared" si="12"/>
        <v/>
      </c>
      <c r="AJ45" s="24" t="str">
        <f t="shared" si="13"/>
        <v/>
      </c>
      <c r="AK45" s="24" t="str">
        <f t="shared" si="14"/>
        <v/>
      </c>
      <c r="AL45" s="24" t="str">
        <f t="shared" si="15"/>
        <v/>
      </c>
      <c r="AM45" s="24" t="str">
        <f t="shared" si="16"/>
        <v/>
      </c>
      <c r="AN45" s="24" t="str">
        <f t="shared" si="17"/>
        <v/>
      </c>
      <c r="AO45" s="24" t="str">
        <f t="shared" si="18"/>
        <v/>
      </c>
      <c r="AP45" s="24" t="str">
        <f t="shared" si="19"/>
        <v/>
      </c>
      <c r="AQ45" s="24" t="str">
        <f t="shared" si="20"/>
        <v/>
      </c>
      <c r="AR45" s="24" t="str">
        <f t="shared" si="21"/>
        <v/>
      </c>
      <c r="AS45" s="24" t="str">
        <f t="shared" si="22"/>
        <v/>
      </c>
      <c r="AT45" s="24" t="str">
        <f t="shared" si="23"/>
        <v/>
      </c>
      <c r="AU45" s="24" t="str">
        <f t="shared" si="24"/>
        <v/>
      </c>
      <c r="AV45" s="24" t="str">
        <f t="shared" si="25"/>
        <v/>
      </c>
      <c r="AW45" s="24" t="str">
        <f t="shared" si="26"/>
        <v/>
      </c>
      <c r="AX45" s="24" t="str">
        <f t="shared" si="27"/>
        <v/>
      </c>
      <c r="AY45" s="24" t="str">
        <f t="shared" si="28"/>
        <v/>
      </c>
      <c r="AZ45" s="24" t="str">
        <f t="shared" si="29"/>
        <v/>
      </c>
      <c r="BA45" s="24" t="str">
        <f t="shared" si="30"/>
        <v/>
      </c>
      <c r="BB45" s="24" t="str">
        <f t="shared" si="31"/>
        <v/>
      </c>
      <c r="BC45" s="24" t="str">
        <f t="shared" si="32"/>
        <v/>
      </c>
      <c r="BD45" s="24" t="str">
        <f t="shared" si="33"/>
        <v/>
      </c>
      <c r="BE45" s="24" t="str">
        <f t="shared" si="34"/>
        <v/>
      </c>
      <c r="BF45" s="24" t="str">
        <f t="shared" si="35"/>
        <v/>
      </c>
      <c r="BG45" s="24" t="str">
        <f t="shared" si="36"/>
        <v/>
      </c>
      <c r="BH45" s="24" t="str">
        <f t="shared" si="37"/>
        <v/>
      </c>
      <c r="BI45" s="24" t="str">
        <f t="shared" si="38"/>
        <v/>
      </c>
      <c r="BJ45" s="24" t="str">
        <f t="shared" si="39"/>
        <v/>
      </c>
      <c r="BK45" s="24" t="str">
        <f t="shared" si="40"/>
        <v/>
      </c>
      <c r="BL45" s="26" t="str">
        <f t="shared" si="41"/>
        <v/>
      </c>
      <c r="BM45" s="26" t="str">
        <f t="shared" si="42"/>
        <v/>
      </c>
      <c r="BN45" s="26" t="str">
        <f t="shared" si="43"/>
        <v/>
      </c>
      <c r="BO45" s="26" t="str">
        <f t="shared" si="44"/>
        <v/>
      </c>
      <c r="BP45" s="26" t="str">
        <f t="shared" si="45"/>
        <v/>
      </c>
      <c r="BQ45" s="26" t="str">
        <f t="shared" si="46"/>
        <v/>
      </c>
      <c r="BR45" s="26" t="str">
        <f t="shared" si="47"/>
        <v/>
      </c>
      <c r="BS45" s="24" t="str">
        <f t="shared" si="91"/>
        <v/>
      </c>
      <c r="BT45" s="24" t="str">
        <f t="shared" si="92"/>
        <v/>
      </c>
      <c r="BU45" s="24" t="str">
        <f t="shared" si="93"/>
        <v/>
      </c>
      <c r="BV45" s="24" t="str">
        <f t="shared" si="94"/>
        <v/>
      </c>
      <c r="BW45" s="24" t="str">
        <f t="shared" si="95"/>
        <v/>
      </c>
      <c r="BX45" s="24" t="str">
        <f t="shared" si="96"/>
        <v/>
      </c>
      <c r="BY45" s="24" t="str">
        <f t="shared" si="97"/>
        <v/>
      </c>
      <c r="BZ45" s="24" t="str">
        <f t="shared" si="98"/>
        <v/>
      </c>
      <c r="CA45" s="24" t="str">
        <f t="shared" si="99"/>
        <v/>
      </c>
      <c r="CB45" s="24" t="str">
        <f t="shared" si="100"/>
        <v/>
      </c>
      <c r="CC45" s="24" t="str">
        <f t="shared" si="101"/>
        <v/>
      </c>
      <c r="CD45" s="24" t="str">
        <f t="shared" si="102"/>
        <v/>
      </c>
      <c r="CE45" s="24" t="str">
        <f t="shared" si="103"/>
        <v/>
      </c>
      <c r="CF45" s="24" t="str">
        <f t="shared" si="104"/>
        <v/>
      </c>
      <c r="CG45" s="24" t="str">
        <f t="shared" si="105"/>
        <v/>
      </c>
      <c r="CH45" s="24" t="str">
        <f t="shared" si="106"/>
        <v/>
      </c>
      <c r="CI45" s="24" t="str">
        <f t="shared" si="64"/>
        <v/>
      </c>
      <c r="CJ45" s="24" t="str">
        <f t="shared" si="83"/>
        <v/>
      </c>
      <c r="CK45" s="26" t="str">
        <f t="shared" si="65"/>
        <v/>
      </c>
      <c r="CL45" s="26" t="str">
        <f t="shared" si="84"/>
        <v/>
      </c>
      <c r="CM45" s="24" t="str">
        <f t="shared" si="85"/>
        <v/>
      </c>
      <c r="CN45" s="26" t="str">
        <f t="shared" si="66"/>
        <v/>
      </c>
      <c r="CO45" s="24" t="str">
        <f t="shared" si="67"/>
        <v/>
      </c>
      <c r="CP45" s="26" t="str">
        <f t="shared" si="68"/>
        <v/>
      </c>
      <c r="CQ45" s="26" t="str">
        <f t="shared" si="69"/>
        <v/>
      </c>
      <c r="CR45" s="26" t="str">
        <f t="shared" si="86"/>
        <v/>
      </c>
      <c r="CS45" s="24" t="str">
        <f t="shared" si="87"/>
        <v/>
      </c>
      <c r="CT45" s="27" t="str">
        <f t="shared" si="70"/>
        <v/>
      </c>
      <c r="CU45" s="24" t="str">
        <f t="shared" si="71"/>
        <v/>
      </c>
      <c r="CV45" s="27" t="str">
        <f t="shared" si="72"/>
        <v/>
      </c>
      <c r="CW45" s="27" t="str">
        <f t="shared" si="73"/>
        <v/>
      </c>
      <c r="CX45" s="26" t="str">
        <f t="shared" si="88"/>
        <v/>
      </c>
      <c r="CY45" s="27" t="str">
        <f t="shared" si="89"/>
        <v/>
      </c>
      <c r="CZ45" s="26" t="str">
        <f t="shared" si="74"/>
        <v/>
      </c>
      <c r="DA45" s="24" t="str">
        <f t="shared" si="75"/>
        <v/>
      </c>
      <c r="DB45" s="24" t="str">
        <f t="shared" si="76"/>
        <v/>
      </c>
      <c r="DC45" s="24" t="str">
        <f t="shared" si="77"/>
        <v/>
      </c>
      <c r="DD45" s="24" t="str">
        <f t="shared" si="78"/>
        <v/>
      </c>
      <c r="DE45" s="1">
        <v>0</v>
      </c>
      <c r="DF45" s="1">
        <v>0</v>
      </c>
      <c r="DG45" s="1">
        <v>0</v>
      </c>
      <c r="DH45" s="24" t="str">
        <f t="shared" si="79"/>
        <v/>
      </c>
      <c r="DI45" s="25" t="str">
        <f t="shared" si="80"/>
        <v/>
      </c>
      <c r="DJ45" t="str">
        <f t="shared" si="81"/>
        <v/>
      </c>
      <c r="DK45" s="9"/>
      <c r="DL45" s="9"/>
      <c r="DM45" s="9"/>
      <c r="DN45" s="9"/>
      <c r="DO45" s="9"/>
      <c r="DP45" s="9"/>
      <c r="DQ45" s="136" t="b">
        <f t="shared" si="82"/>
        <v>1</v>
      </c>
    </row>
    <row r="46" spans="1:121" ht="27" customHeight="1" x14ac:dyDescent="1.25">
      <c r="A46" s="24" t="str">
        <f t="shared" si="90"/>
        <v/>
      </c>
      <c r="B46" s="69"/>
      <c r="C46" s="69"/>
      <c r="D46" s="69"/>
      <c r="E46" s="69"/>
      <c r="F46" s="69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3" t="str">
        <f t="shared" si="0"/>
        <v/>
      </c>
      <c r="X46" s="3" t="str">
        <f t="shared" si="1"/>
        <v/>
      </c>
      <c r="Y46" s="3" t="str">
        <f t="shared" si="2"/>
        <v/>
      </c>
      <c r="Z46" s="3" t="str">
        <f t="shared" si="3"/>
        <v/>
      </c>
      <c r="AA46" s="3" t="str">
        <f t="shared" si="4"/>
        <v/>
      </c>
      <c r="AB46" s="3" t="str">
        <f t="shared" si="5"/>
        <v/>
      </c>
      <c r="AC46" s="3" t="str">
        <f t="shared" si="6"/>
        <v/>
      </c>
      <c r="AD46" s="3" t="str">
        <f t="shared" si="7"/>
        <v/>
      </c>
      <c r="AE46" s="3" t="str">
        <f t="shared" si="8"/>
        <v/>
      </c>
      <c r="AF46" s="24" t="str">
        <f t="shared" si="9"/>
        <v/>
      </c>
      <c r="AG46" s="24" t="str">
        <f t="shared" si="10"/>
        <v/>
      </c>
      <c r="AH46" s="24" t="str">
        <f t="shared" si="11"/>
        <v/>
      </c>
      <c r="AI46" s="24" t="str">
        <f t="shared" si="12"/>
        <v/>
      </c>
      <c r="AJ46" s="24" t="str">
        <f t="shared" si="13"/>
        <v/>
      </c>
      <c r="AK46" s="24" t="str">
        <f t="shared" si="14"/>
        <v/>
      </c>
      <c r="AL46" s="24" t="str">
        <f t="shared" si="15"/>
        <v/>
      </c>
      <c r="AM46" s="24" t="str">
        <f t="shared" si="16"/>
        <v/>
      </c>
      <c r="AN46" s="24" t="str">
        <f t="shared" si="17"/>
        <v/>
      </c>
      <c r="AO46" s="24" t="str">
        <f t="shared" si="18"/>
        <v/>
      </c>
      <c r="AP46" s="24" t="str">
        <f t="shared" si="19"/>
        <v/>
      </c>
      <c r="AQ46" s="24" t="str">
        <f t="shared" si="20"/>
        <v/>
      </c>
      <c r="AR46" s="24" t="str">
        <f t="shared" si="21"/>
        <v/>
      </c>
      <c r="AS46" s="24" t="str">
        <f t="shared" si="22"/>
        <v/>
      </c>
      <c r="AT46" s="24" t="str">
        <f t="shared" si="23"/>
        <v/>
      </c>
      <c r="AU46" s="24" t="str">
        <f t="shared" si="24"/>
        <v/>
      </c>
      <c r="AV46" s="24" t="str">
        <f t="shared" si="25"/>
        <v/>
      </c>
      <c r="AW46" s="24" t="str">
        <f t="shared" si="26"/>
        <v/>
      </c>
      <c r="AX46" s="24" t="str">
        <f t="shared" si="27"/>
        <v/>
      </c>
      <c r="AY46" s="24" t="str">
        <f t="shared" si="28"/>
        <v/>
      </c>
      <c r="AZ46" s="24" t="str">
        <f t="shared" si="29"/>
        <v/>
      </c>
      <c r="BA46" s="24" t="str">
        <f t="shared" si="30"/>
        <v/>
      </c>
      <c r="BB46" s="24" t="str">
        <f t="shared" si="31"/>
        <v/>
      </c>
      <c r="BC46" s="24" t="str">
        <f t="shared" si="32"/>
        <v/>
      </c>
      <c r="BD46" s="24" t="str">
        <f t="shared" si="33"/>
        <v/>
      </c>
      <c r="BE46" s="24" t="str">
        <f t="shared" si="34"/>
        <v/>
      </c>
      <c r="BF46" s="24" t="str">
        <f t="shared" si="35"/>
        <v/>
      </c>
      <c r="BG46" s="24" t="str">
        <f t="shared" si="36"/>
        <v/>
      </c>
      <c r="BH46" s="24" t="str">
        <f t="shared" si="37"/>
        <v/>
      </c>
      <c r="BI46" s="24" t="str">
        <f t="shared" si="38"/>
        <v/>
      </c>
      <c r="BJ46" s="24" t="str">
        <f t="shared" si="39"/>
        <v/>
      </c>
      <c r="BK46" s="24" t="str">
        <f t="shared" si="40"/>
        <v/>
      </c>
      <c r="BL46" s="26" t="str">
        <f t="shared" si="41"/>
        <v/>
      </c>
      <c r="BM46" s="26" t="str">
        <f t="shared" si="42"/>
        <v/>
      </c>
      <c r="BN46" s="26" t="str">
        <f t="shared" si="43"/>
        <v/>
      </c>
      <c r="BO46" s="26" t="str">
        <f t="shared" si="44"/>
        <v/>
      </c>
      <c r="BP46" s="26" t="str">
        <f t="shared" si="45"/>
        <v/>
      </c>
      <c r="BQ46" s="26" t="str">
        <f t="shared" si="46"/>
        <v/>
      </c>
      <c r="BR46" s="26" t="str">
        <f t="shared" si="47"/>
        <v/>
      </c>
      <c r="BS46" s="24" t="str">
        <f t="shared" si="91"/>
        <v/>
      </c>
      <c r="BT46" s="24" t="str">
        <f t="shared" si="92"/>
        <v/>
      </c>
      <c r="BU46" s="24" t="str">
        <f t="shared" si="93"/>
        <v/>
      </c>
      <c r="BV46" s="24" t="str">
        <f t="shared" si="94"/>
        <v/>
      </c>
      <c r="BW46" s="24" t="str">
        <f t="shared" si="95"/>
        <v/>
      </c>
      <c r="BX46" s="24" t="str">
        <f t="shared" si="96"/>
        <v/>
      </c>
      <c r="BY46" s="24" t="str">
        <f t="shared" si="97"/>
        <v/>
      </c>
      <c r="BZ46" s="24" t="str">
        <f t="shared" si="98"/>
        <v/>
      </c>
      <c r="CA46" s="24" t="str">
        <f t="shared" si="99"/>
        <v/>
      </c>
      <c r="CB46" s="24" t="str">
        <f t="shared" si="100"/>
        <v/>
      </c>
      <c r="CC46" s="24" t="str">
        <f t="shared" si="101"/>
        <v/>
      </c>
      <c r="CD46" s="24" t="str">
        <f t="shared" si="102"/>
        <v/>
      </c>
      <c r="CE46" s="24" t="str">
        <f t="shared" si="103"/>
        <v/>
      </c>
      <c r="CF46" s="24" t="str">
        <f t="shared" si="104"/>
        <v/>
      </c>
      <c r="CG46" s="24" t="str">
        <f t="shared" si="105"/>
        <v/>
      </c>
      <c r="CH46" s="24" t="str">
        <f t="shared" si="106"/>
        <v/>
      </c>
      <c r="CI46" s="24" t="str">
        <f t="shared" si="64"/>
        <v/>
      </c>
      <c r="CJ46" s="24" t="str">
        <f t="shared" si="83"/>
        <v/>
      </c>
      <c r="CK46" s="26" t="str">
        <f t="shared" si="65"/>
        <v/>
      </c>
      <c r="CL46" s="26" t="str">
        <f t="shared" si="84"/>
        <v/>
      </c>
      <c r="CM46" s="24" t="str">
        <f t="shared" si="85"/>
        <v/>
      </c>
      <c r="CN46" s="26" t="str">
        <f t="shared" si="66"/>
        <v/>
      </c>
      <c r="CO46" s="24" t="str">
        <f t="shared" si="67"/>
        <v/>
      </c>
      <c r="CP46" s="26" t="str">
        <f t="shared" si="68"/>
        <v/>
      </c>
      <c r="CQ46" s="26" t="str">
        <f t="shared" si="69"/>
        <v/>
      </c>
      <c r="CR46" s="26" t="str">
        <f t="shared" si="86"/>
        <v/>
      </c>
      <c r="CS46" s="24" t="str">
        <f t="shared" si="87"/>
        <v/>
      </c>
      <c r="CT46" s="27" t="str">
        <f t="shared" si="70"/>
        <v/>
      </c>
      <c r="CU46" s="24" t="str">
        <f t="shared" si="71"/>
        <v/>
      </c>
      <c r="CV46" s="27" t="str">
        <f t="shared" si="72"/>
        <v/>
      </c>
      <c r="CW46" s="27" t="str">
        <f t="shared" si="73"/>
        <v/>
      </c>
      <c r="CX46" s="26" t="str">
        <f t="shared" si="88"/>
        <v/>
      </c>
      <c r="CY46" s="27" t="str">
        <f t="shared" si="89"/>
        <v/>
      </c>
      <c r="CZ46" s="26" t="str">
        <f t="shared" si="74"/>
        <v/>
      </c>
      <c r="DA46" s="24" t="str">
        <f t="shared" si="75"/>
        <v/>
      </c>
      <c r="DB46" s="24" t="str">
        <f t="shared" si="76"/>
        <v/>
      </c>
      <c r="DC46" s="24" t="str">
        <f t="shared" si="77"/>
        <v/>
      </c>
      <c r="DD46" s="24" t="str">
        <f t="shared" si="78"/>
        <v/>
      </c>
      <c r="DE46" s="1">
        <v>0</v>
      </c>
      <c r="DF46" s="1">
        <v>0</v>
      </c>
      <c r="DG46" s="1">
        <v>0</v>
      </c>
      <c r="DH46" s="24" t="str">
        <f t="shared" si="79"/>
        <v/>
      </c>
      <c r="DI46" s="25" t="str">
        <f t="shared" si="80"/>
        <v/>
      </c>
      <c r="DJ46" t="str">
        <f t="shared" si="81"/>
        <v/>
      </c>
      <c r="DK46" s="9"/>
      <c r="DL46" s="9"/>
      <c r="DM46" s="9"/>
      <c r="DN46" s="9"/>
      <c r="DO46" s="9"/>
      <c r="DP46" s="9"/>
      <c r="DQ46" s="136" t="b">
        <f t="shared" si="82"/>
        <v>1</v>
      </c>
    </row>
    <row r="47" spans="1:121" ht="27" customHeight="1" x14ac:dyDescent="1.25">
      <c r="A47" s="24" t="str">
        <f t="shared" si="90"/>
        <v/>
      </c>
      <c r="B47" s="69"/>
      <c r="C47" s="70"/>
      <c r="D47" s="69"/>
      <c r="E47" s="69"/>
      <c r="F47" s="69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3" t="str">
        <f t="shared" ref="W47:W78" si="107">IF(G47="","",IF(G47&gt;=90,"A",IF(G47&gt;=80,"B",IF(G47&gt;=70,"C",IF(G47&gt;=60,"D",IF(G47&gt;=50,"E",IF(G47&gt;=0,"F","")))))))</f>
        <v/>
      </c>
      <c r="X47" s="3" t="str">
        <f t="shared" ref="X47:X78" si="108">IF(H47="","",IF(H47&gt;=90,"A",IF(H47&gt;=80,"B",IF(H47&gt;=70,"C",IF(H47&gt;=60,"D",IF(H47&gt;=50,"E",IF(H47&gt;=0,"F","")))))))</f>
        <v/>
      </c>
      <c r="Y47" s="3" t="str">
        <f t="shared" ref="Y47:Y78" si="109">IF(I47="","",IF(I47&gt;=90,"A",IF(I47&gt;=80,"B",IF(I47&gt;=70,"C",IF(I47&gt;=60,"D",IF(I47&gt;=50,"E",IF(I47&gt;=0,"F","")))))))</f>
        <v/>
      </c>
      <c r="Z47" s="3" t="str">
        <f t="shared" ref="Z47:Z78" si="110">IF(J47="","",IF(J47&gt;=90,"A",IF(J47&gt;=80,"B",IF(J47&gt;=70,"C",IF(J47&gt;=60,"D",IF(J47&gt;=50,"E",IF(J47&gt;=0,"F","")))))))</f>
        <v/>
      </c>
      <c r="AA47" s="3" t="str">
        <f t="shared" ref="AA47:AA78" si="111">IF(K47="","",IF(K47&gt;=90,"A",IF(K47&gt;=80,"B",IF(K47&gt;=70,"C",IF(K47&gt;=60,"D",IF(K47&gt;=50,"E",IF(K47&gt;=0,"F","")))))))</f>
        <v/>
      </c>
      <c r="AB47" s="3" t="str">
        <f t="shared" ref="AB47:AB78" si="112">IF(L47="","",IF(L47&gt;=90,"A",IF(L47&gt;=80,"B",IF(L47&gt;=70,"C",IF(L47&gt;=60,"D",IF(L47&gt;=50,"E",IF(L47&gt;=0,"F","")))))))</f>
        <v/>
      </c>
      <c r="AC47" s="3" t="str">
        <f t="shared" ref="AC47:AC78" si="113">IF(M47="","",IF(M47&gt;=90,"A",IF(M47&gt;=80,"B",IF(M47&gt;=70,"C",IF(M47&gt;=60,"D",IF(M47&gt;=50,"E",IF(M47&gt;=0,"F","")))))))</f>
        <v/>
      </c>
      <c r="AD47" s="3" t="str">
        <f t="shared" ref="AD47:AD78" si="114">IF(N47="","",IF(N47&gt;=90,"A",IF(N47&gt;=80,"B",IF(N47&gt;=70,"C",IF(N47&gt;=60,"D",IF(N47&gt;=50,"E",IF(N47&gt;=0,"F","")))))))</f>
        <v/>
      </c>
      <c r="AE47" s="3" t="str">
        <f t="shared" ref="AE47:AE78" si="115">IF(O47="","",IF(O47&gt;=90,"A",IF(O47&gt;=80,"B",IF(O47&gt;=70,"C",IF(O47&gt;=60,"D",IF(O47&gt;=50,"E",IF(O47&gt;=0,"F","")))))))</f>
        <v/>
      </c>
      <c r="AF47" s="24" t="str">
        <f t="shared" ref="AF47:AF78" si="116">IF(P47="","",IF(P47&gt;=90,"A",IF(P47&gt;=80,"B",IF(P47&gt;=70,"C",IF(P47&gt;=60,"D",IF(P47&gt;=50,"E",IF(P47&gt;=0,"F","")))))))</f>
        <v/>
      </c>
      <c r="AG47" s="24" t="str">
        <f t="shared" ref="AG47:AG78" si="117">IF(Q47="","",IF(Q47&gt;=90,"A",IF(Q47&gt;=80,"B",IF(Q47&gt;=70,"C",IF(Q47&gt;=60,"D",IF(Q47&gt;=50,"E",IF(Q47&gt;=0,"F","")))))))</f>
        <v/>
      </c>
      <c r="AH47" s="24" t="str">
        <f t="shared" ref="AH47:AH78" si="118">IF(R47="","",IF(R47&gt;=90,"A",IF(R47&gt;=80,"B",IF(R47&gt;=70,"C",IF(R47&gt;=60,"D",IF(R47&gt;=50,"E",IF(R47&gt;=0,"F","")))))))</f>
        <v/>
      </c>
      <c r="AI47" s="24" t="str">
        <f t="shared" ref="AI47:AI78" si="119">IF(S47="","",IF(S47&gt;=90,"A",IF(S47&gt;=80,"B",IF(S47&gt;=70,"C",IF(S47&gt;=60,"D",IF(S47&gt;=50,"E",IF(S47&gt;=0,"F","")))))))</f>
        <v/>
      </c>
      <c r="AJ47" s="24" t="str">
        <f t="shared" ref="AJ47:AJ78" si="120">IF(T47="","",IF(T47&gt;=90,"A",IF(T47&gt;=80,"B",IF(T47&gt;=70,"C",IF(T47&gt;=60,"D",IF(T47&gt;=50,"E",IF(T47&gt;=0,"F","")))))))</f>
        <v/>
      </c>
      <c r="AK47" s="24" t="str">
        <f t="shared" ref="AK47:AK78" si="121">IF(U47="","",IF(U47&gt;=90,"A",IF(U47&gt;=80,"B",IF(U47&gt;=70,"C",IF(U47&gt;=60,"D",IF(U47&gt;=50,"E",IF(U47&gt;=0,"F","")))))))</f>
        <v/>
      </c>
      <c r="AL47" s="24" t="str">
        <f t="shared" ref="AL47:AL78" si="122">IF(V47="","",IF(V47&gt;=90,"A",IF(V47&gt;=80,"B",IF(V47&gt;=70,"C",IF(V47&gt;=60,"D",IF(V47&gt;=50,"E",IF(V47&gt;=0,"F","")))))))</f>
        <v/>
      </c>
      <c r="AM47" s="24" t="str">
        <f t="shared" ref="AM47:AM78" si="123">IF(G47="","",$AM$14)</f>
        <v/>
      </c>
      <c r="AN47" s="24" t="str">
        <f t="shared" ref="AN47:AN78" si="124">IF(H47="","",$AN$14)</f>
        <v/>
      </c>
      <c r="AO47" s="24" t="str">
        <f t="shared" ref="AO47:AO78" si="125">IF(I47="","",$AO$14)</f>
        <v/>
      </c>
      <c r="AP47" s="24" t="str">
        <f t="shared" ref="AP47:AP78" si="126">IF(J47="","",$AP$14)</f>
        <v/>
      </c>
      <c r="AQ47" s="24" t="str">
        <f t="shared" ref="AQ47:AQ78" si="127">IF(K47="","",$AQ$14)</f>
        <v/>
      </c>
      <c r="AR47" s="24" t="str">
        <f t="shared" ref="AR47:AR78" si="128">IF(L47="","",$AR$14)</f>
        <v/>
      </c>
      <c r="AS47" s="24" t="str">
        <f t="shared" ref="AS47:AS78" si="129">IF(M47="","",$AS$14)</f>
        <v/>
      </c>
      <c r="AT47" s="24" t="str">
        <f t="shared" ref="AT47:AT78" si="130">IF(N47="","",$AT$14)</f>
        <v/>
      </c>
      <c r="AU47" s="24" t="str">
        <f t="shared" ref="AU47:AU78" si="131">IF(O47="","",$AU$14)</f>
        <v/>
      </c>
      <c r="AV47" s="24" t="str">
        <f t="shared" ref="AV47:AV78" si="132">IF(P47="","",$AV$14)</f>
        <v/>
      </c>
      <c r="AW47" s="24" t="str">
        <f t="shared" ref="AW47:AW78" si="133">IF(Q47="","",$AW$14)</f>
        <v/>
      </c>
      <c r="AX47" s="24" t="str">
        <f t="shared" ref="AX47:AX78" si="134">IF(R47="","",$AX$14)</f>
        <v/>
      </c>
      <c r="AY47" s="24" t="str">
        <f t="shared" ref="AY47:AY78" si="135">IF(S47="","",$AY$14)</f>
        <v/>
      </c>
      <c r="AZ47" s="24" t="str">
        <f t="shared" ref="AZ47:AZ78" si="136">IF(T47="","",$AZ$14)</f>
        <v/>
      </c>
      <c r="BA47" s="24" t="str">
        <f t="shared" ref="BA47:BA78" si="137">IF(U47="","",$BA$14)</f>
        <v/>
      </c>
      <c r="BB47" s="24" t="str">
        <f t="shared" ref="BB47:BB78" si="138">IF(V47="","",$BB$14)</f>
        <v/>
      </c>
      <c r="BC47" s="24" t="str">
        <f t="shared" ref="BC47:BC78" si="139">IF(OR(G47="",AM47=""),"",PRODUCT(G47,AM47))</f>
        <v/>
      </c>
      <c r="BD47" s="24" t="str">
        <f t="shared" ref="BD47:BD78" si="140">IF(OR(H47="",AN47=""),"",PRODUCT(H47,AN47))</f>
        <v/>
      </c>
      <c r="BE47" s="24" t="str">
        <f t="shared" ref="BE47:BE78" si="141">IF(OR(I47="",AO47=""),"",PRODUCT(I47,AO47))</f>
        <v/>
      </c>
      <c r="BF47" s="24" t="str">
        <f t="shared" ref="BF47:BF78" si="142">IF(OR(J47="",AP47=""),"",PRODUCT(J47,AP47))</f>
        <v/>
      </c>
      <c r="BG47" s="24" t="str">
        <f t="shared" ref="BG47:BG78" si="143">IF(OR(K47="",AQ47=""),"",PRODUCT(K47,AQ47))</f>
        <v/>
      </c>
      <c r="BH47" s="24" t="str">
        <f t="shared" ref="BH47:BH78" si="144">IF(OR(L47="",AR47=""),"",PRODUCT(L47,AR47))</f>
        <v/>
      </c>
      <c r="BI47" s="24" t="str">
        <f t="shared" ref="BI47:BI78" si="145">IF(OR(M47="",AS47=""),"",PRODUCT(M47,AS47))</f>
        <v/>
      </c>
      <c r="BJ47" s="24" t="str">
        <f t="shared" ref="BJ47:BJ78" si="146">IF(OR(N47="",AT47=""),"",PRODUCT(N47,AT47))</f>
        <v/>
      </c>
      <c r="BK47" s="24" t="str">
        <f t="shared" ref="BK47:BK78" si="147">IF(OR(O47="",AU47=""),"",PRODUCT(O47,AU47))</f>
        <v/>
      </c>
      <c r="BL47" s="26" t="str">
        <f t="shared" ref="BL47:BL78" si="148">IF(OR(P47="",AV47=""),"",PRODUCT(P47,AV47))</f>
        <v/>
      </c>
      <c r="BM47" s="26" t="str">
        <f t="shared" ref="BM47:BM78" si="149">IF(OR(Q47="",AW47=""),"",PRODUCT(Q47,AW47))</f>
        <v/>
      </c>
      <c r="BN47" s="26" t="str">
        <f t="shared" ref="BN47:BN78" si="150">IF(OR(R47="",AX47=""),"",PRODUCT(R47,AX47))</f>
        <v/>
      </c>
      <c r="BO47" s="26" t="str">
        <f t="shared" ref="BO47:BO78" si="151">IF(OR(S47="",AY47=""),"",PRODUCT(S47,AY47))</f>
        <v/>
      </c>
      <c r="BP47" s="26" t="str">
        <f t="shared" ref="BP47:BP78" si="152">IF(OR(T47="",AZ47=""),"",PRODUCT(T47,AZ47))</f>
        <v/>
      </c>
      <c r="BQ47" s="26" t="str">
        <f t="shared" ref="BQ47:BQ78" si="153">IF(OR(U47="",BA47=""),"",PRODUCT(U47,BA47))</f>
        <v/>
      </c>
      <c r="BR47" s="26" t="str">
        <f t="shared" ref="BR47:BR78" si="154">IF(OR(V47="",BB47=""),"",PRODUCT(V47,BB47))</f>
        <v/>
      </c>
      <c r="BS47" s="24" t="str">
        <f t="shared" si="91"/>
        <v/>
      </c>
      <c r="BT47" s="24" t="str">
        <f t="shared" si="92"/>
        <v/>
      </c>
      <c r="BU47" s="24" t="str">
        <f t="shared" si="93"/>
        <v/>
      </c>
      <c r="BV47" s="24" t="str">
        <f t="shared" si="94"/>
        <v/>
      </c>
      <c r="BW47" s="24" t="str">
        <f t="shared" si="95"/>
        <v/>
      </c>
      <c r="BX47" s="24" t="str">
        <f t="shared" si="96"/>
        <v/>
      </c>
      <c r="BY47" s="24" t="str">
        <f t="shared" si="97"/>
        <v/>
      </c>
      <c r="BZ47" s="24" t="str">
        <f t="shared" si="98"/>
        <v/>
      </c>
      <c r="CA47" s="24" t="str">
        <f t="shared" si="99"/>
        <v/>
      </c>
      <c r="CB47" s="24" t="str">
        <f t="shared" si="100"/>
        <v/>
      </c>
      <c r="CC47" s="24" t="str">
        <f t="shared" si="101"/>
        <v/>
      </c>
      <c r="CD47" s="24" t="str">
        <f t="shared" si="102"/>
        <v/>
      </c>
      <c r="CE47" s="24" t="str">
        <f t="shared" si="103"/>
        <v/>
      </c>
      <c r="CF47" s="24" t="str">
        <f t="shared" si="104"/>
        <v/>
      </c>
      <c r="CG47" s="24" t="str">
        <f t="shared" si="105"/>
        <v/>
      </c>
      <c r="CH47" s="24" t="str">
        <f t="shared" si="106"/>
        <v/>
      </c>
      <c r="CI47" s="24" t="str">
        <f t="shared" ref="CI47:CI78" si="155">IF(B47="","",SUM(AM47:AU47))</f>
        <v/>
      </c>
      <c r="CJ47" s="24" t="str">
        <f t="shared" si="83"/>
        <v/>
      </c>
      <c r="CK47" s="26" t="str">
        <f t="shared" ref="CK47:CK78" si="156">IF(B47="","",SUM(BS47:CA47))</f>
        <v/>
      </c>
      <c r="CL47" s="26" t="str">
        <f t="shared" si="84"/>
        <v/>
      </c>
      <c r="CM47" s="24" t="str">
        <f t="shared" si="85"/>
        <v/>
      </c>
      <c r="CN47" s="26" t="str">
        <f t="shared" ref="CN47:CN78" si="157">IF(B47="","",CK47/CI47)</f>
        <v/>
      </c>
      <c r="CO47" s="24" t="str">
        <f t="shared" ref="CO47:CO78" si="158">IF(B47="","",SUM(AV47:BB47))</f>
        <v/>
      </c>
      <c r="CP47" s="26" t="str">
        <f t="shared" ref="CP47:CP78" si="159">IF(B47="","",SUM(BL47:BR47))</f>
        <v/>
      </c>
      <c r="CQ47" s="26" t="str">
        <f t="shared" ref="CQ47:CQ78" si="160">IF(B47="","",SUM(CB47:CH47))</f>
        <v/>
      </c>
      <c r="CR47" s="26" t="str">
        <f t="shared" si="86"/>
        <v/>
      </c>
      <c r="CS47" s="24" t="str">
        <f t="shared" si="87"/>
        <v/>
      </c>
      <c r="CT47" s="27" t="str">
        <f t="shared" ref="CT47:CT78" si="161">IF(B47="","",CQ47/CO47)</f>
        <v/>
      </c>
      <c r="CU47" s="24" t="str">
        <f t="shared" ref="CU47:CU78" si="162">IF(SUM(AM47:BB47)=0,"",IF(OR(B47="",F47="I",F47="II",F47="M",F47="A"),(SUM(AM47:BB47)),IF(OR(B47="",F47="III"),(SUM(CI47,CO47)))))</f>
        <v/>
      </c>
      <c r="CV47" s="27" t="str">
        <f t="shared" ref="CV47:CV78" si="163">IF(SUM(AM47:BB47)=0,"",IF(OR(B47="",F47="I",F47="II",F47="M",F47="A"),(SUM(BC47:BR47)),IF(OR(B47="",F47="III"),(SUM(CJ47,CP47)))))</f>
        <v/>
      </c>
      <c r="CW47" s="27" t="str">
        <f t="shared" ref="CW47:CW78" si="164">IF(SUM(AM47:BB47)=0,"",IF(OR(B47="",F47="I",F47="II",F47="M",F47="A"),(SUM(BS47:CH47)),IF(OR(B47="",F47="III"),(SUM(CQ47,CK47)))))</f>
        <v/>
      </c>
      <c r="CX47" s="26" t="str">
        <f t="shared" si="88"/>
        <v/>
      </c>
      <c r="CY47" s="27" t="str">
        <f t="shared" si="89"/>
        <v/>
      </c>
      <c r="CZ47" s="26" t="str">
        <f t="shared" ref="CZ47:CZ78" si="165">IF(B47="","",CW47/CU47)</f>
        <v/>
      </c>
      <c r="DA47" s="24" t="str">
        <f t="shared" ref="DA47:DA78" si="166">IF(OR(B47="",CX47=""),"",RANK(CX47,$CX$15:$CX$97))</f>
        <v/>
      </c>
      <c r="DB47" s="24" t="str">
        <f t="shared" ref="DB47:DB78" si="167">IF(B47="","",$C$9)</f>
        <v/>
      </c>
      <c r="DC47" s="24" t="str">
        <f t="shared" ref="DC47:DC78" si="168">IF(B47="","",COUNTA($B$15:$B$99))</f>
        <v/>
      </c>
      <c r="DD47" s="24" t="str">
        <f t="shared" ref="DD47:DD78" si="169">IF(B47="","",$C$8)</f>
        <v/>
      </c>
      <c r="DE47" s="1">
        <v>0</v>
      </c>
      <c r="DF47" s="1">
        <v>0</v>
      </c>
      <c r="DG47" s="1">
        <v>0</v>
      </c>
      <c r="DH47" s="24" t="str">
        <f t="shared" ref="DH47:DH78" si="170">IF(B47="","",DF47+DG47)</f>
        <v/>
      </c>
      <c r="DI47" s="25" t="str">
        <f t="shared" ref="DI47:DI78" si="171">IF(B47="","",(DD47-DH47)/DD47)</f>
        <v/>
      </c>
      <c r="DJ47" t="str">
        <f t="shared" ref="DJ47:DJ78" si="172">IF(B47="","",$C$11)</f>
        <v/>
      </c>
      <c r="DK47" s="9"/>
      <c r="DL47" s="9"/>
      <c r="DM47" s="9"/>
      <c r="DN47" s="9"/>
      <c r="DO47" s="9"/>
      <c r="DP47" s="9"/>
      <c r="DQ47" s="136" t="b">
        <f t="shared" ref="DQ47:DQ78" si="173">EXACT(B47,DK47)</f>
        <v>1</v>
      </c>
    </row>
    <row r="48" spans="1:121" ht="27" customHeight="1" x14ac:dyDescent="1.25">
      <c r="A48" s="24" t="str">
        <f t="shared" si="90"/>
        <v/>
      </c>
      <c r="B48" s="69"/>
      <c r="C48" s="70"/>
      <c r="D48" s="69"/>
      <c r="E48" s="69"/>
      <c r="F48" s="69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3" t="str">
        <f t="shared" si="107"/>
        <v/>
      </c>
      <c r="X48" s="3" t="str">
        <f t="shared" si="108"/>
        <v/>
      </c>
      <c r="Y48" s="3" t="str">
        <f t="shared" si="109"/>
        <v/>
      </c>
      <c r="Z48" s="3" t="str">
        <f t="shared" si="110"/>
        <v/>
      </c>
      <c r="AA48" s="3" t="str">
        <f t="shared" si="111"/>
        <v/>
      </c>
      <c r="AB48" s="3" t="str">
        <f t="shared" si="112"/>
        <v/>
      </c>
      <c r="AC48" s="3" t="str">
        <f t="shared" si="113"/>
        <v/>
      </c>
      <c r="AD48" s="3" t="str">
        <f t="shared" si="114"/>
        <v/>
      </c>
      <c r="AE48" s="3" t="str">
        <f t="shared" si="115"/>
        <v/>
      </c>
      <c r="AF48" s="24" t="str">
        <f t="shared" si="116"/>
        <v/>
      </c>
      <c r="AG48" s="24" t="str">
        <f t="shared" si="117"/>
        <v/>
      </c>
      <c r="AH48" s="24" t="str">
        <f t="shared" si="118"/>
        <v/>
      </c>
      <c r="AI48" s="24" t="str">
        <f t="shared" si="119"/>
        <v/>
      </c>
      <c r="AJ48" s="24" t="str">
        <f t="shared" si="120"/>
        <v/>
      </c>
      <c r="AK48" s="24" t="str">
        <f t="shared" si="121"/>
        <v/>
      </c>
      <c r="AL48" s="24" t="str">
        <f t="shared" si="122"/>
        <v/>
      </c>
      <c r="AM48" s="24" t="str">
        <f t="shared" si="123"/>
        <v/>
      </c>
      <c r="AN48" s="24" t="str">
        <f t="shared" si="124"/>
        <v/>
      </c>
      <c r="AO48" s="24" t="str">
        <f t="shared" si="125"/>
        <v/>
      </c>
      <c r="AP48" s="24" t="str">
        <f t="shared" si="126"/>
        <v/>
      </c>
      <c r="AQ48" s="24" t="str">
        <f t="shared" si="127"/>
        <v/>
      </c>
      <c r="AR48" s="24" t="str">
        <f t="shared" si="128"/>
        <v/>
      </c>
      <c r="AS48" s="24" t="str">
        <f t="shared" si="129"/>
        <v/>
      </c>
      <c r="AT48" s="24" t="str">
        <f t="shared" si="130"/>
        <v/>
      </c>
      <c r="AU48" s="24" t="str">
        <f t="shared" si="131"/>
        <v/>
      </c>
      <c r="AV48" s="24" t="str">
        <f t="shared" si="132"/>
        <v/>
      </c>
      <c r="AW48" s="24" t="str">
        <f t="shared" si="133"/>
        <v/>
      </c>
      <c r="AX48" s="24" t="str">
        <f t="shared" si="134"/>
        <v/>
      </c>
      <c r="AY48" s="24" t="str">
        <f t="shared" si="135"/>
        <v/>
      </c>
      <c r="AZ48" s="24" t="str">
        <f t="shared" si="136"/>
        <v/>
      </c>
      <c r="BA48" s="24" t="str">
        <f t="shared" si="137"/>
        <v/>
      </c>
      <c r="BB48" s="24" t="str">
        <f t="shared" si="138"/>
        <v/>
      </c>
      <c r="BC48" s="24" t="str">
        <f t="shared" si="139"/>
        <v/>
      </c>
      <c r="BD48" s="24" t="str">
        <f t="shared" si="140"/>
        <v/>
      </c>
      <c r="BE48" s="24" t="str">
        <f t="shared" si="141"/>
        <v/>
      </c>
      <c r="BF48" s="24" t="str">
        <f t="shared" si="142"/>
        <v/>
      </c>
      <c r="BG48" s="24" t="str">
        <f t="shared" si="143"/>
        <v/>
      </c>
      <c r="BH48" s="24" t="str">
        <f t="shared" si="144"/>
        <v/>
      </c>
      <c r="BI48" s="24" t="str">
        <f t="shared" si="145"/>
        <v/>
      </c>
      <c r="BJ48" s="24" t="str">
        <f t="shared" si="146"/>
        <v/>
      </c>
      <c r="BK48" s="24" t="str">
        <f t="shared" si="147"/>
        <v/>
      </c>
      <c r="BL48" s="26" t="str">
        <f t="shared" si="148"/>
        <v/>
      </c>
      <c r="BM48" s="26" t="str">
        <f t="shared" si="149"/>
        <v/>
      </c>
      <c r="BN48" s="26" t="str">
        <f t="shared" si="150"/>
        <v/>
      </c>
      <c r="BO48" s="26" t="str">
        <f t="shared" si="151"/>
        <v/>
      </c>
      <c r="BP48" s="26" t="str">
        <f t="shared" si="152"/>
        <v/>
      </c>
      <c r="BQ48" s="26" t="str">
        <f t="shared" si="153"/>
        <v/>
      </c>
      <c r="BR48" s="26" t="str">
        <f t="shared" si="154"/>
        <v/>
      </c>
      <c r="BS48" s="24" t="str">
        <f t="shared" si="91"/>
        <v/>
      </c>
      <c r="BT48" s="24" t="str">
        <f t="shared" si="92"/>
        <v/>
      </c>
      <c r="BU48" s="24" t="str">
        <f t="shared" si="93"/>
        <v/>
      </c>
      <c r="BV48" s="24" t="str">
        <f t="shared" si="94"/>
        <v/>
      </c>
      <c r="BW48" s="24" t="str">
        <f t="shared" si="95"/>
        <v/>
      </c>
      <c r="BX48" s="24" t="str">
        <f t="shared" si="96"/>
        <v/>
      </c>
      <c r="BY48" s="24" t="str">
        <f t="shared" si="97"/>
        <v/>
      </c>
      <c r="BZ48" s="24" t="str">
        <f t="shared" si="98"/>
        <v/>
      </c>
      <c r="CA48" s="24" t="str">
        <f t="shared" si="99"/>
        <v/>
      </c>
      <c r="CB48" s="24" t="str">
        <f t="shared" si="100"/>
        <v/>
      </c>
      <c r="CC48" s="24" t="str">
        <f t="shared" si="101"/>
        <v/>
      </c>
      <c r="CD48" s="24" t="str">
        <f t="shared" si="102"/>
        <v/>
      </c>
      <c r="CE48" s="24" t="str">
        <f t="shared" si="103"/>
        <v/>
      </c>
      <c r="CF48" s="24" t="str">
        <f t="shared" si="104"/>
        <v/>
      </c>
      <c r="CG48" s="24" t="str">
        <f t="shared" si="105"/>
        <v/>
      </c>
      <c r="CH48" s="24" t="str">
        <f t="shared" si="106"/>
        <v/>
      </c>
      <c r="CI48" s="24" t="str">
        <f t="shared" si="155"/>
        <v/>
      </c>
      <c r="CJ48" s="24" t="str">
        <f t="shared" si="83"/>
        <v/>
      </c>
      <c r="CK48" s="26" t="str">
        <f t="shared" si="156"/>
        <v/>
      </c>
      <c r="CL48" s="26" t="str">
        <f t="shared" si="84"/>
        <v/>
      </c>
      <c r="CM48" s="24" t="str">
        <f t="shared" si="85"/>
        <v/>
      </c>
      <c r="CN48" s="26" t="str">
        <f t="shared" si="157"/>
        <v/>
      </c>
      <c r="CO48" s="24" t="str">
        <f t="shared" si="158"/>
        <v/>
      </c>
      <c r="CP48" s="26" t="str">
        <f t="shared" si="159"/>
        <v/>
      </c>
      <c r="CQ48" s="26" t="str">
        <f t="shared" si="160"/>
        <v/>
      </c>
      <c r="CR48" s="26" t="str">
        <f t="shared" si="86"/>
        <v/>
      </c>
      <c r="CS48" s="24" t="str">
        <f t="shared" si="87"/>
        <v/>
      </c>
      <c r="CT48" s="27" t="str">
        <f t="shared" si="161"/>
        <v/>
      </c>
      <c r="CU48" s="24" t="str">
        <f t="shared" si="162"/>
        <v/>
      </c>
      <c r="CV48" s="27" t="str">
        <f t="shared" si="163"/>
        <v/>
      </c>
      <c r="CW48" s="27" t="str">
        <f t="shared" si="164"/>
        <v/>
      </c>
      <c r="CX48" s="26" t="str">
        <f t="shared" si="88"/>
        <v/>
      </c>
      <c r="CY48" s="27" t="str">
        <f t="shared" si="89"/>
        <v/>
      </c>
      <c r="CZ48" s="26" t="str">
        <f t="shared" si="165"/>
        <v/>
      </c>
      <c r="DA48" s="24" t="str">
        <f t="shared" si="166"/>
        <v/>
      </c>
      <c r="DB48" s="24" t="str">
        <f t="shared" si="167"/>
        <v/>
      </c>
      <c r="DC48" s="24" t="str">
        <f t="shared" si="168"/>
        <v/>
      </c>
      <c r="DD48" s="24" t="str">
        <f t="shared" si="169"/>
        <v/>
      </c>
      <c r="DE48" s="1">
        <v>0</v>
      </c>
      <c r="DF48" s="1">
        <v>0</v>
      </c>
      <c r="DG48" s="1">
        <v>0</v>
      </c>
      <c r="DH48" s="24" t="str">
        <f t="shared" si="170"/>
        <v/>
      </c>
      <c r="DI48" s="25" t="str">
        <f t="shared" si="171"/>
        <v/>
      </c>
      <c r="DJ48" t="str">
        <f t="shared" si="172"/>
        <v/>
      </c>
      <c r="DK48" s="9"/>
      <c r="DL48" s="9"/>
      <c r="DM48" s="9"/>
      <c r="DN48" s="9"/>
      <c r="DO48" s="9"/>
      <c r="DP48" s="9"/>
      <c r="DQ48" s="136" t="b">
        <f t="shared" si="173"/>
        <v>1</v>
      </c>
    </row>
    <row r="49" spans="1:121" ht="27" customHeight="1" x14ac:dyDescent="1.25">
      <c r="A49" s="24" t="str">
        <f t="shared" si="90"/>
        <v/>
      </c>
      <c r="B49" s="69"/>
      <c r="C49" s="70"/>
      <c r="D49" s="69"/>
      <c r="E49" s="69"/>
      <c r="F49" s="69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3" t="str">
        <f t="shared" si="107"/>
        <v/>
      </c>
      <c r="X49" s="3" t="str">
        <f t="shared" si="108"/>
        <v/>
      </c>
      <c r="Y49" s="3" t="str">
        <f t="shared" si="109"/>
        <v/>
      </c>
      <c r="Z49" s="3" t="str">
        <f t="shared" si="110"/>
        <v/>
      </c>
      <c r="AA49" s="3" t="str">
        <f t="shared" si="111"/>
        <v/>
      </c>
      <c r="AB49" s="3" t="str">
        <f t="shared" si="112"/>
        <v/>
      </c>
      <c r="AC49" s="3" t="str">
        <f t="shared" si="113"/>
        <v/>
      </c>
      <c r="AD49" s="3" t="str">
        <f t="shared" si="114"/>
        <v/>
      </c>
      <c r="AE49" s="3" t="str">
        <f t="shared" si="115"/>
        <v/>
      </c>
      <c r="AF49" s="24" t="str">
        <f t="shared" si="116"/>
        <v/>
      </c>
      <c r="AG49" s="24" t="str">
        <f t="shared" si="117"/>
        <v/>
      </c>
      <c r="AH49" s="24" t="str">
        <f t="shared" si="118"/>
        <v/>
      </c>
      <c r="AI49" s="24" t="str">
        <f t="shared" si="119"/>
        <v/>
      </c>
      <c r="AJ49" s="24" t="str">
        <f t="shared" si="120"/>
        <v/>
      </c>
      <c r="AK49" s="24" t="str">
        <f t="shared" si="121"/>
        <v/>
      </c>
      <c r="AL49" s="24" t="str">
        <f t="shared" si="122"/>
        <v/>
      </c>
      <c r="AM49" s="24" t="str">
        <f t="shared" si="123"/>
        <v/>
      </c>
      <c r="AN49" s="24" t="str">
        <f t="shared" si="124"/>
        <v/>
      </c>
      <c r="AO49" s="24" t="str">
        <f t="shared" si="125"/>
        <v/>
      </c>
      <c r="AP49" s="24" t="str">
        <f t="shared" si="126"/>
        <v/>
      </c>
      <c r="AQ49" s="24" t="str">
        <f t="shared" si="127"/>
        <v/>
      </c>
      <c r="AR49" s="24" t="str">
        <f t="shared" si="128"/>
        <v/>
      </c>
      <c r="AS49" s="24" t="str">
        <f t="shared" si="129"/>
        <v/>
      </c>
      <c r="AT49" s="24" t="str">
        <f t="shared" si="130"/>
        <v/>
      </c>
      <c r="AU49" s="24" t="str">
        <f t="shared" si="131"/>
        <v/>
      </c>
      <c r="AV49" s="24" t="str">
        <f t="shared" si="132"/>
        <v/>
      </c>
      <c r="AW49" s="24" t="str">
        <f t="shared" si="133"/>
        <v/>
      </c>
      <c r="AX49" s="24" t="str">
        <f t="shared" si="134"/>
        <v/>
      </c>
      <c r="AY49" s="24" t="str">
        <f t="shared" si="135"/>
        <v/>
      </c>
      <c r="AZ49" s="24" t="str">
        <f t="shared" si="136"/>
        <v/>
      </c>
      <c r="BA49" s="24" t="str">
        <f t="shared" si="137"/>
        <v/>
      </c>
      <c r="BB49" s="24" t="str">
        <f t="shared" si="138"/>
        <v/>
      </c>
      <c r="BC49" s="24" t="str">
        <f t="shared" si="139"/>
        <v/>
      </c>
      <c r="BD49" s="24" t="str">
        <f t="shared" si="140"/>
        <v/>
      </c>
      <c r="BE49" s="24" t="str">
        <f t="shared" si="141"/>
        <v/>
      </c>
      <c r="BF49" s="24" t="str">
        <f t="shared" si="142"/>
        <v/>
      </c>
      <c r="BG49" s="24" t="str">
        <f t="shared" si="143"/>
        <v/>
      </c>
      <c r="BH49" s="24" t="str">
        <f t="shared" si="144"/>
        <v/>
      </c>
      <c r="BI49" s="24" t="str">
        <f t="shared" si="145"/>
        <v/>
      </c>
      <c r="BJ49" s="24" t="str">
        <f t="shared" si="146"/>
        <v/>
      </c>
      <c r="BK49" s="24" t="str">
        <f t="shared" si="147"/>
        <v/>
      </c>
      <c r="BL49" s="26" t="str">
        <f t="shared" si="148"/>
        <v/>
      </c>
      <c r="BM49" s="26" t="str">
        <f t="shared" si="149"/>
        <v/>
      </c>
      <c r="BN49" s="26" t="str">
        <f t="shared" si="150"/>
        <v/>
      </c>
      <c r="BO49" s="26" t="str">
        <f t="shared" si="151"/>
        <v/>
      </c>
      <c r="BP49" s="26" t="str">
        <f t="shared" si="152"/>
        <v/>
      </c>
      <c r="BQ49" s="26" t="str">
        <f t="shared" si="153"/>
        <v/>
      </c>
      <c r="BR49" s="26" t="str">
        <f t="shared" si="154"/>
        <v/>
      </c>
      <c r="BS49" s="24" t="str">
        <f t="shared" si="91"/>
        <v/>
      </c>
      <c r="BT49" s="24" t="str">
        <f t="shared" si="92"/>
        <v/>
      </c>
      <c r="BU49" s="24" t="str">
        <f t="shared" si="93"/>
        <v/>
      </c>
      <c r="BV49" s="24" t="str">
        <f t="shared" si="94"/>
        <v/>
      </c>
      <c r="BW49" s="24" t="str">
        <f t="shared" si="95"/>
        <v/>
      </c>
      <c r="BX49" s="24" t="str">
        <f t="shared" si="96"/>
        <v/>
      </c>
      <c r="BY49" s="24" t="str">
        <f t="shared" si="97"/>
        <v/>
      </c>
      <c r="BZ49" s="24" t="str">
        <f t="shared" si="98"/>
        <v/>
      </c>
      <c r="CA49" s="24" t="str">
        <f t="shared" si="99"/>
        <v/>
      </c>
      <c r="CB49" s="24" t="str">
        <f t="shared" si="100"/>
        <v/>
      </c>
      <c r="CC49" s="24" t="str">
        <f t="shared" si="101"/>
        <v/>
      </c>
      <c r="CD49" s="24" t="str">
        <f t="shared" si="102"/>
        <v/>
      </c>
      <c r="CE49" s="24" t="str">
        <f t="shared" si="103"/>
        <v/>
      </c>
      <c r="CF49" s="24" t="str">
        <f t="shared" si="104"/>
        <v/>
      </c>
      <c r="CG49" s="24" t="str">
        <f t="shared" si="105"/>
        <v/>
      </c>
      <c r="CH49" s="24" t="str">
        <f t="shared" si="106"/>
        <v/>
      </c>
      <c r="CI49" s="24" t="str">
        <f t="shared" si="155"/>
        <v/>
      </c>
      <c r="CJ49" s="24" t="str">
        <f t="shared" si="83"/>
        <v/>
      </c>
      <c r="CK49" s="26" t="str">
        <f t="shared" si="156"/>
        <v/>
      </c>
      <c r="CL49" s="26" t="str">
        <f t="shared" si="84"/>
        <v/>
      </c>
      <c r="CM49" s="24" t="str">
        <f t="shared" si="85"/>
        <v/>
      </c>
      <c r="CN49" s="26" t="str">
        <f t="shared" si="157"/>
        <v/>
      </c>
      <c r="CO49" s="24" t="str">
        <f t="shared" si="158"/>
        <v/>
      </c>
      <c r="CP49" s="26" t="str">
        <f t="shared" si="159"/>
        <v/>
      </c>
      <c r="CQ49" s="26" t="str">
        <f t="shared" si="160"/>
        <v/>
      </c>
      <c r="CR49" s="26" t="str">
        <f t="shared" si="86"/>
        <v/>
      </c>
      <c r="CS49" s="24" t="str">
        <f t="shared" si="87"/>
        <v/>
      </c>
      <c r="CT49" s="27" t="str">
        <f t="shared" si="161"/>
        <v/>
      </c>
      <c r="CU49" s="24" t="str">
        <f t="shared" si="162"/>
        <v/>
      </c>
      <c r="CV49" s="27" t="str">
        <f t="shared" si="163"/>
        <v/>
      </c>
      <c r="CW49" s="27" t="str">
        <f t="shared" si="164"/>
        <v/>
      </c>
      <c r="CX49" s="26" t="str">
        <f t="shared" si="88"/>
        <v/>
      </c>
      <c r="CY49" s="27" t="str">
        <f t="shared" si="89"/>
        <v/>
      </c>
      <c r="CZ49" s="26" t="str">
        <f t="shared" si="165"/>
        <v/>
      </c>
      <c r="DA49" s="24" t="str">
        <f t="shared" si="166"/>
        <v/>
      </c>
      <c r="DB49" s="24" t="str">
        <f t="shared" si="167"/>
        <v/>
      </c>
      <c r="DC49" s="24" t="str">
        <f t="shared" si="168"/>
        <v/>
      </c>
      <c r="DD49" s="24" t="str">
        <f t="shared" si="169"/>
        <v/>
      </c>
      <c r="DE49" s="1">
        <v>0</v>
      </c>
      <c r="DF49" s="1">
        <v>0</v>
      </c>
      <c r="DG49" s="1">
        <v>0</v>
      </c>
      <c r="DH49" s="24" t="str">
        <f t="shared" si="170"/>
        <v/>
      </c>
      <c r="DI49" s="25" t="str">
        <f t="shared" si="171"/>
        <v/>
      </c>
      <c r="DJ49" t="str">
        <f t="shared" si="172"/>
        <v/>
      </c>
      <c r="DK49" s="9"/>
      <c r="DL49" s="9"/>
      <c r="DM49" s="9"/>
      <c r="DN49" s="9"/>
      <c r="DO49" s="9"/>
      <c r="DP49" s="9"/>
      <c r="DQ49" s="136" t="b">
        <f t="shared" si="173"/>
        <v>1</v>
      </c>
    </row>
    <row r="50" spans="1:121" ht="27" customHeight="1" x14ac:dyDescent="1.25">
      <c r="A50" s="24" t="str">
        <f t="shared" si="90"/>
        <v/>
      </c>
      <c r="B50" s="69"/>
      <c r="C50" s="70"/>
      <c r="D50" s="69"/>
      <c r="E50" s="69"/>
      <c r="F50" s="69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3" t="str">
        <f t="shared" si="107"/>
        <v/>
      </c>
      <c r="X50" s="3" t="str">
        <f t="shared" si="108"/>
        <v/>
      </c>
      <c r="Y50" s="3" t="str">
        <f t="shared" si="109"/>
        <v/>
      </c>
      <c r="Z50" s="3" t="str">
        <f t="shared" si="110"/>
        <v/>
      </c>
      <c r="AA50" s="3" t="str">
        <f t="shared" si="111"/>
        <v/>
      </c>
      <c r="AB50" s="3" t="str">
        <f t="shared" si="112"/>
        <v/>
      </c>
      <c r="AC50" s="3" t="str">
        <f t="shared" si="113"/>
        <v/>
      </c>
      <c r="AD50" s="3" t="str">
        <f t="shared" si="114"/>
        <v/>
      </c>
      <c r="AE50" s="3" t="str">
        <f t="shared" si="115"/>
        <v/>
      </c>
      <c r="AF50" s="24" t="str">
        <f t="shared" si="116"/>
        <v/>
      </c>
      <c r="AG50" s="24" t="str">
        <f t="shared" si="117"/>
        <v/>
      </c>
      <c r="AH50" s="24" t="str">
        <f t="shared" si="118"/>
        <v/>
      </c>
      <c r="AI50" s="24" t="str">
        <f t="shared" si="119"/>
        <v/>
      </c>
      <c r="AJ50" s="24" t="str">
        <f t="shared" si="120"/>
        <v/>
      </c>
      <c r="AK50" s="24" t="str">
        <f t="shared" si="121"/>
        <v/>
      </c>
      <c r="AL50" s="24" t="str">
        <f t="shared" si="122"/>
        <v/>
      </c>
      <c r="AM50" s="24" t="str">
        <f t="shared" si="123"/>
        <v/>
      </c>
      <c r="AN50" s="24" t="str">
        <f t="shared" si="124"/>
        <v/>
      </c>
      <c r="AO50" s="24" t="str">
        <f t="shared" si="125"/>
        <v/>
      </c>
      <c r="AP50" s="24" t="str">
        <f t="shared" si="126"/>
        <v/>
      </c>
      <c r="AQ50" s="24" t="str">
        <f t="shared" si="127"/>
        <v/>
      </c>
      <c r="AR50" s="24" t="str">
        <f t="shared" si="128"/>
        <v/>
      </c>
      <c r="AS50" s="24" t="str">
        <f t="shared" si="129"/>
        <v/>
      </c>
      <c r="AT50" s="24" t="str">
        <f t="shared" si="130"/>
        <v/>
      </c>
      <c r="AU50" s="24" t="str">
        <f t="shared" si="131"/>
        <v/>
      </c>
      <c r="AV50" s="24" t="str">
        <f t="shared" si="132"/>
        <v/>
      </c>
      <c r="AW50" s="24" t="str">
        <f t="shared" si="133"/>
        <v/>
      </c>
      <c r="AX50" s="24" t="str">
        <f t="shared" si="134"/>
        <v/>
      </c>
      <c r="AY50" s="24" t="str">
        <f t="shared" si="135"/>
        <v/>
      </c>
      <c r="AZ50" s="24" t="str">
        <f t="shared" si="136"/>
        <v/>
      </c>
      <c r="BA50" s="24" t="str">
        <f t="shared" si="137"/>
        <v/>
      </c>
      <c r="BB50" s="24" t="str">
        <f t="shared" si="138"/>
        <v/>
      </c>
      <c r="BC50" s="24" t="str">
        <f t="shared" si="139"/>
        <v/>
      </c>
      <c r="BD50" s="24" t="str">
        <f t="shared" si="140"/>
        <v/>
      </c>
      <c r="BE50" s="24" t="str">
        <f t="shared" si="141"/>
        <v/>
      </c>
      <c r="BF50" s="24" t="str">
        <f t="shared" si="142"/>
        <v/>
      </c>
      <c r="BG50" s="24" t="str">
        <f t="shared" si="143"/>
        <v/>
      </c>
      <c r="BH50" s="24" t="str">
        <f t="shared" si="144"/>
        <v/>
      </c>
      <c r="BI50" s="24" t="str">
        <f t="shared" si="145"/>
        <v/>
      </c>
      <c r="BJ50" s="24" t="str">
        <f t="shared" si="146"/>
        <v/>
      </c>
      <c r="BK50" s="24" t="str">
        <f t="shared" si="147"/>
        <v/>
      </c>
      <c r="BL50" s="26" t="str">
        <f t="shared" si="148"/>
        <v/>
      </c>
      <c r="BM50" s="26" t="str">
        <f t="shared" si="149"/>
        <v/>
      </c>
      <c r="BN50" s="26" t="str">
        <f t="shared" si="150"/>
        <v/>
      </c>
      <c r="BO50" s="26" t="str">
        <f t="shared" si="151"/>
        <v/>
      </c>
      <c r="BP50" s="26" t="str">
        <f t="shared" si="152"/>
        <v/>
      </c>
      <c r="BQ50" s="26" t="str">
        <f t="shared" si="153"/>
        <v/>
      </c>
      <c r="BR50" s="26" t="str">
        <f t="shared" si="154"/>
        <v/>
      </c>
      <c r="BS50" s="24" t="str">
        <f t="shared" si="91"/>
        <v/>
      </c>
      <c r="BT50" s="24" t="str">
        <f t="shared" si="92"/>
        <v/>
      </c>
      <c r="BU50" s="24" t="str">
        <f t="shared" si="93"/>
        <v/>
      </c>
      <c r="BV50" s="24" t="str">
        <f t="shared" si="94"/>
        <v/>
      </c>
      <c r="BW50" s="24" t="str">
        <f t="shared" si="95"/>
        <v/>
      </c>
      <c r="BX50" s="24" t="str">
        <f t="shared" si="96"/>
        <v/>
      </c>
      <c r="BY50" s="24" t="str">
        <f t="shared" si="97"/>
        <v/>
      </c>
      <c r="BZ50" s="24" t="str">
        <f t="shared" si="98"/>
        <v/>
      </c>
      <c r="CA50" s="24" t="str">
        <f t="shared" si="99"/>
        <v/>
      </c>
      <c r="CB50" s="24" t="str">
        <f t="shared" si="100"/>
        <v/>
      </c>
      <c r="CC50" s="24" t="str">
        <f t="shared" si="101"/>
        <v/>
      </c>
      <c r="CD50" s="24" t="str">
        <f t="shared" si="102"/>
        <v/>
      </c>
      <c r="CE50" s="24" t="str">
        <f t="shared" si="103"/>
        <v/>
      </c>
      <c r="CF50" s="24" t="str">
        <f t="shared" si="104"/>
        <v/>
      </c>
      <c r="CG50" s="24" t="str">
        <f t="shared" si="105"/>
        <v/>
      </c>
      <c r="CH50" s="24" t="str">
        <f t="shared" si="106"/>
        <v/>
      </c>
      <c r="CI50" s="24" t="str">
        <f t="shared" si="155"/>
        <v/>
      </c>
      <c r="CJ50" s="24" t="str">
        <f t="shared" si="83"/>
        <v/>
      </c>
      <c r="CK50" s="26" t="str">
        <f t="shared" si="156"/>
        <v/>
      </c>
      <c r="CL50" s="26" t="str">
        <f t="shared" si="84"/>
        <v/>
      </c>
      <c r="CM50" s="24" t="str">
        <f t="shared" si="85"/>
        <v/>
      </c>
      <c r="CN50" s="26" t="str">
        <f t="shared" si="157"/>
        <v/>
      </c>
      <c r="CO50" s="24" t="str">
        <f t="shared" si="158"/>
        <v/>
      </c>
      <c r="CP50" s="26" t="str">
        <f t="shared" si="159"/>
        <v/>
      </c>
      <c r="CQ50" s="26" t="str">
        <f t="shared" si="160"/>
        <v/>
      </c>
      <c r="CR50" s="26" t="str">
        <f t="shared" si="86"/>
        <v/>
      </c>
      <c r="CS50" s="24" t="str">
        <f t="shared" si="87"/>
        <v/>
      </c>
      <c r="CT50" s="27" t="str">
        <f t="shared" si="161"/>
        <v/>
      </c>
      <c r="CU50" s="24" t="str">
        <f t="shared" si="162"/>
        <v/>
      </c>
      <c r="CV50" s="27" t="str">
        <f t="shared" si="163"/>
        <v/>
      </c>
      <c r="CW50" s="27" t="str">
        <f t="shared" si="164"/>
        <v/>
      </c>
      <c r="CX50" s="26" t="str">
        <f t="shared" si="88"/>
        <v/>
      </c>
      <c r="CY50" s="27" t="str">
        <f t="shared" si="89"/>
        <v/>
      </c>
      <c r="CZ50" s="26" t="str">
        <f t="shared" si="165"/>
        <v/>
      </c>
      <c r="DA50" s="24" t="str">
        <f t="shared" si="166"/>
        <v/>
      </c>
      <c r="DB50" s="24" t="str">
        <f t="shared" si="167"/>
        <v/>
      </c>
      <c r="DC50" s="24" t="str">
        <f t="shared" si="168"/>
        <v/>
      </c>
      <c r="DD50" s="24" t="str">
        <f t="shared" si="169"/>
        <v/>
      </c>
      <c r="DE50" s="1">
        <v>0</v>
      </c>
      <c r="DF50" s="1">
        <v>0</v>
      </c>
      <c r="DG50" s="1">
        <v>0</v>
      </c>
      <c r="DH50" s="24" t="str">
        <f t="shared" si="170"/>
        <v/>
      </c>
      <c r="DI50" s="25" t="str">
        <f t="shared" si="171"/>
        <v/>
      </c>
      <c r="DJ50" t="str">
        <f t="shared" si="172"/>
        <v/>
      </c>
      <c r="DK50" s="9"/>
      <c r="DL50" s="9"/>
      <c r="DM50" s="9"/>
      <c r="DN50" s="9"/>
      <c r="DO50" s="9"/>
      <c r="DP50" s="9"/>
      <c r="DQ50" s="136" t="b">
        <f t="shared" si="173"/>
        <v>1</v>
      </c>
    </row>
    <row r="51" spans="1:121" ht="27" customHeight="1" x14ac:dyDescent="1.25">
      <c r="A51" s="24" t="str">
        <f t="shared" si="90"/>
        <v/>
      </c>
      <c r="B51" s="69"/>
      <c r="C51" s="70"/>
      <c r="D51" s="69"/>
      <c r="E51" s="69"/>
      <c r="F51" s="69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3" t="str">
        <f t="shared" si="107"/>
        <v/>
      </c>
      <c r="X51" s="3" t="str">
        <f t="shared" si="108"/>
        <v/>
      </c>
      <c r="Y51" s="3" t="str">
        <f t="shared" si="109"/>
        <v/>
      </c>
      <c r="Z51" s="3" t="str">
        <f t="shared" si="110"/>
        <v/>
      </c>
      <c r="AA51" s="3" t="str">
        <f t="shared" si="111"/>
        <v/>
      </c>
      <c r="AB51" s="3" t="str">
        <f t="shared" si="112"/>
        <v/>
      </c>
      <c r="AC51" s="3" t="str">
        <f t="shared" si="113"/>
        <v/>
      </c>
      <c r="AD51" s="3" t="str">
        <f t="shared" si="114"/>
        <v/>
      </c>
      <c r="AE51" s="3" t="str">
        <f t="shared" si="115"/>
        <v/>
      </c>
      <c r="AF51" s="24" t="str">
        <f t="shared" si="116"/>
        <v/>
      </c>
      <c r="AG51" s="24" t="str">
        <f t="shared" si="117"/>
        <v/>
      </c>
      <c r="AH51" s="24" t="str">
        <f t="shared" si="118"/>
        <v/>
      </c>
      <c r="AI51" s="24" t="str">
        <f t="shared" si="119"/>
        <v/>
      </c>
      <c r="AJ51" s="24" t="str">
        <f t="shared" si="120"/>
        <v/>
      </c>
      <c r="AK51" s="24" t="str">
        <f t="shared" si="121"/>
        <v/>
      </c>
      <c r="AL51" s="24" t="str">
        <f t="shared" si="122"/>
        <v/>
      </c>
      <c r="AM51" s="24" t="str">
        <f t="shared" si="123"/>
        <v/>
      </c>
      <c r="AN51" s="24" t="str">
        <f t="shared" si="124"/>
        <v/>
      </c>
      <c r="AO51" s="24" t="str">
        <f t="shared" si="125"/>
        <v/>
      </c>
      <c r="AP51" s="24" t="str">
        <f t="shared" si="126"/>
        <v/>
      </c>
      <c r="AQ51" s="24" t="str">
        <f t="shared" si="127"/>
        <v/>
      </c>
      <c r="AR51" s="24" t="str">
        <f t="shared" si="128"/>
        <v/>
      </c>
      <c r="AS51" s="24" t="str">
        <f t="shared" si="129"/>
        <v/>
      </c>
      <c r="AT51" s="24" t="str">
        <f t="shared" si="130"/>
        <v/>
      </c>
      <c r="AU51" s="24" t="str">
        <f t="shared" si="131"/>
        <v/>
      </c>
      <c r="AV51" s="24" t="str">
        <f t="shared" si="132"/>
        <v/>
      </c>
      <c r="AW51" s="24" t="str">
        <f t="shared" si="133"/>
        <v/>
      </c>
      <c r="AX51" s="24" t="str">
        <f t="shared" si="134"/>
        <v/>
      </c>
      <c r="AY51" s="24" t="str">
        <f t="shared" si="135"/>
        <v/>
      </c>
      <c r="AZ51" s="24" t="str">
        <f t="shared" si="136"/>
        <v/>
      </c>
      <c r="BA51" s="24" t="str">
        <f t="shared" si="137"/>
        <v/>
      </c>
      <c r="BB51" s="24" t="str">
        <f t="shared" si="138"/>
        <v/>
      </c>
      <c r="BC51" s="24" t="str">
        <f t="shared" si="139"/>
        <v/>
      </c>
      <c r="BD51" s="24" t="str">
        <f t="shared" si="140"/>
        <v/>
      </c>
      <c r="BE51" s="24" t="str">
        <f t="shared" si="141"/>
        <v/>
      </c>
      <c r="BF51" s="24" t="str">
        <f t="shared" si="142"/>
        <v/>
      </c>
      <c r="BG51" s="24" t="str">
        <f t="shared" si="143"/>
        <v/>
      </c>
      <c r="BH51" s="24" t="str">
        <f t="shared" si="144"/>
        <v/>
      </c>
      <c r="BI51" s="24" t="str">
        <f t="shared" si="145"/>
        <v/>
      </c>
      <c r="BJ51" s="24" t="str">
        <f t="shared" si="146"/>
        <v/>
      </c>
      <c r="BK51" s="24" t="str">
        <f t="shared" si="147"/>
        <v/>
      </c>
      <c r="BL51" s="26" t="str">
        <f t="shared" si="148"/>
        <v/>
      </c>
      <c r="BM51" s="26" t="str">
        <f t="shared" si="149"/>
        <v/>
      </c>
      <c r="BN51" s="26" t="str">
        <f t="shared" si="150"/>
        <v/>
      </c>
      <c r="BO51" s="26" t="str">
        <f t="shared" si="151"/>
        <v/>
      </c>
      <c r="BP51" s="26" t="str">
        <f t="shared" si="152"/>
        <v/>
      </c>
      <c r="BQ51" s="26" t="str">
        <f t="shared" si="153"/>
        <v/>
      </c>
      <c r="BR51" s="26" t="str">
        <f t="shared" si="154"/>
        <v/>
      </c>
      <c r="BS51" s="24" t="str">
        <f t="shared" si="91"/>
        <v/>
      </c>
      <c r="BT51" s="24" t="str">
        <f t="shared" si="92"/>
        <v/>
      </c>
      <c r="BU51" s="24" t="str">
        <f t="shared" si="93"/>
        <v/>
      </c>
      <c r="BV51" s="24" t="str">
        <f t="shared" si="94"/>
        <v/>
      </c>
      <c r="BW51" s="24" t="str">
        <f t="shared" si="95"/>
        <v/>
      </c>
      <c r="BX51" s="24" t="str">
        <f t="shared" si="96"/>
        <v/>
      </c>
      <c r="BY51" s="24" t="str">
        <f t="shared" si="97"/>
        <v/>
      </c>
      <c r="BZ51" s="24" t="str">
        <f t="shared" si="98"/>
        <v/>
      </c>
      <c r="CA51" s="24" t="str">
        <f t="shared" si="99"/>
        <v/>
      </c>
      <c r="CB51" s="24" t="str">
        <f t="shared" si="100"/>
        <v/>
      </c>
      <c r="CC51" s="24" t="str">
        <f t="shared" si="101"/>
        <v/>
      </c>
      <c r="CD51" s="24" t="str">
        <f t="shared" si="102"/>
        <v/>
      </c>
      <c r="CE51" s="24" t="str">
        <f t="shared" si="103"/>
        <v/>
      </c>
      <c r="CF51" s="24" t="str">
        <f t="shared" si="104"/>
        <v/>
      </c>
      <c r="CG51" s="24" t="str">
        <f t="shared" si="105"/>
        <v/>
      </c>
      <c r="CH51" s="24" t="str">
        <f t="shared" si="106"/>
        <v/>
      </c>
      <c r="CI51" s="24" t="str">
        <f t="shared" si="155"/>
        <v/>
      </c>
      <c r="CJ51" s="24" t="str">
        <f t="shared" si="83"/>
        <v/>
      </c>
      <c r="CK51" s="26" t="str">
        <f t="shared" si="156"/>
        <v/>
      </c>
      <c r="CL51" s="26" t="str">
        <f t="shared" si="84"/>
        <v/>
      </c>
      <c r="CM51" s="24" t="str">
        <f t="shared" si="85"/>
        <v/>
      </c>
      <c r="CN51" s="26" t="str">
        <f t="shared" si="157"/>
        <v/>
      </c>
      <c r="CO51" s="24" t="str">
        <f t="shared" si="158"/>
        <v/>
      </c>
      <c r="CP51" s="26" t="str">
        <f t="shared" si="159"/>
        <v/>
      </c>
      <c r="CQ51" s="26" t="str">
        <f t="shared" si="160"/>
        <v/>
      </c>
      <c r="CR51" s="26" t="str">
        <f t="shared" si="86"/>
        <v/>
      </c>
      <c r="CS51" s="24" t="str">
        <f t="shared" si="87"/>
        <v/>
      </c>
      <c r="CT51" s="27" t="str">
        <f t="shared" si="161"/>
        <v/>
      </c>
      <c r="CU51" s="24" t="str">
        <f t="shared" si="162"/>
        <v/>
      </c>
      <c r="CV51" s="27" t="str">
        <f t="shared" si="163"/>
        <v/>
      </c>
      <c r="CW51" s="27" t="str">
        <f t="shared" si="164"/>
        <v/>
      </c>
      <c r="CX51" s="26" t="str">
        <f t="shared" si="88"/>
        <v/>
      </c>
      <c r="CY51" s="27" t="str">
        <f t="shared" si="89"/>
        <v/>
      </c>
      <c r="CZ51" s="26" t="str">
        <f t="shared" si="165"/>
        <v/>
      </c>
      <c r="DA51" s="24" t="str">
        <f t="shared" si="166"/>
        <v/>
      </c>
      <c r="DB51" s="24" t="str">
        <f t="shared" si="167"/>
        <v/>
      </c>
      <c r="DC51" s="24" t="str">
        <f t="shared" si="168"/>
        <v/>
      </c>
      <c r="DD51" s="24" t="str">
        <f t="shared" si="169"/>
        <v/>
      </c>
      <c r="DE51" s="1">
        <v>0</v>
      </c>
      <c r="DF51" s="1">
        <v>0</v>
      </c>
      <c r="DG51" s="1">
        <v>0</v>
      </c>
      <c r="DH51" s="24" t="str">
        <f t="shared" si="170"/>
        <v/>
      </c>
      <c r="DI51" s="25" t="str">
        <f t="shared" si="171"/>
        <v/>
      </c>
      <c r="DJ51" t="str">
        <f t="shared" si="172"/>
        <v/>
      </c>
      <c r="DK51" s="9"/>
      <c r="DL51" s="9"/>
      <c r="DM51" s="9"/>
      <c r="DN51" s="9"/>
      <c r="DO51" s="9"/>
      <c r="DP51" s="9"/>
      <c r="DQ51" s="136" t="b">
        <f t="shared" si="173"/>
        <v>1</v>
      </c>
    </row>
    <row r="52" spans="1:121" ht="27" customHeight="1" x14ac:dyDescent="1.25">
      <c r="A52" s="24" t="str">
        <f t="shared" si="90"/>
        <v/>
      </c>
      <c r="B52" s="69"/>
      <c r="C52" s="70"/>
      <c r="D52" s="69"/>
      <c r="E52" s="69"/>
      <c r="F52" s="69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3" t="str">
        <f t="shared" si="107"/>
        <v/>
      </c>
      <c r="X52" s="3" t="str">
        <f t="shared" si="108"/>
        <v/>
      </c>
      <c r="Y52" s="3" t="str">
        <f t="shared" si="109"/>
        <v/>
      </c>
      <c r="Z52" s="3" t="str">
        <f t="shared" si="110"/>
        <v/>
      </c>
      <c r="AA52" s="3" t="str">
        <f t="shared" si="111"/>
        <v/>
      </c>
      <c r="AB52" s="3" t="str">
        <f t="shared" si="112"/>
        <v/>
      </c>
      <c r="AC52" s="3" t="str">
        <f t="shared" si="113"/>
        <v/>
      </c>
      <c r="AD52" s="3" t="str">
        <f t="shared" si="114"/>
        <v/>
      </c>
      <c r="AE52" s="3" t="str">
        <f t="shared" si="115"/>
        <v/>
      </c>
      <c r="AF52" s="24" t="str">
        <f t="shared" si="116"/>
        <v/>
      </c>
      <c r="AG52" s="24" t="str">
        <f t="shared" si="117"/>
        <v/>
      </c>
      <c r="AH52" s="24" t="str">
        <f t="shared" si="118"/>
        <v/>
      </c>
      <c r="AI52" s="24" t="str">
        <f t="shared" si="119"/>
        <v/>
      </c>
      <c r="AJ52" s="24" t="str">
        <f t="shared" si="120"/>
        <v/>
      </c>
      <c r="AK52" s="24" t="str">
        <f t="shared" si="121"/>
        <v/>
      </c>
      <c r="AL52" s="24" t="str">
        <f t="shared" si="122"/>
        <v/>
      </c>
      <c r="AM52" s="24" t="str">
        <f t="shared" si="123"/>
        <v/>
      </c>
      <c r="AN52" s="24" t="str">
        <f t="shared" si="124"/>
        <v/>
      </c>
      <c r="AO52" s="24" t="str">
        <f t="shared" si="125"/>
        <v/>
      </c>
      <c r="AP52" s="24" t="str">
        <f t="shared" si="126"/>
        <v/>
      </c>
      <c r="AQ52" s="24" t="str">
        <f t="shared" si="127"/>
        <v/>
      </c>
      <c r="AR52" s="24" t="str">
        <f t="shared" si="128"/>
        <v/>
      </c>
      <c r="AS52" s="24" t="str">
        <f t="shared" si="129"/>
        <v/>
      </c>
      <c r="AT52" s="24" t="str">
        <f t="shared" si="130"/>
        <v/>
      </c>
      <c r="AU52" s="24" t="str">
        <f t="shared" si="131"/>
        <v/>
      </c>
      <c r="AV52" s="24" t="str">
        <f t="shared" si="132"/>
        <v/>
      </c>
      <c r="AW52" s="24" t="str">
        <f t="shared" si="133"/>
        <v/>
      </c>
      <c r="AX52" s="24" t="str">
        <f t="shared" si="134"/>
        <v/>
      </c>
      <c r="AY52" s="24" t="str">
        <f t="shared" si="135"/>
        <v/>
      </c>
      <c r="AZ52" s="24" t="str">
        <f t="shared" si="136"/>
        <v/>
      </c>
      <c r="BA52" s="24" t="str">
        <f t="shared" si="137"/>
        <v/>
      </c>
      <c r="BB52" s="24" t="str">
        <f t="shared" si="138"/>
        <v/>
      </c>
      <c r="BC52" s="24" t="str">
        <f t="shared" si="139"/>
        <v/>
      </c>
      <c r="BD52" s="24" t="str">
        <f t="shared" si="140"/>
        <v/>
      </c>
      <c r="BE52" s="24" t="str">
        <f t="shared" si="141"/>
        <v/>
      </c>
      <c r="BF52" s="24" t="str">
        <f t="shared" si="142"/>
        <v/>
      </c>
      <c r="BG52" s="24" t="str">
        <f t="shared" si="143"/>
        <v/>
      </c>
      <c r="BH52" s="24" t="str">
        <f t="shared" si="144"/>
        <v/>
      </c>
      <c r="BI52" s="24" t="str">
        <f t="shared" si="145"/>
        <v/>
      </c>
      <c r="BJ52" s="24" t="str">
        <f t="shared" si="146"/>
        <v/>
      </c>
      <c r="BK52" s="24" t="str">
        <f t="shared" si="147"/>
        <v/>
      </c>
      <c r="BL52" s="26" t="str">
        <f t="shared" si="148"/>
        <v/>
      </c>
      <c r="BM52" s="26" t="str">
        <f t="shared" si="149"/>
        <v/>
      </c>
      <c r="BN52" s="26" t="str">
        <f t="shared" si="150"/>
        <v/>
      </c>
      <c r="BO52" s="26" t="str">
        <f t="shared" si="151"/>
        <v/>
      </c>
      <c r="BP52" s="26" t="str">
        <f t="shared" si="152"/>
        <v/>
      </c>
      <c r="BQ52" s="26" t="str">
        <f t="shared" si="153"/>
        <v/>
      </c>
      <c r="BR52" s="26" t="str">
        <f t="shared" si="154"/>
        <v/>
      </c>
      <c r="BS52" s="24" t="str">
        <f t="shared" si="91"/>
        <v/>
      </c>
      <c r="BT52" s="24" t="str">
        <f t="shared" si="92"/>
        <v/>
      </c>
      <c r="BU52" s="24" t="str">
        <f t="shared" si="93"/>
        <v/>
      </c>
      <c r="BV52" s="24" t="str">
        <f t="shared" si="94"/>
        <v/>
      </c>
      <c r="BW52" s="24" t="str">
        <f t="shared" si="95"/>
        <v/>
      </c>
      <c r="BX52" s="24" t="str">
        <f t="shared" si="96"/>
        <v/>
      </c>
      <c r="BY52" s="24" t="str">
        <f t="shared" si="97"/>
        <v/>
      </c>
      <c r="BZ52" s="24" t="str">
        <f t="shared" si="98"/>
        <v/>
      </c>
      <c r="CA52" s="24" t="str">
        <f t="shared" si="99"/>
        <v/>
      </c>
      <c r="CB52" s="24" t="str">
        <f t="shared" si="100"/>
        <v/>
      </c>
      <c r="CC52" s="24" t="str">
        <f t="shared" si="101"/>
        <v/>
      </c>
      <c r="CD52" s="24" t="str">
        <f t="shared" si="102"/>
        <v/>
      </c>
      <c r="CE52" s="24" t="str">
        <f t="shared" si="103"/>
        <v/>
      </c>
      <c r="CF52" s="24" t="str">
        <f t="shared" si="104"/>
        <v/>
      </c>
      <c r="CG52" s="24" t="str">
        <f t="shared" si="105"/>
        <v/>
      </c>
      <c r="CH52" s="24" t="str">
        <f t="shared" si="106"/>
        <v/>
      </c>
      <c r="CI52" s="24" t="str">
        <f t="shared" si="155"/>
        <v/>
      </c>
      <c r="CJ52" s="24" t="str">
        <f t="shared" si="83"/>
        <v/>
      </c>
      <c r="CK52" s="26" t="str">
        <f t="shared" si="156"/>
        <v/>
      </c>
      <c r="CL52" s="26" t="str">
        <f t="shared" si="84"/>
        <v/>
      </c>
      <c r="CM52" s="24" t="str">
        <f t="shared" si="85"/>
        <v/>
      </c>
      <c r="CN52" s="26" t="str">
        <f t="shared" si="157"/>
        <v/>
      </c>
      <c r="CO52" s="24" t="str">
        <f t="shared" si="158"/>
        <v/>
      </c>
      <c r="CP52" s="26" t="str">
        <f t="shared" si="159"/>
        <v/>
      </c>
      <c r="CQ52" s="26" t="str">
        <f t="shared" si="160"/>
        <v/>
      </c>
      <c r="CR52" s="26" t="str">
        <f t="shared" si="86"/>
        <v/>
      </c>
      <c r="CS52" s="24" t="str">
        <f t="shared" si="87"/>
        <v/>
      </c>
      <c r="CT52" s="27" t="str">
        <f t="shared" si="161"/>
        <v/>
      </c>
      <c r="CU52" s="24" t="str">
        <f t="shared" si="162"/>
        <v/>
      </c>
      <c r="CV52" s="27" t="str">
        <f t="shared" si="163"/>
        <v/>
      </c>
      <c r="CW52" s="27" t="str">
        <f t="shared" si="164"/>
        <v/>
      </c>
      <c r="CX52" s="26" t="str">
        <f t="shared" si="88"/>
        <v/>
      </c>
      <c r="CY52" s="27" t="str">
        <f t="shared" si="89"/>
        <v/>
      </c>
      <c r="CZ52" s="26" t="str">
        <f t="shared" si="165"/>
        <v/>
      </c>
      <c r="DA52" s="24" t="str">
        <f t="shared" si="166"/>
        <v/>
      </c>
      <c r="DB52" s="24" t="str">
        <f t="shared" si="167"/>
        <v/>
      </c>
      <c r="DC52" s="24" t="str">
        <f t="shared" si="168"/>
        <v/>
      </c>
      <c r="DD52" s="24" t="str">
        <f t="shared" si="169"/>
        <v/>
      </c>
      <c r="DE52" s="1">
        <v>0</v>
      </c>
      <c r="DF52" s="1">
        <v>0</v>
      </c>
      <c r="DG52" s="1">
        <v>0</v>
      </c>
      <c r="DH52" s="24" t="str">
        <f t="shared" si="170"/>
        <v/>
      </c>
      <c r="DI52" s="25" t="str">
        <f t="shared" si="171"/>
        <v/>
      </c>
      <c r="DJ52" t="str">
        <f t="shared" si="172"/>
        <v/>
      </c>
      <c r="DK52" s="9"/>
      <c r="DL52" s="9"/>
      <c r="DM52" s="9"/>
      <c r="DN52" s="9"/>
      <c r="DO52" s="9"/>
      <c r="DP52" s="9"/>
      <c r="DQ52" s="136" t="b">
        <f t="shared" si="173"/>
        <v>1</v>
      </c>
    </row>
    <row r="53" spans="1:121" ht="27" customHeight="1" x14ac:dyDescent="1.25">
      <c r="A53" s="24" t="str">
        <f t="shared" si="90"/>
        <v/>
      </c>
      <c r="B53" s="69"/>
      <c r="C53" s="70"/>
      <c r="D53" s="69"/>
      <c r="E53" s="69"/>
      <c r="F53" s="69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3" t="str">
        <f t="shared" si="107"/>
        <v/>
      </c>
      <c r="X53" s="3" t="str">
        <f t="shared" si="108"/>
        <v/>
      </c>
      <c r="Y53" s="3" t="str">
        <f t="shared" si="109"/>
        <v/>
      </c>
      <c r="Z53" s="3" t="str">
        <f t="shared" si="110"/>
        <v/>
      </c>
      <c r="AA53" s="3" t="str">
        <f t="shared" si="111"/>
        <v/>
      </c>
      <c r="AB53" s="3" t="str">
        <f t="shared" si="112"/>
        <v/>
      </c>
      <c r="AC53" s="3" t="str">
        <f t="shared" si="113"/>
        <v/>
      </c>
      <c r="AD53" s="3" t="str">
        <f t="shared" si="114"/>
        <v/>
      </c>
      <c r="AE53" s="3" t="str">
        <f t="shared" si="115"/>
        <v/>
      </c>
      <c r="AF53" s="24" t="str">
        <f t="shared" si="116"/>
        <v/>
      </c>
      <c r="AG53" s="24" t="str">
        <f t="shared" si="117"/>
        <v/>
      </c>
      <c r="AH53" s="24" t="str">
        <f t="shared" si="118"/>
        <v/>
      </c>
      <c r="AI53" s="24" t="str">
        <f t="shared" si="119"/>
        <v/>
      </c>
      <c r="AJ53" s="24" t="str">
        <f t="shared" si="120"/>
        <v/>
      </c>
      <c r="AK53" s="24" t="str">
        <f t="shared" si="121"/>
        <v/>
      </c>
      <c r="AL53" s="24" t="str">
        <f t="shared" si="122"/>
        <v/>
      </c>
      <c r="AM53" s="24" t="str">
        <f t="shared" si="123"/>
        <v/>
      </c>
      <c r="AN53" s="24" t="str">
        <f t="shared" si="124"/>
        <v/>
      </c>
      <c r="AO53" s="24" t="str">
        <f t="shared" si="125"/>
        <v/>
      </c>
      <c r="AP53" s="24" t="str">
        <f t="shared" si="126"/>
        <v/>
      </c>
      <c r="AQ53" s="24" t="str">
        <f t="shared" si="127"/>
        <v/>
      </c>
      <c r="AR53" s="24" t="str">
        <f t="shared" si="128"/>
        <v/>
      </c>
      <c r="AS53" s="24" t="str">
        <f t="shared" si="129"/>
        <v/>
      </c>
      <c r="AT53" s="24" t="str">
        <f t="shared" si="130"/>
        <v/>
      </c>
      <c r="AU53" s="24" t="str">
        <f t="shared" si="131"/>
        <v/>
      </c>
      <c r="AV53" s="24" t="str">
        <f t="shared" si="132"/>
        <v/>
      </c>
      <c r="AW53" s="24" t="str">
        <f t="shared" si="133"/>
        <v/>
      </c>
      <c r="AX53" s="24" t="str">
        <f t="shared" si="134"/>
        <v/>
      </c>
      <c r="AY53" s="24" t="str">
        <f t="shared" si="135"/>
        <v/>
      </c>
      <c r="AZ53" s="24" t="str">
        <f t="shared" si="136"/>
        <v/>
      </c>
      <c r="BA53" s="24" t="str">
        <f t="shared" si="137"/>
        <v/>
      </c>
      <c r="BB53" s="24" t="str">
        <f t="shared" si="138"/>
        <v/>
      </c>
      <c r="BC53" s="24" t="str">
        <f t="shared" si="139"/>
        <v/>
      </c>
      <c r="BD53" s="24" t="str">
        <f t="shared" si="140"/>
        <v/>
      </c>
      <c r="BE53" s="24" t="str">
        <f t="shared" si="141"/>
        <v/>
      </c>
      <c r="BF53" s="24" t="str">
        <f t="shared" si="142"/>
        <v/>
      </c>
      <c r="BG53" s="24" t="str">
        <f t="shared" si="143"/>
        <v/>
      </c>
      <c r="BH53" s="24" t="str">
        <f t="shared" si="144"/>
        <v/>
      </c>
      <c r="BI53" s="24" t="str">
        <f t="shared" si="145"/>
        <v/>
      </c>
      <c r="BJ53" s="24" t="str">
        <f t="shared" si="146"/>
        <v/>
      </c>
      <c r="BK53" s="24" t="str">
        <f t="shared" si="147"/>
        <v/>
      </c>
      <c r="BL53" s="26" t="str">
        <f t="shared" si="148"/>
        <v/>
      </c>
      <c r="BM53" s="26" t="str">
        <f t="shared" si="149"/>
        <v/>
      </c>
      <c r="BN53" s="26" t="str">
        <f t="shared" si="150"/>
        <v/>
      </c>
      <c r="BO53" s="26" t="str">
        <f t="shared" si="151"/>
        <v/>
      </c>
      <c r="BP53" s="26" t="str">
        <f t="shared" si="152"/>
        <v/>
      </c>
      <c r="BQ53" s="26" t="str">
        <f t="shared" si="153"/>
        <v/>
      </c>
      <c r="BR53" s="26" t="str">
        <f t="shared" si="154"/>
        <v/>
      </c>
      <c r="BS53" s="24" t="str">
        <f t="shared" si="91"/>
        <v/>
      </c>
      <c r="BT53" s="24" t="str">
        <f t="shared" si="92"/>
        <v/>
      </c>
      <c r="BU53" s="24" t="str">
        <f t="shared" si="93"/>
        <v/>
      </c>
      <c r="BV53" s="24" t="str">
        <f t="shared" si="94"/>
        <v/>
      </c>
      <c r="BW53" s="24" t="str">
        <f t="shared" si="95"/>
        <v/>
      </c>
      <c r="BX53" s="24" t="str">
        <f t="shared" si="96"/>
        <v/>
      </c>
      <c r="BY53" s="24" t="str">
        <f t="shared" si="97"/>
        <v/>
      </c>
      <c r="BZ53" s="24" t="str">
        <f t="shared" si="98"/>
        <v/>
      </c>
      <c r="CA53" s="24" t="str">
        <f t="shared" si="99"/>
        <v/>
      </c>
      <c r="CB53" s="24" t="str">
        <f t="shared" si="100"/>
        <v/>
      </c>
      <c r="CC53" s="24" t="str">
        <f t="shared" si="101"/>
        <v/>
      </c>
      <c r="CD53" s="24" t="str">
        <f t="shared" si="102"/>
        <v/>
      </c>
      <c r="CE53" s="24" t="str">
        <f t="shared" si="103"/>
        <v/>
      </c>
      <c r="CF53" s="24" t="str">
        <f t="shared" si="104"/>
        <v/>
      </c>
      <c r="CG53" s="24" t="str">
        <f t="shared" si="105"/>
        <v/>
      </c>
      <c r="CH53" s="24" t="str">
        <f t="shared" si="106"/>
        <v/>
      </c>
      <c r="CI53" s="24" t="str">
        <f t="shared" si="155"/>
        <v/>
      </c>
      <c r="CJ53" s="24" t="str">
        <f t="shared" si="83"/>
        <v/>
      </c>
      <c r="CK53" s="26" t="str">
        <f t="shared" si="156"/>
        <v/>
      </c>
      <c r="CL53" s="26" t="str">
        <f t="shared" si="84"/>
        <v/>
      </c>
      <c r="CM53" s="24" t="str">
        <f t="shared" si="85"/>
        <v/>
      </c>
      <c r="CN53" s="26" t="str">
        <f t="shared" si="157"/>
        <v/>
      </c>
      <c r="CO53" s="24" t="str">
        <f t="shared" si="158"/>
        <v/>
      </c>
      <c r="CP53" s="26" t="str">
        <f t="shared" si="159"/>
        <v/>
      </c>
      <c r="CQ53" s="26" t="str">
        <f t="shared" si="160"/>
        <v/>
      </c>
      <c r="CR53" s="26" t="str">
        <f t="shared" si="86"/>
        <v/>
      </c>
      <c r="CS53" s="24" t="str">
        <f t="shared" si="87"/>
        <v/>
      </c>
      <c r="CT53" s="27" t="str">
        <f t="shared" si="161"/>
        <v/>
      </c>
      <c r="CU53" s="24" t="str">
        <f t="shared" si="162"/>
        <v/>
      </c>
      <c r="CV53" s="27" t="str">
        <f t="shared" si="163"/>
        <v/>
      </c>
      <c r="CW53" s="27" t="str">
        <f t="shared" si="164"/>
        <v/>
      </c>
      <c r="CX53" s="26" t="str">
        <f t="shared" si="88"/>
        <v/>
      </c>
      <c r="CY53" s="27" t="str">
        <f t="shared" si="89"/>
        <v/>
      </c>
      <c r="CZ53" s="26" t="str">
        <f t="shared" si="165"/>
        <v/>
      </c>
      <c r="DA53" s="24" t="str">
        <f t="shared" si="166"/>
        <v/>
      </c>
      <c r="DB53" s="24" t="str">
        <f t="shared" si="167"/>
        <v/>
      </c>
      <c r="DC53" s="24" t="str">
        <f t="shared" si="168"/>
        <v/>
      </c>
      <c r="DD53" s="24" t="str">
        <f t="shared" si="169"/>
        <v/>
      </c>
      <c r="DE53" s="1">
        <v>0</v>
      </c>
      <c r="DF53" s="1">
        <v>0</v>
      </c>
      <c r="DG53" s="1">
        <v>0</v>
      </c>
      <c r="DH53" s="24" t="str">
        <f t="shared" si="170"/>
        <v/>
      </c>
      <c r="DI53" s="25" t="str">
        <f t="shared" si="171"/>
        <v/>
      </c>
      <c r="DJ53" t="str">
        <f t="shared" si="172"/>
        <v/>
      </c>
      <c r="DK53" s="9"/>
      <c r="DL53" s="9"/>
      <c r="DM53" s="9"/>
      <c r="DN53" s="9"/>
      <c r="DO53" s="9"/>
      <c r="DP53" s="9"/>
      <c r="DQ53" s="136" t="b">
        <f t="shared" si="173"/>
        <v>1</v>
      </c>
    </row>
    <row r="54" spans="1:121" ht="27" customHeight="1" x14ac:dyDescent="1.25">
      <c r="A54" s="24" t="str">
        <f t="shared" si="90"/>
        <v/>
      </c>
      <c r="B54" s="69"/>
      <c r="C54" s="70"/>
      <c r="D54" s="69"/>
      <c r="E54" s="69"/>
      <c r="F54" s="69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3" t="str">
        <f t="shared" si="107"/>
        <v/>
      </c>
      <c r="X54" s="3" t="str">
        <f t="shared" si="108"/>
        <v/>
      </c>
      <c r="Y54" s="3" t="str">
        <f t="shared" si="109"/>
        <v/>
      </c>
      <c r="Z54" s="3" t="str">
        <f t="shared" si="110"/>
        <v/>
      </c>
      <c r="AA54" s="3" t="str">
        <f t="shared" si="111"/>
        <v/>
      </c>
      <c r="AB54" s="3" t="str">
        <f t="shared" si="112"/>
        <v/>
      </c>
      <c r="AC54" s="3" t="str">
        <f t="shared" si="113"/>
        <v/>
      </c>
      <c r="AD54" s="3" t="str">
        <f t="shared" si="114"/>
        <v/>
      </c>
      <c r="AE54" s="3" t="str">
        <f t="shared" si="115"/>
        <v/>
      </c>
      <c r="AF54" s="24" t="str">
        <f t="shared" si="116"/>
        <v/>
      </c>
      <c r="AG54" s="24" t="str">
        <f t="shared" si="117"/>
        <v/>
      </c>
      <c r="AH54" s="24" t="str">
        <f t="shared" si="118"/>
        <v/>
      </c>
      <c r="AI54" s="24" t="str">
        <f t="shared" si="119"/>
        <v/>
      </c>
      <c r="AJ54" s="24" t="str">
        <f t="shared" si="120"/>
        <v/>
      </c>
      <c r="AK54" s="24" t="str">
        <f t="shared" si="121"/>
        <v/>
      </c>
      <c r="AL54" s="24" t="str">
        <f t="shared" si="122"/>
        <v/>
      </c>
      <c r="AM54" s="24" t="str">
        <f t="shared" si="123"/>
        <v/>
      </c>
      <c r="AN54" s="24" t="str">
        <f t="shared" si="124"/>
        <v/>
      </c>
      <c r="AO54" s="24" t="str">
        <f t="shared" si="125"/>
        <v/>
      </c>
      <c r="AP54" s="24" t="str">
        <f t="shared" si="126"/>
        <v/>
      </c>
      <c r="AQ54" s="24" t="str">
        <f t="shared" si="127"/>
        <v/>
      </c>
      <c r="AR54" s="24" t="str">
        <f t="shared" si="128"/>
        <v/>
      </c>
      <c r="AS54" s="24" t="str">
        <f t="shared" si="129"/>
        <v/>
      </c>
      <c r="AT54" s="24" t="str">
        <f t="shared" si="130"/>
        <v/>
      </c>
      <c r="AU54" s="24" t="str">
        <f t="shared" si="131"/>
        <v/>
      </c>
      <c r="AV54" s="24" t="str">
        <f t="shared" si="132"/>
        <v/>
      </c>
      <c r="AW54" s="24" t="str">
        <f t="shared" si="133"/>
        <v/>
      </c>
      <c r="AX54" s="24" t="str">
        <f t="shared" si="134"/>
        <v/>
      </c>
      <c r="AY54" s="24" t="str">
        <f t="shared" si="135"/>
        <v/>
      </c>
      <c r="AZ54" s="24" t="str">
        <f t="shared" si="136"/>
        <v/>
      </c>
      <c r="BA54" s="24" t="str">
        <f t="shared" si="137"/>
        <v/>
      </c>
      <c r="BB54" s="24" t="str">
        <f t="shared" si="138"/>
        <v/>
      </c>
      <c r="BC54" s="24" t="str">
        <f t="shared" si="139"/>
        <v/>
      </c>
      <c r="BD54" s="24" t="str">
        <f t="shared" si="140"/>
        <v/>
      </c>
      <c r="BE54" s="24" t="str">
        <f t="shared" si="141"/>
        <v/>
      </c>
      <c r="BF54" s="24" t="str">
        <f t="shared" si="142"/>
        <v/>
      </c>
      <c r="BG54" s="24" t="str">
        <f t="shared" si="143"/>
        <v/>
      </c>
      <c r="BH54" s="24" t="str">
        <f t="shared" si="144"/>
        <v/>
      </c>
      <c r="BI54" s="24" t="str">
        <f t="shared" si="145"/>
        <v/>
      </c>
      <c r="BJ54" s="24" t="str">
        <f t="shared" si="146"/>
        <v/>
      </c>
      <c r="BK54" s="24" t="str">
        <f t="shared" si="147"/>
        <v/>
      </c>
      <c r="BL54" s="26" t="str">
        <f t="shared" si="148"/>
        <v/>
      </c>
      <c r="BM54" s="26" t="str">
        <f t="shared" si="149"/>
        <v/>
      </c>
      <c r="BN54" s="26" t="str">
        <f t="shared" si="150"/>
        <v/>
      </c>
      <c r="BO54" s="26" t="str">
        <f t="shared" si="151"/>
        <v/>
      </c>
      <c r="BP54" s="26" t="str">
        <f t="shared" si="152"/>
        <v/>
      </c>
      <c r="BQ54" s="26" t="str">
        <f t="shared" si="153"/>
        <v/>
      </c>
      <c r="BR54" s="26" t="str">
        <f t="shared" si="154"/>
        <v/>
      </c>
      <c r="BS54" s="24" t="str">
        <f t="shared" si="91"/>
        <v/>
      </c>
      <c r="BT54" s="24" t="str">
        <f t="shared" si="92"/>
        <v/>
      </c>
      <c r="BU54" s="24" t="str">
        <f t="shared" si="93"/>
        <v/>
      </c>
      <c r="BV54" s="24" t="str">
        <f t="shared" si="94"/>
        <v/>
      </c>
      <c r="BW54" s="24" t="str">
        <f t="shared" si="95"/>
        <v/>
      </c>
      <c r="BX54" s="24" t="str">
        <f t="shared" si="96"/>
        <v/>
      </c>
      <c r="BY54" s="24" t="str">
        <f t="shared" si="97"/>
        <v/>
      </c>
      <c r="BZ54" s="24" t="str">
        <f t="shared" si="98"/>
        <v/>
      </c>
      <c r="CA54" s="24" t="str">
        <f t="shared" si="99"/>
        <v/>
      </c>
      <c r="CB54" s="24" t="str">
        <f t="shared" si="100"/>
        <v/>
      </c>
      <c r="CC54" s="24" t="str">
        <f t="shared" si="101"/>
        <v/>
      </c>
      <c r="CD54" s="24" t="str">
        <f t="shared" si="102"/>
        <v/>
      </c>
      <c r="CE54" s="24" t="str">
        <f t="shared" si="103"/>
        <v/>
      </c>
      <c r="CF54" s="24" t="str">
        <f t="shared" si="104"/>
        <v/>
      </c>
      <c r="CG54" s="24" t="str">
        <f t="shared" si="105"/>
        <v/>
      </c>
      <c r="CH54" s="24" t="str">
        <f t="shared" si="106"/>
        <v/>
      </c>
      <c r="CI54" s="24" t="str">
        <f t="shared" si="155"/>
        <v/>
      </c>
      <c r="CJ54" s="24" t="str">
        <f t="shared" si="83"/>
        <v/>
      </c>
      <c r="CK54" s="26" t="str">
        <f t="shared" si="156"/>
        <v/>
      </c>
      <c r="CL54" s="26" t="str">
        <f t="shared" si="84"/>
        <v/>
      </c>
      <c r="CM54" s="24" t="str">
        <f t="shared" si="85"/>
        <v/>
      </c>
      <c r="CN54" s="26" t="str">
        <f t="shared" si="157"/>
        <v/>
      </c>
      <c r="CO54" s="24" t="str">
        <f t="shared" si="158"/>
        <v/>
      </c>
      <c r="CP54" s="26" t="str">
        <f t="shared" si="159"/>
        <v/>
      </c>
      <c r="CQ54" s="26" t="str">
        <f t="shared" si="160"/>
        <v/>
      </c>
      <c r="CR54" s="26" t="str">
        <f t="shared" si="86"/>
        <v/>
      </c>
      <c r="CS54" s="24" t="str">
        <f t="shared" si="87"/>
        <v/>
      </c>
      <c r="CT54" s="27" t="str">
        <f t="shared" si="161"/>
        <v/>
      </c>
      <c r="CU54" s="24" t="str">
        <f t="shared" si="162"/>
        <v/>
      </c>
      <c r="CV54" s="27" t="str">
        <f t="shared" si="163"/>
        <v/>
      </c>
      <c r="CW54" s="27" t="str">
        <f t="shared" si="164"/>
        <v/>
      </c>
      <c r="CX54" s="26" t="str">
        <f t="shared" si="88"/>
        <v/>
      </c>
      <c r="CY54" s="27" t="str">
        <f t="shared" si="89"/>
        <v/>
      </c>
      <c r="CZ54" s="26" t="str">
        <f t="shared" si="165"/>
        <v/>
      </c>
      <c r="DA54" s="24" t="str">
        <f t="shared" si="166"/>
        <v/>
      </c>
      <c r="DB54" s="24" t="str">
        <f t="shared" si="167"/>
        <v/>
      </c>
      <c r="DC54" s="24" t="str">
        <f t="shared" si="168"/>
        <v/>
      </c>
      <c r="DD54" s="24" t="str">
        <f t="shared" si="169"/>
        <v/>
      </c>
      <c r="DE54" s="1">
        <v>0</v>
      </c>
      <c r="DF54" s="1">
        <v>0</v>
      </c>
      <c r="DG54" s="1">
        <v>0</v>
      </c>
      <c r="DH54" s="24" t="str">
        <f t="shared" si="170"/>
        <v/>
      </c>
      <c r="DI54" s="25" t="str">
        <f t="shared" si="171"/>
        <v/>
      </c>
      <c r="DJ54" t="str">
        <f t="shared" si="172"/>
        <v/>
      </c>
      <c r="DK54" s="9"/>
      <c r="DL54" s="9"/>
      <c r="DM54" s="9"/>
      <c r="DN54" s="9"/>
      <c r="DO54" s="9"/>
      <c r="DP54" s="9"/>
      <c r="DQ54" s="136" t="b">
        <f t="shared" si="173"/>
        <v>1</v>
      </c>
    </row>
    <row r="55" spans="1:121" ht="27" customHeight="1" x14ac:dyDescent="1.25">
      <c r="A55" s="24" t="str">
        <f t="shared" si="90"/>
        <v/>
      </c>
      <c r="B55" s="69"/>
      <c r="C55" s="70"/>
      <c r="D55" s="69"/>
      <c r="E55" s="69"/>
      <c r="F55" s="69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3" t="str">
        <f t="shared" si="107"/>
        <v/>
      </c>
      <c r="X55" s="3" t="str">
        <f t="shared" si="108"/>
        <v/>
      </c>
      <c r="Y55" s="3" t="str">
        <f t="shared" si="109"/>
        <v/>
      </c>
      <c r="Z55" s="3" t="str">
        <f t="shared" si="110"/>
        <v/>
      </c>
      <c r="AA55" s="3" t="str">
        <f t="shared" si="111"/>
        <v/>
      </c>
      <c r="AB55" s="3" t="str">
        <f t="shared" si="112"/>
        <v/>
      </c>
      <c r="AC55" s="3" t="str">
        <f t="shared" si="113"/>
        <v/>
      </c>
      <c r="AD55" s="3" t="str">
        <f t="shared" si="114"/>
        <v/>
      </c>
      <c r="AE55" s="3" t="str">
        <f t="shared" si="115"/>
        <v/>
      </c>
      <c r="AF55" s="24" t="str">
        <f t="shared" si="116"/>
        <v/>
      </c>
      <c r="AG55" s="24" t="str">
        <f t="shared" si="117"/>
        <v/>
      </c>
      <c r="AH55" s="24" t="str">
        <f t="shared" si="118"/>
        <v/>
      </c>
      <c r="AI55" s="24" t="str">
        <f t="shared" si="119"/>
        <v/>
      </c>
      <c r="AJ55" s="24" t="str">
        <f t="shared" si="120"/>
        <v/>
      </c>
      <c r="AK55" s="24" t="str">
        <f t="shared" si="121"/>
        <v/>
      </c>
      <c r="AL55" s="24" t="str">
        <f t="shared" si="122"/>
        <v/>
      </c>
      <c r="AM55" s="24" t="str">
        <f t="shared" si="123"/>
        <v/>
      </c>
      <c r="AN55" s="24" t="str">
        <f t="shared" si="124"/>
        <v/>
      </c>
      <c r="AO55" s="24" t="str">
        <f t="shared" si="125"/>
        <v/>
      </c>
      <c r="AP55" s="24" t="str">
        <f t="shared" si="126"/>
        <v/>
      </c>
      <c r="AQ55" s="24" t="str">
        <f t="shared" si="127"/>
        <v/>
      </c>
      <c r="AR55" s="24" t="str">
        <f t="shared" si="128"/>
        <v/>
      </c>
      <c r="AS55" s="24" t="str">
        <f t="shared" si="129"/>
        <v/>
      </c>
      <c r="AT55" s="24" t="str">
        <f t="shared" si="130"/>
        <v/>
      </c>
      <c r="AU55" s="24" t="str">
        <f t="shared" si="131"/>
        <v/>
      </c>
      <c r="AV55" s="24" t="str">
        <f t="shared" si="132"/>
        <v/>
      </c>
      <c r="AW55" s="24" t="str">
        <f t="shared" si="133"/>
        <v/>
      </c>
      <c r="AX55" s="24" t="str">
        <f t="shared" si="134"/>
        <v/>
      </c>
      <c r="AY55" s="24" t="str">
        <f t="shared" si="135"/>
        <v/>
      </c>
      <c r="AZ55" s="24" t="str">
        <f t="shared" si="136"/>
        <v/>
      </c>
      <c r="BA55" s="24" t="str">
        <f t="shared" si="137"/>
        <v/>
      </c>
      <c r="BB55" s="24" t="str">
        <f t="shared" si="138"/>
        <v/>
      </c>
      <c r="BC55" s="24" t="str">
        <f t="shared" si="139"/>
        <v/>
      </c>
      <c r="BD55" s="24" t="str">
        <f t="shared" si="140"/>
        <v/>
      </c>
      <c r="BE55" s="24" t="str">
        <f t="shared" si="141"/>
        <v/>
      </c>
      <c r="BF55" s="24" t="str">
        <f t="shared" si="142"/>
        <v/>
      </c>
      <c r="BG55" s="24" t="str">
        <f t="shared" si="143"/>
        <v/>
      </c>
      <c r="BH55" s="24" t="str">
        <f t="shared" si="144"/>
        <v/>
      </c>
      <c r="BI55" s="24" t="str">
        <f t="shared" si="145"/>
        <v/>
      </c>
      <c r="BJ55" s="24" t="str">
        <f t="shared" si="146"/>
        <v/>
      </c>
      <c r="BK55" s="24" t="str">
        <f t="shared" si="147"/>
        <v/>
      </c>
      <c r="BL55" s="26" t="str">
        <f t="shared" si="148"/>
        <v/>
      </c>
      <c r="BM55" s="26" t="str">
        <f t="shared" si="149"/>
        <v/>
      </c>
      <c r="BN55" s="26" t="str">
        <f t="shared" si="150"/>
        <v/>
      </c>
      <c r="BO55" s="26" t="str">
        <f t="shared" si="151"/>
        <v/>
      </c>
      <c r="BP55" s="26" t="str">
        <f t="shared" si="152"/>
        <v/>
      </c>
      <c r="BQ55" s="26" t="str">
        <f t="shared" si="153"/>
        <v/>
      </c>
      <c r="BR55" s="26" t="str">
        <f t="shared" si="154"/>
        <v/>
      </c>
      <c r="BS55" s="24" t="str">
        <f t="shared" si="91"/>
        <v/>
      </c>
      <c r="BT55" s="24" t="str">
        <f t="shared" si="92"/>
        <v/>
      </c>
      <c r="BU55" s="24" t="str">
        <f t="shared" si="93"/>
        <v/>
      </c>
      <c r="BV55" s="24" t="str">
        <f t="shared" si="94"/>
        <v/>
      </c>
      <c r="BW55" s="24" t="str">
        <f t="shared" si="95"/>
        <v/>
      </c>
      <c r="BX55" s="24" t="str">
        <f t="shared" si="96"/>
        <v/>
      </c>
      <c r="BY55" s="24" t="str">
        <f t="shared" si="97"/>
        <v/>
      </c>
      <c r="BZ55" s="24" t="str">
        <f t="shared" si="98"/>
        <v/>
      </c>
      <c r="CA55" s="24" t="str">
        <f t="shared" si="99"/>
        <v/>
      </c>
      <c r="CB55" s="24" t="str">
        <f t="shared" si="100"/>
        <v/>
      </c>
      <c r="CC55" s="24" t="str">
        <f t="shared" si="101"/>
        <v/>
      </c>
      <c r="CD55" s="24" t="str">
        <f t="shared" si="102"/>
        <v/>
      </c>
      <c r="CE55" s="24" t="str">
        <f t="shared" si="103"/>
        <v/>
      </c>
      <c r="CF55" s="24" t="str">
        <f t="shared" si="104"/>
        <v/>
      </c>
      <c r="CG55" s="24" t="str">
        <f t="shared" si="105"/>
        <v/>
      </c>
      <c r="CH55" s="24" t="str">
        <f t="shared" si="106"/>
        <v/>
      </c>
      <c r="CI55" s="24" t="str">
        <f t="shared" si="155"/>
        <v/>
      </c>
      <c r="CJ55" s="24" t="str">
        <f t="shared" si="83"/>
        <v/>
      </c>
      <c r="CK55" s="26" t="str">
        <f t="shared" si="156"/>
        <v/>
      </c>
      <c r="CL55" s="26" t="str">
        <f t="shared" si="84"/>
        <v/>
      </c>
      <c r="CM55" s="24" t="str">
        <f t="shared" si="85"/>
        <v/>
      </c>
      <c r="CN55" s="26" t="str">
        <f t="shared" si="157"/>
        <v/>
      </c>
      <c r="CO55" s="24" t="str">
        <f t="shared" si="158"/>
        <v/>
      </c>
      <c r="CP55" s="26" t="str">
        <f t="shared" si="159"/>
        <v/>
      </c>
      <c r="CQ55" s="26" t="str">
        <f t="shared" si="160"/>
        <v/>
      </c>
      <c r="CR55" s="26" t="str">
        <f t="shared" si="86"/>
        <v/>
      </c>
      <c r="CS55" s="24" t="str">
        <f t="shared" si="87"/>
        <v/>
      </c>
      <c r="CT55" s="27" t="str">
        <f t="shared" si="161"/>
        <v/>
      </c>
      <c r="CU55" s="24" t="str">
        <f t="shared" si="162"/>
        <v/>
      </c>
      <c r="CV55" s="27" t="str">
        <f t="shared" si="163"/>
        <v/>
      </c>
      <c r="CW55" s="27" t="str">
        <f t="shared" si="164"/>
        <v/>
      </c>
      <c r="CX55" s="26" t="str">
        <f t="shared" si="88"/>
        <v/>
      </c>
      <c r="CY55" s="27" t="str">
        <f t="shared" si="89"/>
        <v/>
      </c>
      <c r="CZ55" s="26" t="str">
        <f t="shared" si="165"/>
        <v/>
      </c>
      <c r="DA55" s="24" t="str">
        <f t="shared" si="166"/>
        <v/>
      </c>
      <c r="DB55" s="24" t="str">
        <f t="shared" si="167"/>
        <v/>
      </c>
      <c r="DC55" s="24" t="str">
        <f t="shared" si="168"/>
        <v/>
      </c>
      <c r="DD55" s="24" t="str">
        <f t="shared" si="169"/>
        <v/>
      </c>
      <c r="DE55" s="1">
        <v>0</v>
      </c>
      <c r="DF55" s="1">
        <v>0</v>
      </c>
      <c r="DG55" s="1">
        <v>0</v>
      </c>
      <c r="DH55" s="24" t="str">
        <f t="shared" si="170"/>
        <v/>
      </c>
      <c r="DI55" s="25" t="str">
        <f t="shared" si="171"/>
        <v/>
      </c>
      <c r="DJ55" t="str">
        <f t="shared" si="172"/>
        <v/>
      </c>
      <c r="DK55" s="9"/>
      <c r="DL55" s="9"/>
      <c r="DM55" s="9"/>
      <c r="DN55" s="9"/>
      <c r="DO55" s="9"/>
      <c r="DP55" s="9"/>
      <c r="DQ55" s="136" t="b">
        <f t="shared" si="173"/>
        <v>1</v>
      </c>
    </row>
    <row r="56" spans="1:121" ht="27" customHeight="1" x14ac:dyDescent="1.25">
      <c r="A56" s="24" t="str">
        <f t="shared" si="90"/>
        <v/>
      </c>
      <c r="B56" s="69"/>
      <c r="C56" s="70"/>
      <c r="D56" s="69"/>
      <c r="E56" s="69"/>
      <c r="F56" s="69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10"/>
      <c r="U56" s="22"/>
      <c r="V56" s="22"/>
      <c r="W56" s="3" t="str">
        <f t="shared" si="107"/>
        <v/>
      </c>
      <c r="X56" s="3" t="str">
        <f t="shared" si="108"/>
        <v/>
      </c>
      <c r="Y56" s="3" t="str">
        <f t="shared" si="109"/>
        <v/>
      </c>
      <c r="Z56" s="3" t="str">
        <f t="shared" si="110"/>
        <v/>
      </c>
      <c r="AA56" s="3" t="str">
        <f t="shared" si="111"/>
        <v/>
      </c>
      <c r="AB56" s="3" t="str">
        <f t="shared" si="112"/>
        <v/>
      </c>
      <c r="AC56" s="3" t="str">
        <f t="shared" si="113"/>
        <v/>
      </c>
      <c r="AD56" s="3" t="str">
        <f t="shared" si="114"/>
        <v/>
      </c>
      <c r="AE56" s="3" t="str">
        <f t="shared" si="115"/>
        <v/>
      </c>
      <c r="AF56" s="24" t="str">
        <f t="shared" si="116"/>
        <v/>
      </c>
      <c r="AG56" s="24" t="str">
        <f t="shared" si="117"/>
        <v/>
      </c>
      <c r="AH56" s="24" t="str">
        <f t="shared" si="118"/>
        <v/>
      </c>
      <c r="AI56" s="24" t="str">
        <f t="shared" si="119"/>
        <v/>
      </c>
      <c r="AJ56" s="24" t="str">
        <f t="shared" si="120"/>
        <v/>
      </c>
      <c r="AK56" s="24" t="str">
        <f t="shared" si="121"/>
        <v/>
      </c>
      <c r="AL56" s="24" t="str">
        <f t="shared" si="122"/>
        <v/>
      </c>
      <c r="AM56" s="24" t="str">
        <f t="shared" si="123"/>
        <v/>
      </c>
      <c r="AN56" s="24" t="str">
        <f t="shared" si="124"/>
        <v/>
      </c>
      <c r="AO56" s="24" t="str">
        <f t="shared" si="125"/>
        <v/>
      </c>
      <c r="AP56" s="24" t="str">
        <f t="shared" si="126"/>
        <v/>
      </c>
      <c r="AQ56" s="24" t="str">
        <f t="shared" si="127"/>
        <v/>
      </c>
      <c r="AR56" s="24" t="str">
        <f t="shared" si="128"/>
        <v/>
      </c>
      <c r="AS56" s="24" t="str">
        <f t="shared" si="129"/>
        <v/>
      </c>
      <c r="AT56" s="24" t="str">
        <f t="shared" si="130"/>
        <v/>
      </c>
      <c r="AU56" s="24" t="str">
        <f t="shared" si="131"/>
        <v/>
      </c>
      <c r="AV56" s="24" t="str">
        <f t="shared" si="132"/>
        <v/>
      </c>
      <c r="AW56" s="24" t="str">
        <f t="shared" si="133"/>
        <v/>
      </c>
      <c r="AX56" s="24" t="str">
        <f t="shared" si="134"/>
        <v/>
      </c>
      <c r="AY56" s="24" t="str">
        <f t="shared" si="135"/>
        <v/>
      </c>
      <c r="AZ56" s="24" t="str">
        <f t="shared" si="136"/>
        <v/>
      </c>
      <c r="BA56" s="24" t="str">
        <f t="shared" si="137"/>
        <v/>
      </c>
      <c r="BB56" s="24" t="str">
        <f t="shared" si="138"/>
        <v/>
      </c>
      <c r="BC56" s="24" t="str">
        <f t="shared" si="139"/>
        <v/>
      </c>
      <c r="BD56" s="24" t="str">
        <f t="shared" si="140"/>
        <v/>
      </c>
      <c r="BE56" s="24" t="str">
        <f t="shared" si="141"/>
        <v/>
      </c>
      <c r="BF56" s="24" t="str">
        <f t="shared" si="142"/>
        <v/>
      </c>
      <c r="BG56" s="24" t="str">
        <f t="shared" si="143"/>
        <v/>
      </c>
      <c r="BH56" s="24" t="str">
        <f t="shared" si="144"/>
        <v/>
      </c>
      <c r="BI56" s="24" t="str">
        <f t="shared" si="145"/>
        <v/>
      </c>
      <c r="BJ56" s="24" t="str">
        <f t="shared" si="146"/>
        <v/>
      </c>
      <c r="BK56" s="24" t="str">
        <f t="shared" si="147"/>
        <v/>
      </c>
      <c r="BL56" s="26" t="str">
        <f t="shared" si="148"/>
        <v/>
      </c>
      <c r="BM56" s="26" t="str">
        <f t="shared" si="149"/>
        <v/>
      </c>
      <c r="BN56" s="26" t="str">
        <f t="shared" si="150"/>
        <v/>
      </c>
      <c r="BO56" s="26" t="str">
        <f t="shared" si="151"/>
        <v/>
      </c>
      <c r="BP56" s="26" t="str">
        <f t="shared" si="152"/>
        <v/>
      </c>
      <c r="BQ56" s="26" t="str">
        <f t="shared" si="153"/>
        <v/>
      </c>
      <c r="BR56" s="26" t="str">
        <f t="shared" si="154"/>
        <v/>
      </c>
      <c r="BS56" s="24" t="str">
        <f t="shared" si="91"/>
        <v/>
      </c>
      <c r="BT56" s="24" t="str">
        <f t="shared" si="92"/>
        <v/>
      </c>
      <c r="BU56" s="24" t="str">
        <f t="shared" si="93"/>
        <v/>
      </c>
      <c r="BV56" s="24" t="str">
        <f t="shared" si="94"/>
        <v/>
      </c>
      <c r="BW56" s="24" t="str">
        <f t="shared" si="95"/>
        <v/>
      </c>
      <c r="BX56" s="24" t="str">
        <f t="shared" si="96"/>
        <v/>
      </c>
      <c r="BY56" s="24" t="str">
        <f t="shared" si="97"/>
        <v/>
      </c>
      <c r="BZ56" s="24" t="str">
        <f t="shared" si="98"/>
        <v/>
      </c>
      <c r="CA56" s="24" t="str">
        <f t="shared" si="99"/>
        <v/>
      </c>
      <c r="CB56" s="24" t="str">
        <f t="shared" si="100"/>
        <v/>
      </c>
      <c r="CC56" s="24" t="str">
        <f t="shared" si="101"/>
        <v/>
      </c>
      <c r="CD56" s="24" t="str">
        <f t="shared" si="102"/>
        <v/>
      </c>
      <c r="CE56" s="24" t="str">
        <f t="shared" si="103"/>
        <v/>
      </c>
      <c r="CF56" s="24" t="str">
        <f t="shared" si="104"/>
        <v/>
      </c>
      <c r="CG56" s="24" t="str">
        <f t="shared" si="105"/>
        <v/>
      </c>
      <c r="CH56" s="24" t="str">
        <f t="shared" si="106"/>
        <v/>
      </c>
      <c r="CI56" s="24" t="str">
        <f t="shared" si="155"/>
        <v/>
      </c>
      <c r="CJ56" s="24" t="str">
        <f t="shared" si="83"/>
        <v/>
      </c>
      <c r="CK56" s="26" t="str">
        <f t="shared" si="156"/>
        <v/>
      </c>
      <c r="CL56" s="26" t="str">
        <f t="shared" si="84"/>
        <v/>
      </c>
      <c r="CM56" s="24" t="str">
        <f t="shared" si="85"/>
        <v/>
      </c>
      <c r="CN56" s="26" t="str">
        <f t="shared" si="157"/>
        <v/>
      </c>
      <c r="CO56" s="24" t="str">
        <f t="shared" si="158"/>
        <v/>
      </c>
      <c r="CP56" s="26" t="str">
        <f t="shared" si="159"/>
        <v/>
      </c>
      <c r="CQ56" s="26" t="str">
        <f t="shared" si="160"/>
        <v/>
      </c>
      <c r="CR56" s="26" t="str">
        <f t="shared" si="86"/>
        <v/>
      </c>
      <c r="CS56" s="24" t="str">
        <f t="shared" si="87"/>
        <v/>
      </c>
      <c r="CT56" s="27" t="str">
        <f t="shared" si="161"/>
        <v/>
      </c>
      <c r="CU56" s="24" t="str">
        <f t="shared" si="162"/>
        <v/>
      </c>
      <c r="CV56" s="27" t="str">
        <f t="shared" si="163"/>
        <v/>
      </c>
      <c r="CW56" s="27" t="str">
        <f t="shared" si="164"/>
        <v/>
      </c>
      <c r="CX56" s="26" t="str">
        <f t="shared" si="88"/>
        <v/>
      </c>
      <c r="CY56" s="27" t="str">
        <f t="shared" si="89"/>
        <v/>
      </c>
      <c r="CZ56" s="26" t="str">
        <f t="shared" si="165"/>
        <v/>
      </c>
      <c r="DA56" s="24" t="str">
        <f t="shared" si="166"/>
        <v/>
      </c>
      <c r="DB56" s="24" t="str">
        <f t="shared" si="167"/>
        <v/>
      </c>
      <c r="DC56" s="24" t="str">
        <f t="shared" si="168"/>
        <v/>
      </c>
      <c r="DD56" s="24" t="str">
        <f t="shared" si="169"/>
        <v/>
      </c>
      <c r="DE56" s="1">
        <v>0</v>
      </c>
      <c r="DF56" s="1">
        <v>0</v>
      </c>
      <c r="DG56" s="1">
        <v>0</v>
      </c>
      <c r="DH56" s="24" t="str">
        <f t="shared" si="170"/>
        <v/>
      </c>
      <c r="DI56" s="25" t="str">
        <f t="shared" si="171"/>
        <v/>
      </c>
      <c r="DJ56" t="str">
        <f t="shared" si="172"/>
        <v/>
      </c>
      <c r="DK56" s="9"/>
      <c r="DL56" s="9"/>
      <c r="DM56" s="9"/>
      <c r="DN56" s="9"/>
      <c r="DO56" s="9"/>
      <c r="DP56" s="9"/>
      <c r="DQ56" s="136" t="b">
        <f t="shared" si="173"/>
        <v>1</v>
      </c>
    </row>
    <row r="57" spans="1:121" ht="27" customHeight="1" x14ac:dyDescent="1.25">
      <c r="A57" s="24" t="str">
        <f t="shared" si="90"/>
        <v/>
      </c>
      <c r="B57" s="69"/>
      <c r="C57" s="70"/>
      <c r="D57" s="69"/>
      <c r="E57" s="69"/>
      <c r="F57" s="69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10"/>
      <c r="U57" s="22"/>
      <c r="V57" s="22"/>
      <c r="W57" s="3" t="str">
        <f t="shared" si="107"/>
        <v/>
      </c>
      <c r="X57" s="3" t="str">
        <f t="shared" si="108"/>
        <v/>
      </c>
      <c r="Y57" s="3" t="str">
        <f t="shared" si="109"/>
        <v/>
      </c>
      <c r="Z57" s="3" t="str">
        <f t="shared" si="110"/>
        <v/>
      </c>
      <c r="AA57" s="3" t="str">
        <f t="shared" si="111"/>
        <v/>
      </c>
      <c r="AB57" s="3" t="str">
        <f t="shared" si="112"/>
        <v/>
      </c>
      <c r="AC57" s="3" t="str">
        <f t="shared" si="113"/>
        <v/>
      </c>
      <c r="AD57" s="3" t="str">
        <f t="shared" si="114"/>
        <v/>
      </c>
      <c r="AE57" s="3" t="str">
        <f t="shared" si="115"/>
        <v/>
      </c>
      <c r="AF57" s="24" t="str">
        <f t="shared" si="116"/>
        <v/>
      </c>
      <c r="AG57" s="24" t="str">
        <f t="shared" si="117"/>
        <v/>
      </c>
      <c r="AH57" s="24" t="str">
        <f t="shared" si="118"/>
        <v/>
      </c>
      <c r="AI57" s="24" t="str">
        <f t="shared" si="119"/>
        <v/>
      </c>
      <c r="AJ57" s="24" t="str">
        <f t="shared" si="120"/>
        <v/>
      </c>
      <c r="AK57" s="24" t="str">
        <f t="shared" si="121"/>
        <v/>
      </c>
      <c r="AL57" s="24" t="str">
        <f t="shared" si="122"/>
        <v/>
      </c>
      <c r="AM57" s="24" t="str">
        <f t="shared" si="123"/>
        <v/>
      </c>
      <c r="AN57" s="24" t="str">
        <f t="shared" si="124"/>
        <v/>
      </c>
      <c r="AO57" s="24" t="str">
        <f t="shared" si="125"/>
        <v/>
      </c>
      <c r="AP57" s="24" t="str">
        <f t="shared" si="126"/>
        <v/>
      </c>
      <c r="AQ57" s="24" t="str">
        <f t="shared" si="127"/>
        <v/>
      </c>
      <c r="AR57" s="24" t="str">
        <f t="shared" si="128"/>
        <v/>
      </c>
      <c r="AS57" s="24" t="str">
        <f t="shared" si="129"/>
        <v/>
      </c>
      <c r="AT57" s="24" t="str">
        <f t="shared" si="130"/>
        <v/>
      </c>
      <c r="AU57" s="24" t="str">
        <f t="shared" si="131"/>
        <v/>
      </c>
      <c r="AV57" s="24" t="str">
        <f t="shared" si="132"/>
        <v/>
      </c>
      <c r="AW57" s="24" t="str">
        <f t="shared" si="133"/>
        <v/>
      </c>
      <c r="AX57" s="24" t="str">
        <f t="shared" si="134"/>
        <v/>
      </c>
      <c r="AY57" s="24" t="str">
        <f t="shared" si="135"/>
        <v/>
      </c>
      <c r="AZ57" s="24" t="str">
        <f t="shared" si="136"/>
        <v/>
      </c>
      <c r="BA57" s="24" t="str">
        <f t="shared" si="137"/>
        <v/>
      </c>
      <c r="BB57" s="24" t="str">
        <f t="shared" si="138"/>
        <v/>
      </c>
      <c r="BC57" s="24" t="str">
        <f t="shared" si="139"/>
        <v/>
      </c>
      <c r="BD57" s="24" t="str">
        <f t="shared" si="140"/>
        <v/>
      </c>
      <c r="BE57" s="24" t="str">
        <f t="shared" si="141"/>
        <v/>
      </c>
      <c r="BF57" s="24" t="str">
        <f t="shared" si="142"/>
        <v/>
      </c>
      <c r="BG57" s="24" t="str">
        <f t="shared" si="143"/>
        <v/>
      </c>
      <c r="BH57" s="24" t="str">
        <f t="shared" si="144"/>
        <v/>
      </c>
      <c r="BI57" s="24" t="str">
        <f t="shared" si="145"/>
        <v/>
      </c>
      <c r="BJ57" s="24" t="str">
        <f t="shared" si="146"/>
        <v/>
      </c>
      <c r="BK57" s="24" t="str">
        <f t="shared" si="147"/>
        <v/>
      </c>
      <c r="BL57" s="26" t="str">
        <f t="shared" si="148"/>
        <v/>
      </c>
      <c r="BM57" s="26" t="str">
        <f t="shared" si="149"/>
        <v/>
      </c>
      <c r="BN57" s="26" t="str">
        <f t="shared" si="150"/>
        <v/>
      </c>
      <c r="BO57" s="26" t="str">
        <f t="shared" si="151"/>
        <v/>
      </c>
      <c r="BP57" s="26" t="str">
        <f t="shared" si="152"/>
        <v/>
      </c>
      <c r="BQ57" s="26" t="str">
        <f t="shared" si="153"/>
        <v/>
      </c>
      <c r="BR57" s="26" t="str">
        <f t="shared" si="154"/>
        <v/>
      </c>
      <c r="BS57" s="24" t="str">
        <f t="shared" si="91"/>
        <v/>
      </c>
      <c r="BT57" s="24" t="str">
        <f t="shared" si="92"/>
        <v/>
      </c>
      <c r="BU57" s="24" t="str">
        <f t="shared" si="93"/>
        <v/>
      </c>
      <c r="BV57" s="24" t="str">
        <f t="shared" si="94"/>
        <v/>
      </c>
      <c r="BW57" s="24" t="str">
        <f t="shared" si="95"/>
        <v/>
      </c>
      <c r="BX57" s="24" t="str">
        <f t="shared" si="96"/>
        <v/>
      </c>
      <c r="BY57" s="24" t="str">
        <f t="shared" si="97"/>
        <v/>
      </c>
      <c r="BZ57" s="24" t="str">
        <f t="shared" si="98"/>
        <v/>
      </c>
      <c r="CA57" s="24" t="str">
        <f t="shared" si="99"/>
        <v/>
      </c>
      <c r="CB57" s="24" t="str">
        <f t="shared" si="100"/>
        <v/>
      </c>
      <c r="CC57" s="24" t="str">
        <f t="shared" si="101"/>
        <v/>
      </c>
      <c r="CD57" s="24" t="str">
        <f t="shared" si="102"/>
        <v/>
      </c>
      <c r="CE57" s="24" t="str">
        <f t="shared" si="103"/>
        <v/>
      </c>
      <c r="CF57" s="24" t="str">
        <f t="shared" si="104"/>
        <v/>
      </c>
      <c r="CG57" s="24" t="str">
        <f t="shared" si="105"/>
        <v/>
      </c>
      <c r="CH57" s="24" t="str">
        <f t="shared" si="106"/>
        <v/>
      </c>
      <c r="CI57" s="24" t="str">
        <f t="shared" si="155"/>
        <v/>
      </c>
      <c r="CJ57" s="24" t="str">
        <f t="shared" si="83"/>
        <v/>
      </c>
      <c r="CK57" s="26" t="str">
        <f t="shared" si="156"/>
        <v/>
      </c>
      <c r="CL57" s="26" t="str">
        <f t="shared" si="84"/>
        <v/>
      </c>
      <c r="CM57" s="24" t="str">
        <f t="shared" si="85"/>
        <v/>
      </c>
      <c r="CN57" s="26" t="str">
        <f t="shared" si="157"/>
        <v/>
      </c>
      <c r="CO57" s="24" t="str">
        <f t="shared" si="158"/>
        <v/>
      </c>
      <c r="CP57" s="26" t="str">
        <f t="shared" si="159"/>
        <v/>
      </c>
      <c r="CQ57" s="26" t="str">
        <f t="shared" si="160"/>
        <v/>
      </c>
      <c r="CR57" s="26" t="str">
        <f t="shared" si="86"/>
        <v/>
      </c>
      <c r="CS57" s="24" t="str">
        <f t="shared" si="87"/>
        <v/>
      </c>
      <c r="CT57" s="27" t="str">
        <f t="shared" si="161"/>
        <v/>
      </c>
      <c r="CU57" s="24" t="str">
        <f t="shared" si="162"/>
        <v/>
      </c>
      <c r="CV57" s="27" t="str">
        <f t="shared" si="163"/>
        <v/>
      </c>
      <c r="CW57" s="27" t="str">
        <f t="shared" si="164"/>
        <v/>
      </c>
      <c r="CX57" s="26" t="str">
        <f t="shared" si="88"/>
        <v/>
      </c>
      <c r="CY57" s="27" t="str">
        <f t="shared" si="89"/>
        <v/>
      </c>
      <c r="CZ57" s="26" t="str">
        <f t="shared" si="165"/>
        <v/>
      </c>
      <c r="DA57" s="24" t="str">
        <f t="shared" si="166"/>
        <v/>
      </c>
      <c r="DB57" s="24" t="str">
        <f t="shared" si="167"/>
        <v/>
      </c>
      <c r="DC57" s="24" t="str">
        <f t="shared" si="168"/>
        <v/>
      </c>
      <c r="DD57" s="24" t="str">
        <f t="shared" si="169"/>
        <v/>
      </c>
      <c r="DE57" s="1">
        <v>0</v>
      </c>
      <c r="DF57" s="1">
        <v>0</v>
      </c>
      <c r="DG57" s="1">
        <v>0</v>
      </c>
      <c r="DH57" s="24" t="str">
        <f t="shared" si="170"/>
        <v/>
      </c>
      <c r="DI57" s="25" t="str">
        <f t="shared" si="171"/>
        <v/>
      </c>
      <c r="DJ57" t="str">
        <f t="shared" si="172"/>
        <v/>
      </c>
      <c r="DK57" s="9"/>
      <c r="DL57" s="9"/>
      <c r="DM57" s="9"/>
      <c r="DN57" s="9"/>
      <c r="DO57" s="9"/>
      <c r="DP57" s="9"/>
      <c r="DQ57" s="136" t="b">
        <f t="shared" si="173"/>
        <v>1</v>
      </c>
    </row>
    <row r="58" spans="1:121" ht="27" customHeight="1" x14ac:dyDescent="1.25">
      <c r="A58" s="24" t="str">
        <f t="shared" si="90"/>
        <v/>
      </c>
      <c r="B58" s="69"/>
      <c r="C58" s="70"/>
      <c r="D58" s="69"/>
      <c r="E58" s="69"/>
      <c r="F58" s="69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10"/>
      <c r="U58" s="22"/>
      <c r="V58" s="22"/>
      <c r="W58" s="3" t="str">
        <f t="shared" si="107"/>
        <v/>
      </c>
      <c r="X58" s="3" t="str">
        <f t="shared" si="108"/>
        <v/>
      </c>
      <c r="Y58" s="3" t="str">
        <f t="shared" si="109"/>
        <v/>
      </c>
      <c r="Z58" s="3" t="str">
        <f t="shared" si="110"/>
        <v/>
      </c>
      <c r="AA58" s="3" t="str">
        <f t="shared" si="111"/>
        <v/>
      </c>
      <c r="AB58" s="3" t="str">
        <f t="shared" si="112"/>
        <v/>
      </c>
      <c r="AC58" s="3" t="str">
        <f t="shared" si="113"/>
        <v/>
      </c>
      <c r="AD58" s="3" t="str">
        <f t="shared" si="114"/>
        <v/>
      </c>
      <c r="AE58" s="3" t="str">
        <f t="shared" si="115"/>
        <v/>
      </c>
      <c r="AF58" s="24" t="str">
        <f t="shared" si="116"/>
        <v/>
      </c>
      <c r="AG58" s="24" t="str">
        <f t="shared" si="117"/>
        <v/>
      </c>
      <c r="AH58" s="24" t="str">
        <f t="shared" si="118"/>
        <v/>
      </c>
      <c r="AI58" s="24" t="str">
        <f t="shared" si="119"/>
        <v/>
      </c>
      <c r="AJ58" s="24" t="str">
        <f t="shared" si="120"/>
        <v/>
      </c>
      <c r="AK58" s="24" t="str">
        <f t="shared" si="121"/>
        <v/>
      </c>
      <c r="AL58" s="24" t="str">
        <f t="shared" si="122"/>
        <v/>
      </c>
      <c r="AM58" s="24" t="str">
        <f t="shared" si="123"/>
        <v/>
      </c>
      <c r="AN58" s="24" t="str">
        <f t="shared" si="124"/>
        <v/>
      </c>
      <c r="AO58" s="24" t="str">
        <f t="shared" si="125"/>
        <v/>
      </c>
      <c r="AP58" s="24" t="str">
        <f t="shared" si="126"/>
        <v/>
      </c>
      <c r="AQ58" s="24" t="str">
        <f t="shared" si="127"/>
        <v/>
      </c>
      <c r="AR58" s="24" t="str">
        <f t="shared" si="128"/>
        <v/>
      </c>
      <c r="AS58" s="24" t="str">
        <f t="shared" si="129"/>
        <v/>
      </c>
      <c r="AT58" s="24" t="str">
        <f t="shared" si="130"/>
        <v/>
      </c>
      <c r="AU58" s="24" t="str">
        <f t="shared" si="131"/>
        <v/>
      </c>
      <c r="AV58" s="24" t="str">
        <f t="shared" si="132"/>
        <v/>
      </c>
      <c r="AW58" s="24" t="str">
        <f t="shared" si="133"/>
        <v/>
      </c>
      <c r="AX58" s="24" t="str">
        <f t="shared" si="134"/>
        <v/>
      </c>
      <c r="AY58" s="24" t="str">
        <f t="shared" si="135"/>
        <v/>
      </c>
      <c r="AZ58" s="24" t="str">
        <f t="shared" si="136"/>
        <v/>
      </c>
      <c r="BA58" s="24" t="str">
        <f t="shared" si="137"/>
        <v/>
      </c>
      <c r="BB58" s="24" t="str">
        <f t="shared" si="138"/>
        <v/>
      </c>
      <c r="BC58" s="24" t="str">
        <f t="shared" si="139"/>
        <v/>
      </c>
      <c r="BD58" s="24" t="str">
        <f t="shared" si="140"/>
        <v/>
      </c>
      <c r="BE58" s="24" t="str">
        <f t="shared" si="141"/>
        <v/>
      </c>
      <c r="BF58" s="24" t="str">
        <f t="shared" si="142"/>
        <v/>
      </c>
      <c r="BG58" s="24" t="str">
        <f t="shared" si="143"/>
        <v/>
      </c>
      <c r="BH58" s="24" t="str">
        <f t="shared" si="144"/>
        <v/>
      </c>
      <c r="BI58" s="24" t="str">
        <f t="shared" si="145"/>
        <v/>
      </c>
      <c r="BJ58" s="24" t="str">
        <f t="shared" si="146"/>
        <v/>
      </c>
      <c r="BK58" s="24" t="str">
        <f t="shared" si="147"/>
        <v/>
      </c>
      <c r="BL58" s="26" t="str">
        <f t="shared" si="148"/>
        <v/>
      </c>
      <c r="BM58" s="26" t="str">
        <f t="shared" si="149"/>
        <v/>
      </c>
      <c r="BN58" s="26" t="str">
        <f t="shared" si="150"/>
        <v/>
      </c>
      <c r="BO58" s="26" t="str">
        <f t="shared" si="151"/>
        <v/>
      </c>
      <c r="BP58" s="26" t="str">
        <f t="shared" si="152"/>
        <v/>
      </c>
      <c r="BQ58" s="26" t="str">
        <f t="shared" si="153"/>
        <v/>
      </c>
      <c r="BR58" s="26" t="str">
        <f t="shared" si="154"/>
        <v/>
      </c>
      <c r="BS58" s="24" t="str">
        <f t="shared" si="91"/>
        <v/>
      </c>
      <c r="BT58" s="24" t="str">
        <f t="shared" si="92"/>
        <v/>
      </c>
      <c r="BU58" s="24" t="str">
        <f t="shared" si="93"/>
        <v/>
      </c>
      <c r="BV58" s="24" t="str">
        <f t="shared" si="94"/>
        <v/>
      </c>
      <c r="BW58" s="24" t="str">
        <f t="shared" si="95"/>
        <v/>
      </c>
      <c r="BX58" s="24" t="str">
        <f t="shared" si="96"/>
        <v/>
      </c>
      <c r="BY58" s="24" t="str">
        <f t="shared" si="97"/>
        <v/>
      </c>
      <c r="BZ58" s="24" t="str">
        <f t="shared" si="98"/>
        <v/>
      </c>
      <c r="CA58" s="24" t="str">
        <f t="shared" si="99"/>
        <v/>
      </c>
      <c r="CB58" s="24" t="str">
        <f t="shared" si="100"/>
        <v/>
      </c>
      <c r="CC58" s="24" t="str">
        <f t="shared" si="101"/>
        <v/>
      </c>
      <c r="CD58" s="24" t="str">
        <f t="shared" si="102"/>
        <v/>
      </c>
      <c r="CE58" s="24" t="str">
        <f t="shared" si="103"/>
        <v/>
      </c>
      <c r="CF58" s="24" t="str">
        <f t="shared" si="104"/>
        <v/>
      </c>
      <c r="CG58" s="24" t="str">
        <f t="shared" si="105"/>
        <v/>
      </c>
      <c r="CH58" s="24" t="str">
        <f t="shared" si="106"/>
        <v/>
      </c>
      <c r="CI58" s="24" t="str">
        <f t="shared" si="155"/>
        <v/>
      </c>
      <c r="CJ58" s="24" t="str">
        <f t="shared" si="83"/>
        <v/>
      </c>
      <c r="CK58" s="26" t="str">
        <f t="shared" si="156"/>
        <v/>
      </c>
      <c r="CL58" s="26" t="str">
        <f t="shared" si="84"/>
        <v/>
      </c>
      <c r="CM58" s="24" t="str">
        <f t="shared" si="85"/>
        <v/>
      </c>
      <c r="CN58" s="26" t="str">
        <f t="shared" si="157"/>
        <v/>
      </c>
      <c r="CO58" s="24" t="str">
        <f t="shared" si="158"/>
        <v/>
      </c>
      <c r="CP58" s="26" t="str">
        <f t="shared" si="159"/>
        <v/>
      </c>
      <c r="CQ58" s="26" t="str">
        <f t="shared" si="160"/>
        <v/>
      </c>
      <c r="CR58" s="26" t="str">
        <f t="shared" si="86"/>
        <v/>
      </c>
      <c r="CS58" s="24" t="str">
        <f t="shared" si="87"/>
        <v/>
      </c>
      <c r="CT58" s="27" t="str">
        <f t="shared" si="161"/>
        <v/>
      </c>
      <c r="CU58" s="24" t="str">
        <f t="shared" si="162"/>
        <v/>
      </c>
      <c r="CV58" s="27" t="str">
        <f t="shared" si="163"/>
        <v/>
      </c>
      <c r="CW58" s="27" t="str">
        <f t="shared" si="164"/>
        <v/>
      </c>
      <c r="CX58" s="26" t="str">
        <f t="shared" si="88"/>
        <v/>
      </c>
      <c r="CY58" s="27" t="str">
        <f t="shared" si="89"/>
        <v/>
      </c>
      <c r="CZ58" s="26" t="str">
        <f t="shared" si="165"/>
        <v/>
      </c>
      <c r="DA58" s="24" t="str">
        <f t="shared" si="166"/>
        <v/>
      </c>
      <c r="DB58" s="24" t="str">
        <f t="shared" si="167"/>
        <v/>
      </c>
      <c r="DC58" s="24" t="str">
        <f t="shared" si="168"/>
        <v/>
      </c>
      <c r="DD58" s="24" t="str">
        <f t="shared" si="169"/>
        <v/>
      </c>
      <c r="DE58" s="1">
        <v>0</v>
      </c>
      <c r="DF58" s="1">
        <v>0</v>
      </c>
      <c r="DG58" s="1">
        <v>0</v>
      </c>
      <c r="DH58" s="24" t="str">
        <f t="shared" si="170"/>
        <v/>
      </c>
      <c r="DI58" s="25" t="str">
        <f t="shared" si="171"/>
        <v/>
      </c>
      <c r="DJ58" t="str">
        <f t="shared" si="172"/>
        <v/>
      </c>
      <c r="DK58" s="9"/>
      <c r="DL58" s="9"/>
      <c r="DM58" s="9"/>
      <c r="DN58" s="9"/>
      <c r="DO58" s="9"/>
      <c r="DP58" s="9"/>
      <c r="DQ58" s="136" t="b">
        <f t="shared" si="173"/>
        <v>1</v>
      </c>
    </row>
    <row r="59" spans="1:121" ht="27" customHeight="1" x14ac:dyDescent="1.25">
      <c r="A59" s="24" t="str">
        <f t="shared" si="90"/>
        <v/>
      </c>
      <c r="B59" s="69"/>
      <c r="C59" s="70"/>
      <c r="D59" s="69"/>
      <c r="E59" s="69"/>
      <c r="F59" s="69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10"/>
      <c r="U59" s="22"/>
      <c r="V59" s="22"/>
      <c r="W59" s="3" t="str">
        <f t="shared" si="107"/>
        <v/>
      </c>
      <c r="X59" s="3" t="str">
        <f t="shared" si="108"/>
        <v/>
      </c>
      <c r="Y59" s="3" t="str">
        <f t="shared" si="109"/>
        <v/>
      </c>
      <c r="Z59" s="3" t="str">
        <f t="shared" si="110"/>
        <v/>
      </c>
      <c r="AA59" s="3" t="str">
        <f t="shared" si="111"/>
        <v/>
      </c>
      <c r="AB59" s="3" t="str">
        <f t="shared" si="112"/>
        <v/>
      </c>
      <c r="AC59" s="3" t="str">
        <f t="shared" si="113"/>
        <v/>
      </c>
      <c r="AD59" s="3" t="str">
        <f t="shared" si="114"/>
        <v/>
      </c>
      <c r="AE59" s="3" t="str">
        <f t="shared" si="115"/>
        <v/>
      </c>
      <c r="AF59" s="24" t="str">
        <f t="shared" si="116"/>
        <v/>
      </c>
      <c r="AG59" s="24" t="str">
        <f t="shared" si="117"/>
        <v/>
      </c>
      <c r="AH59" s="24" t="str">
        <f t="shared" si="118"/>
        <v/>
      </c>
      <c r="AI59" s="24" t="str">
        <f t="shared" si="119"/>
        <v/>
      </c>
      <c r="AJ59" s="24" t="str">
        <f t="shared" si="120"/>
        <v/>
      </c>
      <c r="AK59" s="24" t="str">
        <f t="shared" si="121"/>
        <v/>
      </c>
      <c r="AL59" s="24" t="str">
        <f t="shared" si="122"/>
        <v/>
      </c>
      <c r="AM59" s="24" t="str">
        <f t="shared" si="123"/>
        <v/>
      </c>
      <c r="AN59" s="24" t="str">
        <f t="shared" si="124"/>
        <v/>
      </c>
      <c r="AO59" s="24" t="str">
        <f t="shared" si="125"/>
        <v/>
      </c>
      <c r="AP59" s="24" t="str">
        <f t="shared" si="126"/>
        <v/>
      </c>
      <c r="AQ59" s="24" t="str">
        <f t="shared" si="127"/>
        <v/>
      </c>
      <c r="AR59" s="24" t="str">
        <f t="shared" si="128"/>
        <v/>
      </c>
      <c r="AS59" s="24" t="str">
        <f t="shared" si="129"/>
        <v/>
      </c>
      <c r="AT59" s="24" t="str">
        <f t="shared" si="130"/>
        <v/>
      </c>
      <c r="AU59" s="24" t="str">
        <f t="shared" si="131"/>
        <v/>
      </c>
      <c r="AV59" s="24" t="str">
        <f t="shared" si="132"/>
        <v/>
      </c>
      <c r="AW59" s="24" t="str">
        <f t="shared" si="133"/>
        <v/>
      </c>
      <c r="AX59" s="24" t="str">
        <f t="shared" si="134"/>
        <v/>
      </c>
      <c r="AY59" s="24" t="str">
        <f t="shared" si="135"/>
        <v/>
      </c>
      <c r="AZ59" s="24" t="str">
        <f t="shared" si="136"/>
        <v/>
      </c>
      <c r="BA59" s="24" t="str">
        <f t="shared" si="137"/>
        <v/>
      </c>
      <c r="BB59" s="24" t="str">
        <f t="shared" si="138"/>
        <v/>
      </c>
      <c r="BC59" s="24" t="str">
        <f t="shared" si="139"/>
        <v/>
      </c>
      <c r="BD59" s="24" t="str">
        <f t="shared" si="140"/>
        <v/>
      </c>
      <c r="BE59" s="24" t="str">
        <f t="shared" si="141"/>
        <v/>
      </c>
      <c r="BF59" s="24" t="str">
        <f t="shared" si="142"/>
        <v/>
      </c>
      <c r="BG59" s="24" t="str">
        <f t="shared" si="143"/>
        <v/>
      </c>
      <c r="BH59" s="24" t="str">
        <f t="shared" si="144"/>
        <v/>
      </c>
      <c r="BI59" s="24" t="str">
        <f t="shared" si="145"/>
        <v/>
      </c>
      <c r="BJ59" s="24" t="str">
        <f t="shared" si="146"/>
        <v/>
      </c>
      <c r="BK59" s="24" t="str">
        <f t="shared" si="147"/>
        <v/>
      </c>
      <c r="BL59" s="26" t="str">
        <f t="shared" si="148"/>
        <v/>
      </c>
      <c r="BM59" s="26" t="str">
        <f t="shared" si="149"/>
        <v/>
      </c>
      <c r="BN59" s="26" t="str">
        <f t="shared" si="150"/>
        <v/>
      </c>
      <c r="BO59" s="26" t="str">
        <f t="shared" si="151"/>
        <v/>
      </c>
      <c r="BP59" s="26" t="str">
        <f t="shared" si="152"/>
        <v/>
      </c>
      <c r="BQ59" s="26" t="str">
        <f t="shared" si="153"/>
        <v/>
      </c>
      <c r="BR59" s="26" t="str">
        <f t="shared" si="154"/>
        <v/>
      </c>
      <c r="BS59" s="24" t="str">
        <f t="shared" si="91"/>
        <v/>
      </c>
      <c r="BT59" s="24" t="str">
        <f t="shared" si="92"/>
        <v/>
      </c>
      <c r="BU59" s="24" t="str">
        <f t="shared" si="93"/>
        <v/>
      </c>
      <c r="BV59" s="24" t="str">
        <f t="shared" si="94"/>
        <v/>
      </c>
      <c r="BW59" s="24" t="str">
        <f t="shared" si="95"/>
        <v/>
      </c>
      <c r="BX59" s="24" t="str">
        <f t="shared" si="96"/>
        <v/>
      </c>
      <c r="BY59" s="24" t="str">
        <f t="shared" si="97"/>
        <v/>
      </c>
      <c r="BZ59" s="24" t="str">
        <f t="shared" si="98"/>
        <v/>
      </c>
      <c r="CA59" s="24" t="str">
        <f t="shared" si="99"/>
        <v/>
      </c>
      <c r="CB59" s="24" t="str">
        <f t="shared" si="100"/>
        <v/>
      </c>
      <c r="CC59" s="24" t="str">
        <f t="shared" si="101"/>
        <v/>
      </c>
      <c r="CD59" s="24" t="str">
        <f t="shared" si="102"/>
        <v/>
      </c>
      <c r="CE59" s="24" t="str">
        <f t="shared" si="103"/>
        <v/>
      </c>
      <c r="CF59" s="24" t="str">
        <f t="shared" si="104"/>
        <v/>
      </c>
      <c r="CG59" s="24" t="str">
        <f t="shared" si="105"/>
        <v/>
      </c>
      <c r="CH59" s="24" t="str">
        <f t="shared" si="106"/>
        <v/>
      </c>
      <c r="CI59" s="24" t="str">
        <f t="shared" si="155"/>
        <v/>
      </c>
      <c r="CJ59" s="24" t="str">
        <f t="shared" si="83"/>
        <v/>
      </c>
      <c r="CK59" s="26" t="str">
        <f t="shared" si="156"/>
        <v/>
      </c>
      <c r="CL59" s="26" t="str">
        <f t="shared" si="84"/>
        <v/>
      </c>
      <c r="CM59" s="24" t="str">
        <f t="shared" si="85"/>
        <v/>
      </c>
      <c r="CN59" s="26" t="str">
        <f t="shared" si="157"/>
        <v/>
      </c>
      <c r="CO59" s="24" t="str">
        <f t="shared" si="158"/>
        <v/>
      </c>
      <c r="CP59" s="26" t="str">
        <f t="shared" si="159"/>
        <v/>
      </c>
      <c r="CQ59" s="26" t="str">
        <f t="shared" si="160"/>
        <v/>
      </c>
      <c r="CR59" s="26" t="str">
        <f t="shared" si="86"/>
        <v/>
      </c>
      <c r="CS59" s="24" t="str">
        <f t="shared" si="87"/>
        <v/>
      </c>
      <c r="CT59" s="27" t="str">
        <f t="shared" si="161"/>
        <v/>
      </c>
      <c r="CU59" s="24" t="str">
        <f t="shared" si="162"/>
        <v/>
      </c>
      <c r="CV59" s="27" t="str">
        <f t="shared" si="163"/>
        <v/>
      </c>
      <c r="CW59" s="27" t="str">
        <f t="shared" si="164"/>
        <v/>
      </c>
      <c r="CX59" s="26" t="str">
        <f t="shared" si="88"/>
        <v/>
      </c>
      <c r="CY59" s="27" t="str">
        <f t="shared" si="89"/>
        <v/>
      </c>
      <c r="CZ59" s="26" t="str">
        <f t="shared" si="165"/>
        <v/>
      </c>
      <c r="DA59" s="24" t="str">
        <f t="shared" si="166"/>
        <v/>
      </c>
      <c r="DB59" s="24" t="str">
        <f t="shared" si="167"/>
        <v/>
      </c>
      <c r="DC59" s="24" t="str">
        <f t="shared" si="168"/>
        <v/>
      </c>
      <c r="DD59" s="24" t="str">
        <f t="shared" si="169"/>
        <v/>
      </c>
      <c r="DE59" s="1">
        <v>0</v>
      </c>
      <c r="DF59" s="1">
        <v>0</v>
      </c>
      <c r="DG59" s="1">
        <v>0</v>
      </c>
      <c r="DH59" s="24" t="str">
        <f t="shared" si="170"/>
        <v/>
      </c>
      <c r="DI59" s="25" t="str">
        <f t="shared" si="171"/>
        <v/>
      </c>
      <c r="DJ59" t="str">
        <f t="shared" si="172"/>
        <v/>
      </c>
      <c r="DK59" s="9"/>
      <c r="DL59" s="9"/>
      <c r="DM59" s="9"/>
      <c r="DN59" s="9"/>
      <c r="DO59" s="9"/>
      <c r="DP59" s="9"/>
      <c r="DQ59" s="136" t="b">
        <f t="shared" si="173"/>
        <v>1</v>
      </c>
    </row>
    <row r="60" spans="1:121" ht="27" customHeight="1" x14ac:dyDescent="0.95">
      <c r="A60" s="24" t="str">
        <f t="shared" si="90"/>
        <v/>
      </c>
      <c r="B60" s="9"/>
      <c r="C60" s="32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10"/>
      <c r="Q60" s="10"/>
      <c r="R60" s="10"/>
      <c r="S60" s="10"/>
      <c r="T60" s="10"/>
      <c r="U60" s="10"/>
      <c r="V60" s="10"/>
      <c r="W60" s="3" t="str">
        <f t="shared" si="107"/>
        <v/>
      </c>
      <c r="X60" s="3" t="str">
        <f t="shared" si="108"/>
        <v/>
      </c>
      <c r="Y60" s="3" t="str">
        <f t="shared" si="109"/>
        <v/>
      </c>
      <c r="Z60" s="3" t="str">
        <f t="shared" si="110"/>
        <v/>
      </c>
      <c r="AA60" s="3" t="str">
        <f t="shared" si="111"/>
        <v/>
      </c>
      <c r="AB60" s="3" t="str">
        <f t="shared" si="112"/>
        <v/>
      </c>
      <c r="AC60" s="3" t="str">
        <f t="shared" si="113"/>
        <v/>
      </c>
      <c r="AD60" s="3" t="str">
        <f t="shared" si="114"/>
        <v/>
      </c>
      <c r="AE60" s="3" t="str">
        <f t="shared" si="115"/>
        <v/>
      </c>
      <c r="AF60" s="24" t="str">
        <f t="shared" si="116"/>
        <v/>
      </c>
      <c r="AG60" s="24" t="str">
        <f t="shared" si="117"/>
        <v/>
      </c>
      <c r="AH60" s="24" t="str">
        <f t="shared" si="118"/>
        <v/>
      </c>
      <c r="AI60" s="24" t="str">
        <f t="shared" si="119"/>
        <v/>
      </c>
      <c r="AJ60" s="24" t="str">
        <f t="shared" si="120"/>
        <v/>
      </c>
      <c r="AK60" s="24" t="str">
        <f t="shared" si="121"/>
        <v/>
      </c>
      <c r="AL60" s="24" t="str">
        <f t="shared" si="122"/>
        <v/>
      </c>
      <c r="AM60" s="24" t="str">
        <f t="shared" si="123"/>
        <v/>
      </c>
      <c r="AN60" s="24" t="str">
        <f t="shared" si="124"/>
        <v/>
      </c>
      <c r="AO60" s="24" t="str">
        <f t="shared" si="125"/>
        <v/>
      </c>
      <c r="AP60" s="24" t="str">
        <f t="shared" si="126"/>
        <v/>
      </c>
      <c r="AQ60" s="24" t="str">
        <f t="shared" si="127"/>
        <v/>
      </c>
      <c r="AR60" s="24" t="str">
        <f t="shared" si="128"/>
        <v/>
      </c>
      <c r="AS60" s="24" t="str">
        <f t="shared" si="129"/>
        <v/>
      </c>
      <c r="AT60" s="24" t="str">
        <f t="shared" si="130"/>
        <v/>
      </c>
      <c r="AU60" s="24" t="str">
        <f t="shared" si="131"/>
        <v/>
      </c>
      <c r="AV60" s="24" t="str">
        <f t="shared" si="132"/>
        <v/>
      </c>
      <c r="AW60" s="24" t="str">
        <f t="shared" si="133"/>
        <v/>
      </c>
      <c r="AX60" s="24" t="str">
        <f t="shared" si="134"/>
        <v/>
      </c>
      <c r="AY60" s="24" t="str">
        <f t="shared" si="135"/>
        <v/>
      </c>
      <c r="AZ60" s="24" t="str">
        <f t="shared" si="136"/>
        <v/>
      </c>
      <c r="BA60" s="24" t="str">
        <f t="shared" si="137"/>
        <v/>
      </c>
      <c r="BB60" s="24" t="str">
        <f t="shared" si="138"/>
        <v/>
      </c>
      <c r="BC60" s="24" t="str">
        <f t="shared" si="139"/>
        <v/>
      </c>
      <c r="BD60" s="24" t="str">
        <f t="shared" si="140"/>
        <v/>
      </c>
      <c r="BE60" s="24" t="str">
        <f t="shared" si="141"/>
        <v/>
      </c>
      <c r="BF60" s="24" t="str">
        <f t="shared" si="142"/>
        <v/>
      </c>
      <c r="BG60" s="24" t="str">
        <f t="shared" si="143"/>
        <v/>
      </c>
      <c r="BH60" s="24" t="str">
        <f t="shared" si="144"/>
        <v/>
      </c>
      <c r="BI60" s="24" t="str">
        <f t="shared" si="145"/>
        <v/>
      </c>
      <c r="BJ60" s="24" t="str">
        <f t="shared" si="146"/>
        <v/>
      </c>
      <c r="BK60" s="24" t="str">
        <f t="shared" si="147"/>
        <v/>
      </c>
      <c r="BL60" s="26" t="str">
        <f t="shared" si="148"/>
        <v/>
      </c>
      <c r="BM60" s="26" t="str">
        <f t="shared" si="149"/>
        <v/>
      </c>
      <c r="BN60" s="26" t="str">
        <f t="shared" si="150"/>
        <v/>
      </c>
      <c r="BO60" s="26" t="str">
        <f t="shared" si="151"/>
        <v/>
      </c>
      <c r="BP60" s="26" t="str">
        <f t="shared" si="152"/>
        <v/>
      </c>
      <c r="BQ60" s="26" t="str">
        <f t="shared" si="153"/>
        <v/>
      </c>
      <c r="BR60" s="26" t="str">
        <f t="shared" si="154"/>
        <v/>
      </c>
      <c r="BS60" s="26" t="str">
        <f t="shared" si="91"/>
        <v/>
      </c>
      <c r="BT60" s="26" t="str">
        <f t="shared" si="92"/>
        <v/>
      </c>
      <c r="BU60" s="26" t="str">
        <f t="shared" si="93"/>
        <v/>
      </c>
      <c r="BV60" s="26" t="str">
        <f t="shared" si="94"/>
        <v/>
      </c>
      <c r="BW60" s="26" t="str">
        <f t="shared" si="95"/>
        <v/>
      </c>
      <c r="BX60" s="26" t="str">
        <f t="shared" si="96"/>
        <v/>
      </c>
      <c r="BY60" s="26" t="str">
        <f t="shared" si="97"/>
        <v/>
      </c>
      <c r="BZ60" s="26" t="str">
        <f t="shared" si="98"/>
        <v/>
      </c>
      <c r="CA60" s="26" t="str">
        <f t="shared" si="99"/>
        <v/>
      </c>
      <c r="CB60" s="24" t="str">
        <f t="shared" si="100"/>
        <v/>
      </c>
      <c r="CC60" s="24" t="str">
        <f t="shared" si="101"/>
        <v/>
      </c>
      <c r="CD60" s="24" t="str">
        <f t="shared" si="102"/>
        <v/>
      </c>
      <c r="CE60" s="24" t="str">
        <f t="shared" si="103"/>
        <v/>
      </c>
      <c r="CF60" s="24" t="str">
        <f t="shared" si="104"/>
        <v/>
      </c>
      <c r="CG60" s="24" t="str">
        <f t="shared" si="105"/>
        <v/>
      </c>
      <c r="CH60" s="24" t="str">
        <f t="shared" si="106"/>
        <v/>
      </c>
      <c r="CI60" s="24" t="str">
        <f t="shared" si="155"/>
        <v/>
      </c>
      <c r="CJ60" s="24" t="str">
        <f t="shared" si="83"/>
        <v/>
      </c>
      <c r="CK60" s="26" t="str">
        <f t="shared" si="156"/>
        <v/>
      </c>
      <c r="CL60" s="26" t="str">
        <f t="shared" si="84"/>
        <v/>
      </c>
      <c r="CM60" s="24" t="str">
        <f t="shared" si="85"/>
        <v/>
      </c>
      <c r="CN60" s="26" t="str">
        <f t="shared" si="157"/>
        <v/>
      </c>
      <c r="CO60" s="24" t="str">
        <f t="shared" si="158"/>
        <v/>
      </c>
      <c r="CP60" s="26" t="str">
        <f t="shared" si="159"/>
        <v/>
      </c>
      <c r="CQ60" s="26" t="str">
        <f t="shared" si="160"/>
        <v/>
      </c>
      <c r="CR60" s="26" t="str">
        <f t="shared" si="86"/>
        <v/>
      </c>
      <c r="CS60" s="24" t="str">
        <f t="shared" si="87"/>
        <v/>
      </c>
      <c r="CT60" s="27" t="str">
        <f t="shared" si="161"/>
        <v/>
      </c>
      <c r="CU60" s="24" t="str">
        <f t="shared" si="162"/>
        <v/>
      </c>
      <c r="CV60" s="27" t="str">
        <f t="shared" si="163"/>
        <v/>
      </c>
      <c r="CW60" s="27" t="str">
        <f t="shared" si="164"/>
        <v/>
      </c>
      <c r="CX60" s="26" t="str">
        <f t="shared" si="88"/>
        <v/>
      </c>
      <c r="CY60" s="27" t="str">
        <f t="shared" si="89"/>
        <v/>
      </c>
      <c r="CZ60" s="26" t="str">
        <f t="shared" si="165"/>
        <v/>
      </c>
      <c r="DA60" s="24" t="str">
        <f t="shared" si="166"/>
        <v/>
      </c>
      <c r="DB60" s="24" t="str">
        <f t="shared" si="167"/>
        <v/>
      </c>
      <c r="DC60" s="24" t="str">
        <f t="shared" si="168"/>
        <v/>
      </c>
      <c r="DD60" s="24" t="str">
        <f t="shared" si="169"/>
        <v/>
      </c>
      <c r="DE60" s="1">
        <v>0</v>
      </c>
      <c r="DF60" s="1">
        <v>0</v>
      </c>
      <c r="DG60" s="1">
        <v>0</v>
      </c>
      <c r="DH60" s="24" t="str">
        <f t="shared" si="170"/>
        <v/>
      </c>
      <c r="DI60" s="25" t="str">
        <f t="shared" si="171"/>
        <v/>
      </c>
      <c r="DJ60" t="str">
        <f t="shared" si="172"/>
        <v/>
      </c>
      <c r="DK60" s="9"/>
      <c r="DL60" s="9"/>
      <c r="DM60" s="9"/>
      <c r="DN60" s="9"/>
      <c r="DO60" s="9"/>
      <c r="DP60" s="9"/>
      <c r="DQ60" s="136" t="b">
        <f t="shared" si="173"/>
        <v>1</v>
      </c>
    </row>
    <row r="61" spans="1:121" ht="27" customHeight="1" x14ac:dyDescent="0.95">
      <c r="A61" s="24" t="str">
        <f t="shared" si="90"/>
        <v/>
      </c>
      <c r="B61" s="9"/>
      <c r="C61" s="32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10"/>
      <c r="Q61" s="10"/>
      <c r="R61" s="10"/>
      <c r="S61" s="10"/>
      <c r="T61" s="10"/>
      <c r="U61" s="10"/>
      <c r="V61" s="10"/>
      <c r="W61" s="3" t="str">
        <f t="shared" si="107"/>
        <v/>
      </c>
      <c r="X61" s="3" t="str">
        <f t="shared" si="108"/>
        <v/>
      </c>
      <c r="Y61" s="3" t="str">
        <f t="shared" si="109"/>
        <v/>
      </c>
      <c r="Z61" s="3" t="str">
        <f t="shared" si="110"/>
        <v/>
      </c>
      <c r="AA61" s="3" t="str">
        <f t="shared" si="111"/>
        <v/>
      </c>
      <c r="AB61" s="3" t="str">
        <f t="shared" si="112"/>
        <v/>
      </c>
      <c r="AC61" s="3" t="str">
        <f t="shared" si="113"/>
        <v/>
      </c>
      <c r="AD61" s="3" t="str">
        <f t="shared" si="114"/>
        <v/>
      </c>
      <c r="AE61" s="3" t="str">
        <f t="shared" si="115"/>
        <v/>
      </c>
      <c r="AF61" s="24" t="str">
        <f t="shared" si="116"/>
        <v/>
      </c>
      <c r="AG61" s="24" t="str">
        <f t="shared" si="117"/>
        <v/>
      </c>
      <c r="AH61" s="24" t="str">
        <f t="shared" si="118"/>
        <v/>
      </c>
      <c r="AI61" s="24" t="str">
        <f t="shared" si="119"/>
        <v/>
      </c>
      <c r="AJ61" s="24" t="str">
        <f t="shared" si="120"/>
        <v/>
      </c>
      <c r="AK61" s="24" t="str">
        <f t="shared" si="121"/>
        <v/>
      </c>
      <c r="AL61" s="24" t="str">
        <f t="shared" si="122"/>
        <v/>
      </c>
      <c r="AM61" s="24" t="str">
        <f t="shared" si="123"/>
        <v/>
      </c>
      <c r="AN61" s="24" t="str">
        <f t="shared" si="124"/>
        <v/>
      </c>
      <c r="AO61" s="24" t="str">
        <f t="shared" si="125"/>
        <v/>
      </c>
      <c r="AP61" s="24" t="str">
        <f t="shared" si="126"/>
        <v/>
      </c>
      <c r="AQ61" s="24" t="str">
        <f t="shared" si="127"/>
        <v/>
      </c>
      <c r="AR61" s="24" t="str">
        <f t="shared" si="128"/>
        <v/>
      </c>
      <c r="AS61" s="24" t="str">
        <f t="shared" si="129"/>
        <v/>
      </c>
      <c r="AT61" s="24" t="str">
        <f t="shared" si="130"/>
        <v/>
      </c>
      <c r="AU61" s="24" t="str">
        <f t="shared" si="131"/>
        <v/>
      </c>
      <c r="AV61" s="24" t="str">
        <f t="shared" si="132"/>
        <v/>
      </c>
      <c r="AW61" s="24" t="str">
        <f t="shared" si="133"/>
        <v/>
      </c>
      <c r="AX61" s="24" t="str">
        <f t="shared" si="134"/>
        <v/>
      </c>
      <c r="AY61" s="24" t="str">
        <f t="shared" si="135"/>
        <v/>
      </c>
      <c r="AZ61" s="24" t="str">
        <f t="shared" si="136"/>
        <v/>
      </c>
      <c r="BA61" s="24" t="str">
        <f t="shared" si="137"/>
        <v/>
      </c>
      <c r="BB61" s="24" t="str">
        <f t="shared" si="138"/>
        <v/>
      </c>
      <c r="BC61" s="24" t="str">
        <f t="shared" si="139"/>
        <v/>
      </c>
      <c r="BD61" s="24" t="str">
        <f t="shared" si="140"/>
        <v/>
      </c>
      <c r="BE61" s="24" t="str">
        <f t="shared" si="141"/>
        <v/>
      </c>
      <c r="BF61" s="24" t="str">
        <f t="shared" si="142"/>
        <v/>
      </c>
      <c r="BG61" s="24" t="str">
        <f t="shared" si="143"/>
        <v/>
      </c>
      <c r="BH61" s="24" t="str">
        <f t="shared" si="144"/>
        <v/>
      </c>
      <c r="BI61" s="24" t="str">
        <f t="shared" si="145"/>
        <v/>
      </c>
      <c r="BJ61" s="24" t="str">
        <f t="shared" si="146"/>
        <v/>
      </c>
      <c r="BK61" s="24" t="str">
        <f t="shared" si="147"/>
        <v/>
      </c>
      <c r="BL61" s="26" t="str">
        <f t="shared" si="148"/>
        <v/>
      </c>
      <c r="BM61" s="26" t="str">
        <f t="shared" si="149"/>
        <v/>
      </c>
      <c r="BN61" s="26" t="str">
        <f t="shared" si="150"/>
        <v/>
      </c>
      <c r="BO61" s="26" t="str">
        <f t="shared" si="151"/>
        <v/>
      </c>
      <c r="BP61" s="26" t="str">
        <f t="shared" si="152"/>
        <v/>
      </c>
      <c r="BQ61" s="26" t="str">
        <f t="shared" si="153"/>
        <v/>
      </c>
      <c r="BR61" s="26" t="str">
        <f t="shared" si="154"/>
        <v/>
      </c>
      <c r="BS61" s="26" t="str">
        <f t="shared" si="91"/>
        <v/>
      </c>
      <c r="BT61" s="26" t="str">
        <f t="shared" si="92"/>
        <v/>
      </c>
      <c r="BU61" s="26" t="str">
        <f t="shared" si="93"/>
        <v/>
      </c>
      <c r="BV61" s="26" t="str">
        <f t="shared" si="94"/>
        <v/>
      </c>
      <c r="BW61" s="26" t="str">
        <f t="shared" si="95"/>
        <v/>
      </c>
      <c r="BX61" s="26" t="str">
        <f t="shared" si="96"/>
        <v/>
      </c>
      <c r="BY61" s="26" t="str">
        <f t="shared" si="97"/>
        <v/>
      </c>
      <c r="BZ61" s="26" t="str">
        <f t="shared" si="98"/>
        <v/>
      </c>
      <c r="CA61" s="26" t="str">
        <f t="shared" si="99"/>
        <v/>
      </c>
      <c r="CB61" s="24" t="str">
        <f t="shared" si="100"/>
        <v/>
      </c>
      <c r="CC61" s="24" t="str">
        <f t="shared" si="101"/>
        <v/>
      </c>
      <c r="CD61" s="24" t="str">
        <f t="shared" si="102"/>
        <v/>
      </c>
      <c r="CE61" s="24" t="str">
        <f t="shared" si="103"/>
        <v/>
      </c>
      <c r="CF61" s="24" t="str">
        <f t="shared" si="104"/>
        <v/>
      </c>
      <c r="CG61" s="24" t="str">
        <f t="shared" si="105"/>
        <v/>
      </c>
      <c r="CH61" s="24" t="str">
        <f t="shared" si="106"/>
        <v/>
      </c>
      <c r="CI61" s="24" t="str">
        <f t="shared" si="155"/>
        <v/>
      </c>
      <c r="CJ61" s="24" t="str">
        <f t="shared" si="83"/>
        <v/>
      </c>
      <c r="CK61" s="26" t="str">
        <f t="shared" si="156"/>
        <v/>
      </c>
      <c r="CL61" s="26" t="str">
        <f t="shared" si="84"/>
        <v/>
      </c>
      <c r="CM61" s="24" t="str">
        <f t="shared" si="85"/>
        <v/>
      </c>
      <c r="CN61" s="26" t="str">
        <f t="shared" si="157"/>
        <v/>
      </c>
      <c r="CO61" s="24" t="str">
        <f t="shared" si="158"/>
        <v/>
      </c>
      <c r="CP61" s="26" t="str">
        <f t="shared" si="159"/>
        <v/>
      </c>
      <c r="CQ61" s="26" t="str">
        <f t="shared" si="160"/>
        <v/>
      </c>
      <c r="CR61" s="26" t="str">
        <f t="shared" si="86"/>
        <v/>
      </c>
      <c r="CS61" s="24" t="str">
        <f t="shared" si="87"/>
        <v/>
      </c>
      <c r="CT61" s="27" t="str">
        <f t="shared" si="161"/>
        <v/>
      </c>
      <c r="CU61" s="24" t="str">
        <f t="shared" si="162"/>
        <v/>
      </c>
      <c r="CV61" s="27" t="str">
        <f t="shared" si="163"/>
        <v/>
      </c>
      <c r="CW61" s="27" t="str">
        <f t="shared" si="164"/>
        <v/>
      </c>
      <c r="CX61" s="26" t="str">
        <f t="shared" si="88"/>
        <v/>
      </c>
      <c r="CY61" s="27" t="str">
        <f t="shared" si="89"/>
        <v/>
      </c>
      <c r="CZ61" s="26" t="str">
        <f t="shared" si="165"/>
        <v/>
      </c>
      <c r="DA61" s="24" t="str">
        <f t="shared" si="166"/>
        <v/>
      </c>
      <c r="DB61" s="24" t="str">
        <f t="shared" si="167"/>
        <v/>
      </c>
      <c r="DC61" s="24" t="str">
        <f t="shared" si="168"/>
        <v/>
      </c>
      <c r="DD61" s="24" t="str">
        <f t="shared" si="169"/>
        <v/>
      </c>
      <c r="DE61" s="1">
        <v>0</v>
      </c>
      <c r="DF61" s="1">
        <v>0</v>
      </c>
      <c r="DG61" s="1">
        <v>0</v>
      </c>
      <c r="DH61" s="24" t="str">
        <f t="shared" si="170"/>
        <v/>
      </c>
      <c r="DI61" s="25" t="str">
        <f t="shared" si="171"/>
        <v/>
      </c>
      <c r="DJ61" t="str">
        <f t="shared" si="172"/>
        <v/>
      </c>
      <c r="DK61" s="9"/>
      <c r="DL61" s="9"/>
      <c r="DM61" s="9"/>
      <c r="DN61" s="9"/>
      <c r="DO61" s="9"/>
      <c r="DP61" s="9"/>
      <c r="DQ61" s="136" t="b">
        <f t="shared" si="173"/>
        <v>1</v>
      </c>
    </row>
    <row r="62" spans="1:121" ht="27" customHeight="1" x14ac:dyDescent="0.95">
      <c r="A62" s="24" t="str">
        <f t="shared" si="90"/>
        <v/>
      </c>
      <c r="B62" s="9"/>
      <c r="C62" s="32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10"/>
      <c r="Q62" s="10"/>
      <c r="R62" s="10"/>
      <c r="S62" s="10"/>
      <c r="T62" s="10"/>
      <c r="U62" s="10"/>
      <c r="V62" s="10"/>
      <c r="W62" s="3" t="str">
        <f t="shared" si="107"/>
        <v/>
      </c>
      <c r="X62" s="3" t="str">
        <f t="shared" si="108"/>
        <v/>
      </c>
      <c r="Y62" s="3" t="str">
        <f t="shared" si="109"/>
        <v/>
      </c>
      <c r="Z62" s="3" t="str">
        <f t="shared" si="110"/>
        <v/>
      </c>
      <c r="AA62" s="3" t="str">
        <f t="shared" si="111"/>
        <v/>
      </c>
      <c r="AB62" s="3" t="str">
        <f t="shared" si="112"/>
        <v/>
      </c>
      <c r="AC62" s="3" t="str">
        <f t="shared" si="113"/>
        <v/>
      </c>
      <c r="AD62" s="3" t="str">
        <f t="shared" si="114"/>
        <v/>
      </c>
      <c r="AE62" s="3" t="str">
        <f t="shared" si="115"/>
        <v/>
      </c>
      <c r="AF62" s="24" t="str">
        <f t="shared" si="116"/>
        <v/>
      </c>
      <c r="AG62" s="24" t="str">
        <f t="shared" si="117"/>
        <v/>
      </c>
      <c r="AH62" s="24" t="str">
        <f t="shared" si="118"/>
        <v/>
      </c>
      <c r="AI62" s="24" t="str">
        <f t="shared" si="119"/>
        <v/>
      </c>
      <c r="AJ62" s="24" t="str">
        <f t="shared" si="120"/>
        <v/>
      </c>
      <c r="AK62" s="24" t="str">
        <f t="shared" si="121"/>
        <v/>
      </c>
      <c r="AL62" s="24" t="str">
        <f t="shared" si="122"/>
        <v/>
      </c>
      <c r="AM62" s="24" t="str">
        <f t="shared" si="123"/>
        <v/>
      </c>
      <c r="AN62" s="24" t="str">
        <f t="shared" si="124"/>
        <v/>
      </c>
      <c r="AO62" s="24" t="str">
        <f t="shared" si="125"/>
        <v/>
      </c>
      <c r="AP62" s="24" t="str">
        <f t="shared" si="126"/>
        <v/>
      </c>
      <c r="AQ62" s="24" t="str">
        <f t="shared" si="127"/>
        <v/>
      </c>
      <c r="AR62" s="24" t="str">
        <f t="shared" si="128"/>
        <v/>
      </c>
      <c r="AS62" s="24" t="str">
        <f t="shared" si="129"/>
        <v/>
      </c>
      <c r="AT62" s="24" t="str">
        <f t="shared" si="130"/>
        <v/>
      </c>
      <c r="AU62" s="24" t="str">
        <f t="shared" si="131"/>
        <v/>
      </c>
      <c r="AV62" s="24" t="str">
        <f t="shared" si="132"/>
        <v/>
      </c>
      <c r="AW62" s="24" t="str">
        <f t="shared" si="133"/>
        <v/>
      </c>
      <c r="AX62" s="24" t="str">
        <f t="shared" si="134"/>
        <v/>
      </c>
      <c r="AY62" s="24" t="str">
        <f t="shared" si="135"/>
        <v/>
      </c>
      <c r="AZ62" s="24" t="str">
        <f t="shared" si="136"/>
        <v/>
      </c>
      <c r="BA62" s="24" t="str">
        <f t="shared" si="137"/>
        <v/>
      </c>
      <c r="BB62" s="24" t="str">
        <f t="shared" si="138"/>
        <v/>
      </c>
      <c r="BC62" s="24" t="str">
        <f t="shared" si="139"/>
        <v/>
      </c>
      <c r="BD62" s="24" t="str">
        <f t="shared" si="140"/>
        <v/>
      </c>
      <c r="BE62" s="24" t="str">
        <f t="shared" si="141"/>
        <v/>
      </c>
      <c r="BF62" s="24" t="str">
        <f t="shared" si="142"/>
        <v/>
      </c>
      <c r="BG62" s="24" t="str">
        <f t="shared" si="143"/>
        <v/>
      </c>
      <c r="BH62" s="24" t="str">
        <f t="shared" si="144"/>
        <v/>
      </c>
      <c r="BI62" s="24" t="str">
        <f t="shared" si="145"/>
        <v/>
      </c>
      <c r="BJ62" s="24" t="str">
        <f t="shared" si="146"/>
        <v/>
      </c>
      <c r="BK62" s="24" t="str">
        <f t="shared" si="147"/>
        <v/>
      </c>
      <c r="BL62" s="26" t="str">
        <f t="shared" si="148"/>
        <v/>
      </c>
      <c r="BM62" s="26" t="str">
        <f t="shared" si="149"/>
        <v/>
      </c>
      <c r="BN62" s="26" t="str">
        <f t="shared" si="150"/>
        <v/>
      </c>
      <c r="BO62" s="26" t="str">
        <f t="shared" si="151"/>
        <v/>
      </c>
      <c r="BP62" s="26" t="str">
        <f t="shared" si="152"/>
        <v/>
      </c>
      <c r="BQ62" s="26" t="str">
        <f t="shared" si="153"/>
        <v/>
      </c>
      <c r="BR62" s="26" t="str">
        <f t="shared" si="154"/>
        <v/>
      </c>
      <c r="BS62" s="26" t="str">
        <f t="shared" ref="BS62:BS93" si="174">IF(OR(AM62="",W62=""),"",AM62*(IF(OR(W62="A",W62="a"),4,(IF(OR(W570="B",W62="b"),3,(IF(OR(W62="C",W62="c"),2,(IF(OR(W62="D",W62="d"),1.5,(IF(OR(W62="E",W62="e"),1,(IF(OR(W62="F",W62="f"),0)))))))))))))</f>
        <v/>
      </c>
      <c r="BT62" s="26" t="str">
        <f t="shared" ref="BT62:BT93" si="175">IF(OR(AN62="",X62=""),"",AN62*(IF(OR(X62="A",X62="a"),4,(IF(OR(X570="B",X62="b"),3,(IF(OR(X62="C",X62="c"),2,(IF(OR(X62="D",X62="d"),1.5,(IF(OR(X62="E",X62="e"),1,(IF(OR(X62="F",X62="f"),0)))))))))))))</f>
        <v/>
      </c>
      <c r="BU62" s="26" t="str">
        <f t="shared" ref="BU62:BU93" si="176">IF(OR(AO62="",Y62=""),"",AO62*(IF(OR(Y62="A",Y62="a"),4,(IF(OR(Y570="B",Y62="b"),3,(IF(OR(Y62="C",Y62="c"),2,(IF(OR(Y62="D",Y62="d"),1.5,(IF(OR(Y62="E",Y62="e"),1,(IF(OR(Y62="F",Y62="f"),0)))))))))))))</f>
        <v/>
      </c>
      <c r="BV62" s="26" t="str">
        <f t="shared" ref="BV62:BV93" si="177">IF(OR(AP62="",Z62=""),"",AP62*(IF(OR(Z62="A",Z62="a"),4,(IF(OR(Z570="B",Z62="b"),3,(IF(OR(Z62="C",Z62="c"),2,(IF(OR(Z62="D",Z62="d"),1.5,(IF(OR(Z62="E",Z62="e"),1,(IF(OR(Z62="F",Z62="f"),0)))))))))))))</f>
        <v/>
      </c>
      <c r="BW62" s="26" t="str">
        <f t="shared" ref="BW62:BW93" si="178">IF(OR(AQ62="",AA62=""),"",AQ62*(IF(OR(AA62="A",AA62="a"),4,(IF(OR(AA570="B",AA62="b"),3,(IF(OR(AA62="C",AA62="c"),2,(IF(OR(AA62="D",AA62="d"),1.5,(IF(OR(AA62="E",AA62="e"),1,(IF(OR(AA62="F",AA62="f"),0)))))))))))))</f>
        <v/>
      </c>
      <c r="BX62" s="26" t="str">
        <f t="shared" ref="BX62:BX93" si="179">IF(OR(AR62="",AB62=""),"",AR62*(IF(OR(AB62="A",AB62="a"),4,(IF(OR(AB570="B",AB62="b"),3,(IF(OR(AB62="C",AB62="c"),2,(IF(OR(AB62="D",AB62="d"),1.5,(IF(OR(AB62="E",AB62="e"),1,(IF(OR(AB62="F",AB62="f"),0)))))))))))))</f>
        <v/>
      </c>
      <c r="BY62" s="26" t="str">
        <f t="shared" ref="BY62:BY93" si="180">IF(OR(AS62="",AC62=""),"",AS62*(IF(OR(AC62="A",AC62="a"),4,(IF(OR(AC570="B",AC62="b"),3,(IF(OR(AC62="C",AC62="c"),2,(IF(OR(AC62="D",AC62="d"),1.5,(IF(OR(AC62="E",AC62="e"),1,(IF(OR(AC62="F",AC62="f"),0)))))))))))))</f>
        <v/>
      </c>
      <c r="BZ62" s="26" t="str">
        <f t="shared" ref="BZ62:BZ93" si="181">IF(OR(AT62="",AD62=""),"",AT62*(IF(OR(AD62="A",AD62="a"),4,(IF(OR(AD570="B",AD62="b"),3,(IF(OR(AD62="C",AD62="c"),2,(IF(OR(AD62="D",AD62="d"),1.5,(IF(OR(AD62="E",AD62="e"),1,(IF(OR(AD62="F",AD62="f"),0)))))))))))))</f>
        <v/>
      </c>
      <c r="CA62" s="26" t="str">
        <f t="shared" ref="CA62:CA93" si="182">IF(OR(AU62="",AE62=""),"",AU62*(IF(OR(AE62="A",AE62="a"),4,(IF(OR(AE570="B",AE62="b"),3,(IF(OR(AE62="C",AE62="c"),2,(IF(OR(AE62="D",AE62="d"),1.5,(IF(OR(AE62="E",AE62="e"),1,(IF(OR(AE62="F",AE62="f"),0)))))))))))))</f>
        <v/>
      </c>
      <c r="CB62" s="24" t="str">
        <f t="shared" ref="CB62:CB93" si="183">IF(OR(AV62="",AF62=""),"",AV62*(IF(OR(AF62="A",AF62="a"),4,(IF(OR(AF571="B",AF62="b"),3,(IF(OR(AF62="C",AF62="c"),2,(IF(OR(AF62="D",AF62="d"),1.5,(IF(OR(AF62="E",AF62="e"),1,(IF(OR(AF62="F",AF62="f"),0)))))))))))))</f>
        <v/>
      </c>
      <c r="CC62" s="24" t="str">
        <f t="shared" ref="CC62:CC93" si="184">IF(OR(AW62="",AG62=""),"",AW62*(IF(OR(AG62="A",AG62="a"),4,(IF(OR(AG571="B",AG62="b"),3,(IF(OR(AG62="C",AG62="c"),2,(IF(OR(AG62="D",AG62="d"),1.5,(IF(OR(AG62="E",AG62="e"),1,(IF(OR(AG62="F",AG62="f"),0)))))))))))))</f>
        <v/>
      </c>
      <c r="CD62" s="24" t="str">
        <f t="shared" ref="CD62:CD93" si="185">IF(OR(AX62="",AH62=""),"",AX62*(IF(OR(AH62="A",AH62="a"),4,(IF(OR(AH571="B",AH62="b"),3,(IF(OR(AH62="C",AH62="c"),2,(IF(OR(AH62="D",AH62="d"),1.5,(IF(OR(AH62="E",AH62="e"),1,(IF(OR(AH62="F",AH62="f"),0)))))))))))))</f>
        <v/>
      </c>
      <c r="CE62" s="24" t="str">
        <f t="shared" ref="CE62:CE91" si="186">IF(OR(AY62="",AI62=""),"",AY62*(IF(OR(AI62="A",AI62="a"),4,(IF(OR(AI570="B",AI62="b"),3,(IF(OR(AI62="C",AI62="c"),2,(IF(OR(AI62="D",AI62="d"),1.5,(IF(OR(AI62="E",AI62="e"),1,(IF(OR(AI62="F",AI62="f"),0)))))))))))))</f>
        <v/>
      </c>
      <c r="CF62" s="24" t="str">
        <f t="shared" ref="CF62:CF93" si="187">IF(OR(AZ62="",AJ62=""),"",AZ62*(IF(OR(AJ62="A",AJ62="a"),4,(IF(OR(AJ571="B",AJ62="b"),3,(IF(OR(AJ62="C",AJ62="c"),2,(IF(OR(AJ62="D",AJ62="d"),1.5,(IF(OR(AJ62="E",AJ62="e"),1,(IF(OR(AJ62="F",AJ62="f"),0)))))))))))))</f>
        <v/>
      </c>
      <c r="CG62" s="24" t="str">
        <f t="shared" ref="CG62:CG93" si="188">IF(OR(BA62="",AK62=""),"",BA62*(IF(OR(AK62="A",AK62="a"),4,(IF(OR(AK571="B",AK62="b"),3,(IF(OR(AK62="C",AK62="c"),2,(IF(OR(AK62="D",AK62="d"),1.5,(IF(OR(AK62="E",AK62="e"),1,(IF(OR(AK62="F",AK62="f"),0)))))))))))))</f>
        <v/>
      </c>
      <c r="CH62" s="24" t="str">
        <f t="shared" ref="CH62:CH93" si="189">IF(OR(BB62="",AL62=""),"",BB62*(IF(OR(AL62="A",AL62="a"),4,(IF(OR(AL571="B",AL62="b"),3,(IF(OR(AL62="C",AL62="c"),2,(IF(OR(AL62="D",AL62="d"),1.5,(IF(OR(AL62="E",AL62="e"),1,(IF(OR(AL62="F",AL62="f"),0)))))))))))))</f>
        <v/>
      </c>
      <c r="CI62" s="24" t="str">
        <f t="shared" si="155"/>
        <v/>
      </c>
      <c r="CJ62" s="24" t="str">
        <f t="shared" si="83"/>
        <v/>
      </c>
      <c r="CK62" s="26" t="str">
        <f t="shared" si="156"/>
        <v/>
      </c>
      <c r="CL62" s="26" t="str">
        <f t="shared" si="84"/>
        <v/>
      </c>
      <c r="CM62" s="24" t="str">
        <f t="shared" si="85"/>
        <v/>
      </c>
      <c r="CN62" s="26" t="str">
        <f t="shared" si="157"/>
        <v/>
      </c>
      <c r="CO62" s="24" t="str">
        <f t="shared" si="158"/>
        <v/>
      </c>
      <c r="CP62" s="26" t="str">
        <f t="shared" si="159"/>
        <v/>
      </c>
      <c r="CQ62" s="26" t="str">
        <f t="shared" si="160"/>
        <v/>
      </c>
      <c r="CR62" s="26" t="str">
        <f t="shared" si="86"/>
        <v/>
      </c>
      <c r="CS62" s="24" t="str">
        <f t="shared" si="87"/>
        <v/>
      </c>
      <c r="CT62" s="27" t="str">
        <f t="shared" si="161"/>
        <v/>
      </c>
      <c r="CU62" s="24" t="str">
        <f t="shared" si="162"/>
        <v/>
      </c>
      <c r="CV62" s="27" t="str">
        <f t="shared" si="163"/>
        <v/>
      </c>
      <c r="CW62" s="27" t="str">
        <f t="shared" si="164"/>
        <v/>
      </c>
      <c r="CX62" s="26" t="str">
        <f t="shared" si="88"/>
        <v/>
      </c>
      <c r="CY62" s="27" t="str">
        <f t="shared" si="89"/>
        <v/>
      </c>
      <c r="CZ62" s="26" t="str">
        <f t="shared" si="165"/>
        <v/>
      </c>
      <c r="DA62" s="24" t="str">
        <f t="shared" si="166"/>
        <v/>
      </c>
      <c r="DB62" s="24" t="str">
        <f t="shared" si="167"/>
        <v/>
      </c>
      <c r="DC62" s="24" t="str">
        <f t="shared" si="168"/>
        <v/>
      </c>
      <c r="DD62" s="24" t="str">
        <f t="shared" si="169"/>
        <v/>
      </c>
      <c r="DE62" s="1">
        <v>0</v>
      </c>
      <c r="DF62" s="1">
        <v>0</v>
      </c>
      <c r="DG62" s="1">
        <v>0</v>
      </c>
      <c r="DH62" s="24" t="str">
        <f t="shared" si="170"/>
        <v/>
      </c>
      <c r="DI62" s="25" t="str">
        <f t="shared" si="171"/>
        <v/>
      </c>
      <c r="DJ62" t="str">
        <f t="shared" si="172"/>
        <v/>
      </c>
      <c r="DK62" s="9"/>
      <c r="DL62" s="9"/>
      <c r="DM62" s="9"/>
      <c r="DN62" s="9"/>
      <c r="DO62" s="9"/>
      <c r="DP62" s="9"/>
      <c r="DQ62" s="136" t="b">
        <f t="shared" si="173"/>
        <v>1</v>
      </c>
    </row>
    <row r="63" spans="1:121" ht="27" customHeight="1" x14ac:dyDescent="0.95">
      <c r="A63" s="24" t="str">
        <f t="shared" si="90"/>
        <v/>
      </c>
      <c r="B63" s="9"/>
      <c r="C63" s="32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10"/>
      <c r="Q63" s="10"/>
      <c r="R63" s="10"/>
      <c r="S63" s="10"/>
      <c r="T63" s="10"/>
      <c r="U63" s="10"/>
      <c r="V63" s="10"/>
      <c r="W63" s="3" t="str">
        <f t="shared" si="107"/>
        <v/>
      </c>
      <c r="X63" s="3" t="str">
        <f t="shared" si="108"/>
        <v/>
      </c>
      <c r="Y63" s="3" t="str">
        <f t="shared" si="109"/>
        <v/>
      </c>
      <c r="Z63" s="3" t="str">
        <f t="shared" si="110"/>
        <v/>
      </c>
      <c r="AA63" s="3" t="str">
        <f t="shared" si="111"/>
        <v/>
      </c>
      <c r="AB63" s="3" t="str">
        <f t="shared" si="112"/>
        <v/>
      </c>
      <c r="AC63" s="3" t="str">
        <f t="shared" si="113"/>
        <v/>
      </c>
      <c r="AD63" s="3" t="str">
        <f t="shared" si="114"/>
        <v/>
      </c>
      <c r="AE63" s="3" t="str">
        <f t="shared" si="115"/>
        <v/>
      </c>
      <c r="AF63" s="24" t="str">
        <f t="shared" si="116"/>
        <v/>
      </c>
      <c r="AG63" s="24" t="str">
        <f t="shared" si="117"/>
        <v/>
      </c>
      <c r="AH63" s="24" t="str">
        <f t="shared" si="118"/>
        <v/>
      </c>
      <c r="AI63" s="24" t="str">
        <f t="shared" si="119"/>
        <v/>
      </c>
      <c r="AJ63" s="24" t="str">
        <f t="shared" si="120"/>
        <v/>
      </c>
      <c r="AK63" s="24" t="str">
        <f t="shared" si="121"/>
        <v/>
      </c>
      <c r="AL63" s="24" t="str">
        <f t="shared" si="122"/>
        <v/>
      </c>
      <c r="AM63" s="24" t="str">
        <f t="shared" si="123"/>
        <v/>
      </c>
      <c r="AN63" s="24" t="str">
        <f t="shared" si="124"/>
        <v/>
      </c>
      <c r="AO63" s="24" t="str">
        <f t="shared" si="125"/>
        <v/>
      </c>
      <c r="AP63" s="24" t="str">
        <f t="shared" si="126"/>
        <v/>
      </c>
      <c r="AQ63" s="24" t="str">
        <f t="shared" si="127"/>
        <v/>
      </c>
      <c r="AR63" s="24" t="str">
        <f t="shared" si="128"/>
        <v/>
      </c>
      <c r="AS63" s="24" t="str">
        <f t="shared" si="129"/>
        <v/>
      </c>
      <c r="AT63" s="24" t="str">
        <f t="shared" si="130"/>
        <v/>
      </c>
      <c r="AU63" s="24" t="str">
        <f t="shared" si="131"/>
        <v/>
      </c>
      <c r="AV63" s="24" t="str">
        <f t="shared" si="132"/>
        <v/>
      </c>
      <c r="AW63" s="24" t="str">
        <f t="shared" si="133"/>
        <v/>
      </c>
      <c r="AX63" s="24" t="str">
        <f t="shared" si="134"/>
        <v/>
      </c>
      <c r="AY63" s="24" t="str">
        <f t="shared" si="135"/>
        <v/>
      </c>
      <c r="AZ63" s="24" t="str">
        <f t="shared" si="136"/>
        <v/>
      </c>
      <c r="BA63" s="24" t="str">
        <f t="shared" si="137"/>
        <v/>
      </c>
      <c r="BB63" s="24" t="str">
        <f t="shared" si="138"/>
        <v/>
      </c>
      <c r="BC63" s="24" t="str">
        <f t="shared" si="139"/>
        <v/>
      </c>
      <c r="BD63" s="24" t="str">
        <f t="shared" si="140"/>
        <v/>
      </c>
      <c r="BE63" s="24" t="str">
        <f t="shared" si="141"/>
        <v/>
      </c>
      <c r="BF63" s="24" t="str">
        <f t="shared" si="142"/>
        <v/>
      </c>
      <c r="BG63" s="24" t="str">
        <f t="shared" si="143"/>
        <v/>
      </c>
      <c r="BH63" s="24" t="str">
        <f t="shared" si="144"/>
        <v/>
      </c>
      <c r="BI63" s="24" t="str">
        <f t="shared" si="145"/>
        <v/>
      </c>
      <c r="BJ63" s="24" t="str">
        <f t="shared" si="146"/>
        <v/>
      </c>
      <c r="BK63" s="24" t="str">
        <f t="shared" si="147"/>
        <v/>
      </c>
      <c r="BL63" s="26" t="str">
        <f t="shared" si="148"/>
        <v/>
      </c>
      <c r="BM63" s="26" t="str">
        <f t="shared" si="149"/>
        <v/>
      </c>
      <c r="BN63" s="26" t="str">
        <f t="shared" si="150"/>
        <v/>
      </c>
      <c r="BO63" s="26" t="str">
        <f t="shared" si="151"/>
        <v/>
      </c>
      <c r="BP63" s="26" t="str">
        <f t="shared" si="152"/>
        <v/>
      </c>
      <c r="BQ63" s="26" t="str">
        <f t="shared" si="153"/>
        <v/>
      </c>
      <c r="BR63" s="26" t="str">
        <f t="shared" si="154"/>
        <v/>
      </c>
      <c r="BS63" s="26" t="str">
        <f t="shared" si="174"/>
        <v/>
      </c>
      <c r="BT63" s="26" t="str">
        <f t="shared" si="175"/>
        <v/>
      </c>
      <c r="BU63" s="26" t="str">
        <f t="shared" si="176"/>
        <v/>
      </c>
      <c r="BV63" s="26" t="str">
        <f t="shared" si="177"/>
        <v/>
      </c>
      <c r="BW63" s="26" t="str">
        <f t="shared" si="178"/>
        <v/>
      </c>
      <c r="BX63" s="26" t="str">
        <f t="shared" si="179"/>
        <v/>
      </c>
      <c r="BY63" s="26" t="str">
        <f t="shared" si="180"/>
        <v/>
      </c>
      <c r="BZ63" s="26" t="str">
        <f t="shared" si="181"/>
        <v/>
      </c>
      <c r="CA63" s="26" t="str">
        <f t="shared" si="182"/>
        <v/>
      </c>
      <c r="CB63" s="24" t="str">
        <f t="shared" si="183"/>
        <v/>
      </c>
      <c r="CC63" s="24" t="str">
        <f t="shared" si="184"/>
        <v/>
      </c>
      <c r="CD63" s="24" t="str">
        <f t="shared" si="185"/>
        <v/>
      </c>
      <c r="CE63" s="24" t="str">
        <f t="shared" si="186"/>
        <v/>
      </c>
      <c r="CF63" s="24" t="str">
        <f t="shared" si="187"/>
        <v/>
      </c>
      <c r="CG63" s="24" t="str">
        <f t="shared" si="188"/>
        <v/>
      </c>
      <c r="CH63" s="24" t="str">
        <f t="shared" si="189"/>
        <v/>
      </c>
      <c r="CI63" s="24" t="str">
        <f t="shared" si="155"/>
        <v/>
      </c>
      <c r="CJ63" s="24" t="str">
        <f t="shared" si="83"/>
        <v/>
      </c>
      <c r="CK63" s="26" t="str">
        <f t="shared" si="156"/>
        <v/>
      </c>
      <c r="CL63" s="26" t="str">
        <f t="shared" si="84"/>
        <v/>
      </c>
      <c r="CM63" s="24" t="str">
        <f t="shared" si="85"/>
        <v/>
      </c>
      <c r="CN63" s="26" t="str">
        <f t="shared" si="157"/>
        <v/>
      </c>
      <c r="CO63" s="24" t="str">
        <f t="shared" si="158"/>
        <v/>
      </c>
      <c r="CP63" s="26" t="str">
        <f t="shared" si="159"/>
        <v/>
      </c>
      <c r="CQ63" s="26" t="str">
        <f t="shared" si="160"/>
        <v/>
      </c>
      <c r="CR63" s="26" t="str">
        <f t="shared" si="86"/>
        <v/>
      </c>
      <c r="CS63" s="24" t="str">
        <f t="shared" si="87"/>
        <v/>
      </c>
      <c r="CT63" s="27" t="str">
        <f t="shared" si="161"/>
        <v/>
      </c>
      <c r="CU63" s="24" t="str">
        <f t="shared" si="162"/>
        <v/>
      </c>
      <c r="CV63" s="27" t="str">
        <f t="shared" si="163"/>
        <v/>
      </c>
      <c r="CW63" s="27" t="str">
        <f t="shared" si="164"/>
        <v/>
      </c>
      <c r="CX63" s="26" t="str">
        <f t="shared" si="88"/>
        <v/>
      </c>
      <c r="CY63" s="27" t="str">
        <f t="shared" si="89"/>
        <v/>
      </c>
      <c r="CZ63" s="26" t="str">
        <f t="shared" si="165"/>
        <v/>
      </c>
      <c r="DA63" s="24" t="str">
        <f t="shared" si="166"/>
        <v/>
      </c>
      <c r="DB63" s="24" t="str">
        <f t="shared" si="167"/>
        <v/>
      </c>
      <c r="DC63" s="24" t="str">
        <f t="shared" si="168"/>
        <v/>
      </c>
      <c r="DD63" s="24" t="str">
        <f t="shared" si="169"/>
        <v/>
      </c>
      <c r="DE63" s="1"/>
      <c r="DF63" s="1"/>
      <c r="DG63" s="1"/>
      <c r="DH63" s="24" t="str">
        <f t="shared" si="170"/>
        <v/>
      </c>
      <c r="DI63" s="25" t="str">
        <f t="shared" si="171"/>
        <v/>
      </c>
      <c r="DJ63" t="str">
        <f t="shared" si="172"/>
        <v/>
      </c>
      <c r="DK63" s="9"/>
      <c r="DL63" s="9"/>
      <c r="DM63" s="9"/>
      <c r="DN63" s="9"/>
      <c r="DO63" s="9"/>
      <c r="DP63" s="9"/>
      <c r="DQ63" s="136" t="b">
        <f t="shared" si="173"/>
        <v>1</v>
      </c>
    </row>
    <row r="64" spans="1:121" ht="27" customHeight="1" x14ac:dyDescent="0.95">
      <c r="A64" s="24" t="str">
        <f t="shared" si="90"/>
        <v/>
      </c>
      <c r="B64" s="9"/>
      <c r="C64" s="32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10"/>
      <c r="Q64" s="10"/>
      <c r="R64" s="10"/>
      <c r="S64" s="10"/>
      <c r="T64" s="10"/>
      <c r="U64" s="10"/>
      <c r="V64" s="10"/>
      <c r="W64" s="3" t="str">
        <f t="shared" si="107"/>
        <v/>
      </c>
      <c r="X64" s="3" t="str">
        <f t="shared" si="108"/>
        <v/>
      </c>
      <c r="Y64" s="3" t="str">
        <f t="shared" si="109"/>
        <v/>
      </c>
      <c r="Z64" s="3" t="str">
        <f t="shared" si="110"/>
        <v/>
      </c>
      <c r="AA64" s="3" t="str">
        <f t="shared" si="111"/>
        <v/>
      </c>
      <c r="AB64" s="3" t="str">
        <f t="shared" si="112"/>
        <v/>
      </c>
      <c r="AC64" s="3" t="str">
        <f t="shared" si="113"/>
        <v/>
      </c>
      <c r="AD64" s="3" t="str">
        <f t="shared" si="114"/>
        <v/>
      </c>
      <c r="AE64" s="3" t="str">
        <f t="shared" si="115"/>
        <v/>
      </c>
      <c r="AF64" s="24" t="str">
        <f t="shared" si="116"/>
        <v/>
      </c>
      <c r="AG64" s="24" t="str">
        <f t="shared" si="117"/>
        <v/>
      </c>
      <c r="AH64" s="24" t="str">
        <f t="shared" si="118"/>
        <v/>
      </c>
      <c r="AI64" s="24" t="str">
        <f t="shared" si="119"/>
        <v/>
      </c>
      <c r="AJ64" s="24" t="str">
        <f t="shared" si="120"/>
        <v/>
      </c>
      <c r="AK64" s="24" t="str">
        <f t="shared" si="121"/>
        <v/>
      </c>
      <c r="AL64" s="24" t="str">
        <f t="shared" si="122"/>
        <v/>
      </c>
      <c r="AM64" s="24" t="str">
        <f t="shared" si="123"/>
        <v/>
      </c>
      <c r="AN64" s="24" t="str">
        <f t="shared" si="124"/>
        <v/>
      </c>
      <c r="AO64" s="24" t="str">
        <f t="shared" si="125"/>
        <v/>
      </c>
      <c r="AP64" s="24" t="str">
        <f t="shared" si="126"/>
        <v/>
      </c>
      <c r="AQ64" s="24" t="str">
        <f t="shared" si="127"/>
        <v/>
      </c>
      <c r="AR64" s="24" t="str">
        <f t="shared" si="128"/>
        <v/>
      </c>
      <c r="AS64" s="24" t="str">
        <f t="shared" si="129"/>
        <v/>
      </c>
      <c r="AT64" s="24" t="str">
        <f t="shared" si="130"/>
        <v/>
      </c>
      <c r="AU64" s="24" t="str">
        <f t="shared" si="131"/>
        <v/>
      </c>
      <c r="AV64" s="24" t="str">
        <f t="shared" si="132"/>
        <v/>
      </c>
      <c r="AW64" s="24" t="str">
        <f t="shared" si="133"/>
        <v/>
      </c>
      <c r="AX64" s="24" t="str">
        <f t="shared" si="134"/>
        <v/>
      </c>
      <c r="AY64" s="24" t="str">
        <f t="shared" si="135"/>
        <v/>
      </c>
      <c r="AZ64" s="24" t="str">
        <f t="shared" si="136"/>
        <v/>
      </c>
      <c r="BA64" s="24" t="str">
        <f t="shared" si="137"/>
        <v/>
      </c>
      <c r="BB64" s="24" t="str">
        <f t="shared" si="138"/>
        <v/>
      </c>
      <c r="BC64" s="24" t="str">
        <f t="shared" si="139"/>
        <v/>
      </c>
      <c r="BD64" s="24" t="str">
        <f t="shared" si="140"/>
        <v/>
      </c>
      <c r="BE64" s="24" t="str">
        <f t="shared" si="141"/>
        <v/>
      </c>
      <c r="BF64" s="24" t="str">
        <f t="shared" si="142"/>
        <v/>
      </c>
      <c r="BG64" s="24" t="str">
        <f t="shared" si="143"/>
        <v/>
      </c>
      <c r="BH64" s="24" t="str">
        <f t="shared" si="144"/>
        <v/>
      </c>
      <c r="BI64" s="24" t="str">
        <f t="shared" si="145"/>
        <v/>
      </c>
      <c r="BJ64" s="24" t="str">
        <f t="shared" si="146"/>
        <v/>
      </c>
      <c r="BK64" s="24" t="str">
        <f t="shared" si="147"/>
        <v/>
      </c>
      <c r="BL64" s="26" t="str">
        <f t="shared" si="148"/>
        <v/>
      </c>
      <c r="BM64" s="26" t="str">
        <f t="shared" si="149"/>
        <v/>
      </c>
      <c r="BN64" s="26" t="str">
        <f t="shared" si="150"/>
        <v/>
      </c>
      <c r="BO64" s="26" t="str">
        <f t="shared" si="151"/>
        <v/>
      </c>
      <c r="BP64" s="26" t="str">
        <f t="shared" si="152"/>
        <v/>
      </c>
      <c r="BQ64" s="26" t="str">
        <f t="shared" si="153"/>
        <v/>
      </c>
      <c r="BR64" s="26" t="str">
        <f t="shared" si="154"/>
        <v/>
      </c>
      <c r="BS64" s="26" t="str">
        <f t="shared" si="174"/>
        <v/>
      </c>
      <c r="BT64" s="26" t="str">
        <f t="shared" si="175"/>
        <v/>
      </c>
      <c r="BU64" s="26" t="str">
        <f t="shared" si="176"/>
        <v/>
      </c>
      <c r="BV64" s="26" t="str">
        <f t="shared" si="177"/>
        <v/>
      </c>
      <c r="BW64" s="26" t="str">
        <f t="shared" si="178"/>
        <v/>
      </c>
      <c r="BX64" s="26" t="str">
        <f t="shared" si="179"/>
        <v/>
      </c>
      <c r="BY64" s="26" t="str">
        <f t="shared" si="180"/>
        <v/>
      </c>
      <c r="BZ64" s="26" t="str">
        <f t="shared" si="181"/>
        <v/>
      </c>
      <c r="CA64" s="26" t="str">
        <f t="shared" si="182"/>
        <v/>
      </c>
      <c r="CB64" s="24" t="str">
        <f t="shared" si="183"/>
        <v/>
      </c>
      <c r="CC64" s="24" t="str">
        <f t="shared" si="184"/>
        <v/>
      </c>
      <c r="CD64" s="24" t="str">
        <f t="shared" si="185"/>
        <v/>
      </c>
      <c r="CE64" s="24" t="str">
        <f t="shared" si="186"/>
        <v/>
      </c>
      <c r="CF64" s="24" t="str">
        <f t="shared" si="187"/>
        <v/>
      </c>
      <c r="CG64" s="24" t="str">
        <f t="shared" si="188"/>
        <v/>
      </c>
      <c r="CH64" s="24" t="str">
        <f t="shared" si="189"/>
        <v/>
      </c>
      <c r="CI64" s="24" t="str">
        <f t="shared" si="155"/>
        <v/>
      </c>
      <c r="CJ64" s="24" t="str">
        <f t="shared" si="83"/>
        <v/>
      </c>
      <c r="CK64" s="26" t="str">
        <f t="shared" si="156"/>
        <v/>
      </c>
      <c r="CL64" s="26" t="str">
        <f t="shared" si="84"/>
        <v/>
      </c>
      <c r="CM64" s="24" t="str">
        <f t="shared" si="85"/>
        <v/>
      </c>
      <c r="CN64" s="26" t="str">
        <f t="shared" si="157"/>
        <v/>
      </c>
      <c r="CO64" s="24" t="str">
        <f t="shared" si="158"/>
        <v/>
      </c>
      <c r="CP64" s="26" t="str">
        <f t="shared" si="159"/>
        <v/>
      </c>
      <c r="CQ64" s="26" t="str">
        <f t="shared" si="160"/>
        <v/>
      </c>
      <c r="CR64" s="26" t="str">
        <f t="shared" si="86"/>
        <v/>
      </c>
      <c r="CS64" s="24" t="str">
        <f t="shared" si="87"/>
        <v/>
      </c>
      <c r="CT64" s="27" t="str">
        <f t="shared" si="161"/>
        <v/>
      </c>
      <c r="CU64" s="24" t="str">
        <f t="shared" si="162"/>
        <v/>
      </c>
      <c r="CV64" s="27" t="str">
        <f t="shared" si="163"/>
        <v/>
      </c>
      <c r="CW64" s="27" t="str">
        <f t="shared" si="164"/>
        <v/>
      </c>
      <c r="CX64" s="26" t="str">
        <f t="shared" si="88"/>
        <v/>
      </c>
      <c r="CY64" s="27" t="str">
        <f t="shared" si="89"/>
        <v/>
      </c>
      <c r="CZ64" s="26" t="str">
        <f t="shared" si="165"/>
        <v/>
      </c>
      <c r="DA64" s="24" t="str">
        <f t="shared" si="166"/>
        <v/>
      </c>
      <c r="DB64" s="24" t="str">
        <f t="shared" si="167"/>
        <v/>
      </c>
      <c r="DC64" s="24" t="str">
        <f t="shared" si="168"/>
        <v/>
      </c>
      <c r="DD64" s="24" t="str">
        <f t="shared" si="169"/>
        <v/>
      </c>
      <c r="DE64" s="1"/>
      <c r="DF64" s="1"/>
      <c r="DG64" s="1"/>
      <c r="DH64" s="24" t="str">
        <f t="shared" si="170"/>
        <v/>
      </c>
      <c r="DI64" s="25" t="str">
        <f t="shared" si="171"/>
        <v/>
      </c>
      <c r="DJ64" t="str">
        <f t="shared" si="172"/>
        <v/>
      </c>
      <c r="DK64" s="9"/>
      <c r="DL64" s="9"/>
      <c r="DM64" s="9"/>
      <c r="DN64" s="9"/>
      <c r="DO64" s="9"/>
      <c r="DP64" s="9"/>
      <c r="DQ64" s="136" t="b">
        <f t="shared" si="173"/>
        <v>1</v>
      </c>
    </row>
    <row r="65" spans="1:121" ht="27" customHeight="1" x14ac:dyDescent="0.95">
      <c r="A65" s="24" t="str">
        <f t="shared" si="90"/>
        <v/>
      </c>
      <c r="B65" s="9"/>
      <c r="C65" s="32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10"/>
      <c r="Q65" s="10"/>
      <c r="R65" s="10"/>
      <c r="S65" s="10"/>
      <c r="T65" s="10"/>
      <c r="U65" s="10"/>
      <c r="V65" s="10"/>
      <c r="W65" s="3" t="str">
        <f t="shared" si="107"/>
        <v/>
      </c>
      <c r="X65" s="3" t="str">
        <f t="shared" si="108"/>
        <v/>
      </c>
      <c r="Y65" s="3" t="str">
        <f t="shared" si="109"/>
        <v/>
      </c>
      <c r="Z65" s="3" t="str">
        <f t="shared" si="110"/>
        <v/>
      </c>
      <c r="AA65" s="3" t="str">
        <f t="shared" si="111"/>
        <v/>
      </c>
      <c r="AB65" s="3" t="str">
        <f t="shared" si="112"/>
        <v/>
      </c>
      <c r="AC65" s="3" t="str">
        <f t="shared" si="113"/>
        <v/>
      </c>
      <c r="AD65" s="3" t="str">
        <f t="shared" si="114"/>
        <v/>
      </c>
      <c r="AE65" s="3" t="str">
        <f t="shared" si="115"/>
        <v/>
      </c>
      <c r="AF65" s="24" t="str">
        <f t="shared" si="116"/>
        <v/>
      </c>
      <c r="AG65" s="24" t="str">
        <f t="shared" si="117"/>
        <v/>
      </c>
      <c r="AH65" s="24" t="str">
        <f t="shared" si="118"/>
        <v/>
      </c>
      <c r="AI65" s="24" t="str">
        <f t="shared" si="119"/>
        <v/>
      </c>
      <c r="AJ65" s="24" t="str">
        <f t="shared" si="120"/>
        <v/>
      </c>
      <c r="AK65" s="24" t="str">
        <f t="shared" si="121"/>
        <v/>
      </c>
      <c r="AL65" s="24" t="str">
        <f t="shared" si="122"/>
        <v/>
      </c>
      <c r="AM65" s="24" t="str">
        <f t="shared" si="123"/>
        <v/>
      </c>
      <c r="AN65" s="24" t="str">
        <f t="shared" si="124"/>
        <v/>
      </c>
      <c r="AO65" s="24" t="str">
        <f t="shared" si="125"/>
        <v/>
      </c>
      <c r="AP65" s="24" t="str">
        <f t="shared" si="126"/>
        <v/>
      </c>
      <c r="AQ65" s="24" t="str">
        <f t="shared" si="127"/>
        <v/>
      </c>
      <c r="AR65" s="24" t="str">
        <f t="shared" si="128"/>
        <v/>
      </c>
      <c r="AS65" s="24" t="str">
        <f t="shared" si="129"/>
        <v/>
      </c>
      <c r="AT65" s="24" t="str">
        <f t="shared" si="130"/>
        <v/>
      </c>
      <c r="AU65" s="24" t="str">
        <f t="shared" si="131"/>
        <v/>
      </c>
      <c r="AV65" s="24" t="str">
        <f t="shared" si="132"/>
        <v/>
      </c>
      <c r="AW65" s="24" t="str">
        <f t="shared" si="133"/>
        <v/>
      </c>
      <c r="AX65" s="24" t="str">
        <f t="shared" si="134"/>
        <v/>
      </c>
      <c r="AY65" s="24" t="str">
        <f t="shared" si="135"/>
        <v/>
      </c>
      <c r="AZ65" s="24" t="str">
        <f t="shared" si="136"/>
        <v/>
      </c>
      <c r="BA65" s="24" t="str">
        <f t="shared" si="137"/>
        <v/>
      </c>
      <c r="BB65" s="24" t="str">
        <f t="shared" si="138"/>
        <v/>
      </c>
      <c r="BC65" s="24" t="str">
        <f t="shared" si="139"/>
        <v/>
      </c>
      <c r="BD65" s="24" t="str">
        <f t="shared" si="140"/>
        <v/>
      </c>
      <c r="BE65" s="24" t="str">
        <f t="shared" si="141"/>
        <v/>
      </c>
      <c r="BF65" s="24" t="str">
        <f t="shared" si="142"/>
        <v/>
      </c>
      <c r="BG65" s="24" t="str">
        <f t="shared" si="143"/>
        <v/>
      </c>
      <c r="BH65" s="24" t="str">
        <f t="shared" si="144"/>
        <v/>
      </c>
      <c r="BI65" s="24" t="str">
        <f t="shared" si="145"/>
        <v/>
      </c>
      <c r="BJ65" s="24" t="str">
        <f t="shared" si="146"/>
        <v/>
      </c>
      <c r="BK65" s="24" t="str">
        <f t="shared" si="147"/>
        <v/>
      </c>
      <c r="BL65" s="26" t="str">
        <f t="shared" si="148"/>
        <v/>
      </c>
      <c r="BM65" s="26" t="str">
        <f t="shared" si="149"/>
        <v/>
      </c>
      <c r="BN65" s="26" t="str">
        <f t="shared" si="150"/>
        <v/>
      </c>
      <c r="BO65" s="26" t="str">
        <f t="shared" si="151"/>
        <v/>
      </c>
      <c r="BP65" s="26" t="str">
        <f t="shared" si="152"/>
        <v/>
      </c>
      <c r="BQ65" s="26" t="str">
        <f t="shared" si="153"/>
        <v/>
      </c>
      <c r="BR65" s="26" t="str">
        <f t="shared" si="154"/>
        <v/>
      </c>
      <c r="BS65" s="26" t="str">
        <f t="shared" si="174"/>
        <v/>
      </c>
      <c r="BT65" s="26" t="str">
        <f t="shared" si="175"/>
        <v/>
      </c>
      <c r="BU65" s="26" t="str">
        <f t="shared" si="176"/>
        <v/>
      </c>
      <c r="BV65" s="26" t="str">
        <f t="shared" si="177"/>
        <v/>
      </c>
      <c r="BW65" s="26" t="str">
        <f t="shared" si="178"/>
        <v/>
      </c>
      <c r="BX65" s="26" t="str">
        <f t="shared" si="179"/>
        <v/>
      </c>
      <c r="BY65" s="26" t="str">
        <f t="shared" si="180"/>
        <v/>
      </c>
      <c r="BZ65" s="26" t="str">
        <f t="shared" si="181"/>
        <v/>
      </c>
      <c r="CA65" s="26" t="str">
        <f t="shared" si="182"/>
        <v/>
      </c>
      <c r="CB65" s="24" t="str">
        <f t="shared" si="183"/>
        <v/>
      </c>
      <c r="CC65" s="24" t="str">
        <f t="shared" si="184"/>
        <v/>
      </c>
      <c r="CD65" s="24" t="str">
        <f t="shared" si="185"/>
        <v/>
      </c>
      <c r="CE65" s="24" t="str">
        <f t="shared" si="186"/>
        <v/>
      </c>
      <c r="CF65" s="24" t="str">
        <f t="shared" si="187"/>
        <v/>
      </c>
      <c r="CG65" s="24" t="str">
        <f t="shared" si="188"/>
        <v/>
      </c>
      <c r="CH65" s="24" t="str">
        <f t="shared" si="189"/>
        <v/>
      </c>
      <c r="CI65" s="24" t="str">
        <f t="shared" si="155"/>
        <v/>
      </c>
      <c r="CJ65" s="24" t="str">
        <f t="shared" si="83"/>
        <v/>
      </c>
      <c r="CK65" s="26" t="str">
        <f t="shared" si="156"/>
        <v/>
      </c>
      <c r="CL65" s="26" t="str">
        <f t="shared" si="84"/>
        <v/>
      </c>
      <c r="CM65" s="24" t="str">
        <f t="shared" si="85"/>
        <v/>
      </c>
      <c r="CN65" s="26" t="str">
        <f t="shared" si="157"/>
        <v/>
      </c>
      <c r="CO65" s="24" t="str">
        <f t="shared" si="158"/>
        <v/>
      </c>
      <c r="CP65" s="26" t="str">
        <f t="shared" si="159"/>
        <v/>
      </c>
      <c r="CQ65" s="26" t="str">
        <f t="shared" si="160"/>
        <v/>
      </c>
      <c r="CR65" s="26" t="str">
        <f t="shared" si="86"/>
        <v/>
      </c>
      <c r="CS65" s="24" t="str">
        <f t="shared" si="87"/>
        <v/>
      </c>
      <c r="CT65" s="27" t="str">
        <f t="shared" si="161"/>
        <v/>
      </c>
      <c r="CU65" s="24" t="str">
        <f t="shared" si="162"/>
        <v/>
      </c>
      <c r="CV65" s="27" t="str">
        <f t="shared" si="163"/>
        <v/>
      </c>
      <c r="CW65" s="27" t="str">
        <f t="shared" si="164"/>
        <v/>
      </c>
      <c r="CX65" s="26" t="str">
        <f t="shared" si="88"/>
        <v/>
      </c>
      <c r="CY65" s="27" t="str">
        <f t="shared" si="89"/>
        <v/>
      </c>
      <c r="CZ65" s="26" t="str">
        <f t="shared" si="165"/>
        <v/>
      </c>
      <c r="DA65" s="24" t="str">
        <f t="shared" si="166"/>
        <v/>
      </c>
      <c r="DB65" s="24" t="str">
        <f t="shared" si="167"/>
        <v/>
      </c>
      <c r="DC65" s="24" t="str">
        <f t="shared" si="168"/>
        <v/>
      </c>
      <c r="DD65" s="24" t="str">
        <f t="shared" si="169"/>
        <v/>
      </c>
      <c r="DE65" s="1"/>
      <c r="DF65" s="1"/>
      <c r="DG65" s="1"/>
      <c r="DH65" s="24" t="str">
        <f t="shared" si="170"/>
        <v/>
      </c>
      <c r="DI65" s="25" t="str">
        <f t="shared" si="171"/>
        <v/>
      </c>
      <c r="DJ65" t="str">
        <f t="shared" si="172"/>
        <v/>
      </c>
      <c r="DK65" s="9"/>
      <c r="DL65" s="9"/>
      <c r="DM65" s="9"/>
      <c r="DN65" s="9"/>
      <c r="DO65" s="9"/>
      <c r="DP65" s="9"/>
      <c r="DQ65" s="136" t="b">
        <f t="shared" si="173"/>
        <v>1</v>
      </c>
    </row>
    <row r="66" spans="1:121" ht="27" customHeight="1" x14ac:dyDescent="0.95">
      <c r="A66" s="24" t="str">
        <f t="shared" si="90"/>
        <v/>
      </c>
      <c r="B66" s="9"/>
      <c r="C66" s="32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10"/>
      <c r="Q66" s="10"/>
      <c r="R66" s="10"/>
      <c r="S66" s="10"/>
      <c r="T66" s="10"/>
      <c r="U66" s="10"/>
      <c r="V66" s="10"/>
      <c r="W66" s="3" t="str">
        <f t="shared" si="107"/>
        <v/>
      </c>
      <c r="X66" s="3" t="str">
        <f t="shared" si="108"/>
        <v/>
      </c>
      <c r="Y66" s="3" t="str">
        <f t="shared" si="109"/>
        <v/>
      </c>
      <c r="Z66" s="3" t="str">
        <f t="shared" si="110"/>
        <v/>
      </c>
      <c r="AA66" s="3" t="str">
        <f t="shared" si="111"/>
        <v/>
      </c>
      <c r="AB66" s="3" t="str">
        <f t="shared" si="112"/>
        <v/>
      </c>
      <c r="AC66" s="3" t="str">
        <f t="shared" si="113"/>
        <v/>
      </c>
      <c r="AD66" s="3" t="str">
        <f t="shared" si="114"/>
        <v/>
      </c>
      <c r="AE66" s="3" t="str">
        <f t="shared" si="115"/>
        <v/>
      </c>
      <c r="AF66" s="24" t="str">
        <f t="shared" si="116"/>
        <v/>
      </c>
      <c r="AG66" s="24" t="str">
        <f t="shared" si="117"/>
        <v/>
      </c>
      <c r="AH66" s="24" t="str">
        <f t="shared" si="118"/>
        <v/>
      </c>
      <c r="AI66" s="24" t="str">
        <f t="shared" si="119"/>
        <v/>
      </c>
      <c r="AJ66" s="24" t="str">
        <f t="shared" si="120"/>
        <v/>
      </c>
      <c r="AK66" s="24" t="str">
        <f t="shared" si="121"/>
        <v/>
      </c>
      <c r="AL66" s="24" t="str">
        <f t="shared" si="122"/>
        <v/>
      </c>
      <c r="AM66" s="24" t="str">
        <f t="shared" si="123"/>
        <v/>
      </c>
      <c r="AN66" s="24" t="str">
        <f t="shared" si="124"/>
        <v/>
      </c>
      <c r="AO66" s="24" t="str">
        <f t="shared" si="125"/>
        <v/>
      </c>
      <c r="AP66" s="24" t="str">
        <f t="shared" si="126"/>
        <v/>
      </c>
      <c r="AQ66" s="24" t="str">
        <f t="shared" si="127"/>
        <v/>
      </c>
      <c r="AR66" s="24" t="str">
        <f t="shared" si="128"/>
        <v/>
      </c>
      <c r="AS66" s="24" t="str">
        <f t="shared" si="129"/>
        <v/>
      </c>
      <c r="AT66" s="24" t="str">
        <f t="shared" si="130"/>
        <v/>
      </c>
      <c r="AU66" s="24" t="str">
        <f t="shared" si="131"/>
        <v/>
      </c>
      <c r="AV66" s="24" t="str">
        <f t="shared" si="132"/>
        <v/>
      </c>
      <c r="AW66" s="24" t="str">
        <f t="shared" si="133"/>
        <v/>
      </c>
      <c r="AX66" s="24" t="str">
        <f t="shared" si="134"/>
        <v/>
      </c>
      <c r="AY66" s="24" t="str">
        <f t="shared" si="135"/>
        <v/>
      </c>
      <c r="AZ66" s="24" t="str">
        <f t="shared" si="136"/>
        <v/>
      </c>
      <c r="BA66" s="24" t="str">
        <f t="shared" si="137"/>
        <v/>
      </c>
      <c r="BB66" s="24" t="str">
        <f t="shared" si="138"/>
        <v/>
      </c>
      <c r="BC66" s="24" t="str">
        <f t="shared" si="139"/>
        <v/>
      </c>
      <c r="BD66" s="24" t="str">
        <f t="shared" si="140"/>
        <v/>
      </c>
      <c r="BE66" s="24" t="str">
        <f t="shared" si="141"/>
        <v/>
      </c>
      <c r="BF66" s="24" t="str">
        <f t="shared" si="142"/>
        <v/>
      </c>
      <c r="BG66" s="24" t="str">
        <f t="shared" si="143"/>
        <v/>
      </c>
      <c r="BH66" s="24" t="str">
        <f t="shared" si="144"/>
        <v/>
      </c>
      <c r="BI66" s="24" t="str">
        <f t="shared" si="145"/>
        <v/>
      </c>
      <c r="BJ66" s="24" t="str">
        <f t="shared" si="146"/>
        <v/>
      </c>
      <c r="BK66" s="24" t="str">
        <f t="shared" si="147"/>
        <v/>
      </c>
      <c r="BL66" s="26" t="str">
        <f t="shared" si="148"/>
        <v/>
      </c>
      <c r="BM66" s="26" t="str">
        <f t="shared" si="149"/>
        <v/>
      </c>
      <c r="BN66" s="26" t="str">
        <f t="shared" si="150"/>
        <v/>
      </c>
      <c r="BO66" s="26" t="str">
        <f t="shared" si="151"/>
        <v/>
      </c>
      <c r="BP66" s="26" t="str">
        <f t="shared" si="152"/>
        <v/>
      </c>
      <c r="BQ66" s="26" t="str">
        <f t="shared" si="153"/>
        <v/>
      </c>
      <c r="BR66" s="26" t="str">
        <f t="shared" si="154"/>
        <v/>
      </c>
      <c r="BS66" s="26" t="str">
        <f t="shared" si="174"/>
        <v/>
      </c>
      <c r="BT66" s="26" t="str">
        <f t="shared" si="175"/>
        <v/>
      </c>
      <c r="BU66" s="26" t="str">
        <f t="shared" si="176"/>
        <v/>
      </c>
      <c r="BV66" s="26" t="str">
        <f t="shared" si="177"/>
        <v/>
      </c>
      <c r="BW66" s="26" t="str">
        <f t="shared" si="178"/>
        <v/>
      </c>
      <c r="BX66" s="26" t="str">
        <f t="shared" si="179"/>
        <v/>
      </c>
      <c r="BY66" s="26" t="str">
        <f t="shared" si="180"/>
        <v/>
      </c>
      <c r="BZ66" s="26" t="str">
        <f t="shared" si="181"/>
        <v/>
      </c>
      <c r="CA66" s="26" t="str">
        <f t="shared" si="182"/>
        <v/>
      </c>
      <c r="CB66" s="24" t="str">
        <f t="shared" si="183"/>
        <v/>
      </c>
      <c r="CC66" s="24" t="str">
        <f t="shared" si="184"/>
        <v/>
      </c>
      <c r="CD66" s="24" t="str">
        <f t="shared" si="185"/>
        <v/>
      </c>
      <c r="CE66" s="24" t="str">
        <f t="shared" si="186"/>
        <v/>
      </c>
      <c r="CF66" s="24" t="str">
        <f t="shared" si="187"/>
        <v/>
      </c>
      <c r="CG66" s="24" t="str">
        <f t="shared" si="188"/>
        <v/>
      </c>
      <c r="CH66" s="24" t="str">
        <f t="shared" si="189"/>
        <v/>
      </c>
      <c r="CI66" s="24" t="str">
        <f t="shared" si="155"/>
        <v/>
      </c>
      <c r="CJ66" s="24" t="str">
        <f t="shared" si="83"/>
        <v/>
      </c>
      <c r="CK66" s="26" t="str">
        <f t="shared" si="156"/>
        <v/>
      </c>
      <c r="CL66" s="26" t="str">
        <f t="shared" si="84"/>
        <v/>
      </c>
      <c r="CM66" s="24" t="str">
        <f t="shared" si="85"/>
        <v/>
      </c>
      <c r="CN66" s="26" t="str">
        <f t="shared" si="157"/>
        <v/>
      </c>
      <c r="CO66" s="24" t="str">
        <f t="shared" si="158"/>
        <v/>
      </c>
      <c r="CP66" s="26" t="str">
        <f t="shared" si="159"/>
        <v/>
      </c>
      <c r="CQ66" s="26" t="str">
        <f t="shared" si="160"/>
        <v/>
      </c>
      <c r="CR66" s="26" t="str">
        <f t="shared" si="86"/>
        <v/>
      </c>
      <c r="CS66" s="24" t="str">
        <f t="shared" si="87"/>
        <v/>
      </c>
      <c r="CT66" s="27" t="str">
        <f t="shared" si="161"/>
        <v/>
      </c>
      <c r="CU66" s="24" t="str">
        <f t="shared" si="162"/>
        <v/>
      </c>
      <c r="CV66" s="27" t="str">
        <f t="shared" si="163"/>
        <v/>
      </c>
      <c r="CW66" s="27" t="str">
        <f t="shared" si="164"/>
        <v/>
      </c>
      <c r="CX66" s="26" t="str">
        <f t="shared" si="88"/>
        <v/>
      </c>
      <c r="CY66" s="27" t="str">
        <f t="shared" si="89"/>
        <v/>
      </c>
      <c r="CZ66" s="26" t="str">
        <f t="shared" si="165"/>
        <v/>
      </c>
      <c r="DA66" s="24" t="str">
        <f t="shared" si="166"/>
        <v/>
      </c>
      <c r="DB66" s="24" t="str">
        <f t="shared" si="167"/>
        <v/>
      </c>
      <c r="DC66" s="24" t="str">
        <f t="shared" si="168"/>
        <v/>
      </c>
      <c r="DD66" s="24" t="str">
        <f t="shared" si="169"/>
        <v/>
      </c>
      <c r="DE66" s="1"/>
      <c r="DF66" s="1"/>
      <c r="DG66" s="1"/>
      <c r="DH66" s="24" t="str">
        <f t="shared" si="170"/>
        <v/>
      </c>
      <c r="DI66" s="25" t="str">
        <f t="shared" si="171"/>
        <v/>
      </c>
      <c r="DJ66" t="str">
        <f t="shared" si="172"/>
        <v/>
      </c>
      <c r="DK66" s="9"/>
      <c r="DL66" s="9"/>
      <c r="DM66" s="9"/>
      <c r="DN66" s="9"/>
      <c r="DO66" s="9"/>
      <c r="DP66" s="9"/>
      <c r="DQ66" s="136" t="b">
        <f t="shared" si="173"/>
        <v>1</v>
      </c>
    </row>
    <row r="67" spans="1:121" ht="27" customHeight="1" x14ac:dyDescent="0.95">
      <c r="A67" s="24" t="str">
        <f t="shared" si="90"/>
        <v/>
      </c>
      <c r="B67" s="9"/>
      <c r="C67" s="32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10"/>
      <c r="Q67" s="10"/>
      <c r="R67" s="10"/>
      <c r="S67" s="10"/>
      <c r="T67" s="10"/>
      <c r="U67" s="10"/>
      <c r="V67" s="10"/>
      <c r="W67" s="3" t="str">
        <f t="shared" si="107"/>
        <v/>
      </c>
      <c r="X67" s="3" t="str">
        <f t="shared" si="108"/>
        <v/>
      </c>
      <c r="Y67" s="3" t="str">
        <f t="shared" si="109"/>
        <v/>
      </c>
      <c r="Z67" s="3" t="str">
        <f t="shared" si="110"/>
        <v/>
      </c>
      <c r="AA67" s="3" t="str">
        <f t="shared" si="111"/>
        <v/>
      </c>
      <c r="AB67" s="3" t="str">
        <f t="shared" si="112"/>
        <v/>
      </c>
      <c r="AC67" s="3" t="str">
        <f t="shared" si="113"/>
        <v/>
      </c>
      <c r="AD67" s="3" t="str">
        <f t="shared" si="114"/>
        <v/>
      </c>
      <c r="AE67" s="3" t="str">
        <f t="shared" si="115"/>
        <v/>
      </c>
      <c r="AF67" s="24" t="str">
        <f t="shared" si="116"/>
        <v/>
      </c>
      <c r="AG67" s="24" t="str">
        <f t="shared" si="117"/>
        <v/>
      </c>
      <c r="AH67" s="24" t="str">
        <f t="shared" si="118"/>
        <v/>
      </c>
      <c r="AI67" s="24" t="str">
        <f t="shared" si="119"/>
        <v/>
      </c>
      <c r="AJ67" s="24" t="str">
        <f t="shared" si="120"/>
        <v/>
      </c>
      <c r="AK67" s="24" t="str">
        <f t="shared" si="121"/>
        <v/>
      </c>
      <c r="AL67" s="24" t="str">
        <f t="shared" si="122"/>
        <v/>
      </c>
      <c r="AM67" s="24" t="str">
        <f t="shared" si="123"/>
        <v/>
      </c>
      <c r="AN67" s="24" t="str">
        <f t="shared" si="124"/>
        <v/>
      </c>
      <c r="AO67" s="24" t="str">
        <f t="shared" si="125"/>
        <v/>
      </c>
      <c r="AP67" s="24" t="str">
        <f t="shared" si="126"/>
        <v/>
      </c>
      <c r="AQ67" s="24" t="str">
        <f t="shared" si="127"/>
        <v/>
      </c>
      <c r="AR67" s="24" t="str">
        <f t="shared" si="128"/>
        <v/>
      </c>
      <c r="AS67" s="24" t="str">
        <f t="shared" si="129"/>
        <v/>
      </c>
      <c r="AT67" s="24" t="str">
        <f t="shared" si="130"/>
        <v/>
      </c>
      <c r="AU67" s="24" t="str">
        <f t="shared" si="131"/>
        <v/>
      </c>
      <c r="AV67" s="24" t="str">
        <f t="shared" si="132"/>
        <v/>
      </c>
      <c r="AW67" s="24" t="str">
        <f t="shared" si="133"/>
        <v/>
      </c>
      <c r="AX67" s="24" t="str">
        <f t="shared" si="134"/>
        <v/>
      </c>
      <c r="AY67" s="24" t="str">
        <f t="shared" si="135"/>
        <v/>
      </c>
      <c r="AZ67" s="24" t="str">
        <f t="shared" si="136"/>
        <v/>
      </c>
      <c r="BA67" s="24" t="str">
        <f t="shared" si="137"/>
        <v/>
      </c>
      <c r="BB67" s="24" t="str">
        <f t="shared" si="138"/>
        <v/>
      </c>
      <c r="BC67" s="24" t="str">
        <f t="shared" si="139"/>
        <v/>
      </c>
      <c r="BD67" s="24" t="str">
        <f t="shared" si="140"/>
        <v/>
      </c>
      <c r="BE67" s="24" t="str">
        <f t="shared" si="141"/>
        <v/>
      </c>
      <c r="BF67" s="24" t="str">
        <f t="shared" si="142"/>
        <v/>
      </c>
      <c r="BG67" s="24" t="str">
        <f t="shared" si="143"/>
        <v/>
      </c>
      <c r="BH67" s="24" t="str">
        <f t="shared" si="144"/>
        <v/>
      </c>
      <c r="BI67" s="24" t="str">
        <f t="shared" si="145"/>
        <v/>
      </c>
      <c r="BJ67" s="24" t="str">
        <f t="shared" si="146"/>
        <v/>
      </c>
      <c r="BK67" s="24" t="str">
        <f t="shared" si="147"/>
        <v/>
      </c>
      <c r="BL67" s="26" t="str">
        <f t="shared" si="148"/>
        <v/>
      </c>
      <c r="BM67" s="26" t="str">
        <f t="shared" si="149"/>
        <v/>
      </c>
      <c r="BN67" s="26" t="str">
        <f t="shared" si="150"/>
        <v/>
      </c>
      <c r="BO67" s="26" t="str">
        <f t="shared" si="151"/>
        <v/>
      </c>
      <c r="BP67" s="26" t="str">
        <f t="shared" si="152"/>
        <v/>
      </c>
      <c r="BQ67" s="26" t="str">
        <f t="shared" si="153"/>
        <v/>
      </c>
      <c r="BR67" s="26" t="str">
        <f t="shared" si="154"/>
        <v/>
      </c>
      <c r="BS67" s="26" t="str">
        <f t="shared" si="174"/>
        <v/>
      </c>
      <c r="BT67" s="26" t="str">
        <f t="shared" si="175"/>
        <v/>
      </c>
      <c r="BU67" s="26" t="str">
        <f t="shared" si="176"/>
        <v/>
      </c>
      <c r="BV67" s="26" t="str">
        <f t="shared" si="177"/>
        <v/>
      </c>
      <c r="BW67" s="26" t="str">
        <f t="shared" si="178"/>
        <v/>
      </c>
      <c r="BX67" s="26" t="str">
        <f t="shared" si="179"/>
        <v/>
      </c>
      <c r="BY67" s="26" t="str">
        <f t="shared" si="180"/>
        <v/>
      </c>
      <c r="BZ67" s="26" t="str">
        <f t="shared" si="181"/>
        <v/>
      </c>
      <c r="CA67" s="26" t="str">
        <f t="shared" si="182"/>
        <v/>
      </c>
      <c r="CB67" s="24" t="str">
        <f t="shared" si="183"/>
        <v/>
      </c>
      <c r="CC67" s="24" t="str">
        <f t="shared" si="184"/>
        <v/>
      </c>
      <c r="CD67" s="24" t="str">
        <f t="shared" si="185"/>
        <v/>
      </c>
      <c r="CE67" s="24" t="str">
        <f t="shared" si="186"/>
        <v/>
      </c>
      <c r="CF67" s="24" t="str">
        <f t="shared" si="187"/>
        <v/>
      </c>
      <c r="CG67" s="24" t="str">
        <f t="shared" si="188"/>
        <v/>
      </c>
      <c r="CH67" s="24" t="str">
        <f t="shared" si="189"/>
        <v/>
      </c>
      <c r="CI67" s="24" t="str">
        <f t="shared" si="155"/>
        <v/>
      </c>
      <c r="CJ67" s="24" t="str">
        <f t="shared" si="83"/>
        <v/>
      </c>
      <c r="CK67" s="26" t="str">
        <f t="shared" si="156"/>
        <v/>
      </c>
      <c r="CL67" s="26" t="str">
        <f t="shared" si="84"/>
        <v/>
      </c>
      <c r="CM67" s="24" t="str">
        <f t="shared" si="85"/>
        <v/>
      </c>
      <c r="CN67" s="26" t="str">
        <f t="shared" si="157"/>
        <v/>
      </c>
      <c r="CO67" s="24" t="str">
        <f t="shared" si="158"/>
        <v/>
      </c>
      <c r="CP67" s="26" t="str">
        <f t="shared" si="159"/>
        <v/>
      </c>
      <c r="CQ67" s="26" t="str">
        <f t="shared" si="160"/>
        <v/>
      </c>
      <c r="CR67" s="26" t="str">
        <f t="shared" si="86"/>
        <v/>
      </c>
      <c r="CS67" s="24" t="str">
        <f t="shared" si="87"/>
        <v/>
      </c>
      <c r="CT67" s="27" t="str">
        <f t="shared" si="161"/>
        <v/>
      </c>
      <c r="CU67" s="24" t="str">
        <f t="shared" si="162"/>
        <v/>
      </c>
      <c r="CV67" s="27" t="str">
        <f t="shared" si="163"/>
        <v/>
      </c>
      <c r="CW67" s="27" t="str">
        <f t="shared" si="164"/>
        <v/>
      </c>
      <c r="CX67" s="26" t="str">
        <f t="shared" si="88"/>
        <v/>
      </c>
      <c r="CY67" s="27" t="str">
        <f t="shared" si="89"/>
        <v/>
      </c>
      <c r="CZ67" s="26" t="str">
        <f t="shared" si="165"/>
        <v/>
      </c>
      <c r="DA67" s="24" t="str">
        <f t="shared" si="166"/>
        <v/>
      </c>
      <c r="DB67" s="24" t="str">
        <f t="shared" si="167"/>
        <v/>
      </c>
      <c r="DC67" s="24" t="str">
        <f t="shared" si="168"/>
        <v/>
      </c>
      <c r="DD67" s="24" t="str">
        <f t="shared" si="169"/>
        <v/>
      </c>
      <c r="DE67" s="1"/>
      <c r="DF67" s="1"/>
      <c r="DG67" s="1"/>
      <c r="DH67" s="24" t="str">
        <f t="shared" si="170"/>
        <v/>
      </c>
      <c r="DI67" s="25" t="str">
        <f t="shared" si="171"/>
        <v/>
      </c>
      <c r="DJ67" t="str">
        <f t="shared" si="172"/>
        <v/>
      </c>
      <c r="DK67" s="9"/>
      <c r="DL67" s="9"/>
      <c r="DM67" s="9"/>
      <c r="DN67" s="9"/>
      <c r="DO67" s="9"/>
      <c r="DP67" s="9"/>
      <c r="DQ67" s="136" t="b">
        <f t="shared" si="173"/>
        <v>1</v>
      </c>
    </row>
    <row r="68" spans="1:121" ht="27" customHeight="1" x14ac:dyDescent="0.95">
      <c r="A68" s="24" t="str">
        <f t="shared" si="90"/>
        <v/>
      </c>
      <c r="B68" s="9"/>
      <c r="C68" s="32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10"/>
      <c r="Q68" s="10"/>
      <c r="R68" s="10"/>
      <c r="S68" s="10"/>
      <c r="T68" s="10"/>
      <c r="U68" s="10"/>
      <c r="V68" s="10"/>
      <c r="W68" s="3" t="str">
        <f t="shared" si="107"/>
        <v/>
      </c>
      <c r="X68" s="3" t="str">
        <f t="shared" si="108"/>
        <v/>
      </c>
      <c r="Y68" s="3" t="str">
        <f t="shared" si="109"/>
        <v/>
      </c>
      <c r="Z68" s="3" t="str">
        <f t="shared" si="110"/>
        <v/>
      </c>
      <c r="AA68" s="3" t="str">
        <f t="shared" si="111"/>
        <v/>
      </c>
      <c r="AB68" s="3" t="str">
        <f t="shared" si="112"/>
        <v/>
      </c>
      <c r="AC68" s="3" t="str">
        <f t="shared" si="113"/>
        <v/>
      </c>
      <c r="AD68" s="3" t="str">
        <f t="shared" si="114"/>
        <v/>
      </c>
      <c r="AE68" s="3" t="str">
        <f t="shared" si="115"/>
        <v/>
      </c>
      <c r="AF68" s="24" t="str">
        <f t="shared" si="116"/>
        <v/>
      </c>
      <c r="AG68" s="24" t="str">
        <f t="shared" si="117"/>
        <v/>
      </c>
      <c r="AH68" s="24" t="str">
        <f t="shared" si="118"/>
        <v/>
      </c>
      <c r="AI68" s="24" t="str">
        <f t="shared" si="119"/>
        <v/>
      </c>
      <c r="AJ68" s="24" t="str">
        <f t="shared" si="120"/>
        <v/>
      </c>
      <c r="AK68" s="24" t="str">
        <f t="shared" si="121"/>
        <v/>
      </c>
      <c r="AL68" s="24" t="str">
        <f t="shared" si="122"/>
        <v/>
      </c>
      <c r="AM68" s="24" t="str">
        <f t="shared" si="123"/>
        <v/>
      </c>
      <c r="AN68" s="24" t="str">
        <f t="shared" si="124"/>
        <v/>
      </c>
      <c r="AO68" s="24" t="str">
        <f t="shared" si="125"/>
        <v/>
      </c>
      <c r="AP68" s="24" t="str">
        <f t="shared" si="126"/>
        <v/>
      </c>
      <c r="AQ68" s="24" t="str">
        <f t="shared" si="127"/>
        <v/>
      </c>
      <c r="AR68" s="24" t="str">
        <f t="shared" si="128"/>
        <v/>
      </c>
      <c r="AS68" s="24" t="str">
        <f t="shared" si="129"/>
        <v/>
      </c>
      <c r="AT68" s="24" t="str">
        <f t="shared" si="130"/>
        <v/>
      </c>
      <c r="AU68" s="24" t="str">
        <f t="shared" si="131"/>
        <v/>
      </c>
      <c r="AV68" s="24" t="str">
        <f t="shared" si="132"/>
        <v/>
      </c>
      <c r="AW68" s="24" t="str">
        <f t="shared" si="133"/>
        <v/>
      </c>
      <c r="AX68" s="24" t="str">
        <f t="shared" si="134"/>
        <v/>
      </c>
      <c r="AY68" s="24" t="str">
        <f t="shared" si="135"/>
        <v/>
      </c>
      <c r="AZ68" s="24" t="str">
        <f t="shared" si="136"/>
        <v/>
      </c>
      <c r="BA68" s="24" t="str">
        <f t="shared" si="137"/>
        <v/>
      </c>
      <c r="BB68" s="24" t="str">
        <f t="shared" si="138"/>
        <v/>
      </c>
      <c r="BC68" s="24" t="str">
        <f t="shared" si="139"/>
        <v/>
      </c>
      <c r="BD68" s="24" t="str">
        <f t="shared" si="140"/>
        <v/>
      </c>
      <c r="BE68" s="24" t="str">
        <f t="shared" si="141"/>
        <v/>
      </c>
      <c r="BF68" s="24" t="str">
        <f t="shared" si="142"/>
        <v/>
      </c>
      <c r="BG68" s="24" t="str">
        <f t="shared" si="143"/>
        <v/>
      </c>
      <c r="BH68" s="24" t="str">
        <f t="shared" si="144"/>
        <v/>
      </c>
      <c r="BI68" s="24" t="str">
        <f t="shared" si="145"/>
        <v/>
      </c>
      <c r="BJ68" s="24" t="str">
        <f t="shared" si="146"/>
        <v/>
      </c>
      <c r="BK68" s="24" t="str">
        <f t="shared" si="147"/>
        <v/>
      </c>
      <c r="BL68" s="26" t="str">
        <f t="shared" si="148"/>
        <v/>
      </c>
      <c r="BM68" s="26" t="str">
        <f t="shared" si="149"/>
        <v/>
      </c>
      <c r="BN68" s="26" t="str">
        <f t="shared" si="150"/>
        <v/>
      </c>
      <c r="BO68" s="26" t="str">
        <f t="shared" si="151"/>
        <v/>
      </c>
      <c r="BP68" s="26" t="str">
        <f t="shared" si="152"/>
        <v/>
      </c>
      <c r="BQ68" s="26" t="str">
        <f t="shared" si="153"/>
        <v/>
      </c>
      <c r="BR68" s="26" t="str">
        <f t="shared" si="154"/>
        <v/>
      </c>
      <c r="BS68" s="26" t="str">
        <f t="shared" si="174"/>
        <v/>
      </c>
      <c r="BT68" s="26" t="str">
        <f t="shared" si="175"/>
        <v/>
      </c>
      <c r="BU68" s="26" t="str">
        <f t="shared" si="176"/>
        <v/>
      </c>
      <c r="BV68" s="26" t="str">
        <f t="shared" si="177"/>
        <v/>
      </c>
      <c r="BW68" s="26" t="str">
        <f t="shared" si="178"/>
        <v/>
      </c>
      <c r="BX68" s="26" t="str">
        <f t="shared" si="179"/>
        <v/>
      </c>
      <c r="BY68" s="26" t="str">
        <f t="shared" si="180"/>
        <v/>
      </c>
      <c r="BZ68" s="26" t="str">
        <f t="shared" si="181"/>
        <v/>
      </c>
      <c r="CA68" s="26" t="str">
        <f t="shared" si="182"/>
        <v/>
      </c>
      <c r="CB68" s="24" t="str">
        <f t="shared" si="183"/>
        <v/>
      </c>
      <c r="CC68" s="24" t="str">
        <f t="shared" si="184"/>
        <v/>
      </c>
      <c r="CD68" s="24" t="str">
        <f t="shared" si="185"/>
        <v/>
      </c>
      <c r="CE68" s="24" t="str">
        <f t="shared" si="186"/>
        <v/>
      </c>
      <c r="CF68" s="24" t="str">
        <f t="shared" si="187"/>
        <v/>
      </c>
      <c r="CG68" s="24" t="str">
        <f t="shared" si="188"/>
        <v/>
      </c>
      <c r="CH68" s="24" t="str">
        <f t="shared" si="189"/>
        <v/>
      </c>
      <c r="CI68" s="24" t="str">
        <f t="shared" si="155"/>
        <v/>
      </c>
      <c r="CJ68" s="24" t="str">
        <f t="shared" si="83"/>
        <v/>
      </c>
      <c r="CK68" s="26" t="str">
        <f t="shared" si="156"/>
        <v/>
      </c>
      <c r="CL68" s="26" t="str">
        <f t="shared" si="84"/>
        <v/>
      </c>
      <c r="CM68" s="24" t="str">
        <f t="shared" si="85"/>
        <v/>
      </c>
      <c r="CN68" s="26" t="str">
        <f t="shared" si="157"/>
        <v/>
      </c>
      <c r="CO68" s="24" t="str">
        <f t="shared" si="158"/>
        <v/>
      </c>
      <c r="CP68" s="26" t="str">
        <f t="shared" si="159"/>
        <v/>
      </c>
      <c r="CQ68" s="26" t="str">
        <f t="shared" si="160"/>
        <v/>
      </c>
      <c r="CR68" s="26" t="str">
        <f t="shared" si="86"/>
        <v/>
      </c>
      <c r="CS68" s="24" t="str">
        <f t="shared" si="87"/>
        <v/>
      </c>
      <c r="CT68" s="27" t="str">
        <f t="shared" si="161"/>
        <v/>
      </c>
      <c r="CU68" s="24" t="str">
        <f t="shared" si="162"/>
        <v/>
      </c>
      <c r="CV68" s="27" t="str">
        <f t="shared" si="163"/>
        <v/>
      </c>
      <c r="CW68" s="27" t="str">
        <f t="shared" si="164"/>
        <v/>
      </c>
      <c r="CX68" s="26" t="str">
        <f t="shared" si="88"/>
        <v/>
      </c>
      <c r="CY68" s="27" t="str">
        <f t="shared" si="89"/>
        <v/>
      </c>
      <c r="CZ68" s="26" t="str">
        <f t="shared" si="165"/>
        <v/>
      </c>
      <c r="DA68" s="24" t="str">
        <f t="shared" si="166"/>
        <v/>
      </c>
      <c r="DB68" s="24" t="str">
        <f t="shared" si="167"/>
        <v/>
      </c>
      <c r="DC68" s="24" t="str">
        <f t="shared" si="168"/>
        <v/>
      </c>
      <c r="DD68" s="24" t="str">
        <f t="shared" si="169"/>
        <v/>
      </c>
      <c r="DE68" s="1"/>
      <c r="DF68" s="1"/>
      <c r="DG68" s="1"/>
      <c r="DH68" s="24" t="str">
        <f t="shared" si="170"/>
        <v/>
      </c>
      <c r="DI68" s="25" t="str">
        <f t="shared" si="171"/>
        <v/>
      </c>
      <c r="DJ68" t="str">
        <f t="shared" si="172"/>
        <v/>
      </c>
      <c r="DK68" s="9"/>
      <c r="DL68" s="9"/>
      <c r="DM68" s="9"/>
      <c r="DN68" s="9"/>
      <c r="DO68" s="9"/>
      <c r="DP68" s="9"/>
      <c r="DQ68" s="136" t="b">
        <f t="shared" si="173"/>
        <v>1</v>
      </c>
    </row>
    <row r="69" spans="1:121" ht="27" customHeight="1" x14ac:dyDescent="0.95">
      <c r="A69" s="24" t="str">
        <f t="shared" si="90"/>
        <v/>
      </c>
      <c r="B69" s="9"/>
      <c r="C69" s="32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10"/>
      <c r="Q69" s="10"/>
      <c r="R69" s="10"/>
      <c r="S69" s="10"/>
      <c r="T69" s="10"/>
      <c r="U69" s="10"/>
      <c r="V69" s="10"/>
      <c r="W69" s="3" t="str">
        <f t="shared" si="107"/>
        <v/>
      </c>
      <c r="X69" s="3" t="str">
        <f t="shared" si="108"/>
        <v/>
      </c>
      <c r="Y69" s="3" t="str">
        <f t="shared" si="109"/>
        <v/>
      </c>
      <c r="Z69" s="3" t="str">
        <f t="shared" si="110"/>
        <v/>
      </c>
      <c r="AA69" s="3" t="str">
        <f t="shared" si="111"/>
        <v/>
      </c>
      <c r="AB69" s="3" t="str">
        <f t="shared" si="112"/>
        <v/>
      </c>
      <c r="AC69" s="3" t="str">
        <f t="shared" si="113"/>
        <v/>
      </c>
      <c r="AD69" s="3" t="str">
        <f t="shared" si="114"/>
        <v/>
      </c>
      <c r="AE69" s="3" t="str">
        <f t="shared" si="115"/>
        <v/>
      </c>
      <c r="AF69" s="24" t="str">
        <f t="shared" si="116"/>
        <v/>
      </c>
      <c r="AG69" s="24" t="str">
        <f t="shared" si="117"/>
        <v/>
      </c>
      <c r="AH69" s="24" t="str">
        <f t="shared" si="118"/>
        <v/>
      </c>
      <c r="AI69" s="24" t="str">
        <f t="shared" si="119"/>
        <v/>
      </c>
      <c r="AJ69" s="24" t="str">
        <f t="shared" si="120"/>
        <v/>
      </c>
      <c r="AK69" s="24" t="str">
        <f t="shared" si="121"/>
        <v/>
      </c>
      <c r="AL69" s="24" t="str">
        <f t="shared" si="122"/>
        <v/>
      </c>
      <c r="AM69" s="24" t="str">
        <f t="shared" si="123"/>
        <v/>
      </c>
      <c r="AN69" s="24" t="str">
        <f t="shared" si="124"/>
        <v/>
      </c>
      <c r="AO69" s="24" t="str">
        <f t="shared" si="125"/>
        <v/>
      </c>
      <c r="AP69" s="24" t="str">
        <f t="shared" si="126"/>
        <v/>
      </c>
      <c r="AQ69" s="24" t="str">
        <f t="shared" si="127"/>
        <v/>
      </c>
      <c r="AR69" s="24" t="str">
        <f t="shared" si="128"/>
        <v/>
      </c>
      <c r="AS69" s="24" t="str">
        <f t="shared" si="129"/>
        <v/>
      </c>
      <c r="AT69" s="24" t="str">
        <f t="shared" si="130"/>
        <v/>
      </c>
      <c r="AU69" s="24" t="str">
        <f t="shared" si="131"/>
        <v/>
      </c>
      <c r="AV69" s="24" t="str">
        <f t="shared" si="132"/>
        <v/>
      </c>
      <c r="AW69" s="24" t="str">
        <f t="shared" si="133"/>
        <v/>
      </c>
      <c r="AX69" s="24" t="str">
        <f t="shared" si="134"/>
        <v/>
      </c>
      <c r="AY69" s="24" t="str">
        <f t="shared" si="135"/>
        <v/>
      </c>
      <c r="AZ69" s="24" t="str">
        <f t="shared" si="136"/>
        <v/>
      </c>
      <c r="BA69" s="24" t="str">
        <f t="shared" si="137"/>
        <v/>
      </c>
      <c r="BB69" s="24" t="str">
        <f t="shared" si="138"/>
        <v/>
      </c>
      <c r="BC69" s="24" t="str">
        <f t="shared" si="139"/>
        <v/>
      </c>
      <c r="BD69" s="24" t="str">
        <f t="shared" si="140"/>
        <v/>
      </c>
      <c r="BE69" s="24" t="str">
        <f t="shared" si="141"/>
        <v/>
      </c>
      <c r="BF69" s="24" t="str">
        <f t="shared" si="142"/>
        <v/>
      </c>
      <c r="BG69" s="24" t="str">
        <f t="shared" si="143"/>
        <v/>
      </c>
      <c r="BH69" s="24" t="str">
        <f t="shared" si="144"/>
        <v/>
      </c>
      <c r="BI69" s="24" t="str">
        <f t="shared" si="145"/>
        <v/>
      </c>
      <c r="BJ69" s="24" t="str">
        <f t="shared" si="146"/>
        <v/>
      </c>
      <c r="BK69" s="24" t="str">
        <f t="shared" si="147"/>
        <v/>
      </c>
      <c r="BL69" s="26" t="str">
        <f t="shared" si="148"/>
        <v/>
      </c>
      <c r="BM69" s="26" t="str">
        <f t="shared" si="149"/>
        <v/>
      </c>
      <c r="BN69" s="26" t="str">
        <f t="shared" si="150"/>
        <v/>
      </c>
      <c r="BO69" s="26" t="str">
        <f t="shared" si="151"/>
        <v/>
      </c>
      <c r="BP69" s="26" t="str">
        <f t="shared" si="152"/>
        <v/>
      </c>
      <c r="BQ69" s="26" t="str">
        <f t="shared" si="153"/>
        <v/>
      </c>
      <c r="BR69" s="26" t="str">
        <f t="shared" si="154"/>
        <v/>
      </c>
      <c r="BS69" s="26" t="str">
        <f t="shared" si="174"/>
        <v/>
      </c>
      <c r="BT69" s="26" t="str">
        <f t="shared" si="175"/>
        <v/>
      </c>
      <c r="BU69" s="26" t="str">
        <f t="shared" si="176"/>
        <v/>
      </c>
      <c r="BV69" s="26" t="str">
        <f t="shared" si="177"/>
        <v/>
      </c>
      <c r="BW69" s="26" t="str">
        <f t="shared" si="178"/>
        <v/>
      </c>
      <c r="BX69" s="26" t="str">
        <f t="shared" si="179"/>
        <v/>
      </c>
      <c r="BY69" s="26" t="str">
        <f t="shared" si="180"/>
        <v/>
      </c>
      <c r="BZ69" s="26" t="str">
        <f t="shared" si="181"/>
        <v/>
      </c>
      <c r="CA69" s="26" t="str">
        <f t="shared" si="182"/>
        <v/>
      </c>
      <c r="CB69" s="24" t="str">
        <f t="shared" si="183"/>
        <v/>
      </c>
      <c r="CC69" s="24" t="str">
        <f t="shared" si="184"/>
        <v/>
      </c>
      <c r="CD69" s="24" t="str">
        <f t="shared" si="185"/>
        <v/>
      </c>
      <c r="CE69" s="24" t="str">
        <f t="shared" si="186"/>
        <v/>
      </c>
      <c r="CF69" s="24" t="str">
        <f t="shared" si="187"/>
        <v/>
      </c>
      <c r="CG69" s="24" t="str">
        <f t="shared" si="188"/>
        <v/>
      </c>
      <c r="CH69" s="24" t="str">
        <f t="shared" si="189"/>
        <v/>
      </c>
      <c r="CI69" s="24" t="str">
        <f t="shared" si="155"/>
        <v/>
      </c>
      <c r="CJ69" s="24" t="str">
        <f t="shared" si="83"/>
        <v/>
      </c>
      <c r="CK69" s="26" t="str">
        <f t="shared" si="156"/>
        <v/>
      </c>
      <c r="CL69" s="26" t="str">
        <f t="shared" si="84"/>
        <v/>
      </c>
      <c r="CM69" s="24" t="str">
        <f t="shared" si="85"/>
        <v/>
      </c>
      <c r="CN69" s="26" t="str">
        <f t="shared" si="157"/>
        <v/>
      </c>
      <c r="CO69" s="24" t="str">
        <f t="shared" si="158"/>
        <v/>
      </c>
      <c r="CP69" s="26" t="str">
        <f t="shared" si="159"/>
        <v/>
      </c>
      <c r="CQ69" s="26" t="str">
        <f t="shared" si="160"/>
        <v/>
      </c>
      <c r="CR69" s="26" t="str">
        <f t="shared" si="86"/>
        <v/>
      </c>
      <c r="CS69" s="24" t="str">
        <f t="shared" si="87"/>
        <v/>
      </c>
      <c r="CT69" s="27" t="str">
        <f t="shared" si="161"/>
        <v/>
      </c>
      <c r="CU69" s="24" t="str">
        <f t="shared" si="162"/>
        <v/>
      </c>
      <c r="CV69" s="27" t="str">
        <f t="shared" si="163"/>
        <v/>
      </c>
      <c r="CW69" s="27" t="str">
        <f t="shared" si="164"/>
        <v/>
      </c>
      <c r="CX69" s="26" t="str">
        <f t="shared" si="88"/>
        <v/>
      </c>
      <c r="CY69" s="27" t="str">
        <f t="shared" si="89"/>
        <v/>
      </c>
      <c r="CZ69" s="26" t="str">
        <f t="shared" si="165"/>
        <v/>
      </c>
      <c r="DA69" s="24" t="str">
        <f t="shared" si="166"/>
        <v/>
      </c>
      <c r="DB69" s="24" t="str">
        <f t="shared" si="167"/>
        <v/>
      </c>
      <c r="DC69" s="24" t="str">
        <f t="shared" si="168"/>
        <v/>
      </c>
      <c r="DD69" s="24" t="str">
        <f t="shared" si="169"/>
        <v/>
      </c>
      <c r="DE69" s="1"/>
      <c r="DF69" s="1"/>
      <c r="DG69" s="1"/>
      <c r="DH69" s="24" t="str">
        <f t="shared" si="170"/>
        <v/>
      </c>
      <c r="DI69" s="25" t="str">
        <f t="shared" si="171"/>
        <v/>
      </c>
      <c r="DJ69" t="str">
        <f t="shared" si="172"/>
        <v/>
      </c>
      <c r="DK69" s="9"/>
      <c r="DL69" s="9"/>
      <c r="DM69" s="9"/>
      <c r="DN69" s="9"/>
      <c r="DO69" s="9"/>
      <c r="DP69" s="9"/>
      <c r="DQ69" s="136" t="b">
        <f t="shared" si="173"/>
        <v>1</v>
      </c>
    </row>
    <row r="70" spans="1:121" ht="27" customHeight="1" x14ac:dyDescent="0.95">
      <c r="A70" s="24" t="str">
        <f t="shared" si="90"/>
        <v/>
      </c>
      <c r="B70" s="9"/>
      <c r="C70" s="32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10"/>
      <c r="Q70" s="10"/>
      <c r="R70" s="10"/>
      <c r="S70" s="10"/>
      <c r="T70" s="10"/>
      <c r="U70" s="10"/>
      <c r="V70" s="10"/>
      <c r="W70" s="3" t="str">
        <f t="shared" si="107"/>
        <v/>
      </c>
      <c r="X70" s="3" t="str">
        <f t="shared" si="108"/>
        <v/>
      </c>
      <c r="Y70" s="3" t="str">
        <f t="shared" si="109"/>
        <v/>
      </c>
      <c r="Z70" s="3" t="str">
        <f t="shared" si="110"/>
        <v/>
      </c>
      <c r="AA70" s="3" t="str">
        <f t="shared" si="111"/>
        <v/>
      </c>
      <c r="AB70" s="3" t="str">
        <f t="shared" si="112"/>
        <v/>
      </c>
      <c r="AC70" s="3" t="str">
        <f t="shared" si="113"/>
        <v/>
      </c>
      <c r="AD70" s="3" t="str">
        <f t="shared" si="114"/>
        <v/>
      </c>
      <c r="AE70" s="3" t="str">
        <f t="shared" si="115"/>
        <v/>
      </c>
      <c r="AF70" s="24" t="str">
        <f t="shared" si="116"/>
        <v/>
      </c>
      <c r="AG70" s="24" t="str">
        <f t="shared" si="117"/>
        <v/>
      </c>
      <c r="AH70" s="24" t="str">
        <f t="shared" si="118"/>
        <v/>
      </c>
      <c r="AI70" s="24" t="str">
        <f t="shared" si="119"/>
        <v/>
      </c>
      <c r="AJ70" s="24" t="str">
        <f t="shared" si="120"/>
        <v/>
      </c>
      <c r="AK70" s="24" t="str">
        <f t="shared" si="121"/>
        <v/>
      </c>
      <c r="AL70" s="24" t="str">
        <f t="shared" si="122"/>
        <v/>
      </c>
      <c r="AM70" s="24" t="str">
        <f t="shared" si="123"/>
        <v/>
      </c>
      <c r="AN70" s="24" t="str">
        <f t="shared" si="124"/>
        <v/>
      </c>
      <c r="AO70" s="24" t="str">
        <f t="shared" si="125"/>
        <v/>
      </c>
      <c r="AP70" s="24" t="str">
        <f t="shared" si="126"/>
        <v/>
      </c>
      <c r="AQ70" s="24" t="str">
        <f t="shared" si="127"/>
        <v/>
      </c>
      <c r="AR70" s="24" t="str">
        <f t="shared" si="128"/>
        <v/>
      </c>
      <c r="AS70" s="24" t="str">
        <f t="shared" si="129"/>
        <v/>
      </c>
      <c r="AT70" s="24" t="str">
        <f t="shared" si="130"/>
        <v/>
      </c>
      <c r="AU70" s="24" t="str">
        <f t="shared" si="131"/>
        <v/>
      </c>
      <c r="AV70" s="24" t="str">
        <f t="shared" si="132"/>
        <v/>
      </c>
      <c r="AW70" s="24" t="str">
        <f t="shared" si="133"/>
        <v/>
      </c>
      <c r="AX70" s="24" t="str">
        <f t="shared" si="134"/>
        <v/>
      </c>
      <c r="AY70" s="24" t="str">
        <f t="shared" si="135"/>
        <v/>
      </c>
      <c r="AZ70" s="24" t="str">
        <f t="shared" si="136"/>
        <v/>
      </c>
      <c r="BA70" s="24" t="str">
        <f t="shared" si="137"/>
        <v/>
      </c>
      <c r="BB70" s="24" t="str">
        <f t="shared" si="138"/>
        <v/>
      </c>
      <c r="BC70" s="24" t="str">
        <f t="shared" si="139"/>
        <v/>
      </c>
      <c r="BD70" s="24" t="str">
        <f t="shared" si="140"/>
        <v/>
      </c>
      <c r="BE70" s="24" t="str">
        <f t="shared" si="141"/>
        <v/>
      </c>
      <c r="BF70" s="24" t="str">
        <f t="shared" si="142"/>
        <v/>
      </c>
      <c r="BG70" s="24" t="str">
        <f t="shared" si="143"/>
        <v/>
      </c>
      <c r="BH70" s="24" t="str">
        <f t="shared" si="144"/>
        <v/>
      </c>
      <c r="BI70" s="24" t="str">
        <f t="shared" si="145"/>
        <v/>
      </c>
      <c r="BJ70" s="24" t="str">
        <f t="shared" si="146"/>
        <v/>
      </c>
      <c r="BK70" s="24" t="str">
        <f t="shared" si="147"/>
        <v/>
      </c>
      <c r="BL70" s="26" t="str">
        <f t="shared" si="148"/>
        <v/>
      </c>
      <c r="BM70" s="26" t="str">
        <f t="shared" si="149"/>
        <v/>
      </c>
      <c r="BN70" s="26" t="str">
        <f t="shared" si="150"/>
        <v/>
      </c>
      <c r="BO70" s="26" t="str">
        <f t="shared" si="151"/>
        <v/>
      </c>
      <c r="BP70" s="26" t="str">
        <f t="shared" si="152"/>
        <v/>
      </c>
      <c r="BQ70" s="26" t="str">
        <f t="shared" si="153"/>
        <v/>
      </c>
      <c r="BR70" s="26" t="str">
        <f t="shared" si="154"/>
        <v/>
      </c>
      <c r="BS70" s="26" t="str">
        <f t="shared" si="174"/>
        <v/>
      </c>
      <c r="BT70" s="26" t="str">
        <f t="shared" si="175"/>
        <v/>
      </c>
      <c r="BU70" s="26" t="str">
        <f t="shared" si="176"/>
        <v/>
      </c>
      <c r="BV70" s="26" t="str">
        <f t="shared" si="177"/>
        <v/>
      </c>
      <c r="BW70" s="26" t="str">
        <f t="shared" si="178"/>
        <v/>
      </c>
      <c r="BX70" s="26" t="str">
        <f t="shared" si="179"/>
        <v/>
      </c>
      <c r="BY70" s="26" t="str">
        <f t="shared" si="180"/>
        <v/>
      </c>
      <c r="BZ70" s="26" t="str">
        <f t="shared" si="181"/>
        <v/>
      </c>
      <c r="CA70" s="26" t="str">
        <f t="shared" si="182"/>
        <v/>
      </c>
      <c r="CB70" s="24" t="str">
        <f t="shared" si="183"/>
        <v/>
      </c>
      <c r="CC70" s="24" t="str">
        <f t="shared" si="184"/>
        <v/>
      </c>
      <c r="CD70" s="24" t="str">
        <f t="shared" si="185"/>
        <v/>
      </c>
      <c r="CE70" s="24" t="str">
        <f t="shared" si="186"/>
        <v/>
      </c>
      <c r="CF70" s="24" t="str">
        <f t="shared" si="187"/>
        <v/>
      </c>
      <c r="CG70" s="24" t="str">
        <f t="shared" si="188"/>
        <v/>
      </c>
      <c r="CH70" s="24" t="str">
        <f t="shared" si="189"/>
        <v/>
      </c>
      <c r="CI70" s="24" t="str">
        <f t="shared" si="155"/>
        <v/>
      </c>
      <c r="CJ70" s="24" t="str">
        <f t="shared" si="83"/>
        <v/>
      </c>
      <c r="CK70" s="26" t="str">
        <f t="shared" si="156"/>
        <v/>
      </c>
      <c r="CL70" s="26" t="str">
        <f t="shared" si="84"/>
        <v/>
      </c>
      <c r="CM70" s="24" t="str">
        <f t="shared" si="85"/>
        <v/>
      </c>
      <c r="CN70" s="26" t="str">
        <f t="shared" si="157"/>
        <v/>
      </c>
      <c r="CO70" s="24" t="str">
        <f t="shared" si="158"/>
        <v/>
      </c>
      <c r="CP70" s="26" t="str">
        <f t="shared" si="159"/>
        <v/>
      </c>
      <c r="CQ70" s="26" t="str">
        <f t="shared" si="160"/>
        <v/>
      </c>
      <c r="CR70" s="26" t="str">
        <f t="shared" si="86"/>
        <v/>
      </c>
      <c r="CS70" s="24" t="str">
        <f t="shared" si="87"/>
        <v/>
      </c>
      <c r="CT70" s="27" t="str">
        <f t="shared" si="161"/>
        <v/>
      </c>
      <c r="CU70" s="24" t="str">
        <f t="shared" si="162"/>
        <v/>
      </c>
      <c r="CV70" s="27" t="str">
        <f t="shared" si="163"/>
        <v/>
      </c>
      <c r="CW70" s="27" t="str">
        <f t="shared" si="164"/>
        <v/>
      </c>
      <c r="CX70" s="26" t="str">
        <f t="shared" si="88"/>
        <v/>
      </c>
      <c r="CY70" s="27" t="str">
        <f t="shared" si="89"/>
        <v/>
      </c>
      <c r="CZ70" s="26" t="str">
        <f t="shared" si="165"/>
        <v/>
      </c>
      <c r="DA70" s="24" t="str">
        <f t="shared" si="166"/>
        <v/>
      </c>
      <c r="DB70" s="24" t="str">
        <f t="shared" si="167"/>
        <v/>
      </c>
      <c r="DC70" s="24" t="str">
        <f t="shared" si="168"/>
        <v/>
      </c>
      <c r="DD70" s="24" t="str">
        <f t="shared" si="169"/>
        <v/>
      </c>
      <c r="DE70" s="1"/>
      <c r="DF70" s="1"/>
      <c r="DG70" s="1"/>
      <c r="DH70" s="24" t="str">
        <f t="shared" si="170"/>
        <v/>
      </c>
      <c r="DI70" s="25" t="str">
        <f t="shared" si="171"/>
        <v/>
      </c>
      <c r="DJ70" t="str">
        <f t="shared" si="172"/>
        <v/>
      </c>
      <c r="DK70" s="9"/>
      <c r="DL70" s="9"/>
      <c r="DM70" s="9"/>
      <c r="DN70" s="9"/>
      <c r="DO70" s="9"/>
      <c r="DP70" s="9"/>
      <c r="DQ70" s="136" t="b">
        <f t="shared" si="173"/>
        <v>1</v>
      </c>
    </row>
    <row r="71" spans="1:121" ht="27" customHeight="1" x14ac:dyDescent="0.95">
      <c r="A71" s="24" t="str">
        <f t="shared" si="90"/>
        <v/>
      </c>
      <c r="B71" s="9"/>
      <c r="C71" s="32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10"/>
      <c r="Q71" s="10"/>
      <c r="R71" s="10"/>
      <c r="S71" s="10"/>
      <c r="T71" s="10"/>
      <c r="U71" s="10"/>
      <c r="V71" s="10"/>
      <c r="W71" s="3" t="str">
        <f t="shared" si="107"/>
        <v/>
      </c>
      <c r="X71" s="3" t="str">
        <f t="shared" si="108"/>
        <v/>
      </c>
      <c r="Y71" s="3" t="str">
        <f t="shared" si="109"/>
        <v/>
      </c>
      <c r="Z71" s="3" t="str">
        <f t="shared" si="110"/>
        <v/>
      </c>
      <c r="AA71" s="3" t="str">
        <f t="shared" si="111"/>
        <v/>
      </c>
      <c r="AB71" s="3" t="str">
        <f t="shared" si="112"/>
        <v/>
      </c>
      <c r="AC71" s="3" t="str">
        <f t="shared" si="113"/>
        <v/>
      </c>
      <c r="AD71" s="3" t="str">
        <f t="shared" si="114"/>
        <v/>
      </c>
      <c r="AE71" s="3" t="str">
        <f t="shared" si="115"/>
        <v/>
      </c>
      <c r="AF71" s="24" t="str">
        <f t="shared" si="116"/>
        <v/>
      </c>
      <c r="AG71" s="24" t="str">
        <f t="shared" si="117"/>
        <v/>
      </c>
      <c r="AH71" s="24" t="str">
        <f t="shared" si="118"/>
        <v/>
      </c>
      <c r="AI71" s="24" t="str">
        <f t="shared" si="119"/>
        <v/>
      </c>
      <c r="AJ71" s="24" t="str">
        <f t="shared" si="120"/>
        <v/>
      </c>
      <c r="AK71" s="24" t="str">
        <f t="shared" si="121"/>
        <v/>
      </c>
      <c r="AL71" s="24" t="str">
        <f t="shared" si="122"/>
        <v/>
      </c>
      <c r="AM71" s="24" t="str">
        <f t="shared" si="123"/>
        <v/>
      </c>
      <c r="AN71" s="24" t="str">
        <f t="shared" si="124"/>
        <v/>
      </c>
      <c r="AO71" s="24" t="str">
        <f t="shared" si="125"/>
        <v/>
      </c>
      <c r="AP71" s="24" t="str">
        <f t="shared" si="126"/>
        <v/>
      </c>
      <c r="AQ71" s="24" t="str">
        <f t="shared" si="127"/>
        <v/>
      </c>
      <c r="AR71" s="24" t="str">
        <f t="shared" si="128"/>
        <v/>
      </c>
      <c r="AS71" s="24" t="str">
        <f t="shared" si="129"/>
        <v/>
      </c>
      <c r="AT71" s="24" t="str">
        <f t="shared" si="130"/>
        <v/>
      </c>
      <c r="AU71" s="24" t="str">
        <f t="shared" si="131"/>
        <v/>
      </c>
      <c r="AV71" s="24" t="str">
        <f t="shared" si="132"/>
        <v/>
      </c>
      <c r="AW71" s="24" t="str">
        <f t="shared" si="133"/>
        <v/>
      </c>
      <c r="AX71" s="24" t="str">
        <f t="shared" si="134"/>
        <v/>
      </c>
      <c r="AY71" s="24" t="str">
        <f t="shared" si="135"/>
        <v/>
      </c>
      <c r="AZ71" s="24" t="str">
        <f t="shared" si="136"/>
        <v/>
      </c>
      <c r="BA71" s="24" t="str">
        <f t="shared" si="137"/>
        <v/>
      </c>
      <c r="BB71" s="24" t="str">
        <f t="shared" si="138"/>
        <v/>
      </c>
      <c r="BC71" s="24" t="str">
        <f t="shared" si="139"/>
        <v/>
      </c>
      <c r="BD71" s="24" t="str">
        <f t="shared" si="140"/>
        <v/>
      </c>
      <c r="BE71" s="24" t="str">
        <f t="shared" si="141"/>
        <v/>
      </c>
      <c r="BF71" s="24" t="str">
        <f t="shared" si="142"/>
        <v/>
      </c>
      <c r="BG71" s="24" t="str">
        <f t="shared" si="143"/>
        <v/>
      </c>
      <c r="BH71" s="24" t="str">
        <f t="shared" si="144"/>
        <v/>
      </c>
      <c r="BI71" s="24" t="str">
        <f t="shared" si="145"/>
        <v/>
      </c>
      <c r="BJ71" s="24" t="str">
        <f t="shared" si="146"/>
        <v/>
      </c>
      <c r="BK71" s="24" t="str">
        <f t="shared" si="147"/>
        <v/>
      </c>
      <c r="BL71" s="26" t="str">
        <f t="shared" si="148"/>
        <v/>
      </c>
      <c r="BM71" s="26" t="str">
        <f t="shared" si="149"/>
        <v/>
      </c>
      <c r="BN71" s="26" t="str">
        <f t="shared" si="150"/>
        <v/>
      </c>
      <c r="BO71" s="26" t="str">
        <f t="shared" si="151"/>
        <v/>
      </c>
      <c r="BP71" s="26" t="str">
        <f t="shared" si="152"/>
        <v/>
      </c>
      <c r="BQ71" s="26" t="str">
        <f t="shared" si="153"/>
        <v/>
      </c>
      <c r="BR71" s="26" t="str">
        <f t="shared" si="154"/>
        <v/>
      </c>
      <c r="BS71" s="26" t="str">
        <f t="shared" si="174"/>
        <v/>
      </c>
      <c r="BT71" s="26" t="str">
        <f t="shared" si="175"/>
        <v/>
      </c>
      <c r="BU71" s="26" t="str">
        <f t="shared" si="176"/>
        <v/>
      </c>
      <c r="BV71" s="26" t="str">
        <f t="shared" si="177"/>
        <v/>
      </c>
      <c r="BW71" s="26" t="str">
        <f t="shared" si="178"/>
        <v/>
      </c>
      <c r="BX71" s="26" t="str">
        <f t="shared" si="179"/>
        <v/>
      </c>
      <c r="BY71" s="26" t="str">
        <f t="shared" si="180"/>
        <v/>
      </c>
      <c r="BZ71" s="26" t="str">
        <f t="shared" si="181"/>
        <v/>
      </c>
      <c r="CA71" s="26" t="str">
        <f t="shared" si="182"/>
        <v/>
      </c>
      <c r="CB71" s="24" t="str">
        <f t="shared" si="183"/>
        <v/>
      </c>
      <c r="CC71" s="24" t="str">
        <f t="shared" si="184"/>
        <v/>
      </c>
      <c r="CD71" s="24" t="str">
        <f t="shared" si="185"/>
        <v/>
      </c>
      <c r="CE71" s="24" t="str">
        <f t="shared" si="186"/>
        <v/>
      </c>
      <c r="CF71" s="24" t="str">
        <f t="shared" si="187"/>
        <v/>
      </c>
      <c r="CG71" s="24" t="str">
        <f t="shared" si="188"/>
        <v/>
      </c>
      <c r="CH71" s="24" t="str">
        <f t="shared" si="189"/>
        <v/>
      </c>
      <c r="CI71" s="24" t="str">
        <f t="shared" si="155"/>
        <v/>
      </c>
      <c r="CJ71" s="24" t="str">
        <f t="shared" si="83"/>
        <v/>
      </c>
      <c r="CK71" s="26" t="str">
        <f t="shared" si="156"/>
        <v/>
      </c>
      <c r="CL71" s="26" t="str">
        <f t="shared" si="84"/>
        <v/>
      </c>
      <c r="CM71" s="24" t="str">
        <f t="shared" si="85"/>
        <v/>
      </c>
      <c r="CN71" s="26" t="str">
        <f t="shared" si="157"/>
        <v/>
      </c>
      <c r="CO71" s="24" t="str">
        <f t="shared" si="158"/>
        <v/>
      </c>
      <c r="CP71" s="26" t="str">
        <f t="shared" si="159"/>
        <v/>
      </c>
      <c r="CQ71" s="26" t="str">
        <f t="shared" si="160"/>
        <v/>
      </c>
      <c r="CR71" s="26" t="str">
        <f t="shared" si="86"/>
        <v/>
      </c>
      <c r="CS71" s="24" t="str">
        <f t="shared" si="87"/>
        <v/>
      </c>
      <c r="CT71" s="27" t="str">
        <f t="shared" si="161"/>
        <v/>
      </c>
      <c r="CU71" s="24" t="str">
        <f t="shared" si="162"/>
        <v/>
      </c>
      <c r="CV71" s="27" t="str">
        <f t="shared" si="163"/>
        <v/>
      </c>
      <c r="CW71" s="27" t="str">
        <f t="shared" si="164"/>
        <v/>
      </c>
      <c r="CX71" s="26" t="str">
        <f t="shared" si="88"/>
        <v/>
      </c>
      <c r="CY71" s="27" t="str">
        <f t="shared" si="89"/>
        <v/>
      </c>
      <c r="CZ71" s="26" t="str">
        <f t="shared" si="165"/>
        <v/>
      </c>
      <c r="DA71" s="24" t="str">
        <f t="shared" si="166"/>
        <v/>
      </c>
      <c r="DB71" s="24" t="str">
        <f t="shared" si="167"/>
        <v/>
      </c>
      <c r="DC71" s="24" t="str">
        <f t="shared" si="168"/>
        <v/>
      </c>
      <c r="DD71" s="24" t="str">
        <f t="shared" si="169"/>
        <v/>
      </c>
      <c r="DE71" s="1"/>
      <c r="DF71" s="1"/>
      <c r="DG71" s="1"/>
      <c r="DH71" s="24" t="str">
        <f t="shared" si="170"/>
        <v/>
      </c>
      <c r="DI71" s="25" t="str">
        <f t="shared" si="171"/>
        <v/>
      </c>
      <c r="DJ71" t="str">
        <f t="shared" si="172"/>
        <v/>
      </c>
      <c r="DK71" s="9"/>
      <c r="DL71" s="9"/>
      <c r="DM71" s="9"/>
      <c r="DN71" s="9"/>
      <c r="DO71" s="9"/>
      <c r="DP71" s="9"/>
      <c r="DQ71" s="136" t="b">
        <f t="shared" si="173"/>
        <v>1</v>
      </c>
    </row>
    <row r="72" spans="1:121" ht="27" customHeight="1" x14ac:dyDescent="0.95">
      <c r="A72" s="24" t="str">
        <f t="shared" si="90"/>
        <v/>
      </c>
      <c r="B72" s="9"/>
      <c r="C72" s="32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10"/>
      <c r="Q72" s="10"/>
      <c r="R72" s="10"/>
      <c r="S72" s="10"/>
      <c r="T72" s="10"/>
      <c r="U72" s="10"/>
      <c r="V72" s="10"/>
      <c r="W72" s="3" t="str">
        <f t="shared" si="107"/>
        <v/>
      </c>
      <c r="X72" s="3" t="str">
        <f t="shared" si="108"/>
        <v/>
      </c>
      <c r="Y72" s="3" t="str">
        <f t="shared" si="109"/>
        <v/>
      </c>
      <c r="Z72" s="3" t="str">
        <f t="shared" si="110"/>
        <v/>
      </c>
      <c r="AA72" s="3" t="str">
        <f t="shared" si="111"/>
        <v/>
      </c>
      <c r="AB72" s="3" t="str">
        <f t="shared" si="112"/>
        <v/>
      </c>
      <c r="AC72" s="3" t="str">
        <f t="shared" si="113"/>
        <v/>
      </c>
      <c r="AD72" s="3" t="str">
        <f t="shared" si="114"/>
        <v/>
      </c>
      <c r="AE72" s="3" t="str">
        <f t="shared" si="115"/>
        <v/>
      </c>
      <c r="AF72" s="24" t="str">
        <f t="shared" si="116"/>
        <v/>
      </c>
      <c r="AG72" s="24" t="str">
        <f t="shared" si="117"/>
        <v/>
      </c>
      <c r="AH72" s="24" t="str">
        <f t="shared" si="118"/>
        <v/>
      </c>
      <c r="AI72" s="24" t="str">
        <f t="shared" si="119"/>
        <v/>
      </c>
      <c r="AJ72" s="24" t="str">
        <f t="shared" si="120"/>
        <v/>
      </c>
      <c r="AK72" s="24" t="str">
        <f t="shared" si="121"/>
        <v/>
      </c>
      <c r="AL72" s="24" t="str">
        <f t="shared" si="122"/>
        <v/>
      </c>
      <c r="AM72" s="24" t="str">
        <f t="shared" si="123"/>
        <v/>
      </c>
      <c r="AN72" s="24" t="str">
        <f t="shared" si="124"/>
        <v/>
      </c>
      <c r="AO72" s="24" t="str">
        <f t="shared" si="125"/>
        <v/>
      </c>
      <c r="AP72" s="24" t="str">
        <f t="shared" si="126"/>
        <v/>
      </c>
      <c r="AQ72" s="24" t="str">
        <f t="shared" si="127"/>
        <v/>
      </c>
      <c r="AR72" s="24" t="str">
        <f t="shared" si="128"/>
        <v/>
      </c>
      <c r="AS72" s="24" t="str">
        <f t="shared" si="129"/>
        <v/>
      </c>
      <c r="AT72" s="24" t="str">
        <f t="shared" si="130"/>
        <v/>
      </c>
      <c r="AU72" s="24" t="str">
        <f t="shared" si="131"/>
        <v/>
      </c>
      <c r="AV72" s="24" t="str">
        <f t="shared" si="132"/>
        <v/>
      </c>
      <c r="AW72" s="24" t="str">
        <f t="shared" si="133"/>
        <v/>
      </c>
      <c r="AX72" s="24" t="str">
        <f t="shared" si="134"/>
        <v/>
      </c>
      <c r="AY72" s="24" t="str">
        <f t="shared" si="135"/>
        <v/>
      </c>
      <c r="AZ72" s="24" t="str">
        <f t="shared" si="136"/>
        <v/>
      </c>
      <c r="BA72" s="24" t="str">
        <f t="shared" si="137"/>
        <v/>
      </c>
      <c r="BB72" s="24" t="str">
        <f t="shared" si="138"/>
        <v/>
      </c>
      <c r="BC72" s="24" t="str">
        <f t="shared" si="139"/>
        <v/>
      </c>
      <c r="BD72" s="24" t="str">
        <f t="shared" si="140"/>
        <v/>
      </c>
      <c r="BE72" s="24" t="str">
        <f t="shared" si="141"/>
        <v/>
      </c>
      <c r="BF72" s="24" t="str">
        <f t="shared" si="142"/>
        <v/>
      </c>
      <c r="BG72" s="24" t="str">
        <f t="shared" si="143"/>
        <v/>
      </c>
      <c r="BH72" s="24" t="str">
        <f t="shared" si="144"/>
        <v/>
      </c>
      <c r="BI72" s="24" t="str">
        <f t="shared" si="145"/>
        <v/>
      </c>
      <c r="BJ72" s="24" t="str">
        <f t="shared" si="146"/>
        <v/>
      </c>
      <c r="BK72" s="24" t="str">
        <f t="shared" si="147"/>
        <v/>
      </c>
      <c r="BL72" s="26" t="str">
        <f t="shared" si="148"/>
        <v/>
      </c>
      <c r="BM72" s="26" t="str">
        <f t="shared" si="149"/>
        <v/>
      </c>
      <c r="BN72" s="26" t="str">
        <f t="shared" si="150"/>
        <v/>
      </c>
      <c r="BO72" s="26" t="str">
        <f t="shared" si="151"/>
        <v/>
      </c>
      <c r="BP72" s="26" t="str">
        <f t="shared" si="152"/>
        <v/>
      </c>
      <c r="BQ72" s="26" t="str">
        <f t="shared" si="153"/>
        <v/>
      </c>
      <c r="BR72" s="26" t="str">
        <f t="shared" si="154"/>
        <v/>
      </c>
      <c r="BS72" s="26" t="str">
        <f t="shared" si="174"/>
        <v/>
      </c>
      <c r="BT72" s="26" t="str">
        <f t="shared" si="175"/>
        <v/>
      </c>
      <c r="BU72" s="26" t="str">
        <f t="shared" si="176"/>
        <v/>
      </c>
      <c r="BV72" s="26" t="str">
        <f t="shared" si="177"/>
        <v/>
      </c>
      <c r="BW72" s="26" t="str">
        <f t="shared" si="178"/>
        <v/>
      </c>
      <c r="BX72" s="26" t="str">
        <f t="shared" si="179"/>
        <v/>
      </c>
      <c r="BY72" s="26" t="str">
        <f t="shared" si="180"/>
        <v/>
      </c>
      <c r="BZ72" s="26" t="str">
        <f t="shared" si="181"/>
        <v/>
      </c>
      <c r="CA72" s="26" t="str">
        <f t="shared" si="182"/>
        <v/>
      </c>
      <c r="CB72" s="24" t="str">
        <f t="shared" si="183"/>
        <v/>
      </c>
      <c r="CC72" s="24" t="str">
        <f t="shared" si="184"/>
        <v/>
      </c>
      <c r="CD72" s="24" t="str">
        <f t="shared" si="185"/>
        <v/>
      </c>
      <c r="CE72" s="24" t="str">
        <f t="shared" si="186"/>
        <v/>
      </c>
      <c r="CF72" s="24" t="str">
        <f t="shared" si="187"/>
        <v/>
      </c>
      <c r="CG72" s="24" t="str">
        <f t="shared" si="188"/>
        <v/>
      </c>
      <c r="CH72" s="24" t="str">
        <f t="shared" si="189"/>
        <v/>
      </c>
      <c r="CI72" s="24" t="str">
        <f t="shared" si="155"/>
        <v/>
      </c>
      <c r="CJ72" s="24" t="str">
        <f t="shared" si="83"/>
        <v/>
      </c>
      <c r="CK72" s="26" t="str">
        <f t="shared" si="156"/>
        <v/>
      </c>
      <c r="CL72" s="26" t="str">
        <f t="shared" si="84"/>
        <v/>
      </c>
      <c r="CM72" s="24" t="str">
        <f t="shared" si="85"/>
        <v/>
      </c>
      <c r="CN72" s="26" t="str">
        <f t="shared" si="157"/>
        <v/>
      </c>
      <c r="CO72" s="24" t="str">
        <f t="shared" si="158"/>
        <v/>
      </c>
      <c r="CP72" s="26" t="str">
        <f t="shared" si="159"/>
        <v/>
      </c>
      <c r="CQ72" s="26" t="str">
        <f t="shared" si="160"/>
        <v/>
      </c>
      <c r="CR72" s="26" t="str">
        <f t="shared" si="86"/>
        <v/>
      </c>
      <c r="CS72" s="24" t="str">
        <f t="shared" si="87"/>
        <v/>
      </c>
      <c r="CT72" s="27" t="str">
        <f t="shared" si="161"/>
        <v/>
      </c>
      <c r="CU72" s="24" t="str">
        <f t="shared" si="162"/>
        <v/>
      </c>
      <c r="CV72" s="27" t="str">
        <f t="shared" si="163"/>
        <v/>
      </c>
      <c r="CW72" s="27" t="str">
        <f t="shared" si="164"/>
        <v/>
      </c>
      <c r="CX72" s="26" t="str">
        <f t="shared" si="88"/>
        <v/>
      </c>
      <c r="CY72" s="27" t="str">
        <f t="shared" si="89"/>
        <v/>
      </c>
      <c r="CZ72" s="26" t="str">
        <f t="shared" si="165"/>
        <v/>
      </c>
      <c r="DA72" s="24" t="str">
        <f t="shared" si="166"/>
        <v/>
      </c>
      <c r="DB72" s="24" t="str">
        <f t="shared" si="167"/>
        <v/>
      </c>
      <c r="DC72" s="24" t="str">
        <f t="shared" si="168"/>
        <v/>
      </c>
      <c r="DD72" s="24" t="str">
        <f t="shared" si="169"/>
        <v/>
      </c>
      <c r="DE72" s="1"/>
      <c r="DF72" s="1"/>
      <c r="DG72" s="1"/>
      <c r="DH72" s="24" t="str">
        <f t="shared" si="170"/>
        <v/>
      </c>
      <c r="DI72" s="25" t="str">
        <f t="shared" si="171"/>
        <v/>
      </c>
      <c r="DJ72" t="str">
        <f t="shared" si="172"/>
        <v/>
      </c>
      <c r="DK72" s="9"/>
      <c r="DL72" s="9"/>
      <c r="DM72" s="9"/>
      <c r="DN72" s="9"/>
      <c r="DO72" s="9"/>
      <c r="DP72" s="9"/>
      <c r="DQ72" s="136" t="b">
        <f t="shared" si="173"/>
        <v>1</v>
      </c>
    </row>
    <row r="73" spans="1:121" ht="27" customHeight="1" x14ac:dyDescent="0.95">
      <c r="A73" s="24" t="str">
        <f t="shared" si="90"/>
        <v/>
      </c>
      <c r="B73" s="9"/>
      <c r="C73" s="32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10"/>
      <c r="Q73" s="10"/>
      <c r="R73" s="10"/>
      <c r="S73" s="10"/>
      <c r="T73" s="10"/>
      <c r="U73" s="10"/>
      <c r="V73" s="10"/>
      <c r="W73" s="3" t="str">
        <f t="shared" si="107"/>
        <v/>
      </c>
      <c r="X73" s="3" t="str">
        <f t="shared" si="108"/>
        <v/>
      </c>
      <c r="Y73" s="3" t="str">
        <f t="shared" si="109"/>
        <v/>
      </c>
      <c r="Z73" s="3" t="str">
        <f t="shared" si="110"/>
        <v/>
      </c>
      <c r="AA73" s="3" t="str">
        <f t="shared" si="111"/>
        <v/>
      </c>
      <c r="AB73" s="3" t="str">
        <f t="shared" si="112"/>
        <v/>
      </c>
      <c r="AC73" s="3" t="str">
        <f t="shared" si="113"/>
        <v/>
      </c>
      <c r="AD73" s="3" t="str">
        <f t="shared" si="114"/>
        <v/>
      </c>
      <c r="AE73" s="3" t="str">
        <f t="shared" si="115"/>
        <v/>
      </c>
      <c r="AF73" s="24" t="str">
        <f t="shared" si="116"/>
        <v/>
      </c>
      <c r="AG73" s="24" t="str">
        <f t="shared" si="117"/>
        <v/>
      </c>
      <c r="AH73" s="24" t="str">
        <f t="shared" si="118"/>
        <v/>
      </c>
      <c r="AI73" s="24" t="str">
        <f t="shared" si="119"/>
        <v/>
      </c>
      <c r="AJ73" s="24" t="str">
        <f t="shared" si="120"/>
        <v/>
      </c>
      <c r="AK73" s="24" t="str">
        <f t="shared" si="121"/>
        <v/>
      </c>
      <c r="AL73" s="24" t="str">
        <f t="shared" si="122"/>
        <v/>
      </c>
      <c r="AM73" s="24" t="str">
        <f t="shared" si="123"/>
        <v/>
      </c>
      <c r="AN73" s="24" t="str">
        <f t="shared" si="124"/>
        <v/>
      </c>
      <c r="AO73" s="24" t="str">
        <f t="shared" si="125"/>
        <v/>
      </c>
      <c r="AP73" s="24" t="str">
        <f t="shared" si="126"/>
        <v/>
      </c>
      <c r="AQ73" s="24" t="str">
        <f t="shared" si="127"/>
        <v/>
      </c>
      <c r="AR73" s="24" t="str">
        <f t="shared" si="128"/>
        <v/>
      </c>
      <c r="AS73" s="24" t="str">
        <f t="shared" si="129"/>
        <v/>
      </c>
      <c r="AT73" s="24" t="str">
        <f t="shared" si="130"/>
        <v/>
      </c>
      <c r="AU73" s="24" t="str">
        <f t="shared" si="131"/>
        <v/>
      </c>
      <c r="AV73" s="24" t="str">
        <f t="shared" si="132"/>
        <v/>
      </c>
      <c r="AW73" s="24" t="str">
        <f t="shared" si="133"/>
        <v/>
      </c>
      <c r="AX73" s="24" t="str">
        <f t="shared" si="134"/>
        <v/>
      </c>
      <c r="AY73" s="24" t="str">
        <f t="shared" si="135"/>
        <v/>
      </c>
      <c r="AZ73" s="24" t="str">
        <f t="shared" si="136"/>
        <v/>
      </c>
      <c r="BA73" s="24" t="str">
        <f t="shared" si="137"/>
        <v/>
      </c>
      <c r="BB73" s="24" t="str">
        <f t="shared" si="138"/>
        <v/>
      </c>
      <c r="BC73" s="24" t="str">
        <f t="shared" si="139"/>
        <v/>
      </c>
      <c r="BD73" s="24" t="str">
        <f t="shared" si="140"/>
        <v/>
      </c>
      <c r="BE73" s="24" t="str">
        <f t="shared" si="141"/>
        <v/>
      </c>
      <c r="BF73" s="24" t="str">
        <f t="shared" si="142"/>
        <v/>
      </c>
      <c r="BG73" s="24" t="str">
        <f t="shared" si="143"/>
        <v/>
      </c>
      <c r="BH73" s="24" t="str">
        <f t="shared" si="144"/>
        <v/>
      </c>
      <c r="BI73" s="24" t="str">
        <f t="shared" si="145"/>
        <v/>
      </c>
      <c r="BJ73" s="24" t="str">
        <f t="shared" si="146"/>
        <v/>
      </c>
      <c r="BK73" s="24" t="str">
        <f t="shared" si="147"/>
        <v/>
      </c>
      <c r="BL73" s="26" t="str">
        <f t="shared" si="148"/>
        <v/>
      </c>
      <c r="BM73" s="26" t="str">
        <f t="shared" si="149"/>
        <v/>
      </c>
      <c r="BN73" s="26" t="str">
        <f t="shared" si="150"/>
        <v/>
      </c>
      <c r="BO73" s="26" t="str">
        <f t="shared" si="151"/>
        <v/>
      </c>
      <c r="BP73" s="26" t="str">
        <f t="shared" si="152"/>
        <v/>
      </c>
      <c r="BQ73" s="26" t="str">
        <f t="shared" si="153"/>
        <v/>
      </c>
      <c r="BR73" s="26" t="str">
        <f t="shared" si="154"/>
        <v/>
      </c>
      <c r="BS73" s="26" t="str">
        <f t="shared" si="174"/>
        <v/>
      </c>
      <c r="BT73" s="26" t="str">
        <f t="shared" si="175"/>
        <v/>
      </c>
      <c r="BU73" s="26" t="str">
        <f t="shared" si="176"/>
        <v/>
      </c>
      <c r="BV73" s="26" t="str">
        <f t="shared" si="177"/>
        <v/>
      </c>
      <c r="BW73" s="26" t="str">
        <f t="shared" si="178"/>
        <v/>
      </c>
      <c r="BX73" s="26" t="str">
        <f t="shared" si="179"/>
        <v/>
      </c>
      <c r="BY73" s="26" t="str">
        <f t="shared" si="180"/>
        <v/>
      </c>
      <c r="BZ73" s="26" t="str">
        <f t="shared" si="181"/>
        <v/>
      </c>
      <c r="CA73" s="26" t="str">
        <f t="shared" si="182"/>
        <v/>
      </c>
      <c r="CB73" s="24" t="str">
        <f t="shared" si="183"/>
        <v/>
      </c>
      <c r="CC73" s="24" t="str">
        <f t="shared" si="184"/>
        <v/>
      </c>
      <c r="CD73" s="24" t="str">
        <f t="shared" si="185"/>
        <v/>
      </c>
      <c r="CE73" s="24" t="str">
        <f t="shared" si="186"/>
        <v/>
      </c>
      <c r="CF73" s="24" t="str">
        <f t="shared" si="187"/>
        <v/>
      </c>
      <c r="CG73" s="24" t="str">
        <f t="shared" si="188"/>
        <v/>
      </c>
      <c r="CH73" s="24" t="str">
        <f t="shared" si="189"/>
        <v/>
      </c>
      <c r="CI73" s="24" t="str">
        <f t="shared" si="155"/>
        <v/>
      </c>
      <c r="CJ73" s="24" t="str">
        <f t="shared" si="83"/>
        <v/>
      </c>
      <c r="CK73" s="26" t="str">
        <f t="shared" si="156"/>
        <v/>
      </c>
      <c r="CL73" s="26" t="str">
        <f t="shared" si="84"/>
        <v/>
      </c>
      <c r="CM73" s="24" t="str">
        <f t="shared" si="85"/>
        <v/>
      </c>
      <c r="CN73" s="26" t="str">
        <f t="shared" si="157"/>
        <v/>
      </c>
      <c r="CO73" s="24" t="str">
        <f t="shared" si="158"/>
        <v/>
      </c>
      <c r="CP73" s="26" t="str">
        <f t="shared" si="159"/>
        <v/>
      </c>
      <c r="CQ73" s="26" t="str">
        <f t="shared" si="160"/>
        <v/>
      </c>
      <c r="CR73" s="26" t="str">
        <f t="shared" si="86"/>
        <v/>
      </c>
      <c r="CS73" s="24" t="str">
        <f t="shared" si="87"/>
        <v/>
      </c>
      <c r="CT73" s="27" t="str">
        <f t="shared" si="161"/>
        <v/>
      </c>
      <c r="CU73" s="24" t="str">
        <f t="shared" si="162"/>
        <v/>
      </c>
      <c r="CV73" s="27" t="str">
        <f t="shared" si="163"/>
        <v/>
      </c>
      <c r="CW73" s="27" t="str">
        <f t="shared" si="164"/>
        <v/>
      </c>
      <c r="CX73" s="26" t="str">
        <f t="shared" si="88"/>
        <v/>
      </c>
      <c r="CY73" s="27" t="str">
        <f t="shared" si="89"/>
        <v/>
      </c>
      <c r="CZ73" s="26" t="str">
        <f t="shared" si="165"/>
        <v/>
      </c>
      <c r="DA73" s="24" t="str">
        <f t="shared" si="166"/>
        <v/>
      </c>
      <c r="DB73" s="24" t="str">
        <f t="shared" si="167"/>
        <v/>
      </c>
      <c r="DC73" s="24" t="str">
        <f t="shared" si="168"/>
        <v/>
      </c>
      <c r="DD73" s="24" t="str">
        <f t="shared" si="169"/>
        <v/>
      </c>
      <c r="DE73" s="1"/>
      <c r="DF73" s="1"/>
      <c r="DG73" s="1"/>
      <c r="DH73" s="24" t="str">
        <f t="shared" si="170"/>
        <v/>
      </c>
      <c r="DI73" s="25" t="str">
        <f t="shared" si="171"/>
        <v/>
      </c>
      <c r="DJ73" t="str">
        <f t="shared" si="172"/>
        <v/>
      </c>
      <c r="DK73" s="9"/>
      <c r="DL73" s="9"/>
      <c r="DM73" s="9"/>
      <c r="DN73" s="9"/>
      <c r="DO73" s="9"/>
      <c r="DP73" s="9"/>
      <c r="DQ73" s="136" t="b">
        <f t="shared" si="173"/>
        <v>1</v>
      </c>
    </row>
    <row r="74" spans="1:121" ht="27" customHeight="1" x14ac:dyDescent="0.95">
      <c r="A74" s="24" t="str">
        <f t="shared" si="90"/>
        <v/>
      </c>
      <c r="B74" s="9"/>
      <c r="C74" s="32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10"/>
      <c r="Q74" s="10"/>
      <c r="R74" s="10"/>
      <c r="S74" s="10"/>
      <c r="T74" s="10"/>
      <c r="U74" s="10"/>
      <c r="V74" s="10"/>
      <c r="W74" s="3" t="str">
        <f t="shared" si="107"/>
        <v/>
      </c>
      <c r="X74" s="3" t="str">
        <f t="shared" si="108"/>
        <v/>
      </c>
      <c r="Y74" s="3" t="str">
        <f t="shared" si="109"/>
        <v/>
      </c>
      <c r="Z74" s="3" t="str">
        <f t="shared" si="110"/>
        <v/>
      </c>
      <c r="AA74" s="3" t="str">
        <f t="shared" si="111"/>
        <v/>
      </c>
      <c r="AB74" s="3" t="str">
        <f t="shared" si="112"/>
        <v/>
      </c>
      <c r="AC74" s="3" t="str">
        <f t="shared" si="113"/>
        <v/>
      </c>
      <c r="AD74" s="3" t="str">
        <f t="shared" si="114"/>
        <v/>
      </c>
      <c r="AE74" s="3" t="str">
        <f t="shared" si="115"/>
        <v/>
      </c>
      <c r="AF74" s="24" t="str">
        <f t="shared" si="116"/>
        <v/>
      </c>
      <c r="AG74" s="24" t="str">
        <f t="shared" si="117"/>
        <v/>
      </c>
      <c r="AH74" s="24" t="str">
        <f t="shared" si="118"/>
        <v/>
      </c>
      <c r="AI74" s="24" t="str">
        <f t="shared" si="119"/>
        <v/>
      </c>
      <c r="AJ74" s="24" t="str">
        <f t="shared" si="120"/>
        <v/>
      </c>
      <c r="AK74" s="24" t="str">
        <f t="shared" si="121"/>
        <v/>
      </c>
      <c r="AL74" s="24" t="str">
        <f t="shared" si="122"/>
        <v/>
      </c>
      <c r="AM74" s="24" t="str">
        <f t="shared" si="123"/>
        <v/>
      </c>
      <c r="AN74" s="24" t="str">
        <f t="shared" si="124"/>
        <v/>
      </c>
      <c r="AO74" s="24" t="str">
        <f t="shared" si="125"/>
        <v/>
      </c>
      <c r="AP74" s="24" t="str">
        <f t="shared" si="126"/>
        <v/>
      </c>
      <c r="AQ74" s="24" t="str">
        <f t="shared" si="127"/>
        <v/>
      </c>
      <c r="AR74" s="24" t="str">
        <f t="shared" si="128"/>
        <v/>
      </c>
      <c r="AS74" s="24" t="str">
        <f t="shared" si="129"/>
        <v/>
      </c>
      <c r="AT74" s="24" t="str">
        <f t="shared" si="130"/>
        <v/>
      </c>
      <c r="AU74" s="24" t="str">
        <f t="shared" si="131"/>
        <v/>
      </c>
      <c r="AV74" s="24" t="str">
        <f t="shared" si="132"/>
        <v/>
      </c>
      <c r="AW74" s="24" t="str">
        <f t="shared" si="133"/>
        <v/>
      </c>
      <c r="AX74" s="24" t="str">
        <f t="shared" si="134"/>
        <v/>
      </c>
      <c r="AY74" s="24" t="str">
        <f t="shared" si="135"/>
        <v/>
      </c>
      <c r="AZ74" s="24" t="str">
        <f t="shared" si="136"/>
        <v/>
      </c>
      <c r="BA74" s="24" t="str">
        <f t="shared" si="137"/>
        <v/>
      </c>
      <c r="BB74" s="24" t="str">
        <f t="shared" si="138"/>
        <v/>
      </c>
      <c r="BC74" s="24" t="str">
        <f t="shared" si="139"/>
        <v/>
      </c>
      <c r="BD74" s="24" t="str">
        <f t="shared" si="140"/>
        <v/>
      </c>
      <c r="BE74" s="24" t="str">
        <f t="shared" si="141"/>
        <v/>
      </c>
      <c r="BF74" s="24" t="str">
        <f t="shared" si="142"/>
        <v/>
      </c>
      <c r="BG74" s="24" t="str">
        <f t="shared" si="143"/>
        <v/>
      </c>
      <c r="BH74" s="24" t="str">
        <f t="shared" si="144"/>
        <v/>
      </c>
      <c r="BI74" s="24" t="str">
        <f t="shared" si="145"/>
        <v/>
      </c>
      <c r="BJ74" s="24" t="str">
        <f t="shared" si="146"/>
        <v/>
      </c>
      <c r="BK74" s="24" t="str">
        <f t="shared" si="147"/>
        <v/>
      </c>
      <c r="BL74" s="26" t="str">
        <f t="shared" si="148"/>
        <v/>
      </c>
      <c r="BM74" s="26" t="str">
        <f t="shared" si="149"/>
        <v/>
      </c>
      <c r="BN74" s="26" t="str">
        <f t="shared" si="150"/>
        <v/>
      </c>
      <c r="BO74" s="26" t="str">
        <f t="shared" si="151"/>
        <v/>
      </c>
      <c r="BP74" s="26" t="str">
        <f t="shared" si="152"/>
        <v/>
      </c>
      <c r="BQ74" s="26" t="str">
        <f t="shared" si="153"/>
        <v/>
      </c>
      <c r="BR74" s="26" t="str">
        <f t="shared" si="154"/>
        <v/>
      </c>
      <c r="BS74" s="26" t="str">
        <f t="shared" si="174"/>
        <v/>
      </c>
      <c r="BT74" s="26" t="str">
        <f t="shared" si="175"/>
        <v/>
      </c>
      <c r="BU74" s="26" t="str">
        <f t="shared" si="176"/>
        <v/>
      </c>
      <c r="BV74" s="26" t="str">
        <f t="shared" si="177"/>
        <v/>
      </c>
      <c r="BW74" s="26" t="str">
        <f t="shared" si="178"/>
        <v/>
      </c>
      <c r="BX74" s="26" t="str">
        <f t="shared" si="179"/>
        <v/>
      </c>
      <c r="BY74" s="26" t="str">
        <f t="shared" si="180"/>
        <v/>
      </c>
      <c r="BZ74" s="26" t="str">
        <f t="shared" si="181"/>
        <v/>
      </c>
      <c r="CA74" s="26" t="str">
        <f t="shared" si="182"/>
        <v/>
      </c>
      <c r="CB74" s="24" t="str">
        <f t="shared" si="183"/>
        <v/>
      </c>
      <c r="CC74" s="24" t="str">
        <f t="shared" si="184"/>
        <v/>
      </c>
      <c r="CD74" s="24" t="str">
        <f t="shared" si="185"/>
        <v/>
      </c>
      <c r="CE74" s="24" t="str">
        <f t="shared" si="186"/>
        <v/>
      </c>
      <c r="CF74" s="24" t="str">
        <f t="shared" si="187"/>
        <v/>
      </c>
      <c r="CG74" s="24" t="str">
        <f t="shared" si="188"/>
        <v/>
      </c>
      <c r="CH74" s="24" t="str">
        <f t="shared" si="189"/>
        <v/>
      </c>
      <c r="CI74" s="24" t="str">
        <f t="shared" si="155"/>
        <v/>
      </c>
      <c r="CJ74" s="24" t="str">
        <f t="shared" si="83"/>
        <v/>
      </c>
      <c r="CK74" s="26" t="str">
        <f t="shared" si="156"/>
        <v/>
      </c>
      <c r="CL74" s="26" t="str">
        <f t="shared" si="84"/>
        <v/>
      </c>
      <c r="CM74" s="24" t="str">
        <f t="shared" si="85"/>
        <v/>
      </c>
      <c r="CN74" s="26" t="str">
        <f t="shared" si="157"/>
        <v/>
      </c>
      <c r="CO74" s="24" t="str">
        <f t="shared" si="158"/>
        <v/>
      </c>
      <c r="CP74" s="26" t="str">
        <f t="shared" si="159"/>
        <v/>
      </c>
      <c r="CQ74" s="26" t="str">
        <f t="shared" si="160"/>
        <v/>
      </c>
      <c r="CR74" s="26" t="str">
        <f t="shared" si="86"/>
        <v/>
      </c>
      <c r="CS74" s="24" t="str">
        <f t="shared" si="87"/>
        <v/>
      </c>
      <c r="CT74" s="27" t="str">
        <f t="shared" si="161"/>
        <v/>
      </c>
      <c r="CU74" s="24" t="str">
        <f t="shared" si="162"/>
        <v/>
      </c>
      <c r="CV74" s="27" t="str">
        <f t="shared" si="163"/>
        <v/>
      </c>
      <c r="CW74" s="27" t="str">
        <f t="shared" si="164"/>
        <v/>
      </c>
      <c r="CX74" s="26" t="str">
        <f t="shared" si="88"/>
        <v/>
      </c>
      <c r="CY74" s="27" t="str">
        <f t="shared" si="89"/>
        <v/>
      </c>
      <c r="CZ74" s="26" t="str">
        <f t="shared" si="165"/>
        <v/>
      </c>
      <c r="DA74" s="24" t="str">
        <f t="shared" si="166"/>
        <v/>
      </c>
      <c r="DB74" s="24" t="str">
        <f t="shared" si="167"/>
        <v/>
      </c>
      <c r="DC74" s="24" t="str">
        <f t="shared" si="168"/>
        <v/>
      </c>
      <c r="DD74" s="24" t="str">
        <f t="shared" si="169"/>
        <v/>
      </c>
      <c r="DE74" s="1"/>
      <c r="DF74" s="1"/>
      <c r="DG74" s="1"/>
      <c r="DH74" s="24" t="str">
        <f t="shared" si="170"/>
        <v/>
      </c>
      <c r="DI74" s="25" t="str">
        <f t="shared" si="171"/>
        <v/>
      </c>
      <c r="DJ74" t="str">
        <f t="shared" si="172"/>
        <v/>
      </c>
      <c r="DK74" s="9"/>
      <c r="DL74" s="9"/>
      <c r="DM74" s="9"/>
      <c r="DN74" s="9"/>
      <c r="DO74" s="9"/>
      <c r="DP74" s="9"/>
      <c r="DQ74" s="136" t="b">
        <f t="shared" si="173"/>
        <v>1</v>
      </c>
    </row>
    <row r="75" spans="1:121" ht="27" customHeight="1" x14ac:dyDescent="0.95">
      <c r="A75" s="24" t="str">
        <f t="shared" si="90"/>
        <v/>
      </c>
      <c r="B75" s="9"/>
      <c r="C75" s="32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10"/>
      <c r="Q75" s="10"/>
      <c r="R75" s="10"/>
      <c r="S75" s="10"/>
      <c r="T75" s="10"/>
      <c r="U75" s="10"/>
      <c r="V75" s="10"/>
      <c r="W75" s="3" t="str">
        <f t="shared" si="107"/>
        <v/>
      </c>
      <c r="X75" s="3" t="str">
        <f t="shared" si="108"/>
        <v/>
      </c>
      <c r="Y75" s="3" t="str">
        <f t="shared" si="109"/>
        <v/>
      </c>
      <c r="Z75" s="3" t="str">
        <f t="shared" si="110"/>
        <v/>
      </c>
      <c r="AA75" s="3" t="str">
        <f t="shared" si="111"/>
        <v/>
      </c>
      <c r="AB75" s="3" t="str">
        <f t="shared" si="112"/>
        <v/>
      </c>
      <c r="AC75" s="3" t="str">
        <f t="shared" si="113"/>
        <v/>
      </c>
      <c r="AD75" s="3" t="str">
        <f t="shared" si="114"/>
        <v/>
      </c>
      <c r="AE75" s="3" t="str">
        <f t="shared" si="115"/>
        <v/>
      </c>
      <c r="AF75" s="24" t="str">
        <f t="shared" si="116"/>
        <v/>
      </c>
      <c r="AG75" s="24" t="str">
        <f t="shared" si="117"/>
        <v/>
      </c>
      <c r="AH75" s="24" t="str">
        <f t="shared" si="118"/>
        <v/>
      </c>
      <c r="AI75" s="24" t="str">
        <f t="shared" si="119"/>
        <v/>
      </c>
      <c r="AJ75" s="24" t="str">
        <f t="shared" si="120"/>
        <v/>
      </c>
      <c r="AK75" s="24" t="str">
        <f t="shared" si="121"/>
        <v/>
      </c>
      <c r="AL75" s="24" t="str">
        <f t="shared" si="122"/>
        <v/>
      </c>
      <c r="AM75" s="24" t="str">
        <f t="shared" si="123"/>
        <v/>
      </c>
      <c r="AN75" s="24" t="str">
        <f t="shared" si="124"/>
        <v/>
      </c>
      <c r="AO75" s="24" t="str">
        <f t="shared" si="125"/>
        <v/>
      </c>
      <c r="AP75" s="24" t="str">
        <f t="shared" si="126"/>
        <v/>
      </c>
      <c r="AQ75" s="24" t="str">
        <f t="shared" si="127"/>
        <v/>
      </c>
      <c r="AR75" s="24" t="str">
        <f t="shared" si="128"/>
        <v/>
      </c>
      <c r="AS75" s="24" t="str">
        <f t="shared" si="129"/>
        <v/>
      </c>
      <c r="AT75" s="24" t="str">
        <f t="shared" si="130"/>
        <v/>
      </c>
      <c r="AU75" s="24" t="str">
        <f t="shared" si="131"/>
        <v/>
      </c>
      <c r="AV75" s="24" t="str">
        <f t="shared" si="132"/>
        <v/>
      </c>
      <c r="AW75" s="24" t="str">
        <f t="shared" si="133"/>
        <v/>
      </c>
      <c r="AX75" s="24" t="str">
        <f t="shared" si="134"/>
        <v/>
      </c>
      <c r="AY75" s="24" t="str">
        <f t="shared" si="135"/>
        <v/>
      </c>
      <c r="AZ75" s="24" t="str">
        <f t="shared" si="136"/>
        <v/>
      </c>
      <c r="BA75" s="24" t="str">
        <f t="shared" si="137"/>
        <v/>
      </c>
      <c r="BB75" s="24" t="str">
        <f t="shared" si="138"/>
        <v/>
      </c>
      <c r="BC75" s="24" t="str">
        <f t="shared" si="139"/>
        <v/>
      </c>
      <c r="BD75" s="24" t="str">
        <f t="shared" si="140"/>
        <v/>
      </c>
      <c r="BE75" s="24" t="str">
        <f t="shared" si="141"/>
        <v/>
      </c>
      <c r="BF75" s="24" t="str">
        <f t="shared" si="142"/>
        <v/>
      </c>
      <c r="BG75" s="24" t="str">
        <f t="shared" si="143"/>
        <v/>
      </c>
      <c r="BH75" s="24" t="str">
        <f t="shared" si="144"/>
        <v/>
      </c>
      <c r="BI75" s="24" t="str">
        <f t="shared" si="145"/>
        <v/>
      </c>
      <c r="BJ75" s="24" t="str">
        <f t="shared" si="146"/>
        <v/>
      </c>
      <c r="BK75" s="24" t="str">
        <f t="shared" si="147"/>
        <v/>
      </c>
      <c r="BL75" s="26" t="str">
        <f t="shared" si="148"/>
        <v/>
      </c>
      <c r="BM75" s="26" t="str">
        <f t="shared" si="149"/>
        <v/>
      </c>
      <c r="BN75" s="26" t="str">
        <f t="shared" si="150"/>
        <v/>
      </c>
      <c r="BO75" s="26" t="str">
        <f t="shared" si="151"/>
        <v/>
      </c>
      <c r="BP75" s="26" t="str">
        <f t="shared" si="152"/>
        <v/>
      </c>
      <c r="BQ75" s="26" t="str">
        <f t="shared" si="153"/>
        <v/>
      </c>
      <c r="BR75" s="26" t="str">
        <f t="shared" si="154"/>
        <v/>
      </c>
      <c r="BS75" s="26" t="str">
        <f t="shared" si="174"/>
        <v/>
      </c>
      <c r="BT75" s="26" t="str">
        <f t="shared" si="175"/>
        <v/>
      </c>
      <c r="BU75" s="26" t="str">
        <f t="shared" si="176"/>
        <v/>
      </c>
      <c r="BV75" s="26" t="str">
        <f t="shared" si="177"/>
        <v/>
      </c>
      <c r="BW75" s="26" t="str">
        <f t="shared" si="178"/>
        <v/>
      </c>
      <c r="BX75" s="26" t="str">
        <f t="shared" si="179"/>
        <v/>
      </c>
      <c r="BY75" s="26" t="str">
        <f t="shared" si="180"/>
        <v/>
      </c>
      <c r="BZ75" s="26" t="str">
        <f t="shared" si="181"/>
        <v/>
      </c>
      <c r="CA75" s="26" t="str">
        <f t="shared" si="182"/>
        <v/>
      </c>
      <c r="CB75" s="24" t="str">
        <f t="shared" si="183"/>
        <v/>
      </c>
      <c r="CC75" s="24" t="str">
        <f t="shared" si="184"/>
        <v/>
      </c>
      <c r="CD75" s="24" t="str">
        <f t="shared" si="185"/>
        <v/>
      </c>
      <c r="CE75" s="24" t="str">
        <f t="shared" si="186"/>
        <v/>
      </c>
      <c r="CF75" s="24" t="str">
        <f t="shared" si="187"/>
        <v/>
      </c>
      <c r="CG75" s="24" t="str">
        <f t="shared" si="188"/>
        <v/>
      </c>
      <c r="CH75" s="24" t="str">
        <f t="shared" si="189"/>
        <v/>
      </c>
      <c r="CI75" s="24" t="str">
        <f t="shared" si="155"/>
        <v/>
      </c>
      <c r="CJ75" s="24" t="str">
        <f t="shared" si="83"/>
        <v/>
      </c>
      <c r="CK75" s="26" t="str">
        <f t="shared" si="156"/>
        <v/>
      </c>
      <c r="CL75" s="26" t="str">
        <f t="shared" si="84"/>
        <v/>
      </c>
      <c r="CM75" s="24" t="str">
        <f t="shared" si="85"/>
        <v/>
      </c>
      <c r="CN75" s="26" t="str">
        <f t="shared" si="157"/>
        <v/>
      </c>
      <c r="CO75" s="24" t="str">
        <f t="shared" si="158"/>
        <v/>
      </c>
      <c r="CP75" s="26" t="str">
        <f t="shared" si="159"/>
        <v/>
      </c>
      <c r="CQ75" s="26" t="str">
        <f t="shared" si="160"/>
        <v/>
      </c>
      <c r="CR75" s="26" t="str">
        <f t="shared" si="86"/>
        <v/>
      </c>
      <c r="CS75" s="24" t="str">
        <f t="shared" si="87"/>
        <v/>
      </c>
      <c r="CT75" s="27" t="str">
        <f t="shared" si="161"/>
        <v/>
      </c>
      <c r="CU75" s="24" t="str">
        <f t="shared" si="162"/>
        <v/>
      </c>
      <c r="CV75" s="27" t="str">
        <f t="shared" si="163"/>
        <v/>
      </c>
      <c r="CW75" s="27" t="str">
        <f t="shared" si="164"/>
        <v/>
      </c>
      <c r="CX75" s="26" t="str">
        <f t="shared" si="88"/>
        <v/>
      </c>
      <c r="CY75" s="27" t="str">
        <f t="shared" si="89"/>
        <v/>
      </c>
      <c r="CZ75" s="26" t="str">
        <f t="shared" si="165"/>
        <v/>
      </c>
      <c r="DA75" s="24" t="str">
        <f t="shared" si="166"/>
        <v/>
      </c>
      <c r="DB75" s="24" t="str">
        <f t="shared" si="167"/>
        <v/>
      </c>
      <c r="DC75" s="24" t="str">
        <f t="shared" si="168"/>
        <v/>
      </c>
      <c r="DD75" s="24" t="str">
        <f t="shared" si="169"/>
        <v/>
      </c>
      <c r="DE75" s="1"/>
      <c r="DF75" s="1"/>
      <c r="DG75" s="1"/>
      <c r="DH75" s="24" t="str">
        <f t="shared" si="170"/>
        <v/>
      </c>
      <c r="DI75" s="25" t="str">
        <f t="shared" si="171"/>
        <v/>
      </c>
      <c r="DJ75" t="str">
        <f t="shared" si="172"/>
        <v/>
      </c>
      <c r="DK75" s="9"/>
      <c r="DL75" s="9"/>
      <c r="DM75" s="9"/>
      <c r="DN75" s="9"/>
      <c r="DO75" s="9"/>
      <c r="DP75" s="9"/>
      <c r="DQ75" s="136" t="b">
        <f t="shared" si="173"/>
        <v>1</v>
      </c>
    </row>
    <row r="76" spans="1:121" ht="27" customHeight="1" x14ac:dyDescent="0.95">
      <c r="A76" s="24" t="str">
        <f t="shared" si="90"/>
        <v/>
      </c>
      <c r="B76" s="9"/>
      <c r="C76" s="32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10"/>
      <c r="Q76" s="10"/>
      <c r="R76" s="10"/>
      <c r="S76" s="10"/>
      <c r="T76" s="10"/>
      <c r="U76" s="10"/>
      <c r="V76" s="10"/>
      <c r="W76" s="3" t="str">
        <f t="shared" si="107"/>
        <v/>
      </c>
      <c r="X76" s="3" t="str">
        <f t="shared" si="108"/>
        <v/>
      </c>
      <c r="Y76" s="3" t="str">
        <f t="shared" si="109"/>
        <v/>
      </c>
      <c r="Z76" s="3" t="str">
        <f t="shared" si="110"/>
        <v/>
      </c>
      <c r="AA76" s="3" t="str">
        <f t="shared" si="111"/>
        <v/>
      </c>
      <c r="AB76" s="3" t="str">
        <f t="shared" si="112"/>
        <v/>
      </c>
      <c r="AC76" s="3" t="str">
        <f t="shared" si="113"/>
        <v/>
      </c>
      <c r="AD76" s="3" t="str">
        <f t="shared" si="114"/>
        <v/>
      </c>
      <c r="AE76" s="3" t="str">
        <f t="shared" si="115"/>
        <v/>
      </c>
      <c r="AF76" s="24" t="str">
        <f t="shared" si="116"/>
        <v/>
      </c>
      <c r="AG76" s="24" t="str">
        <f t="shared" si="117"/>
        <v/>
      </c>
      <c r="AH76" s="24" t="str">
        <f t="shared" si="118"/>
        <v/>
      </c>
      <c r="AI76" s="24" t="str">
        <f t="shared" si="119"/>
        <v/>
      </c>
      <c r="AJ76" s="24" t="str">
        <f t="shared" si="120"/>
        <v/>
      </c>
      <c r="AK76" s="24" t="str">
        <f t="shared" si="121"/>
        <v/>
      </c>
      <c r="AL76" s="24" t="str">
        <f t="shared" si="122"/>
        <v/>
      </c>
      <c r="AM76" s="24" t="str">
        <f t="shared" si="123"/>
        <v/>
      </c>
      <c r="AN76" s="24" t="str">
        <f t="shared" si="124"/>
        <v/>
      </c>
      <c r="AO76" s="24" t="str">
        <f t="shared" si="125"/>
        <v/>
      </c>
      <c r="AP76" s="24" t="str">
        <f t="shared" si="126"/>
        <v/>
      </c>
      <c r="AQ76" s="24" t="str">
        <f t="shared" si="127"/>
        <v/>
      </c>
      <c r="AR76" s="24" t="str">
        <f t="shared" si="128"/>
        <v/>
      </c>
      <c r="AS76" s="24" t="str">
        <f t="shared" si="129"/>
        <v/>
      </c>
      <c r="AT76" s="24" t="str">
        <f t="shared" si="130"/>
        <v/>
      </c>
      <c r="AU76" s="24" t="str">
        <f t="shared" si="131"/>
        <v/>
      </c>
      <c r="AV76" s="24" t="str">
        <f t="shared" si="132"/>
        <v/>
      </c>
      <c r="AW76" s="24" t="str">
        <f t="shared" si="133"/>
        <v/>
      </c>
      <c r="AX76" s="24" t="str">
        <f t="shared" si="134"/>
        <v/>
      </c>
      <c r="AY76" s="24" t="str">
        <f t="shared" si="135"/>
        <v/>
      </c>
      <c r="AZ76" s="24" t="str">
        <f t="shared" si="136"/>
        <v/>
      </c>
      <c r="BA76" s="24" t="str">
        <f t="shared" si="137"/>
        <v/>
      </c>
      <c r="BB76" s="24" t="str">
        <f t="shared" si="138"/>
        <v/>
      </c>
      <c r="BC76" s="24" t="str">
        <f t="shared" si="139"/>
        <v/>
      </c>
      <c r="BD76" s="24" t="str">
        <f t="shared" si="140"/>
        <v/>
      </c>
      <c r="BE76" s="24" t="str">
        <f t="shared" si="141"/>
        <v/>
      </c>
      <c r="BF76" s="24" t="str">
        <f t="shared" si="142"/>
        <v/>
      </c>
      <c r="BG76" s="24" t="str">
        <f t="shared" si="143"/>
        <v/>
      </c>
      <c r="BH76" s="24" t="str">
        <f t="shared" si="144"/>
        <v/>
      </c>
      <c r="BI76" s="24" t="str">
        <f t="shared" si="145"/>
        <v/>
      </c>
      <c r="BJ76" s="24" t="str">
        <f t="shared" si="146"/>
        <v/>
      </c>
      <c r="BK76" s="24" t="str">
        <f t="shared" si="147"/>
        <v/>
      </c>
      <c r="BL76" s="26" t="str">
        <f t="shared" si="148"/>
        <v/>
      </c>
      <c r="BM76" s="26" t="str">
        <f t="shared" si="149"/>
        <v/>
      </c>
      <c r="BN76" s="26" t="str">
        <f t="shared" si="150"/>
        <v/>
      </c>
      <c r="BO76" s="26" t="str">
        <f t="shared" si="151"/>
        <v/>
      </c>
      <c r="BP76" s="26" t="str">
        <f t="shared" si="152"/>
        <v/>
      </c>
      <c r="BQ76" s="26" t="str">
        <f t="shared" si="153"/>
        <v/>
      </c>
      <c r="BR76" s="26" t="str">
        <f t="shared" si="154"/>
        <v/>
      </c>
      <c r="BS76" s="26" t="str">
        <f t="shared" si="174"/>
        <v/>
      </c>
      <c r="BT76" s="26" t="str">
        <f t="shared" si="175"/>
        <v/>
      </c>
      <c r="BU76" s="26" t="str">
        <f t="shared" si="176"/>
        <v/>
      </c>
      <c r="BV76" s="26" t="str">
        <f t="shared" si="177"/>
        <v/>
      </c>
      <c r="BW76" s="26" t="str">
        <f t="shared" si="178"/>
        <v/>
      </c>
      <c r="BX76" s="26" t="str">
        <f t="shared" si="179"/>
        <v/>
      </c>
      <c r="BY76" s="26" t="str">
        <f t="shared" si="180"/>
        <v/>
      </c>
      <c r="BZ76" s="26" t="str">
        <f t="shared" si="181"/>
        <v/>
      </c>
      <c r="CA76" s="26" t="str">
        <f t="shared" si="182"/>
        <v/>
      </c>
      <c r="CB76" s="24" t="str">
        <f t="shared" si="183"/>
        <v/>
      </c>
      <c r="CC76" s="24" t="str">
        <f t="shared" si="184"/>
        <v/>
      </c>
      <c r="CD76" s="24" t="str">
        <f t="shared" si="185"/>
        <v/>
      </c>
      <c r="CE76" s="24" t="str">
        <f t="shared" si="186"/>
        <v/>
      </c>
      <c r="CF76" s="24" t="str">
        <f t="shared" si="187"/>
        <v/>
      </c>
      <c r="CG76" s="24" t="str">
        <f t="shared" si="188"/>
        <v/>
      </c>
      <c r="CH76" s="24" t="str">
        <f t="shared" si="189"/>
        <v/>
      </c>
      <c r="CI76" s="24" t="str">
        <f t="shared" si="155"/>
        <v/>
      </c>
      <c r="CJ76" s="24" t="str">
        <f t="shared" si="83"/>
        <v/>
      </c>
      <c r="CK76" s="26" t="str">
        <f t="shared" si="156"/>
        <v/>
      </c>
      <c r="CL76" s="26" t="str">
        <f t="shared" si="84"/>
        <v/>
      </c>
      <c r="CM76" s="24" t="str">
        <f t="shared" si="85"/>
        <v/>
      </c>
      <c r="CN76" s="26" t="str">
        <f t="shared" si="157"/>
        <v/>
      </c>
      <c r="CO76" s="24" t="str">
        <f t="shared" si="158"/>
        <v/>
      </c>
      <c r="CP76" s="26" t="str">
        <f t="shared" si="159"/>
        <v/>
      </c>
      <c r="CQ76" s="26" t="str">
        <f t="shared" si="160"/>
        <v/>
      </c>
      <c r="CR76" s="26" t="str">
        <f t="shared" si="86"/>
        <v/>
      </c>
      <c r="CS76" s="24" t="str">
        <f t="shared" si="87"/>
        <v/>
      </c>
      <c r="CT76" s="27" t="str">
        <f t="shared" si="161"/>
        <v/>
      </c>
      <c r="CU76" s="24" t="str">
        <f t="shared" si="162"/>
        <v/>
      </c>
      <c r="CV76" s="27" t="str">
        <f t="shared" si="163"/>
        <v/>
      </c>
      <c r="CW76" s="27" t="str">
        <f t="shared" si="164"/>
        <v/>
      </c>
      <c r="CX76" s="26" t="str">
        <f t="shared" si="88"/>
        <v/>
      </c>
      <c r="CY76" s="27" t="str">
        <f t="shared" si="89"/>
        <v/>
      </c>
      <c r="CZ76" s="26" t="str">
        <f t="shared" si="165"/>
        <v/>
      </c>
      <c r="DA76" s="24" t="str">
        <f t="shared" si="166"/>
        <v/>
      </c>
      <c r="DB76" s="24" t="str">
        <f t="shared" si="167"/>
        <v/>
      </c>
      <c r="DC76" s="24" t="str">
        <f t="shared" si="168"/>
        <v/>
      </c>
      <c r="DD76" s="24" t="str">
        <f t="shared" si="169"/>
        <v/>
      </c>
      <c r="DE76" s="1"/>
      <c r="DF76" s="1"/>
      <c r="DG76" s="1"/>
      <c r="DH76" s="24" t="str">
        <f t="shared" si="170"/>
        <v/>
      </c>
      <c r="DI76" s="25" t="str">
        <f t="shared" si="171"/>
        <v/>
      </c>
      <c r="DJ76" t="str">
        <f t="shared" si="172"/>
        <v/>
      </c>
      <c r="DK76" s="9"/>
      <c r="DL76" s="9"/>
      <c r="DM76" s="9"/>
      <c r="DN76" s="9"/>
      <c r="DO76" s="9"/>
      <c r="DP76" s="9"/>
      <c r="DQ76" s="136" t="b">
        <f t="shared" si="173"/>
        <v>1</v>
      </c>
    </row>
    <row r="77" spans="1:121" ht="27" customHeight="1" x14ac:dyDescent="0.95">
      <c r="A77" s="24" t="str">
        <f t="shared" si="90"/>
        <v/>
      </c>
      <c r="B77" s="9"/>
      <c r="C77" s="32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10"/>
      <c r="Q77" s="10"/>
      <c r="R77" s="10"/>
      <c r="S77" s="10"/>
      <c r="T77" s="10"/>
      <c r="U77" s="10"/>
      <c r="V77" s="10"/>
      <c r="W77" s="3" t="str">
        <f t="shared" si="107"/>
        <v/>
      </c>
      <c r="X77" s="3" t="str">
        <f t="shared" si="108"/>
        <v/>
      </c>
      <c r="Y77" s="3" t="str">
        <f t="shared" si="109"/>
        <v/>
      </c>
      <c r="Z77" s="3" t="str">
        <f t="shared" si="110"/>
        <v/>
      </c>
      <c r="AA77" s="3" t="str">
        <f t="shared" si="111"/>
        <v/>
      </c>
      <c r="AB77" s="3" t="str">
        <f t="shared" si="112"/>
        <v/>
      </c>
      <c r="AC77" s="3" t="str">
        <f t="shared" si="113"/>
        <v/>
      </c>
      <c r="AD77" s="3" t="str">
        <f t="shared" si="114"/>
        <v/>
      </c>
      <c r="AE77" s="3" t="str">
        <f t="shared" si="115"/>
        <v/>
      </c>
      <c r="AF77" s="24" t="str">
        <f t="shared" si="116"/>
        <v/>
      </c>
      <c r="AG77" s="24" t="str">
        <f t="shared" si="117"/>
        <v/>
      </c>
      <c r="AH77" s="24" t="str">
        <f t="shared" si="118"/>
        <v/>
      </c>
      <c r="AI77" s="24" t="str">
        <f t="shared" si="119"/>
        <v/>
      </c>
      <c r="AJ77" s="24" t="str">
        <f t="shared" si="120"/>
        <v/>
      </c>
      <c r="AK77" s="24" t="str">
        <f t="shared" si="121"/>
        <v/>
      </c>
      <c r="AL77" s="24" t="str">
        <f t="shared" si="122"/>
        <v/>
      </c>
      <c r="AM77" s="24" t="str">
        <f t="shared" si="123"/>
        <v/>
      </c>
      <c r="AN77" s="24" t="str">
        <f t="shared" si="124"/>
        <v/>
      </c>
      <c r="AO77" s="24" t="str">
        <f t="shared" si="125"/>
        <v/>
      </c>
      <c r="AP77" s="24" t="str">
        <f t="shared" si="126"/>
        <v/>
      </c>
      <c r="AQ77" s="24" t="str">
        <f t="shared" si="127"/>
        <v/>
      </c>
      <c r="AR77" s="24" t="str">
        <f t="shared" si="128"/>
        <v/>
      </c>
      <c r="AS77" s="24" t="str">
        <f t="shared" si="129"/>
        <v/>
      </c>
      <c r="AT77" s="24" t="str">
        <f t="shared" si="130"/>
        <v/>
      </c>
      <c r="AU77" s="24" t="str">
        <f t="shared" si="131"/>
        <v/>
      </c>
      <c r="AV77" s="24" t="str">
        <f t="shared" si="132"/>
        <v/>
      </c>
      <c r="AW77" s="24" t="str">
        <f t="shared" si="133"/>
        <v/>
      </c>
      <c r="AX77" s="24" t="str">
        <f t="shared" si="134"/>
        <v/>
      </c>
      <c r="AY77" s="24" t="str">
        <f t="shared" si="135"/>
        <v/>
      </c>
      <c r="AZ77" s="24" t="str">
        <f t="shared" si="136"/>
        <v/>
      </c>
      <c r="BA77" s="24" t="str">
        <f t="shared" si="137"/>
        <v/>
      </c>
      <c r="BB77" s="24" t="str">
        <f t="shared" si="138"/>
        <v/>
      </c>
      <c r="BC77" s="24" t="str">
        <f t="shared" si="139"/>
        <v/>
      </c>
      <c r="BD77" s="24" t="str">
        <f t="shared" si="140"/>
        <v/>
      </c>
      <c r="BE77" s="24" t="str">
        <f t="shared" si="141"/>
        <v/>
      </c>
      <c r="BF77" s="24" t="str">
        <f t="shared" si="142"/>
        <v/>
      </c>
      <c r="BG77" s="24" t="str">
        <f t="shared" si="143"/>
        <v/>
      </c>
      <c r="BH77" s="24" t="str">
        <f t="shared" si="144"/>
        <v/>
      </c>
      <c r="BI77" s="24" t="str">
        <f t="shared" si="145"/>
        <v/>
      </c>
      <c r="BJ77" s="24" t="str">
        <f t="shared" si="146"/>
        <v/>
      </c>
      <c r="BK77" s="24" t="str">
        <f t="shared" si="147"/>
        <v/>
      </c>
      <c r="BL77" s="26" t="str">
        <f t="shared" si="148"/>
        <v/>
      </c>
      <c r="BM77" s="26" t="str">
        <f t="shared" si="149"/>
        <v/>
      </c>
      <c r="BN77" s="26" t="str">
        <f t="shared" si="150"/>
        <v/>
      </c>
      <c r="BO77" s="26" t="str">
        <f t="shared" si="151"/>
        <v/>
      </c>
      <c r="BP77" s="26" t="str">
        <f t="shared" si="152"/>
        <v/>
      </c>
      <c r="BQ77" s="26" t="str">
        <f t="shared" si="153"/>
        <v/>
      </c>
      <c r="BR77" s="26" t="str">
        <f t="shared" si="154"/>
        <v/>
      </c>
      <c r="BS77" s="26" t="str">
        <f t="shared" si="174"/>
        <v/>
      </c>
      <c r="BT77" s="26" t="str">
        <f t="shared" si="175"/>
        <v/>
      </c>
      <c r="BU77" s="26" t="str">
        <f t="shared" si="176"/>
        <v/>
      </c>
      <c r="BV77" s="26" t="str">
        <f t="shared" si="177"/>
        <v/>
      </c>
      <c r="BW77" s="26" t="str">
        <f t="shared" si="178"/>
        <v/>
      </c>
      <c r="BX77" s="26" t="str">
        <f t="shared" si="179"/>
        <v/>
      </c>
      <c r="BY77" s="26" t="str">
        <f t="shared" si="180"/>
        <v/>
      </c>
      <c r="BZ77" s="26" t="str">
        <f t="shared" si="181"/>
        <v/>
      </c>
      <c r="CA77" s="26" t="str">
        <f t="shared" si="182"/>
        <v/>
      </c>
      <c r="CB77" s="24" t="str">
        <f t="shared" si="183"/>
        <v/>
      </c>
      <c r="CC77" s="24" t="str">
        <f t="shared" si="184"/>
        <v/>
      </c>
      <c r="CD77" s="24" t="str">
        <f t="shared" si="185"/>
        <v/>
      </c>
      <c r="CE77" s="24" t="str">
        <f t="shared" si="186"/>
        <v/>
      </c>
      <c r="CF77" s="24" t="str">
        <f t="shared" si="187"/>
        <v/>
      </c>
      <c r="CG77" s="24" t="str">
        <f t="shared" si="188"/>
        <v/>
      </c>
      <c r="CH77" s="24" t="str">
        <f t="shared" si="189"/>
        <v/>
      </c>
      <c r="CI77" s="24" t="str">
        <f t="shared" si="155"/>
        <v/>
      </c>
      <c r="CJ77" s="24" t="str">
        <f t="shared" si="83"/>
        <v/>
      </c>
      <c r="CK77" s="26" t="str">
        <f t="shared" si="156"/>
        <v/>
      </c>
      <c r="CL77" s="26" t="str">
        <f t="shared" si="84"/>
        <v/>
      </c>
      <c r="CM77" s="24" t="str">
        <f t="shared" si="85"/>
        <v/>
      </c>
      <c r="CN77" s="26" t="str">
        <f t="shared" si="157"/>
        <v/>
      </c>
      <c r="CO77" s="24" t="str">
        <f t="shared" si="158"/>
        <v/>
      </c>
      <c r="CP77" s="26" t="str">
        <f t="shared" si="159"/>
        <v/>
      </c>
      <c r="CQ77" s="26" t="str">
        <f t="shared" si="160"/>
        <v/>
      </c>
      <c r="CR77" s="26" t="str">
        <f t="shared" si="86"/>
        <v/>
      </c>
      <c r="CS77" s="24" t="str">
        <f t="shared" si="87"/>
        <v/>
      </c>
      <c r="CT77" s="27" t="str">
        <f t="shared" si="161"/>
        <v/>
      </c>
      <c r="CU77" s="24" t="str">
        <f t="shared" si="162"/>
        <v/>
      </c>
      <c r="CV77" s="27" t="str">
        <f t="shared" si="163"/>
        <v/>
      </c>
      <c r="CW77" s="27" t="str">
        <f t="shared" si="164"/>
        <v/>
      </c>
      <c r="CX77" s="26" t="str">
        <f t="shared" si="88"/>
        <v/>
      </c>
      <c r="CY77" s="27" t="str">
        <f t="shared" si="89"/>
        <v/>
      </c>
      <c r="CZ77" s="26" t="str">
        <f t="shared" si="165"/>
        <v/>
      </c>
      <c r="DA77" s="24" t="str">
        <f t="shared" si="166"/>
        <v/>
      </c>
      <c r="DB77" s="24" t="str">
        <f t="shared" si="167"/>
        <v/>
      </c>
      <c r="DC77" s="24" t="str">
        <f t="shared" si="168"/>
        <v/>
      </c>
      <c r="DD77" s="24" t="str">
        <f t="shared" si="169"/>
        <v/>
      </c>
      <c r="DE77" s="1"/>
      <c r="DF77" s="1"/>
      <c r="DG77" s="1"/>
      <c r="DH77" s="24" t="str">
        <f t="shared" si="170"/>
        <v/>
      </c>
      <c r="DI77" s="25" t="str">
        <f t="shared" si="171"/>
        <v/>
      </c>
      <c r="DJ77" t="str">
        <f t="shared" si="172"/>
        <v/>
      </c>
      <c r="DK77" s="9"/>
      <c r="DL77" s="9"/>
      <c r="DM77" s="9"/>
      <c r="DN77" s="9"/>
      <c r="DO77" s="9"/>
      <c r="DP77" s="9"/>
      <c r="DQ77" s="136" t="b">
        <f t="shared" si="173"/>
        <v>1</v>
      </c>
    </row>
    <row r="78" spans="1:121" ht="27" customHeight="1" x14ac:dyDescent="0.95">
      <c r="A78" s="24" t="str">
        <f t="shared" si="90"/>
        <v/>
      </c>
      <c r="B78" s="9"/>
      <c r="C78" s="32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10"/>
      <c r="Q78" s="10"/>
      <c r="R78" s="10"/>
      <c r="S78" s="10"/>
      <c r="T78" s="10"/>
      <c r="U78" s="10"/>
      <c r="V78" s="10"/>
      <c r="W78" s="3" t="str">
        <f t="shared" si="107"/>
        <v/>
      </c>
      <c r="X78" s="3" t="str">
        <f t="shared" si="108"/>
        <v/>
      </c>
      <c r="Y78" s="3" t="str">
        <f t="shared" si="109"/>
        <v/>
      </c>
      <c r="Z78" s="3" t="str">
        <f t="shared" si="110"/>
        <v/>
      </c>
      <c r="AA78" s="3" t="str">
        <f t="shared" si="111"/>
        <v/>
      </c>
      <c r="AB78" s="3" t="str">
        <f t="shared" si="112"/>
        <v/>
      </c>
      <c r="AC78" s="3" t="str">
        <f t="shared" si="113"/>
        <v/>
      </c>
      <c r="AD78" s="3" t="str">
        <f t="shared" si="114"/>
        <v/>
      </c>
      <c r="AE78" s="3" t="str">
        <f t="shared" si="115"/>
        <v/>
      </c>
      <c r="AF78" s="24" t="str">
        <f t="shared" si="116"/>
        <v/>
      </c>
      <c r="AG78" s="24" t="str">
        <f t="shared" si="117"/>
        <v/>
      </c>
      <c r="AH78" s="24" t="str">
        <f t="shared" si="118"/>
        <v/>
      </c>
      <c r="AI78" s="24" t="str">
        <f t="shared" si="119"/>
        <v/>
      </c>
      <c r="AJ78" s="24" t="str">
        <f t="shared" si="120"/>
        <v/>
      </c>
      <c r="AK78" s="24" t="str">
        <f t="shared" si="121"/>
        <v/>
      </c>
      <c r="AL78" s="24" t="str">
        <f t="shared" si="122"/>
        <v/>
      </c>
      <c r="AM78" s="24" t="str">
        <f t="shared" si="123"/>
        <v/>
      </c>
      <c r="AN78" s="24" t="str">
        <f t="shared" si="124"/>
        <v/>
      </c>
      <c r="AO78" s="24" t="str">
        <f t="shared" si="125"/>
        <v/>
      </c>
      <c r="AP78" s="24" t="str">
        <f t="shared" si="126"/>
        <v/>
      </c>
      <c r="AQ78" s="24" t="str">
        <f t="shared" si="127"/>
        <v/>
      </c>
      <c r="AR78" s="24" t="str">
        <f t="shared" si="128"/>
        <v/>
      </c>
      <c r="AS78" s="24" t="str">
        <f t="shared" si="129"/>
        <v/>
      </c>
      <c r="AT78" s="24" t="str">
        <f t="shared" si="130"/>
        <v/>
      </c>
      <c r="AU78" s="24" t="str">
        <f t="shared" si="131"/>
        <v/>
      </c>
      <c r="AV78" s="24" t="str">
        <f t="shared" si="132"/>
        <v/>
      </c>
      <c r="AW78" s="24" t="str">
        <f t="shared" si="133"/>
        <v/>
      </c>
      <c r="AX78" s="24" t="str">
        <f t="shared" si="134"/>
        <v/>
      </c>
      <c r="AY78" s="24" t="str">
        <f t="shared" si="135"/>
        <v/>
      </c>
      <c r="AZ78" s="24" t="str">
        <f t="shared" si="136"/>
        <v/>
      </c>
      <c r="BA78" s="24" t="str">
        <f t="shared" si="137"/>
        <v/>
      </c>
      <c r="BB78" s="24" t="str">
        <f t="shared" si="138"/>
        <v/>
      </c>
      <c r="BC78" s="24" t="str">
        <f t="shared" si="139"/>
        <v/>
      </c>
      <c r="BD78" s="24" t="str">
        <f t="shared" si="140"/>
        <v/>
      </c>
      <c r="BE78" s="24" t="str">
        <f t="shared" si="141"/>
        <v/>
      </c>
      <c r="BF78" s="24" t="str">
        <f t="shared" si="142"/>
        <v/>
      </c>
      <c r="BG78" s="24" t="str">
        <f t="shared" si="143"/>
        <v/>
      </c>
      <c r="BH78" s="24" t="str">
        <f t="shared" si="144"/>
        <v/>
      </c>
      <c r="BI78" s="24" t="str">
        <f t="shared" si="145"/>
        <v/>
      </c>
      <c r="BJ78" s="24" t="str">
        <f t="shared" si="146"/>
        <v/>
      </c>
      <c r="BK78" s="24" t="str">
        <f t="shared" si="147"/>
        <v/>
      </c>
      <c r="BL78" s="26" t="str">
        <f t="shared" si="148"/>
        <v/>
      </c>
      <c r="BM78" s="26" t="str">
        <f t="shared" si="149"/>
        <v/>
      </c>
      <c r="BN78" s="26" t="str">
        <f t="shared" si="150"/>
        <v/>
      </c>
      <c r="BO78" s="26" t="str">
        <f t="shared" si="151"/>
        <v/>
      </c>
      <c r="BP78" s="26" t="str">
        <f t="shared" si="152"/>
        <v/>
      </c>
      <c r="BQ78" s="26" t="str">
        <f t="shared" si="153"/>
        <v/>
      </c>
      <c r="BR78" s="26" t="str">
        <f t="shared" si="154"/>
        <v/>
      </c>
      <c r="BS78" s="26" t="str">
        <f t="shared" si="174"/>
        <v/>
      </c>
      <c r="BT78" s="26" t="str">
        <f t="shared" si="175"/>
        <v/>
      </c>
      <c r="BU78" s="26" t="str">
        <f t="shared" si="176"/>
        <v/>
      </c>
      <c r="BV78" s="26" t="str">
        <f t="shared" si="177"/>
        <v/>
      </c>
      <c r="BW78" s="26" t="str">
        <f t="shared" si="178"/>
        <v/>
      </c>
      <c r="BX78" s="26" t="str">
        <f t="shared" si="179"/>
        <v/>
      </c>
      <c r="BY78" s="26" t="str">
        <f t="shared" si="180"/>
        <v/>
      </c>
      <c r="BZ78" s="26" t="str">
        <f t="shared" si="181"/>
        <v/>
      </c>
      <c r="CA78" s="26" t="str">
        <f t="shared" si="182"/>
        <v/>
      </c>
      <c r="CB78" s="24" t="str">
        <f t="shared" si="183"/>
        <v/>
      </c>
      <c r="CC78" s="24" t="str">
        <f t="shared" si="184"/>
        <v/>
      </c>
      <c r="CD78" s="24" t="str">
        <f t="shared" si="185"/>
        <v/>
      </c>
      <c r="CE78" s="24" t="str">
        <f t="shared" si="186"/>
        <v/>
      </c>
      <c r="CF78" s="24" t="str">
        <f t="shared" si="187"/>
        <v/>
      </c>
      <c r="CG78" s="24" t="str">
        <f t="shared" si="188"/>
        <v/>
      </c>
      <c r="CH78" s="24" t="str">
        <f t="shared" si="189"/>
        <v/>
      </c>
      <c r="CI78" s="24" t="str">
        <f t="shared" si="155"/>
        <v/>
      </c>
      <c r="CJ78" s="24" t="str">
        <f t="shared" si="83"/>
        <v/>
      </c>
      <c r="CK78" s="26" t="str">
        <f t="shared" si="156"/>
        <v/>
      </c>
      <c r="CL78" s="26" t="str">
        <f t="shared" si="84"/>
        <v/>
      </c>
      <c r="CM78" s="24" t="str">
        <f t="shared" si="85"/>
        <v/>
      </c>
      <c r="CN78" s="26" t="str">
        <f t="shared" si="157"/>
        <v/>
      </c>
      <c r="CO78" s="24" t="str">
        <f t="shared" si="158"/>
        <v/>
      </c>
      <c r="CP78" s="26" t="str">
        <f t="shared" si="159"/>
        <v/>
      </c>
      <c r="CQ78" s="26" t="str">
        <f t="shared" si="160"/>
        <v/>
      </c>
      <c r="CR78" s="26" t="str">
        <f t="shared" si="86"/>
        <v/>
      </c>
      <c r="CS78" s="24" t="str">
        <f t="shared" si="87"/>
        <v/>
      </c>
      <c r="CT78" s="27" t="str">
        <f t="shared" si="161"/>
        <v/>
      </c>
      <c r="CU78" s="24" t="str">
        <f t="shared" si="162"/>
        <v/>
      </c>
      <c r="CV78" s="27" t="str">
        <f t="shared" si="163"/>
        <v/>
      </c>
      <c r="CW78" s="27" t="str">
        <f t="shared" si="164"/>
        <v/>
      </c>
      <c r="CX78" s="26" t="str">
        <f t="shared" si="88"/>
        <v/>
      </c>
      <c r="CY78" s="27" t="str">
        <f t="shared" si="89"/>
        <v/>
      </c>
      <c r="CZ78" s="26" t="str">
        <f t="shared" si="165"/>
        <v/>
      </c>
      <c r="DA78" s="24" t="str">
        <f t="shared" si="166"/>
        <v/>
      </c>
      <c r="DB78" s="24" t="str">
        <f t="shared" si="167"/>
        <v/>
      </c>
      <c r="DC78" s="24" t="str">
        <f t="shared" si="168"/>
        <v/>
      </c>
      <c r="DD78" s="24" t="str">
        <f t="shared" si="169"/>
        <v/>
      </c>
      <c r="DE78" s="1"/>
      <c r="DF78" s="1"/>
      <c r="DG78" s="1"/>
      <c r="DH78" s="24" t="str">
        <f t="shared" si="170"/>
        <v/>
      </c>
      <c r="DI78" s="25" t="str">
        <f t="shared" si="171"/>
        <v/>
      </c>
      <c r="DJ78" t="str">
        <f t="shared" si="172"/>
        <v/>
      </c>
      <c r="DK78" s="9"/>
      <c r="DL78" s="9"/>
      <c r="DM78" s="9"/>
      <c r="DN78" s="9"/>
      <c r="DO78" s="9"/>
      <c r="DP78" s="9"/>
      <c r="DQ78" s="136" t="b">
        <f t="shared" si="173"/>
        <v>1</v>
      </c>
    </row>
    <row r="79" spans="1:121" ht="27" customHeight="1" x14ac:dyDescent="0.95">
      <c r="A79" s="24" t="str">
        <f t="shared" si="90"/>
        <v/>
      </c>
      <c r="B79" s="9"/>
      <c r="C79" s="32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10"/>
      <c r="Q79" s="10"/>
      <c r="R79" s="10"/>
      <c r="S79" s="10"/>
      <c r="T79" s="10"/>
      <c r="U79" s="10"/>
      <c r="V79" s="10"/>
      <c r="W79" s="3" t="str">
        <f t="shared" ref="W79:W99" si="190">IF(G79="","",IF(G79&gt;=90,"A",IF(G79&gt;=80,"B",IF(G79&gt;=70,"C",IF(G79&gt;=60,"D",IF(G79&gt;=50,"E",IF(G79&gt;=0,"F","")))))))</f>
        <v/>
      </c>
      <c r="X79" s="3" t="str">
        <f t="shared" ref="X79:X99" si="191">IF(H79="","",IF(H79&gt;=90,"A",IF(H79&gt;=80,"B",IF(H79&gt;=70,"C",IF(H79&gt;=60,"D",IF(H79&gt;=50,"E",IF(H79&gt;=0,"F","")))))))</f>
        <v/>
      </c>
      <c r="Y79" s="3" t="str">
        <f t="shared" ref="Y79:Y99" si="192">IF(I79="","",IF(I79&gt;=90,"A",IF(I79&gt;=80,"B",IF(I79&gt;=70,"C",IF(I79&gt;=60,"D",IF(I79&gt;=50,"E",IF(I79&gt;=0,"F","")))))))</f>
        <v/>
      </c>
      <c r="Z79" s="3" t="str">
        <f t="shared" ref="Z79:Z99" si="193">IF(J79="","",IF(J79&gt;=90,"A",IF(J79&gt;=80,"B",IF(J79&gt;=70,"C",IF(J79&gt;=60,"D",IF(J79&gt;=50,"E",IF(J79&gt;=0,"F","")))))))</f>
        <v/>
      </c>
      <c r="AA79" s="3" t="str">
        <f t="shared" ref="AA79:AA99" si="194">IF(K79="","",IF(K79&gt;=90,"A",IF(K79&gt;=80,"B",IF(K79&gt;=70,"C",IF(K79&gt;=60,"D",IF(K79&gt;=50,"E",IF(K79&gt;=0,"F","")))))))</f>
        <v/>
      </c>
      <c r="AB79" s="3" t="str">
        <f t="shared" ref="AB79:AB99" si="195">IF(L79="","",IF(L79&gt;=90,"A",IF(L79&gt;=80,"B",IF(L79&gt;=70,"C",IF(L79&gt;=60,"D",IF(L79&gt;=50,"E",IF(L79&gt;=0,"F","")))))))</f>
        <v/>
      </c>
      <c r="AC79" s="3" t="str">
        <f t="shared" ref="AC79:AC99" si="196">IF(M79="","",IF(M79&gt;=90,"A",IF(M79&gt;=80,"B",IF(M79&gt;=70,"C",IF(M79&gt;=60,"D",IF(M79&gt;=50,"E",IF(M79&gt;=0,"F","")))))))</f>
        <v/>
      </c>
      <c r="AD79" s="3" t="str">
        <f t="shared" ref="AD79:AD99" si="197">IF(N79="","",IF(N79&gt;=90,"A",IF(N79&gt;=80,"B",IF(N79&gt;=70,"C",IF(N79&gt;=60,"D",IF(N79&gt;=50,"E",IF(N79&gt;=0,"F","")))))))</f>
        <v/>
      </c>
      <c r="AE79" s="3" t="str">
        <f t="shared" ref="AE79:AE99" si="198">IF(O79="","",IF(O79&gt;=90,"A",IF(O79&gt;=80,"B",IF(O79&gt;=70,"C",IF(O79&gt;=60,"D",IF(O79&gt;=50,"E",IF(O79&gt;=0,"F","")))))))</f>
        <v/>
      </c>
      <c r="AF79" s="24" t="str">
        <f t="shared" ref="AF79:AF99" si="199">IF(P79="","",IF(P79&gt;=90,"A",IF(P79&gt;=80,"B",IF(P79&gt;=70,"C",IF(P79&gt;=60,"D",IF(P79&gt;=50,"E",IF(P79&gt;=0,"F","")))))))</f>
        <v/>
      </c>
      <c r="AG79" s="24" t="str">
        <f t="shared" ref="AG79:AG99" si="200">IF(Q79="","",IF(Q79&gt;=90,"A",IF(Q79&gt;=80,"B",IF(Q79&gt;=70,"C",IF(Q79&gt;=60,"D",IF(Q79&gt;=50,"E",IF(Q79&gt;=0,"F","")))))))</f>
        <v/>
      </c>
      <c r="AH79" s="24" t="str">
        <f t="shared" ref="AH79:AH99" si="201">IF(R79="","",IF(R79&gt;=90,"A",IF(R79&gt;=80,"B",IF(R79&gt;=70,"C",IF(R79&gt;=60,"D",IF(R79&gt;=50,"E",IF(R79&gt;=0,"F","")))))))</f>
        <v/>
      </c>
      <c r="AI79" s="24" t="str">
        <f t="shared" ref="AI79:AI99" si="202">IF(S79="","",IF(S79&gt;=90,"A",IF(S79&gt;=80,"B",IF(S79&gt;=70,"C",IF(S79&gt;=60,"D",IF(S79&gt;=50,"E",IF(S79&gt;=0,"F","")))))))</f>
        <v/>
      </c>
      <c r="AJ79" s="24" t="str">
        <f t="shared" ref="AJ79:AJ99" si="203">IF(T79="","",IF(T79&gt;=90,"A",IF(T79&gt;=80,"B",IF(T79&gt;=70,"C",IF(T79&gt;=60,"D",IF(T79&gt;=50,"E",IF(T79&gt;=0,"F","")))))))</f>
        <v/>
      </c>
      <c r="AK79" s="24" t="str">
        <f t="shared" ref="AK79:AK99" si="204">IF(U79="","",IF(U79&gt;=90,"A",IF(U79&gt;=80,"B",IF(U79&gt;=70,"C",IF(U79&gt;=60,"D",IF(U79&gt;=50,"E",IF(U79&gt;=0,"F","")))))))</f>
        <v/>
      </c>
      <c r="AL79" s="24" t="str">
        <f t="shared" ref="AL79:AL99" si="205">IF(V79="","",IF(V79&gt;=90,"A",IF(V79&gt;=80,"B",IF(V79&gt;=70,"C",IF(V79&gt;=60,"D",IF(V79&gt;=50,"E",IF(V79&gt;=0,"F","")))))))</f>
        <v/>
      </c>
      <c r="AM79" s="24" t="str">
        <f t="shared" ref="AM79:AM99" si="206">IF(G79="","",$AM$14)</f>
        <v/>
      </c>
      <c r="AN79" s="24" t="str">
        <f t="shared" ref="AN79:AN99" si="207">IF(H79="","",$AN$14)</f>
        <v/>
      </c>
      <c r="AO79" s="24" t="str">
        <f t="shared" ref="AO79:AO99" si="208">IF(I79="","",$AO$14)</f>
        <v/>
      </c>
      <c r="AP79" s="24" t="str">
        <f t="shared" ref="AP79:AP99" si="209">IF(J79="","",$AP$14)</f>
        <v/>
      </c>
      <c r="AQ79" s="24" t="str">
        <f t="shared" ref="AQ79:AQ99" si="210">IF(K79="","",$AQ$14)</f>
        <v/>
      </c>
      <c r="AR79" s="24" t="str">
        <f t="shared" ref="AR79:AR99" si="211">IF(L79="","",$AR$14)</f>
        <v/>
      </c>
      <c r="AS79" s="24" t="str">
        <f t="shared" ref="AS79:AS99" si="212">IF(M79="","",$AS$14)</f>
        <v/>
      </c>
      <c r="AT79" s="24" t="str">
        <f t="shared" ref="AT79:AT99" si="213">IF(N79="","",$AT$14)</f>
        <v/>
      </c>
      <c r="AU79" s="24" t="str">
        <f t="shared" ref="AU79:AU99" si="214">IF(O79="","",$AU$14)</f>
        <v/>
      </c>
      <c r="AV79" s="24" t="str">
        <f t="shared" ref="AV79:AV99" si="215">IF(P79="","",$AV$14)</f>
        <v/>
      </c>
      <c r="AW79" s="24" t="str">
        <f t="shared" ref="AW79:AW99" si="216">IF(Q79="","",$AW$14)</f>
        <v/>
      </c>
      <c r="AX79" s="24" t="str">
        <f t="shared" ref="AX79:AX99" si="217">IF(R79="","",$AX$14)</f>
        <v/>
      </c>
      <c r="AY79" s="24" t="str">
        <f t="shared" ref="AY79:AY84" si="218">IF(S79="","",$AY$14)</f>
        <v/>
      </c>
      <c r="AZ79" s="24" t="str">
        <f t="shared" ref="AZ79:AZ99" si="219">IF(T79="","",$AZ$14)</f>
        <v/>
      </c>
      <c r="BA79" s="24" t="str">
        <f t="shared" ref="BA79:BA99" si="220">IF(U79="","",$BA$14)</f>
        <v/>
      </c>
      <c r="BB79" s="24" t="str">
        <f t="shared" ref="BB79:BB99" si="221">IF(V79="","",$BB$14)</f>
        <v/>
      </c>
      <c r="BC79" s="24" t="str">
        <f t="shared" ref="BC79:BC96" si="222">IF(OR(G79="",AM79=""),"",PRODUCT(G79,AM79))</f>
        <v/>
      </c>
      <c r="BD79" s="24" t="str">
        <f t="shared" ref="BD79:BD96" si="223">IF(OR(H79="",AN79=""),"",PRODUCT(H79,AN79))</f>
        <v/>
      </c>
      <c r="BE79" s="24" t="str">
        <f t="shared" ref="BE79:BE96" si="224">IF(OR(I79="",AO79=""),"",PRODUCT(I79,AO79))</f>
        <v/>
      </c>
      <c r="BF79" s="24" t="str">
        <f t="shared" ref="BF79:BF96" si="225">IF(OR(J79="",AP79=""),"",PRODUCT(J79,AP79))</f>
        <v/>
      </c>
      <c r="BG79" s="24" t="str">
        <f t="shared" ref="BG79:BG96" si="226">IF(OR(K79="",AQ79=""),"",PRODUCT(K79,AQ79))</f>
        <v/>
      </c>
      <c r="BH79" s="24" t="str">
        <f t="shared" ref="BH79:BH96" si="227">IF(OR(L79="",AR79=""),"",PRODUCT(L79,AR79))</f>
        <v/>
      </c>
      <c r="BI79" s="24" t="str">
        <f t="shared" ref="BI79:BI96" si="228">IF(OR(M79="",AS79=""),"",PRODUCT(M79,AS79))</f>
        <v/>
      </c>
      <c r="BJ79" s="24" t="str">
        <f t="shared" ref="BJ79:BJ96" si="229">IF(OR(N79="",AT79=""),"",PRODUCT(N79,AT79))</f>
        <v/>
      </c>
      <c r="BK79" s="24" t="str">
        <f t="shared" ref="BK79:BK96" si="230">IF(OR(O79="",AU79=""),"",PRODUCT(O79,AU79))</f>
        <v/>
      </c>
      <c r="BL79" s="26" t="str">
        <f t="shared" ref="BL79:BL96" si="231">IF(OR(P79="",AV79=""),"",PRODUCT(P79,AV79))</f>
        <v/>
      </c>
      <c r="BM79" s="26" t="str">
        <f t="shared" ref="BM79:BM96" si="232">IF(OR(Q79="",AW79=""),"",PRODUCT(Q79,AW79))</f>
        <v/>
      </c>
      <c r="BN79" s="26" t="str">
        <f t="shared" ref="BN79:BN96" si="233">IF(OR(R79="",AX79=""),"",PRODUCT(R79,AX79))</f>
        <v/>
      </c>
      <c r="BO79" s="26" t="str">
        <f t="shared" ref="BO79:BO96" si="234">IF(OR(S79="",AY79=""),"",PRODUCT(S79,AY79))</f>
        <v/>
      </c>
      <c r="BP79" s="26" t="str">
        <f t="shared" ref="BP79:BP96" si="235">IF(OR(T79="",AZ79=""),"",PRODUCT(T79,AZ79))</f>
        <v/>
      </c>
      <c r="BQ79" s="26" t="str">
        <f t="shared" ref="BQ79:BQ96" si="236">IF(OR(U79="",BA79=""),"",PRODUCT(U79,BA79))</f>
        <v/>
      </c>
      <c r="BR79" s="26" t="str">
        <f t="shared" ref="BR79:BR96" si="237">IF(OR(V79="",BB79=""),"",PRODUCT(V79,BB79))</f>
        <v/>
      </c>
      <c r="BS79" s="26" t="str">
        <f t="shared" si="174"/>
        <v/>
      </c>
      <c r="BT79" s="26" t="str">
        <f t="shared" si="175"/>
        <v/>
      </c>
      <c r="BU79" s="26" t="str">
        <f t="shared" si="176"/>
        <v/>
      </c>
      <c r="BV79" s="26" t="str">
        <f t="shared" si="177"/>
        <v/>
      </c>
      <c r="BW79" s="26" t="str">
        <f t="shared" si="178"/>
        <v/>
      </c>
      <c r="BX79" s="26" t="str">
        <f t="shared" si="179"/>
        <v/>
      </c>
      <c r="BY79" s="26" t="str">
        <f t="shared" si="180"/>
        <v/>
      </c>
      <c r="BZ79" s="26" t="str">
        <f t="shared" si="181"/>
        <v/>
      </c>
      <c r="CA79" s="26" t="str">
        <f t="shared" si="182"/>
        <v/>
      </c>
      <c r="CB79" s="24" t="str">
        <f t="shared" si="183"/>
        <v/>
      </c>
      <c r="CC79" s="24" t="str">
        <f t="shared" si="184"/>
        <v/>
      </c>
      <c r="CD79" s="24" t="str">
        <f t="shared" si="185"/>
        <v/>
      </c>
      <c r="CE79" s="24" t="str">
        <f t="shared" si="186"/>
        <v/>
      </c>
      <c r="CF79" s="24" t="str">
        <f t="shared" si="187"/>
        <v/>
      </c>
      <c r="CG79" s="24" t="str">
        <f t="shared" si="188"/>
        <v/>
      </c>
      <c r="CH79" s="24" t="str">
        <f t="shared" si="189"/>
        <v/>
      </c>
      <c r="CI79" s="24" t="str">
        <f t="shared" ref="CI79:CI99" si="238">IF(B79="","",SUM(AM79:AU79))</f>
        <v/>
      </c>
      <c r="CJ79" s="24" t="str">
        <f t="shared" si="83"/>
        <v/>
      </c>
      <c r="CK79" s="26" t="str">
        <f t="shared" ref="CK79:CK99" si="239">IF(B79="","",SUM(BS79:CA79))</f>
        <v/>
      </c>
      <c r="CL79" s="26" t="str">
        <f t="shared" si="84"/>
        <v/>
      </c>
      <c r="CM79" s="24" t="str">
        <f t="shared" si="85"/>
        <v/>
      </c>
      <c r="CN79" s="26" t="str">
        <f t="shared" ref="CN79:CN99" si="240">IF(B79="","",CK79/CI79)</f>
        <v/>
      </c>
      <c r="CO79" s="24" t="str">
        <f t="shared" ref="CO79:CO99" si="241">IF(B79="","",SUM(AV79:BB79))</f>
        <v/>
      </c>
      <c r="CP79" s="26" t="str">
        <f t="shared" ref="CP79:CP99" si="242">IF(B79="","",SUM(BL79:BR79))</f>
        <v/>
      </c>
      <c r="CQ79" s="26" t="str">
        <f t="shared" ref="CQ79:CQ99" si="243">IF(B79="","",SUM(CB79:CH79))</f>
        <v/>
      </c>
      <c r="CR79" s="26" t="str">
        <f t="shared" ref="CR79:CR99" si="244">IF(OR(CO79="",CP79=""),"",CP79/CO79)</f>
        <v/>
      </c>
      <c r="CS79" s="24" t="str">
        <f t="shared" ref="CS79:CS99" si="245">IF(CR79="","",IF(CR79&gt;=90,"A",IF(CR79&gt;=80,"B",IF(CR79&gt;=70,"C",IF(CR79&gt;=60,"D",IF(CR79&gt;=50,"E",IF(CR79&gt;=0,"F","")))))))</f>
        <v/>
      </c>
      <c r="CT79" s="27" t="str">
        <f t="shared" ref="CT79:CT99" si="246">IF(B79="","",CQ79/CO79)</f>
        <v/>
      </c>
      <c r="CU79" s="24" t="str">
        <f t="shared" ref="CU79:CU99" si="247">IF(SUM(AM79:BB79)=0,"",IF(OR(B79="",F79="I",F79="II",F79="M",F79="A"),(SUM(AM79:BB79)),IF(OR(B79="",F79="III"),(SUM(CI79,CO79)))))</f>
        <v/>
      </c>
      <c r="CV79" s="27" t="str">
        <f t="shared" ref="CV79:CV99" si="248">IF(SUM(AM79:BB79)=0,"",IF(OR(B79="",F79="I",F79="II",F79="M",F79="A"),(SUM(BC79:BR79)),IF(OR(B79="",F79="III"),(SUM(CJ79,CP79)))))</f>
        <v/>
      </c>
      <c r="CW79" s="27" t="str">
        <f t="shared" ref="CW79:CW99" si="249">IF(SUM(AM79:BB79)=0,"",IF(OR(B79="",F79="I",F79="II",F79="M",F79="A"),(SUM(BS79:CH79)),IF(OR(B79="",F79="III"),(SUM(CQ79,CK79)))))</f>
        <v/>
      </c>
      <c r="CX79" s="26" t="str">
        <f t="shared" si="88"/>
        <v/>
      </c>
      <c r="CY79" s="27" t="str">
        <f t="shared" si="89"/>
        <v/>
      </c>
      <c r="CZ79" s="26" t="str">
        <f t="shared" ref="CZ79:CZ99" si="250">IF(B79="","",CW79/CU79)</f>
        <v/>
      </c>
      <c r="DA79" s="24" t="str">
        <f t="shared" ref="DA79:DA99" si="251">IF(OR(B79="",CX79=""),"",RANK(CX79,$CX$15:$CX$97))</f>
        <v/>
      </c>
      <c r="DB79" s="24" t="str">
        <f t="shared" ref="DB79:DB99" si="252">IF(B79="","",$C$9)</f>
        <v/>
      </c>
      <c r="DC79" s="24" t="str">
        <f t="shared" ref="DC79:DC99" si="253">IF(B79="","",COUNTA($B$15:$B$99))</f>
        <v/>
      </c>
      <c r="DD79" s="24" t="str">
        <f t="shared" ref="DD79:DD99" si="254">IF(B79="","",$C$8)</f>
        <v/>
      </c>
      <c r="DE79" s="1"/>
      <c r="DF79" s="1"/>
      <c r="DG79" s="1"/>
      <c r="DH79" s="24" t="str">
        <f t="shared" ref="DH79:DH99" si="255">IF(B79="","",DF79+DG79)</f>
        <v/>
      </c>
      <c r="DI79" s="25" t="str">
        <f t="shared" ref="DI79:DI99" si="256">IF(B79="","",(DD79-DH79)/DD79)</f>
        <v/>
      </c>
      <c r="DJ79" t="str">
        <f t="shared" ref="DJ79:DJ99" si="257">IF(B79="","",$C$11)</f>
        <v/>
      </c>
      <c r="DK79" s="9"/>
      <c r="DL79" s="9"/>
      <c r="DM79" s="9"/>
      <c r="DN79" s="9"/>
      <c r="DO79" s="9"/>
      <c r="DP79" s="9"/>
      <c r="DQ79" s="136" t="b">
        <f t="shared" ref="DQ79:DQ99" si="258">EXACT(B79,DK79)</f>
        <v>1</v>
      </c>
    </row>
    <row r="80" spans="1:121" ht="27" customHeight="1" x14ac:dyDescent="0.95">
      <c r="A80" s="24" t="str">
        <f t="shared" ref="A80:A99" si="259">IF(B80="","",A79+1)</f>
        <v/>
      </c>
      <c r="B80" s="9"/>
      <c r="C80" s="32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10"/>
      <c r="Q80" s="10"/>
      <c r="R80" s="10"/>
      <c r="S80" s="10"/>
      <c r="T80" s="10"/>
      <c r="U80" s="10"/>
      <c r="V80" s="10"/>
      <c r="W80" s="3" t="str">
        <f t="shared" si="190"/>
        <v/>
      </c>
      <c r="X80" s="3" t="str">
        <f t="shared" si="191"/>
        <v/>
      </c>
      <c r="Y80" s="3" t="str">
        <f t="shared" si="192"/>
        <v/>
      </c>
      <c r="Z80" s="3" t="str">
        <f t="shared" si="193"/>
        <v/>
      </c>
      <c r="AA80" s="3" t="str">
        <f t="shared" si="194"/>
        <v/>
      </c>
      <c r="AB80" s="3" t="str">
        <f t="shared" si="195"/>
        <v/>
      </c>
      <c r="AC80" s="3" t="str">
        <f t="shared" si="196"/>
        <v/>
      </c>
      <c r="AD80" s="3" t="str">
        <f t="shared" si="197"/>
        <v/>
      </c>
      <c r="AE80" s="3" t="str">
        <f t="shared" si="198"/>
        <v/>
      </c>
      <c r="AF80" s="24" t="str">
        <f t="shared" si="199"/>
        <v/>
      </c>
      <c r="AG80" s="24" t="str">
        <f t="shared" si="200"/>
        <v/>
      </c>
      <c r="AH80" s="24" t="str">
        <f t="shared" si="201"/>
        <v/>
      </c>
      <c r="AI80" s="24" t="str">
        <f t="shared" si="202"/>
        <v/>
      </c>
      <c r="AJ80" s="24" t="str">
        <f t="shared" si="203"/>
        <v/>
      </c>
      <c r="AK80" s="24" t="str">
        <f t="shared" si="204"/>
        <v/>
      </c>
      <c r="AL80" s="24" t="str">
        <f t="shared" si="205"/>
        <v/>
      </c>
      <c r="AM80" s="24" t="str">
        <f t="shared" si="206"/>
        <v/>
      </c>
      <c r="AN80" s="24" t="str">
        <f t="shared" si="207"/>
        <v/>
      </c>
      <c r="AO80" s="24" t="str">
        <f t="shared" si="208"/>
        <v/>
      </c>
      <c r="AP80" s="24" t="str">
        <f t="shared" si="209"/>
        <v/>
      </c>
      <c r="AQ80" s="24" t="str">
        <f t="shared" si="210"/>
        <v/>
      </c>
      <c r="AR80" s="24" t="str">
        <f t="shared" si="211"/>
        <v/>
      </c>
      <c r="AS80" s="24" t="str">
        <f t="shared" si="212"/>
        <v/>
      </c>
      <c r="AT80" s="24" t="str">
        <f t="shared" si="213"/>
        <v/>
      </c>
      <c r="AU80" s="24" t="str">
        <f t="shared" si="214"/>
        <v/>
      </c>
      <c r="AV80" s="24" t="str">
        <f t="shared" si="215"/>
        <v/>
      </c>
      <c r="AW80" s="24" t="str">
        <f t="shared" si="216"/>
        <v/>
      </c>
      <c r="AX80" s="24" t="str">
        <f t="shared" si="217"/>
        <v/>
      </c>
      <c r="AY80" s="24" t="str">
        <f t="shared" si="218"/>
        <v/>
      </c>
      <c r="AZ80" s="24" t="str">
        <f t="shared" si="219"/>
        <v/>
      </c>
      <c r="BA80" s="24" t="str">
        <f t="shared" si="220"/>
        <v/>
      </c>
      <c r="BB80" s="24" t="str">
        <f t="shared" si="221"/>
        <v/>
      </c>
      <c r="BC80" s="24" t="str">
        <f t="shared" si="222"/>
        <v/>
      </c>
      <c r="BD80" s="24" t="str">
        <f t="shared" si="223"/>
        <v/>
      </c>
      <c r="BE80" s="24" t="str">
        <f t="shared" si="224"/>
        <v/>
      </c>
      <c r="BF80" s="24" t="str">
        <f t="shared" si="225"/>
        <v/>
      </c>
      <c r="BG80" s="24" t="str">
        <f t="shared" si="226"/>
        <v/>
      </c>
      <c r="BH80" s="24" t="str">
        <f t="shared" si="227"/>
        <v/>
      </c>
      <c r="BI80" s="24" t="str">
        <f t="shared" si="228"/>
        <v/>
      </c>
      <c r="BJ80" s="24" t="str">
        <f t="shared" si="229"/>
        <v/>
      </c>
      <c r="BK80" s="24" t="str">
        <f t="shared" si="230"/>
        <v/>
      </c>
      <c r="BL80" s="26" t="str">
        <f t="shared" si="231"/>
        <v/>
      </c>
      <c r="BM80" s="26" t="str">
        <f t="shared" si="232"/>
        <v/>
      </c>
      <c r="BN80" s="26" t="str">
        <f t="shared" si="233"/>
        <v/>
      </c>
      <c r="BO80" s="26" t="str">
        <f t="shared" si="234"/>
        <v/>
      </c>
      <c r="BP80" s="26" t="str">
        <f t="shared" si="235"/>
        <v/>
      </c>
      <c r="BQ80" s="26" t="str">
        <f t="shared" si="236"/>
        <v/>
      </c>
      <c r="BR80" s="26" t="str">
        <f t="shared" si="237"/>
        <v/>
      </c>
      <c r="BS80" s="26" t="str">
        <f t="shared" si="174"/>
        <v/>
      </c>
      <c r="BT80" s="26" t="str">
        <f t="shared" si="175"/>
        <v/>
      </c>
      <c r="BU80" s="26" t="str">
        <f t="shared" si="176"/>
        <v/>
      </c>
      <c r="BV80" s="26" t="str">
        <f t="shared" si="177"/>
        <v/>
      </c>
      <c r="BW80" s="26" t="str">
        <f t="shared" si="178"/>
        <v/>
      </c>
      <c r="BX80" s="26" t="str">
        <f t="shared" si="179"/>
        <v/>
      </c>
      <c r="BY80" s="26" t="str">
        <f t="shared" si="180"/>
        <v/>
      </c>
      <c r="BZ80" s="26" t="str">
        <f t="shared" si="181"/>
        <v/>
      </c>
      <c r="CA80" s="26" t="str">
        <f t="shared" si="182"/>
        <v/>
      </c>
      <c r="CB80" s="24" t="str">
        <f t="shared" si="183"/>
        <v/>
      </c>
      <c r="CC80" s="24" t="str">
        <f t="shared" si="184"/>
        <v/>
      </c>
      <c r="CD80" s="24" t="str">
        <f t="shared" si="185"/>
        <v/>
      </c>
      <c r="CE80" s="24" t="str">
        <f t="shared" si="186"/>
        <v/>
      </c>
      <c r="CF80" s="24" t="str">
        <f t="shared" si="187"/>
        <v/>
      </c>
      <c r="CG80" s="24" t="str">
        <f t="shared" si="188"/>
        <v/>
      </c>
      <c r="CH80" s="24" t="str">
        <f t="shared" si="189"/>
        <v/>
      </c>
      <c r="CI80" s="24" t="str">
        <f t="shared" si="238"/>
        <v/>
      </c>
      <c r="CJ80" s="24" t="str">
        <f t="shared" ref="CJ80:CJ99" si="260">IF(B80="","",SUM(BC80:BK80))</f>
        <v/>
      </c>
      <c r="CK80" s="26" t="str">
        <f t="shared" si="239"/>
        <v/>
      </c>
      <c r="CL80" s="26" t="str">
        <f t="shared" ref="CL80:CL99" si="261">IF(OR(CI80="",CJ80=""),"",CJ80/CI80)</f>
        <v/>
      </c>
      <c r="CM80" s="24" t="str">
        <f t="shared" ref="CM80:CM99" si="262">IF(CL80="","",IF(CL80&gt;=90,"A",IF(CL80&gt;=80,"B",IF(CL80&gt;=70,"C",IF(CL80&gt;=60,"D",IF(CL80&gt;=50,"E",IF(CL80&gt;=0,"F","")))))))</f>
        <v/>
      </c>
      <c r="CN80" s="26" t="str">
        <f t="shared" si="240"/>
        <v/>
      </c>
      <c r="CO80" s="24" t="str">
        <f t="shared" si="241"/>
        <v/>
      </c>
      <c r="CP80" s="26" t="str">
        <f t="shared" si="242"/>
        <v/>
      </c>
      <c r="CQ80" s="26" t="str">
        <f t="shared" si="243"/>
        <v/>
      </c>
      <c r="CR80" s="26" t="str">
        <f t="shared" si="244"/>
        <v/>
      </c>
      <c r="CS80" s="24" t="str">
        <f t="shared" si="245"/>
        <v/>
      </c>
      <c r="CT80" s="27" t="str">
        <f t="shared" si="246"/>
        <v/>
      </c>
      <c r="CU80" s="24" t="str">
        <f t="shared" si="247"/>
        <v/>
      </c>
      <c r="CV80" s="27" t="str">
        <f t="shared" si="248"/>
        <v/>
      </c>
      <c r="CW80" s="27" t="str">
        <f t="shared" si="249"/>
        <v/>
      </c>
      <c r="CX80" s="26" t="str">
        <f t="shared" ref="CX80:CX99" si="263">IF(OR(CU80=0,CV80=0),0,IF(OR(CU80="",CV80=""),"",CV80/CU80))</f>
        <v/>
      </c>
      <c r="CY80" s="27" t="str">
        <f t="shared" ref="CY80:CY99" si="264">IF(CX80="","",IF(CX80&gt;=90,"A",IF(CX80&gt;=80,"B",IF(CX80&gt;=70,"C",IF(CX80&gt;=60,"D",IF(CX80&gt;=50,"E",IF(CX80&gt;=0,"F","")))))))</f>
        <v/>
      </c>
      <c r="CZ80" s="26" t="str">
        <f t="shared" si="250"/>
        <v/>
      </c>
      <c r="DA80" s="24" t="str">
        <f t="shared" si="251"/>
        <v/>
      </c>
      <c r="DB80" s="24" t="str">
        <f t="shared" si="252"/>
        <v/>
      </c>
      <c r="DC80" s="24" t="str">
        <f t="shared" si="253"/>
        <v/>
      </c>
      <c r="DD80" s="24" t="str">
        <f t="shared" si="254"/>
        <v/>
      </c>
      <c r="DE80" s="1"/>
      <c r="DF80" s="1"/>
      <c r="DG80" s="1"/>
      <c r="DH80" s="24" t="str">
        <f t="shared" si="255"/>
        <v/>
      </c>
      <c r="DI80" s="25" t="str">
        <f t="shared" si="256"/>
        <v/>
      </c>
      <c r="DJ80" t="str">
        <f t="shared" si="257"/>
        <v/>
      </c>
      <c r="DK80" s="9"/>
      <c r="DL80" s="9"/>
      <c r="DM80" s="9"/>
      <c r="DN80" s="9"/>
      <c r="DO80" s="9"/>
      <c r="DP80" s="9"/>
      <c r="DQ80" s="136" t="b">
        <f t="shared" si="258"/>
        <v>1</v>
      </c>
    </row>
    <row r="81" spans="1:121" ht="27" customHeight="1" x14ac:dyDescent="0.95">
      <c r="A81" s="24" t="str">
        <f t="shared" si="259"/>
        <v/>
      </c>
      <c r="B81" s="9"/>
      <c r="C81" s="32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10"/>
      <c r="Q81" s="10"/>
      <c r="R81" s="10"/>
      <c r="S81" s="10"/>
      <c r="T81" s="10"/>
      <c r="U81" s="10"/>
      <c r="V81" s="10"/>
      <c r="W81" s="3" t="str">
        <f t="shared" si="190"/>
        <v/>
      </c>
      <c r="X81" s="3" t="str">
        <f t="shared" si="191"/>
        <v/>
      </c>
      <c r="Y81" s="3" t="str">
        <f t="shared" si="192"/>
        <v/>
      </c>
      <c r="Z81" s="3" t="str">
        <f t="shared" si="193"/>
        <v/>
      </c>
      <c r="AA81" s="3" t="str">
        <f t="shared" si="194"/>
        <v/>
      </c>
      <c r="AB81" s="3" t="str">
        <f t="shared" si="195"/>
        <v/>
      </c>
      <c r="AC81" s="3" t="str">
        <f t="shared" si="196"/>
        <v/>
      </c>
      <c r="AD81" s="3" t="str">
        <f t="shared" si="197"/>
        <v/>
      </c>
      <c r="AE81" s="3" t="str">
        <f t="shared" si="198"/>
        <v/>
      </c>
      <c r="AF81" s="24" t="str">
        <f t="shared" si="199"/>
        <v/>
      </c>
      <c r="AG81" s="24" t="str">
        <f t="shared" si="200"/>
        <v/>
      </c>
      <c r="AH81" s="24" t="str">
        <f t="shared" si="201"/>
        <v/>
      </c>
      <c r="AI81" s="24" t="str">
        <f t="shared" si="202"/>
        <v/>
      </c>
      <c r="AJ81" s="24" t="str">
        <f t="shared" si="203"/>
        <v/>
      </c>
      <c r="AK81" s="24" t="str">
        <f t="shared" si="204"/>
        <v/>
      </c>
      <c r="AL81" s="24" t="str">
        <f t="shared" si="205"/>
        <v/>
      </c>
      <c r="AM81" s="24" t="str">
        <f t="shared" si="206"/>
        <v/>
      </c>
      <c r="AN81" s="24" t="str">
        <f t="shared" si="207"/>
        <v/>
      </c>
      <c r="AO81" s="24" t="str">
        <f t="shared" si="208"/>
        <v/>
      </c>
      <c r="AP81" s="24" t="str">
        <f t="shared" si="209"/>
        <v/>
      </c>
      <c r="AQ81" s="24" t="str">
        <f t="shared" si="210"/>
        <v/>
      </c>
      <c r="AR81" s="24" t="str">
        <f t="shared" si="211"/>
        <v/>
      </c>
      <c r="AS81" s="24" t="str">
        <f t="shared" si="212"/>
        <v/>
      </c>
      <c r="AT81" s="24" t="str">
        <f t="shared" si="213"/>
        <v/>
      </c>
      <c r="AU81" s="24" t="str">
        <f t="shared" si="214"/>
        <v/>
      </c>
      <c r="AV81" s="24" t="str">
        <f t="shared" si="215"/>
        <v/>
      </c>
      <c r="AW81" s="24" t="str">
        <f t="shared" si="216"/>
        <v/>
      </c>
      <c r="AX81" s="24" t="str">
        <f t="shared" si="217"/>
        <v/>
      </c>
      <c r="AY81" s="24" t="str">
        <f t="shared" si="218"/>
        <v/>
      </c>
      <c r="AZ81" s="24" t="str">
        <f t="shared" si="219"/>
        <v/>
      </c>
      <c r="BA81" s="24" t="str">
        <f t="shared" si="220"/>
        <v/>
      </c>
      <c r="BB81" s="24" t="str">
        <f t="shared" si="221"/>
        <v/>
      </c>
      <c r="BC81" s="24" t="str">
        <f t="shared" si="222"/>
        <v/>
      </c>
      <c r="BD81" s="24" t="str">
        <f t="shared" si="223"/>
        <v/>
      </c>
      <c r="BE81" s="24" t="str">
        <f t="shared" si="224"/>
        <v/>
      </c>
      <c r="BF81" s="24" t="str">
        <f t="shared" si="225"/>
        <v/>
      </c>
      <c r="BG81" s="24" t="str">
        <f t="shared" si="226"/>
        <v/>
      </c>
      <c r="BH81" s="24" t="str">
        <f t="shared" si="227"/>
        <v/>
      </c>
      <c r="BI81" s="24" t="str">
        <f t="shared" si="228"/>
        <v/>
      </c>
      <c r="BJ81" s="24" t="str">
        <f t="shared" si="229"/>
        <v/>
      </c>
      <c r="BK81" s="24" t="str">
        <f t="shared" si="230"/>
        <v/>
      </c>
      <c r="BL81" s="26" t="str">
        <f t="shared" si="231"/>
        <v/>
      </c>
      <c r="BM81" s="26" t="str">
        <f t="shared" si="232"/>
        <v/>
      </c>
      <c r="BN81" s="26" t="str">
        <f t="shared" si="233"/>
        <v/>
      </c>
      <c r="BO81" s="26" t="str">
        <f t="shared" si="234"/>
        <v/>
      </c>
      <c r="BP81" s="26" t="str">
        <f t="shared" si="235"/>
        <v/>
      </c>
      <c r="BQ81" s="26" t="str">
        <f t="shared" si="236"/>
        <v/>
      </c>
      <c r="BR81" s="26" t="str">
        <f t="shared" si="237"/>
        <v/>
      </c>
      <c r="BS81" s="26" t="str">
        <f t="shared" si="174"/>
        <v/>
      </c>
      <c r="BT81" s="26" t="str">
        <f t="shared" si="175"/>
        <v/>
      </c>
      <c r="BU81" s="26" t="str">
        <f t="shared" si="176"/>
        <v/>
      </c>
      <c r="BV81" s="26" t="str">
        <f t="shared" si="177"/>
        <v/>
      </c>
      <c r="BW81" s="26" t="str">
        <f t="shared" si="178"/>
        <v/>
      </c>
      <c r="BX81" s="26" t="str">
        <f t="shared" si="179"/>
        <v/>
      </c>
      <c r="BY81" s="26" t="str">
        <f t="shared" si="180"/>
        <v/>
      </c>
      <c r="BZ81" s="26" t="str">
        <f t="shared" si="181"/>
        <v/>
      </c>
      <c r="CA81" s="26" t="str">
        <f t="shared" si="182"/>
        <v/>
      </c>
      <c r="CB81" s="24" t="str">
        <f t="shared" si="183"/>
        <v/>
      </c>
      <c r="CC81" s="24" t="str">
        <f t="shared" si="184"/>
        <v/>
      </c>
      <c r="CD81" s="24" t="str">
        <f t="shared" si="185"/>
        <v/>
      </c>
      <c r="CE81" s="24" t="str">
        <f t="shared" si="186"/>
        <v/>
      </c>
      <c r="CF81" s="24" t="str">
        <f t="shared" si="187"/>
        <v/>
      </c>
      <c r="CG81" s="24" t="str">
        <f t="shared" si="188"/>
        <v/>
      </c>
      <c r="CH81" s="24" t="str">
        <f t="shared" si="189"/>
        <v/>
      </c>
      <c r="CI81" s="24" t="str">
        <f t="shared" si="238"/>
        <v/>
      </c>
      <c r="CJ81" s="24" t="str">
        <f t="shared" si="260"/>
        <v/>
      </c>
      <c r="CK81" s="26" t="str">
        <f t="shared" si="239"/>
        <v/>
      </c>
      <c r="CL81" s="26" t="str">
        <f t="shared" si="261"/>
        <v/>
      </c>
      <c r="CM81" s="24" t="str">
        <f t="shared" si="262"/>
        <v/>
      </c>
      <c r="CN81" s="26" t="str">
        <f t="shared" si="240"/>
        <v/>
      </c>
      <c r="CO81" s="24" t="str">
        <f t="shared" si="241"/>
        <v/>
      </c>
      <c r="CP81" s="26" t="str">
        <f t="shared" si="242"/>
        <v/>
      </c>
      <c r="CQ81" s="26" t="str">
        <f t="shared" si="243"/>
        <v/>
      </c>
      <c r="CR81" s="26" t="str">
        <f t="shared" si="244"/>
        <v/>
      </c>
      <c r="CS81" s="24" t="str">
        <f t="shared" si="245"/>
        <v/>
      </c>
      <c r="CT81" s="27" t="str">
        <f t="shared" si="246"/>
        <v/>
      </c>
      <c r="CU81" s="24" t="str">
        <f t="shared" si="247"/>
        <v/>
      </c>
      <c r="CV81" s="27" t="str">
        <f t="shared" si="248"/>
        <v/>
      </c>
      <c r="CW81" s="27" t="str">
        <f t="shared" si="249"/>
        <v/>
      </c>
      <c r="CX81" s="26" t="str">
        <f t="shared" si="263"/>
        <v/>
      </c>
      <c r="CY81" s="27" t="str">
        <f t="shared" si="264"/>
        <v/>
      </c>
      <c r="CZ81" s="26" t="str">
        <f t="shared" si="250"/>
        <v/>
      </c>
      <c r="DA81" s="24" t="str">
        <f t="shared" si="251"/>
        <v/>
      </c>
      <c r="DB81" s="24" t="str">
        <f t="shared" si="252"/>
        <v/>
      </c>
      <c r="DC81" s="24" t="str">
        <f t="shared" si="253"/>
        <v/>
      </c>
      <c r="DD81" s="24" t="str">
        <f t="shared" si="254"/>
        <v/>
      </c>
      <c r="DE81" s="1"/>
      <c r="DF81" s="1"/>
      <c r="DG81" s="1"/>
      <c r="DH81" s="24" t="str">
        <f t="shared" si="255"/>
        <v/>
      </c>
      <c r="DI81" s="25" t="str">
        <f t="shared" si="256"/>
        <v/>
      </c>
      <c r="DJ81" t="str">
        <f t="shared" si="257"/>
        <v/>
      </c>
      <c r="DK81" s="9"/>
      <c r="DL81" s="9"/>
      <c r="DM81" s="9"/>
      <c r="DN81" s="9"/>
      <c r="DO81" s="9"/>
      <c r="DP81" s="9"/>
      <c r="DQ81" s="136" t="b">
        <f t="shared" si="258"/>
        <v>1</v>
      </c>
    </row>
    <row r="82" spans="1:121" ht="27" customHeight="1" x14ac:dyDescent="0.95">
      <c r="A82" s="24" t="str">
        <f t="shared" si="259"/>
        <v/>
      </c>
      <c r="B82" s="9"/>
      <c r="C82" s="32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10"/>
      <c r="Q82" s="10"/>
      <c r="R82" s="10"/>
      <c r="S82" s="10"/>
      <c r="T82" s="10"/>
      <c r="U82" s="10"/>
      <c r="V82" s="10"/>
      <c r="W82" s="3" t="str">
        <f t="shared" si="190"/>
        <v/>
      </c>
      <c r="X82" s="3" t="str">
        <f t="shared" si="191"/>
        <v/>
      </c>
      <c r="Y82" s="3" t="str">
        <f t="shared" si="192"/>
        <v/>
      </c>
      <c r="Z82" s="3" t="str">
        <f t="shared" si="193"/>
        <v/>
      </c>
      <c r="AA82" s="3" t="str">
        <f t="shared" si="194"/>
        <v/>
      </c>
      <c r="AB82" s="3" t="str">
        <f t="shared" si="195"/>
        <v/>
      </c>
      <c r="AC82" s="3" t="str">
        <f t="shared" si="196"/>
        <v/>
      </c>
      <c r="AD82" s="3" t="str">
        <f t="shared" si="197"/>
        <v/>
      </c>
      <c r="AE82" s="3" t="str">
        <f t="shared" si="198"/>
        <v/>
      </c>
      <c r="AF82" s="24" t="str">
        <f t="shared" si="199"/>
        <v/>
      </c>
      <c r="AG82" s="24" t="str">
        <f t="shared" si="200"/>
        <v/>
      </c>
      <c r="AH82" s="24" t="str">
        <f t="shared" si="201"/>
        <v/>
      </c>
      <c r="AI82" s="24" t="str">
        <f t="shared" si="202"/>
        <v/>
      </c>
      <c r="AJ82" s="24" t="str">
        <f t="shared" si="203"/>
        <v/>
      </c>
      <c r="AK82" s="24" t="str">
        <f t="shared" si="204"/>
        <v/>
      </c>
      <c r="AL82" s="24" t="str">
        <f t="shared" si="205"/>
        <v/>
      </c>
      <c r="AM82" s="24" t="str">
        <f t="shared" si="206"/>
        <v/>
      </c>
      <c r="AN82" s="24" t="str">
        <f t="shared" si="207"/>
        <v/>
      </c>
      <c r="AO82" s="24" t="str">
        <f t="shared" si="208"/>
        <v/>
      </c>
      <c r="AP82" s="24" t="str">
        <f t="shared" si="209"/>
        <v/>
      </c>
      <c r="AQ82" s="24" t="str">
        <f t="shared" si="210"/>
        <v/>
      </c>
      <c r="AR82" s="24" t="str">
        <f t="shared" si="211"/>
        <v/>
      </c>
      <c r="AS82" s="24" t="str">
        <f t="shared" si="212"/>
        <v/>
      </c>
      <c r="AT82" s="24" t="str">
        <f t="shared" si="213"/>
        <v/>
      </c>
      <c r="AU82" s="24" t="str">
        <f t="shared" si="214"/>
        <v/>
      </c>
      <c r="AV82" s="24" t="str">
        <f t="shared" si="215"/>
        <v/>
      </c>
      <c r="AW82" s="24" t="str">
        <f t="shared" si="216"/>
        <v/>
      </c>
      <c r="AX82" s="24" t="str">
        <f t="shared" si="217"/>
        <v/>
      </c>
      <c r="AY82" s="24" t="str">
        <f t="shared" si="218"/>
        <v/>
      </c>
      <c r="AZ82" s="24" t="str">
        <f t="shared" si="219"/>
        <v/>
      </c>
      <c r="BA82" s="24" t="str">
        <f t="shared" si="220"/>
        <v/>
      </c>
      <c r="BB82" s="24" t="str">
        <f t="shared" si="221"/>
        <v/>
      </c>
      <c r="BC82" s="24" t="str">
        <f t="shared" si="222"/>
        <v/>
      </c>
      <c r="BD82" s="24" t="str">
        <f t="shared" si="223"/>
        <v/>
      </c>
      <c r="BE82" s="24" t="str">
        <f t="shared" si="224"/>
        <v/>
      </c>
      <c r="BF82" s="24" t="str">
        <f t="shared" si="225"/>
        <v/>
      </c>
      <c r="BG82" s="24" t="str">
        <f t="shared" si="226"/>
        <v/>
      </c>
      <c r="BH82" s="24" t="str">
        <f t="shared" si="227"/>
        <v/>
      </c>
      <c r="BI82" s="24" t="str">
        <f t="shared" si="228"/>
        <v/>
      </c>
      <c r="BJ82" s="24" t="str">
        <f t="shared" si="229"/>
        <v/>
      </c>
      <c r="BK82" s="24" t="str">
        <f t="shared" si="230"/>
        <v/>
      </c>
      <c r="BL82" s="26" t="str">
        <f t="shared" si="231"/>
        <v/>
      </c>
      <c r="BM82" s="26" t="str">
        <f t="shared" si="232"/>
        <v/>
      </c>
      <c r="BN82" s="26" t="str">
        <f t="shared" si="233"/>
        <v/>
      </c>
      <c r="BO82" s="26" t="str">
        <f t="shared" si="234"/>
        <v/>
      </c>
      <c r="BP82" s="26" t="str">
        <f t="shared" si="235"/>
        <v/>
      </c>
      <c r="BQ82" s="26" t="str">
        <f t="shared" si="236"/>
        <v/>
      </c>
      <c r="BR82" s="26" t="str">
        <f t="shared" si="237"/>
        <v/>
      </c>
      <c r="BS82" s="26" t="str">
        <f t="shared" si="174"/>
        <v/>
      </c>
      <c r="BT82" s="26" t="str">
        <f t="shared" si="175"/>
        <v/>
      </c>
      <c r="BU82" s="26" t="str">
        <f t="shared" si="176"/>
        <v/>
      </c>
      <c r="BV82" s="26" t="str">
        <f t="shared" si="177"/>
        <v/>
      </c>
      <c r="BW82" s="26" t="str">
        <f t="shared" si="178"/>
        <v/>
      </c>
      <c r="BX82" s="26" t="str">
        <f t="shared" si="179"/>
        <v/>
      </c>
      <c r="BY82" s="26" t="str">
        <f t="shared" si="180"/>
        <v/>
      </c>
      <c r="BZ82" s="26" t="str">
        <f t="shared" si="181"/>
        <v/>
      </c>
      <c r="CA82" s="26" t="str">
        <f t="shared" si="182"/>
        <v/>
      </c>
      <c r="CB82" s="24" t="str">
        <f t="shared" si="183"/>
        <v/>
      </c>
      <c r="CC82" s="24" t="str">
        <f t="shared" si="184"/>
        <v/>
      </c>
      <c r="CD82" s="24" t="str">
        <f t="shared" si="185"/>
        <v/>
      </c>
      <c r="CE82" s="24" t="str">
        <f t="shared" si="186"/>
        <v/>
      </c>
      <c r="CF82" s="24" t="str">
        <f t="shared" si="187"/>
        <v/>
      </c>
      <c r="CG82" s="24" t="str">
        <f t="shared" si="188"/>
        <v/>
      </c>
      <c r="CH82" s="24" t="str">
        <f t="shared" si="189"/>
        <v/>
      </c>
      <c r="CI82" s="24" t="str">
        <f t="shared" si="238"/>
        <v/>
      </c>
      <c r="CJ82" s="24" t="str">
        <f t="shared" si="260"/>
        <v/>
      </c>
      <c r="CK82" s="26" t="str">
        <f t="shared" si="239"/>
        <v/>
      </c>
      <c r="CL82" s="26" t="str">
        <f t="shared" si="261"/>
        <v/>
      </c>
      <c r="CM82" s="24" t="str">
        <f t="shared" si="262"/>
        <v/>
      </c>
      <c r="CN82" s="26" t="str">
        <f t="shared" si="240"/>
        <v/>
      </c>
      <c r="CO82" s="24" t="str">
        <f t="shared" si="241"/>
        <v/>
      </c>
      <c r="CP82" s="26" t="str">
        <f t="shared" si="242"/>
        <v/>
      </c>
      <c r="CQ82" s="26" t="str">
        <f t="shared" si="243"/>
        <v/>
      </c>
      <c r="CR82" s="26" t="str">
        <f t="shared" si="244"/>
        <v/>
      </c>
      <c r="CS82" s="24" t="str">
        <f t="shared" si="245"/>
        <v/>
      </c>
      <c r="CT82" s="27" t="str">
        <f t="shared" si="246"/>
        <v/>
      </c>
      <c r="CU82" s="24" t="str">
        <f t="shared" si="247"/>
        <v/>
      </c>
      <c r="CV82" s="27" t="str">
        <f t="shared" si="248"/>
        <v/>
      </c>
      <c r="CW82" s="27" t="str">
        <f t="shared" si="249"/>
        <v/>
      </c>
      <c r="CX82" s="26" t="str">
        <f t="shared" si="263"/>
        <v/>
      </c>
      <c r="CY82" s="27" t="str">
        <f t="shared" si="264"/>
        <v/>
      </c>
      <c r="CZ82" s="26" t="str">
        <f t="shared" si="250"/>
        <v/>
      </c>
      <c r="DA82" s="24" t="str">
        <f t="shared" si="251"/>
        <v/>
      </c>
      <c r="DB82" s="24" t="str">
        <f t="shared" si="252"/>
        <v/>
      </c>
      <c r="DC82" s="24" t="str">
        <f t="shared" si="253"/>
        <v/>
      </c>
      <c r="DD82" s="24" t="str">
        <f t="shared" si="254"/>
        <v/>
      </c>
      <c r="DE82" s="1"/>
      <c r="DF82" s="1"/>
      <c r="DG82" s="1"/>
      <c r="DH82" s="24" t="str">
        <f t="shared" si="255"/>
        <v/>
      </c>
      <c r="DI82" s="25" t="str">
        <f t="shared" si="256"/>
        <v/>
      </c>
      <c r="DJ82" t="str">
        <f t="shared" si="257"/>
        <v/>
      </c>
      <c r="DK82" s="9"/>
      <c r="DL82" s="9"/>
      <c r="DM82" s="9"/>
      <c r="DN82" s="9"/>
      <c r="DO82" s="9"/>
      <c r="DP82" s="9"/>
      <c r="DQ82" s="136" t="b">
        <f t="shared" si="258"/>
        <v>1</v>
      </c>
    </row>
    <row r="83" spans="1:121" ht="27" customHeight="1" x14ac:dyDescent="0.95">
      <c r="A83" s="24" t="str">
        <f t="shared" si="259"/>
        <v/>
      </c>
      <c r="B83" s="9"/>
      <c r="C83" s="32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10"/>
      <c r="Q83" s="10"/>
      <c r="R83" s="10"/>
      <c r="S83" s="10"/>
      <c r="T83" s="10"/>
      <c r="U83" s="10"/>
      <c r="V83" s="10"/>
      <c r="W83" s="3" t="str">
        <f t="shared" si="190"/>
        <v/>
      </c>
      <c r="X83" s="3" t="str">
        <f t="shared" si="191"/>
        <v/>
      </c>
      <c r="Y83" s="3" t="str">
        <f t="shared" si="192"/>
        <v/>
      </c>
      <c r="Z83" s="3" t="str">
        <f t="shared" si="193"/>
        <v/>
      </c>
      <c r="AA83" s="3" t="str">
        <f t="shared" si="194"/>
        <v/>
      </c>
      <c r="AB83" s="3" t="str">
        <f t="shared" si="195"/>
        <v/>
      </c>
      <c r="AC83" s="3" t="str">
        <f t="shared" si="196"/>
        <v/>
      </c>
      <c r="AD83" s="3" t="str">
        <f t="shared" si="197"/>
        <v/>
      </c>
      <c r="AE83" s="3" t="str">
        <f t="shared" si="198"/>
        <v/>
      </c>
      <c r="AF83" s="24" t="str">
        <f t="shared" si="199"/>
        <v/>
      </c>
      <c r="AG83" s="24" t="str">
        <f t="shared" si="200"/>
        <v/>
      </c>
      <c r="AH83" s="24" t="str">
        <f t="shared" si="201"/>
        <v/>
      </c>
      <c r="AI83" s="24" t="str">
        <f t="shared" si="202"/>
        <v/>
      </c>
      <c r="AJ83" s="24" t="str">
        <f t="shared" si="203"/>
        <v/>
      </c>
      <c r="AK83" s="24" t="str">
        <f t="shared" si="204"/>
        <v/>
      </c>
      <c r="AL83" s="24" t="str">
        <f t="shared" si="205"/>
        <v/>
      </c>
      <c r="AM83" s="24" t="str">
        <f t="shared" si="206"/>
        <v/>
      </c>
      <c r="AN83" s="24" t="str">
        <f t="shared" si="207"/>
        <v/>
      </c>
      <c r="AO83" s="24" t="str">
        <f t="shared" si="208"/>
        <v/>
      </c>
      <c r="AP83" s="24" t="str">
        <f t="shared" si="209"/>
        <v/>
      </c>
      <c r="AQ83" s="24" t="str">
        <f t="shared" si="210"/>
        <v/>
      </c>
      <c r="AR83" s="24" t="str">
        <f t="shared" si="211"/>
        <v/>
      </c>
      <c r="AS83" s="24" t="str">
        <f t="shared" si="212"/>
        <v/>
      </c>
      <c r="AT83" s="24" t="str">
        <f t="shared" si="213"/>
        <v/>
      </c>
      <c r="AU83" s="24" t="str">
        <f t="shared" si="214"/>
        <v/>
      </c>
      <c r="AV83" s="24" t="str">
        <f t="shared" si="215"/>
        <v/>
      </c>
      <c r="AW83" s="24" t="str">
        <f t="shared" si="216"/>
        <v/>
      </c>
      <c r="AX83" s="24" t="str">
        <f t="shared" si="217"/>
        <v/>
      </c>
      <c r="AY83" s="24" t="str">
        <f t="shared" si="218"/>
        <v/>
      </c>
      <c r="AZ83" s="24" t="str">
        <f t="shared" si="219"/>
        <v/>
      </c>
      <c r="BA83" s="24" t="str">
        <f t="shared" si="220"/>
        <v/>
      </c>
      <c r="BB83" s="24" t="str">
        <f t="shared" si="221"/>
        <v/>
      </c>
      <c r="BC83" s="24" t="str">
        <f t="shared" si="222"/>
        <v/>
      </c>
      <c r="BD83" s="24" t="str">
        <f t="shared" si="223"/>
        <v/>
      </c>
      <c r="BE83" s="24" t="str">
        <f t="shared" si="224"/>
        <v/>
      </c>
      <c r="BF83" s="24" t="str">
        <f t="shared" si="225"/>
        <v/>
      </c>
      <c r="BG83" s="24" t="str">
        <f t="shared" si="226"/>
        <v/>
      </c>
      <c r="BH83" s="24" t="str">
        <f t="shared" si="227"/>
        <v/>
      </c>
      <c r="BI83" s="24" t="str">
        <f t="shared" si="228"/>
        <v/>
      </c>
      <c r="BJ83" s="24" t="str">
        <f t="shared" si="229"/>
        <v/>
      </c>
      <c r="BK83" s="24" t="str">
        <f t="shared" si="230"/>
        <v/>
      </c>
      <c r="BL83" s="26" t="str">
        <f t="shared" si="231"/>
        <v/>
      </c>
      <c r="BM83" s="26" t="str">
        <f t="shared" si="232"/>
        <v/>
      </c>
      <c r="BN83" s="26" t="str">
        <f t="shared" si="233"/>
        <v/>
      </c>
      <c r="BO83" s="26" t="str">
        <f t="shared" si="234"/>
        <v/>
      </c>
      <c r="BP83" s="26" t="str">
        <f t="shared" si="235"/>
        <v/>
      </c>
      <c r="BQ83" s="26" t="str">
        <f t="shared" si="236"/>
        <v/>
      </c>
      <c r="BR83" s="26" t="str">
        <f t="shared" si="237"/>
        <v/>
      </c>
      <c r="BS83" s="26" t="str">
        <f t="shared" si="174"/>
        <v/>
      </c>
      <c r="BT83" s="26" t="str">
        <f t="shared" si="175"/>
        <v/>
      </c>
      <c r="BU83" s="26" t="str">
        <f t="shared" si="176"/>
        <v/>
      </c>
      <c r="BV83" s="26" t="str">
        <f t="shared" si="177"/>
        <v/>
      </c>
      <c r="BW83" s="26" t="str">
        <f t="shared" si="178"/>
        <v/>
      </c>
      <c r="BX83" s="26" t="str">
        <f t="shared" si="179"/>
        <v/>
      </c>
      <c r="BY83" s="26" t="str">
        <f t="shared" si="180"/>
        <v/>
      </c>
      <c r="BZ83" s="26" t="str">
        <f t="shared" si="181"/>
        <v/>
      </c>
      <c r="CA83" s="26" t="str">
        <f t="shared" si="182"/>
        <v/>
      </c>
      <c r="CB83" s="24" t="str">
        <f t="shared" si="183"/>
        <v/>
      </c>
      <c r="CC83" s="24" t="str">
        <f t="shared" si="184"/>
        <v/>
      </c>
      <c r="CD83" s="24" t="str">
        <f t="shared" si="185"/>
        <v/>
      </c>
      <c r="CE83" s="24" t="str">
        <f t="shared" si="186"/>
        <v/>
      </c>
      <c r="CF83" s="24" t="str">
        <f t="shared" si="187"/>
        <v/>
      </c>
      <c r="CG83" s="24" t="str">
        <f t="shared" si="188"/>
        <v/>
      </c>
      <c r="CH83" s="24" t="str">
        <f t="shared" si="189"/>
        <v/>
      </c>
      <c r="CI83" s="24" t="str">
        <f t="shared" si="238"/>
        <v/>
      </c>
      <c r="CJ83" s="24" t="str">
        <f t="shared" si="260"/>
        <v/>
      </c>
      <c r="CK83" s="26" t="str">
        <f t="shared" si="239"/>
        <v/>
      </c>
      <c r="CL83" s="26" t="str">
        <f t="shared" si="261"/>
        <v/>
      </c>
      <c r="CM83" s="24" t="str">
        <f t="shared" si="262"/>
        <v/>
      </c>
      <c r="CN83" s="26" t="str">
        <f t="shared" si="240"/>
        <v/>
      </c>
      <c r="CO83" s="24" t="str">
        <f t="shared" si="241"/>
        <v/>
      </c>
      <c r="CP83" s="26" t="str">
        <f t="shared" si="242"/>
        <v/>
      </c>
      <c r="CQ83" s="26" t="str">
        <f t="shared" si="243"/>
        <v/>
      </c>
      <c r="CR83" s="26" t="str">
        <f t="shared" si="244"/>
        <v/>
      </c>
      <c r="CS83" s="24" t="str">
        <f t="shared" si="245"/>
        <v/>
      </c>
      <c r="CT83" s="27" t="str">
        <f t="shared" si="246"/>
        <v/>
      </c>
      <c r="CU83" s="24" t="str">
        <f t="shared" si="247"/>
        <v/>
      </c>
      <c r="CV83" s="27" t="str">
        <f t="shared" si="248"/>
        <v/>
      </c>
      <c r="CW83" s="27" t="str">
        <f t="shared" si="249"/>
        <v/>
      </c>
      <c r="CX83" s="26" t="str">
        <f t="shared" si="263"/>
        <v/>
      </c>
      <c r="CY83" s="27" t="str">
        <f t="shared" si="264"/>
        <v/>
      </c>
      <c r="CZ83" s="26" t="str">
        <f t="shared" si="250"/>
        <v/>
      </c>
      <c r="DA83" s="24" t="str">
        <f t="shared" si="251"/>
        <v/>
      </c>
      <c r="DB83" s="24" t="str">
        <f t="shared" si="252"/>
        <v/>
      </c>
      <c r="DC83" s="24" t="str">
        <f t="shared" si="253"/>
        <v/>
      </c>
      <c r="DD83" s="24" t="str">
        <f t="shared" si="254"/>
        <v/>
      </c>
      <c r="DE83" s="1"/>
      <c r="DF83" s="1"/>
      <c r="DG83" s="1"/>
      <c r="DH83" s="24" t="str">
        <f t="shared" si="255"/>
        <v/>
      </c>
      <c r="DI83" s="25" t="str">
        <f t="shared" si="256"/>
        <v/>
      </c>
      <c r="DJ83" t="str">
        <f t="shared" si="257"/>
        <v/>
      </c>
      <c r="DK83" s="9"/>
      <c r="DL83" s="9"/>
      <c r="DM83" s="9"/>
      <c r="DN83" s="9"/>
      <c r="DO83" s="9"/>
      <c r="DP83" s="9"/>
      <c r="DQ83" s="136" t="b">
        <f t="shared" si="258"/>
        <v>1</v>
      </c>
    </row>
    <row r="84" spans="1:121" ht="27" customHeight="1" x14ac:dyDescent="0.95">
      <c r="A84" s="24" t="str">
        <f t="shared" si="259"/>
        <v/>
      </c>
      <c r="B84" s="9"/>
      <c r="C84" s="32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10"/>
      <c r="Q84" s="10"/>
      <c r="R84" s="10"/>
      <c r="S84" s="10"/>
      <c r="T84" s="10"/>
      <c r="U84" s="10"/>
      <c r="V84" s="10"/>
      <c r="W84" s="3" t="str">
        <f t="shared" si="190"/>
        <v/>
      </c>
      <c r="X84" s="3" t="str">
        <f t="shared" si="191"/>
        <v/>
      </c>
      <c r="Y84" s="3" t="str">
        <f t="shared" si="192"/>
        <v/>
      </c>
      <c r="Z84" s="3" t="str">
        <f t="shared" si="193"/>
        <v/>
      </c>
      <c r="AA84" s="3" t="str">
        <f t="shared" si="194"/>
        <v/>
      </c>
      <c r="AB84" s="3" t="str">
        <f t="shared" si="195"/>
        <v/>
      </c>
      <c r="AC84" s="3" t="str">
        <f t="shared" si="196"/>
        <v/>
      </c>
      <c r="AD84" s="3" t="str">
        <f t="shared" si="197"/>
        <v/>
      </c>
      <c r="AE84" s="3" t="str">
        <f t="shared" si="198"/>
        <v/>
      </c>
      <c r="AF84" s="24" t="str">
        <f t="shared" si="199"/>
        <v/>
      </c>
      <c r="AG84" s="24" t="str">
        <f t="shared" si="200"/>
        <v/>
      </c>
      <c r="AH84" s="24" t="str">
        <f t="shared" si="201"/>
        <v/>
      </c>
      <c r="AI84" s="24" t="str">
        <f t="shared" si="202"/>
        <v/>
      </c>
      <c r="AJ84" s="24" t="str">
        <f t="shared" si="203"/>
        <v/>
      </c>
      <c r="AK84" s="24" t="str">
        <f t="shared" si="204"/>
        <v/>
      </c>
      <c r="AL84" s="24" t="str">
        <f t="shared" si="205"/>
        <v/>
      </c>
      <c r="AM84" s="24" t="str">
        <f t="shared" si="206"/>
        <v/>
      </c>
      <c r="AN84" s="24" t="str">
        <f t="shared" si="207"/>
        <v/>
      </c>
      <c r="AO84" s="24" t="str">
        <f t="shared" si="208"/>
        <v/>
      </c>
      <c r="AP84" s="24" t="str">
        <f t="shared" si="209"/>
        <v/>
      </c>
      <c r="AQ84" s="24" t="str">
        <f t="shared" si="210"/>
        <v/>
      </c>
      <c r="AR84" s="24" t="str">
        <f t="shared" si="211"/>
        <v/>
      </c>
      <c r="AS84" s="24" t="str">
        <f t="shared" si="212"/>
        <v/>
      </c>
      <c r="AT84" s="24" t="str">
        <f t="shared" si="213"/>
        <v/>
      </c>
      <c r="AU84" s="24" t="str">
        <f t="shared" si="214"/>
        <v/>
      </c>
      <c r="AV84" s="24" t="str">
        <f t="shared" si="215"/>
        <v/>
      </c>
      <c r="AW84" s="24" t="str">
        <f t="shared" si="216"/>
        <v/>
      </c>
      <c r="AX84" s="24" t="str">
        <f t="shared" si="217"/>
        <v/>
      </c>
      <c r="AY84" s="24" t="str">
        <f t="shared" si="218"/>
        <v/>
      </c>
      <c r="AZ84" s="24" t="str">
        <f t="shared" si="219"/>
        <v/>
      </c>
      <c r="BA84" s="24" t="str">
        <f t="shared" si="220"/>
        <v/>
      </c>
      <c r="BB84" s="24" t="str">
        <f t="shared" si="221"/>
        <v/>
      </c>
      <c r="BC84" s="24" t="str">
        <f t="shared" si="222"/>
        <v/>
      </c>
      <c r="BD84" s="24" t="str">
        <f t="shared" si="223"/>
        <v/>
      </c>
      <c r="BE84" s="24" t="str">
        <f t="shared" si="224"/>
        <v/>
      </c>
      <c r="BF84" s="24" t="str">
        <f t="shared" si="225"/>
        <v/>
      </c>
      <c r="BG84" s="24" t="str">
        <f t="shared" si="226"/>
        <v/>
      </c>
      <c r="BH84" s="24" t="str">
        <f t="shared" si="227"/>
        <v/>
      </c>
      <c r="BI84" s="24" t="str">
        <f t="shared" si="228"/>
        <v/>
      </c>
      <c r="BJ84" s="24" t="str">
        <f t="shared" si="229"/>
        <v/>
      </c>
      <c r="BK84" s="24" t="str">
        <f t="shared" si="230"/>
        <v/>
      </c>
      <c r="BL84" s="26" t="str">
        <f t="shared" si="231"/>
        <v/>
      </c>
      <c r="BM84" s="26" t="str">
        <f t="shared" si="232"/>
        <v/>
      </c>
      <c r="BN84" s="26" t="str">
        <f t="shared" si="233"/>
        <v/>
      </c>
      <c r="BO84" s="26" t="str">
        <f t="shared" si="234"/>
        <v/>
      </c>
      <c r="BP84" s="26" t="str">
        <f t="shared" si="235"/>
        <v/>
      </c>
      <c r="BQ84" s="26" t="str">
        <f t="shared" si="236"/>
        <v/>
      </c>
      <c r="BR84" s="26" t="str">
        <f t="shared" si="237"/>
        <v/>
      </c>
      <c r="BS84" s="26" t="str">
        <f t="shared" si="174"/>
        <v/>
      </c>
      <c r="BT84" s="26" t="str">
        <f t="shared" si="175"/>
        <v/>
      </c>
      <c r="BU84" s="26" t="str">
        <f t="shared" si="176"/>
        <v/>
      </c>
      <c r="BV84" s="26" t="str">
        <f t="shared" si="177"/>
        <v/>
      </c>
      <c r="BW84" s="26" t="str">
        <f t="shared" si="178"/>
        <v/>
      </c>
      <c r="BX84" s="26" t="str">
        <f t="shared" si="179"/>
        <v/>
      </c>
      <c r="BY84" s="26" t="str">
        <f t="shared" si="180"/>
        <v/>
      </c>
      <c r="BZ84" s="26" t="str">
        <f t="shared" si="181"/>
        <v/>
      </c>
      <c r="CA84" s="26" t="str">
        <f t="shared" si="182"/>
        <v/>
      </c>
      <c r="CB84" s="24" t="str">
        <f t="shared" si="183"/>
        <v/>
      </c>
      <c r="CC84" s="24" t="str">
        <f t="shared" si="184"/>
        <v/>
      </c>
      <c r="CD84" s="24" t="str">
        <f t="shared" si="185"/>
        <v/>
      </c>
      <c r="CE84" s="24" t="str">
        <f t="shared" si="186"/>
        <v/>
      </c>
      <c r="CF84" s="24" t="str">
        <f t="shared" si="187"/>
        <v/>
      </c>
      <c r="CG84" s="24" t="str">
        <f t="shared" si="188"/>
        <v/>
      </c>
      <c r="CH84" s="24" t="str">
        <f t="shared" si="189"/>
        <v/>
      </c>
      <c r="CI84" s="24" t="str">
        <f t="shared" si="238"/>
        <v/>
      </c>
      <c r="CJ84" s="24" t="str">
        <f t="shared" si="260"/>
        <v/>
      </c>
      <c r="CK84" s="26" t="str">
        <f t="shared" si="239"/>
        <v/>
      </c>
      <c r="CL84" s="26" t="str">
        <f t="shared" si="261"/>
        <v/>
      </c>
      <c r="CM84" s="24" t="str">
        <f t="shared" si="262"/>
        <v/>
      </c>
      <c r="CN84" s="26" t="str">
        <f t="shared" si="240"/>
        <v/>
      </c>
      <c r="CO84" s="24" t="str">
        <f t="shared" si="241"/>
        <v/>
      </c>
      <c r="CP84" s="26" t="str">
        <f t="shared" si="242"/>
        <v/>
      </c>
      <c r="CQ84" s="26" t="str">
        <f t="shared" si="243"/>
        <v/>
      </c>
      <c r="CR84" s="26" t="str">
        <f t="shared" si="244"/>
        <v/>
      </c>
      <c r="CS84" s="24" t="str">
        <f t="shared" si="245"/>
        <v/>
      </c>
      <c r="CT84" s="27" t="str">
        <f t="shared" si="246"/>
        <v/>
      </c>
      <c r="CU84" s="24" t="str">
        <f t="shared" si="247"/>
        <v/>
      </c>
      <c r="CV84" s="27" t="str">
        <f t="shared" si="248"/>
        <v/>
      </c>
      <c r="CW84" s="27" t="str">
        <f t="shared" si="249"/>
        <v/>
      </c>
      <c r="CX84" s="26" t="str">
        <f t="shared" si="263"/>
        <v/>
      </c>
      <c r="CY84" s="27" t="str">
        <f t="shared" si="264"/>
        <v/>
      </c>
      <c r="CZ84" s="26" t="str">
        <f t="shared" si="250"/>
        <v/>
      </c>
      <c r="DA84" s="24" t="str">
        <f t="shared" si="251"/>
        <v/>
      </c>
      <c r="DB84" s="24" t="str">
        <f t="shared" si="252"/>
        <v/>
      </c>
      <c r="DC84" s="24" t="str">
        <f t="shared" si="253"/>
        <v/>
      </c>
      <c r="DD84" s="24" t="str">
        <f t="shared" si="254"/>
        <v/>
      </c>
      <c r="DE84" s="1"/>
      <c r="DF84" s="1"/>
      <c r="DG84" s="1"/>
      <c r="DH84" s="24" t="str">
        <f t="shared" si="255"/>
        <v/>
      </c>
      <c r="DI84" s="25" t="str">
        <f t="shared" si="256"/>
        <v/>
      </c>
      <c r="DJ84" t="str">
        <f t="shared" si="257"/>
        <v/>
      </c>
      <c r="DK84" s="9"/>
      <c r="DL84" s="9"/>
      <c r="DM84" s="9"/>
      <c r="DN84" s="9"/>
      <c r="DO84" s="9"/>
      <c r="DP84" s="9"/>
      <c r="DQ84" s="136" t="b">
        <f t="shared" si="258"/>
        <v>1</v>
      </c>
    </row>
    <row r="85" spans="1:121" ht="27" customHeight="1" x14ac:dyDescent="0.95">
      <c r="A85" s="24" t="str">
        <f t="shared" si="259"/>
        <v/>
      </c>
      <c r="B85" s="9"/>
      <c r="C85" s="32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10"/>
      <c r="Q85" s="10"/>
      <c r="R85" s="10"/>
      <c r="S85" s="10"/>
      <c r="T85" s="10"/>
      <c r="U85" s="10"/>
      <c r="V85" s="10"/>
      <c r="W85" s="3" t="str">
        <f t="shared" si="190"/>
        <v/>
      </c>
      <c r="X85" s="3" t="str">
        <f t="shared" si="191"/>
        <v/>
      </c>
      <c r="Y85" s="3" t="str">
        <f t="shared" si="192"/>
        <v/>
      </c>
      <c r="Z85" s="3" t="str">
        <f t="shared" si="193"/>
        <v/>
      </c>
      <c r="AA85" s="3" t="str">
        <f t="shared" si="194"/>
        <v/>
      </c>
      <c r="AB85" s="3" t="str">
        <f t="shared" si="195"/>
        <v/>
      </c>
      <c r="AC85" s="3" t="str">
        <f t="shared" si="196"/>
        <v/>
      </c>
      <c r="AD85" s="3" t="str">
        <f t="shared" si="197"/>
        <v/>
      </c>
      <c r="AE85" s="3" t="str">
        <f t="shared" si="198"/>
        <v/>
      </c>
      <c r="AF85" s="24" t="str">
        <f t="shared" si="199"/>
        <v/>
      </c>
      <c r="AG85" s="24" t="str">
        <f t="shared" si="200"/>
        <v/>
      </c>
      <c r="AH85" s="24" t="str">
        <f t="shared" si="201"/>
        <v/>
      </c>
      <c r="AI85" s="24" t="str">
        <f t="shared" si="202"/>
        <v/>
      </c>
      <c r="AJ85" s="24" t="str">
        <f t="shared" si="203"/>
        <v/>
      </c>
      <c r="AK85" s="24" t="str">
        <f t="shared" si="204"/>
        <v/>
      </c>
      <c r="AL85" s="24" t="str">
        <f t="shared" si="205"/>
        <v/>
      </c>
      <c r="AM85" s="24" t="str">
        <f t="shared" si="206"/>
        <v/>
      </c>
      <c r="AN85" s="24" t="str">
        <f t="shared" si="207"/>
        <v/>
      </c>
      <c r="AO85" s="24" t="str">
        <f t="shared" si="208"/>
        <v/>
      </c>
      <c r="AP85" s="24" t="str">
        <f t="shared" si="209"/>
        <v/>
      </c>
      <c r="AQ85" s="24" t="str">
        <f t="shared" si="210"/>
        <v/>
      </c>
      <c r="AR85" s="24" t="str">
        <f t="shared" si="211"/>
        <v/>
      </c>
      <c r="AS85" s="24" t="str">
        <f t="shared" si="212"/>
        <v/>
      </c>
      <c r="AT85" s="24" t="str">
        <f t="shared" si="213"/>
        <v/>
      </c>
      <c r="AU85" s="24" t="str">
        <f t="shared" si="214"/>
        <v/>
      </c>
      <c r="AV85" s="24" t="str">
        <f t="shared" si="215"/>
        <v/>
      </c>
      <c r="AW85" s="24" t="str">
        <f t="shared" si="216"/>
        <v/>
      </c>
      <c r="AX85" s="24" t="str">
        <f t="shared" si="217"/>
        <v/>
      </c>
      <c r="AY85" s="24"/>
      <c r="AZ85" s="24" t="str">
        <f t="shared" si="219"/>
        <v/>
      </c>
      <c r="BA85" s="24" t="str">
        <f t="shared" si="220"/>
        <v/>
      </c>
      <c r="BB85" s="24" t="str">
        <f t="shared" si="221"/>
        <v/>
      </c>
      <c r="BC85" s="24" t="str">
        <f t="shared" si="222"/>
        <v/>
      </c>
      <c r="BD85" s="24" t="str">
        <f t="shared" si="223"/>
        <v/>
      </c>
      <c r="BE85" s="24" t="str">
        <f t="shared" si="224"/>
        <v/>
      </c>
      <c r="BF85" s="24" t="str">
        <f t="shared" si="225"/>
        <v/>
      </c>
      <c r="BG85" s="24" t="str">
        <f t="shared" si="226"/>
        <v/>
      </c>
      <c r="BH85" s="24" t="str">
        <f t="shared" si="227"/>
        <v/>
      </c>
      <c r="BI85" s="24" t="str">
        <f t="shared" si="228"/>
        <v/>
      </c>
      <c r="BJ85" s="24" t="str">
        <f t="shared" si="229"/>
        <v/>
      </c>
      <c r="BK85" s="24" t="str">
        <f t="shared" si="230"/>
        <v/>
      </c>
      <c r="BL85" s="26" t="str">
        <f t="shared" si="231"/>
        <v/>
      </c>
      <c r="BM85" s="26" t="str">
        <f t="shared" si="232"/>
        <v/>
      </c>
      <c r="BN85" s="26" t="str">
        <f t="shared" si="233"/>
        <v/>
      </c>
      <c r="BO85" s="26" t="str">
        <f t="shared" si="234"/>
        <v/>
      </c>
      <c r="BP85" s="26" t="str">
        <f t="shared" si="235"/>
        <v/>
      </c>
      <c r="BQ85" s="26" t="str">
        <f t="shared" si="236"/>
        <v/>
      </c>
      <c r="BR85" s="26" t="str">
        <f t="shared" si="237"/>
        <v/>
      </c>
      <c r="BS85" s="26" t="str">
        <f t="shared" si="174"/>
        <v/>
      </c>
      <c r="BT85" s="26" t="str">
        <f t="shared" si="175"/>
        <v/>
      </c>
      <c r="BU85" s="26" t="str">
        <f t="shared" si="176"/>
        <v/>
      </c>
      <c r="BV85" s="26" t="str">
        <f t="shared" si="177"/>
        <v/>
      </c>
      <c r="BW85" s="26" t="str">
        <f t="shared" si="178"/>
        <v/>
      </c>
      <c r="BX85" s="26" t="str">
        <f t="shared" si="179"/>
        <v/>
      </c>
      <c r="BY85" s="26" t="str">
        <f t="shared" si="180"/>
        <v/>
      </c>
      <c r="BZ85" s="26" t="str">
        <f t="shared" si="181"/>
        <v/>
      </c>
      <c r="CA85" s="26" t="str">
        <f t="shared" si="182"/>
        <v/>
      </c>
      <c r="CB85" s="24" t="str">
        <f t="shared" si="183"/>
        <v/>
      </c>
      <c r="CC85" s="24" t="str">
        <f t="shared" si="184"/>
        <v/>
      </c>
      <c r="CD85" s="24" t="str">
        <f t="shared" si="185"/>
        <v/>
      </c>
      <c r="CE85" s="24" t="str">
        <f t="shared" si="186"/>
        <v/>
      </c>
      <c r="CF85" s="24" t="str">
        <f t="shared" si="187"/>
        <v/>
      </c>
      <c r="CG85" s="24" t="str">
        <f t="shared" si="188"/>
        <v/>
      </c>
      <c r="CH85" s="24" t="str">
        <f t="shared" si="189"/>
        <v/>
      </c>
      <c r="CI85" s="24" t="str">
        <f t="shared" si="238"/>
        <v/>
      </c>
      <c r="CJ85" s="24" t="str">
        <f t="shared" si="260"/>
        <v/>
      </c>
      <c r="CK85" s="26" t="str">
        <f t="shared" si="239"/>
        <v/>
      </c>
      <c r="CL85" s="26" t="str">
        <f t="shared" si="261"/>
        <v/>
      </c>
      <c r="CM85" s="24" t="str">
        <f t="shared" si="262"/>
        <v/>
      </c>
      <c r="CN85" s="26" t="str">
        <f t="shared" si="240"/>
        <v/>
      </c>
      <c r="CO85" s="24" t="str">
        <f t="shared" si="241"/>
        <v/>
      </c>
      <c r="CP85" s="26" t="str">
        <f t="shared" si="242"/>
        <v/>
      </c>
      <c r="CQ85" s="26" t="str">
        <f t="shared" si="243"/>
        <v/>
      </c>
      <c r="CR85" s="26" t="str">
        <f t="shared" si="244"/>
        <v/>
      </c>
      <c r="CS85" s="24" t="str">
        <f t="shared" si="245"/>
        <v/>
      </c>
      <c r="CT85" s="27" t="str">
        <f t="shared" si="246"/>
        <v/>
      </c>
      <c r="CU85" s="24" t="str">
        <f t="shared" si="247"/>
        <v/>
      </c>
      <c r="CV85" s="27" t="str">
        <f t="shared" si="248"/>
        <v/>
      </c>
      <c r="CW85" s="27" t="str">
        <f t="shared" si="249"/>
        <v/>
      </c>
      <c r="CX85" s="26" t="str">
        <f t="shared" si="263"/>
        <v/>
      </c>
      <c r="CY85" s="27" t="str">
        <f t="shared" si="264"/>
        <v/>
      </c>
      <c r="CZ85" s="26" t="str">
        <f t="shared" si="250"/>
        <v/>
      </c>
      <c r="DA85" s="24" t="str">
        <f t="shared" si="251"/>
        <v/>
      </c>
      <c r="DB85" s="24" t="str">
        <f t="shared" si="252"/>
        <v/>
      </c>
      <c r="DC85" s="24" t="str">
        <f t="shared" si="253"/>
        <v/>
      </c>
      <c r="DD85" s="24" t="str">
        <f t="shared" si="254"/>
        <v/>
      </c>
      <c r="DE85" s="1"/>
      <c r="DF85" s="1"/>
      <c r="DG85" s="1"/>
      <c r="DH85" s="24" t="str">
        <f t="shared" si="255"/>
        <v/>
      </c>
      <c r="DI85" s="25" t="str">
        <f t="shared" si="256"/>
        <v/>
      </c>
      <c r="DJ85" t="str">
        <f t="shared" si="257"/>
        <v/>
      </c>
      <c r="DK85" s="9"/>
      <c r="DL85" s="9"/>
      <c r="DM85" s="9"/>
      <c r="DN85" s="9"/>
      <c r="DO85" s="9"/>
      <c r="DP85" s="9"/>
      <c r="DQ85" s="136" t="b">
        <f t="shared" si="258"/>
        <v>1</v>
      </c>
    </row>
    <row r="86" spans="1:121" ht="27" customHeight="1" x14ac:dyDescent="0.95">
      <c r="A86" s="24" t="str">
        <f t="shared" si="259"/>
        <v/>
      </c>
      <c r="B86" s="9"/>
      <c r="C86" s="32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10"/>
      <c r="Q86" s="10"/>
      <c r="R86" s="10"/>
      <c r="S86" s="10"/>
      <c r="T86" s="10"/>
      <c r="U86" s="10"/>
      <c r="V86" s="10"/>
      <c r="W86" s="3" t="str">
        <f t="shared" si="190"/>
        <v/>
      </c>
      <c r="X86" s="3" t="str">
        <f t="shared" si="191"/>
        <v/>
      </c>
      <c r="Y86" s="3" t="str">
        <f t="shared" si="192"/>
        <v/>
      </c>
      <c r="Z86" s="3" t="str">
        <f t="shared" si="193"/>
        <v/>
      </c>
      <c r="AA86" s="3" t="str">
        <f t="shared" si="194"/>
        <v/>
      </c>
      <c r="AB86" s="3" t="str">
        <f t="shared" si="195"/>
        <v/>
      </c>
      <c r="AC86" s="3" t="str">
        <f t="shared" si="196"/>
        <v/>
      </c>
      <c r="AD86" s="3" t="str">
        <f t="shared" si="197"/>
        <v/>
      </c>
      <c r="AE86" s="3" t="str">
        <f t="shared" si="198"/>
        <v/>
      </c>
      <c r="AF86" s="24" t="str">
        <f t="shared" si="199"/>
        <v/>
      </c>
      <c r="AG86" s="24" t="str">
        <f t="shared" si="200"/>
        <v/>
      </c>
      <c r="AH86" s="24" t="str">
        <f t="shared" si="201"/>
        <v/>
      </c>
      <c r="AI86" s="24" t="str">
        <f t="shared" si="202"/>
        <v/>
      </c>
      <c r="AJ86" s="24" t="str">
        <f t="shared" si="203"/>
        <v/>
      </c>
      <c r="AK86" s="24" t="str">
        <f t="shared" si="204"/>
        <v/>
      </c>
      <c r="AL86" s="24" t="str">
        <f t="shared" si="205"/>
        <v/>
      </c>
      <c r="AM86" s="24" t="str">
        <f t="shared" si="206"/>
        <v/>
      </c>
      <c r="AN86" s="24" t="str">
        <f t="shared" si="207"/>
        <v/>
      </c>
      <c r="AO86" s="24" t="str">
        <f t="shared" si="208"/>
        <v/>
      </c>
      <c r="AP86" s="24" t="str">
        <f t="shared" si="209"/>
        <v/>
      </c>
      <c r="AQ86" s="24" t="str">
        <f t="shared" si="210"/>
        <v/>
      </c>
      <c r="AR86" s="24" t="str">
        <f t="shared" si="211"/>
        <v/>
      </c>
      <c r="AS86" s="24" t="str">
        <f t="shared" si="212"/>
        <v/>
      </c>
      <c r="AT86" s="24" t="str">
        <f t="shared" si="213"/>
        <v/>
      </c>
      <c r="AU86" s="24" t="str">
        <f t="shared" si="214"/>
        <v/>
      </c>
      <c r="AV86" s="24" t="str">
        <f t="shared" si="215"/>
        <v/>
      </c>
      <c r="AW86" s="24" t="str">
        <f t="shared" si="216"/>
        <v/>
      </c>
      <c r="AX86" s="24" t="str">
        <f t="shared" si="217"/>
        <v/>
      </c>
      <c r="AY86" s="24"/>
      <c r="AZ86" s="24" t="str">
        <f t="shared" si="219"/>
        <v/>
      </c>
      <c r="BA86" s="24" t="str">
        <f t="shared" si="220"/>
        <v/>
      </c>
      <c r="BB86" s="24" t="str">
        <f t="shared" si="221"/>
        <v/>
      </c>
      <c r="BC86" s="24" t="str">
        <f t="shared" si="222"/>
        <v/>
      </c>
      <c r="BD86" s="24" t="str">
        <f t="shared" si="223"/>
        <v/>
      </c>
      <c r="BE86" s="24" t="str">
        <f t="shared" si="224"/>
        <v/>
      </c>
      <c r="BF86" s="24" t="str">
        <f t="shared" si="225"/>
        <v/>
      </c>
      <c r="BG86" s="24" t="str">
        <f t="shared" si="226"/>
        <v/>
      </c>
      <c r="BH86" s="24" t="str">
        <f t="shared" si="227"/>
        <v/>
      </c>
      <c r="BI86" s="24" t="str">
        <f t="shared" si="228"/>
        <v/>
      </c>
      <c r="BJ86" s="24" t="str">
        <f t="shared" si="229"/>
        <v/>
      </c>
      <c r="BK86" s="24" t="str">
        <f t="shared" si="230"/>
        <v/>
      </c>
      <c r="BL86" s="26" t="str">
        <f t="shared" si="231"/>
        <v/>
      </c>
      <c r="BM86" s="26" t="str">
        <f t="shared" si="232"/>
        <v/>
      </c>
      <c r="BN86" s="26" t="str">
        <f t="shared" si="233"/>
        <v/>
      </c>
      <c r="BO86" s="26" t="str">
        <f t="shared" si="234"/>
        <v/>
      </c>
      <c r="BP86" s="26" t="str">
        <f t="shared" si="235"/>
        <v/>
      </c>
      <c r="BQ86" s="26" t="str">
        <f t="shared" si="236"/>
        <v/>
      </c>
      <c r="BR86" s="26" t="str">
        <f t="shared" si="237"/>
        <v/>
      </c>
      <c r="BS86" s="26" t="str">
        <f t="shared" si="174"/>
        <v/>
      </c>
      <c r="BT86" s="26" t="str">
        <f t="shared" si="175"/>
        <v/>
      </c>
      <c r="BU86" s="26" t="str">
        <f t="shared" si="176"/>
        <v/>
      </c>
      <c r="BV86" s="26" t="str">
        <f t="shared" si="177"/>
        <v/>
      </c>
      <c r="BW86" s="26" t="str">
        <f t="shared" si="178"/>
        <v/>
      </c>
      <c r="BX86" s="26" t="str">
        <f t="shared" si="179"/>
        <v/>
      </c>
      <c r="BY86" s="26" t="str">
        <f t="shared" si="180"/>
        <v/>
      </c>
      <c r="BZ86" s="26" t="str">
        <f t="shared" si="181"/>
        <v/>
      </c>
      <c r="CA86" s="26" t="str">
        <f t="shared" si="182"/>
        <v/>
      </c>
      <c r="CB86" s="24" t="str">
        <f t="shared" si="183"/>
        <v/>
      </c>
      <c r="CC86" s="24" t="str">
        <f t="shared" si="184"/>
        <v/>
      </c>
      <c r="CD86" s="24" t="str">
        <f t="shared" si="185"/>
        <v/>
      </c>
      <c r="CE86" s="24" t="str">
        <f t="shared" si="186"/>
        <v/>
      </c>
      <c r="CF86" s="24" t="str">
        <f t="shared" si="187"/>
        <v/>
      </c>
      <c r="CG86" s="24" t="str">
        <f t="shared" si="188"/>
        <v/>
      </c>
      <c r="CH86" s="24" t="str">
        <f t="shared" si="189"/>
        <v/>
      </c>
      <c r="CI86" s="24" t="str">
        <f t="shared" si="238"/>
        <v/>
      </c>
      <c r="CJ86" s="24" t="str">
        <f t="shared" si="260"/>
        <v/>
      </c>
      <c r="CK86" s="26" t="str">
        <f t="shared" si="239"/>
        <v/>
      </c>
      <c r="CL86" s="26" t="str">
        <f t="shared" si="261"/>
        <v/>
      </c>
      <c r="CM86" s="24" t="str">
        <f t="shared" si="262"/>
        <v/>
      </c>
      <c r="CN86" s="26" t="str">
        <f t="shared" si="240"/>
        <v/>
      </c>
      <c r="CO86" s="24" t="str">
        <f t="shared" si="241"/>
        <v/>
      </c>
      <c r="CP86" s="26" t="str">
        <f t="shared" si="242"/>
        <v/>
      </c>
      <c r="CQ86" s="26" t="str">
        <f t="shared" si="243"/>
        <v/>
      </c>
      <c r="CR86" s="26" t="str">
        <f t="shared" si="244"/>
        <v/>
      </c>
      <c r="CS86" s="24" t="str">
        <f t="shared" si="245"/>
        <v/>
      </c>
      <c r="CT86" s="27" t="str">
        <f t="shared" si="246"/>
        <v/>
      </c>
      <c r="CU86" s="24" t="str">
        <f t="shared" si="247"/>
        <v/>
      </c>
      <c r="CV86" s="27" t="str">
        <f t="shared" si="248"/>
        <v/>
      </c>
      <c r="CW86" s="27" t="str">
        <f t="shared" si="249"/>
        <v/>
      </c>
      <c r="CX86" s="26" t="str">
        <f t="shared" si="263"/>
        <v/>
      </c>
      <c r="CY86" s="27" t="str">
        <f t="shared" si="264"/>
        <v/>
      </c>
      <c r="CZ86" s="26" t="str">
        <f t="shared" si="250"/>
        <v/>
      </c>
      <c r="DA86" s="24" t="str">
        <f t="shared" si="251"/>
        <v/>
      </c>
      <c r="DB86" s="24" t="str">
        <f t="shared" si="252"/>
        <v/>
      </c>
      <c r="DC86" s="24" t="str">
        <f t="shared" si="253"/>
        <v/>
      </c>
      <c r="DD86" s="24" t="str">
        <f t="shared" si="254"/>
        <v/>
      </c>
      <c r="DE86" s="1"/>
      <c r="DF86" s="1"/>
      <c r="DG86" s="1"/>
      <c r="DH86" s="24" t="str">
        <f t="shared" si="255"/>
        <v/>
      </c>
      <c r="DI86" s="25" t="str">
        <f t="shared" si="256"/>
        <v/>
      </c>
      <c r="DJ86" t="str">
        <f t="shared" si="257"/>
        <v/>
      </c>
      <c r="DK86" s="9"/>
      <c r="DL86" s="9"/>
      <c r="DM86" s="9"/>
      <c r="DN86" s="9"/>
      <c r="DO86" s="9"/>
      <c r="DP86" s="9"/>
      <c r="DQ86" s="136" t="b">
        <f t="shared" si="258"/>
        <v>1</v>
      </c>
    </row>
    <row r="87" spans="1:121" ht="27" customHeight="1" x14ac:dyDescent="0.95">
      <c r="A87" s="24" t="str">
        <f t="shared" si="259"/>
        <v/>
      </c>
      <c r="B87" s="9"/>
      <c r="C87" s="32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10"/>
      <c r="Q87" s="10"/>
      <c r="R87" s="10"/>
      <c r="S87" s="10"/>
      <c r="T87" s="10"/>
      <c r="U87" s="10"/>
      <c r="V87" s="10"/>
      <c r="W87" s="3" t="str">
        <f t="shared" si="190"/>
        <v/>
      </c>
      <c r="X87" s="3" t="str">
        <f t="shared" si="191"/>
        <v/>
      </c>
      <c r="Y87" s="3" t="str">
        <f t="shared" si="192"/>
        <v/>
      </c>
      <c r="Z87" s="3" t="str">
        <f t="shared" si="193"/>
        <v/>
      </c>
      <c r="AA87" s="3" t="str">
        <f t="shared" si="194"/>
        <v/>
      </c>
      <c r="AB87" s="3" t="str">
        <f t="shared" si="195"/>
        <v/>
      </c>
      <c r="AC87" s="3" t="str">
        <f t="shared" si="196"/>
        <v/>
      </c>
      <c r="AD87" s="3" t="str">
        <f t="shared" si="197"/>
        <v/>
      </c>
      <c r="AE87" s="3" t="str">
        <f t="shared" si="198"/>
        <v/>
      </c>
      <c r="AF87" s="24" t="str">
        <f t="shared" si="199"/>
        <v/>
      </c>
      <c r="AG87" s="24" t="str">
        <f t="shared" si="200"/>
        <v/>
      </c>
      <c r="AH87" s="24" t="str">
        <f t="shared" si="201"/>
        <v/>
      </c>
      <c r="AI87" s="24" t="str">
        <f t="shared" si="202"/>
        <v/>
      </c>
      <c r="AJ87" s="24" t="str">
        <f t="shared" si="203"/>
        <v/>
      </c>
      <c r="AK87" s="24" t="str">
        <f t="shared" si="204"/>
        <v/>
      </c>
      <c r="AL87" s="24" t="str">
        <f t="shared" si="205"/>
        <v/>
      </c>
      <c r="AM87" s="24" t="str">
        <f t="shared" si="206"/>
        <v/>
      </c>
      <c r="AN87" s="24" t="str">
        <f t="shared" si="207"/>
        <v/>
      </c>
      <c r="AO87" s="24" t="str">
        <f t="shared" si="208"/>
        <v/>
      </c>
      <c r="AP87" s="24" t="str">
        <f t="shared" si="209"/>
        <v/>
      </c>
      <c r="AQ87" s="24" t="str">
        <f t="shared" si="210"/>
        <v/>
      </c>
      <c r="AR87" s="24" t="str">
        <f t="shared" si="211"/>
        <v/>
      </c>
      <c r="AS87" s="24" t="str">
        <f t="shared" si="212"/>
        <v/>
      </c>
      <c r="AT87" s="24" t="str">
        <f t="shared" si="213"/>
        <v/>
      </c>
      <c r="AU87" s="24" t="str">
        <f t="shared" si="214"/>
        <v/>
      </c>
      <c r="AV87" s="24" t="str">
        <f t="shared" si="215"/>
        <v/>
      </c>
      <c r="AW87" s="24" t="str">
        <f t="shared" si="216"/>
        <v/>
      </c>
      <c r="AX87" s="24" t="str">
        <f t="shared" si="217"/>
        <v/>
      </c>
      <c r="AY87" s="24"/>
      <c r="AZ87" s="24" t="str">
        <f t="shared" si="219"/>
        <v/>
      </c>
      <c r="BA87" s="24" t="str">
        <f t="shared" si="220"/>
        <v/>
      </c>
      <c r="BB87" s="24" t="str">
        <f t="shared" si="221"/>
        <v/>
      </c>
      <c r="BC87" s="24" t="str">
        <f t="shared" si="222"/>
        <v/>
      </c>
      <c r="BD87" s="24" t="str">
        <f t="shared" si="223"/>
        <v/>
      </c>
      <c r="BE87" s="24" t="str">
        <f t="shared" si="224"/>
        <v/>
      </c>
      <c r="BF87" s="24" t="str">
        <f t="shared" si="225"/>
        <v/>
      </c>
      <c r="BG87" s="24" t="str">
        <f t="shared" si="226"/>
        <v/>
      </c>
      <c r="BH87" s="24" t="str">
        <f t="shared" si="227"/>
        <v/>
      </c>
      <c r="BI87" s="24" t="str">
        <f t="shared" si="228"/>
        <v/>
      </c>
      <c r="BJ87" s="24" t="str">
        <f t="shared" si="229"/>
        <v/>
      </c>
      <c r="BK87" s="24" t="str">
        <f t="shared" si="230"/>
        <v/>
      </c>
      <c r="BL87" s="26" t="str">
        <f t="shared" si="231"/>
        <v/>
      </c>
      <c r="BM87" s="26" t="str">
        <f t="shared" si="232"/>
        <v/>
      </c>
      <c r="BN87" s="26" t="str">
        <f t="shared" si="233"/>
        <v/>
      </c>
      <c r="BO87" s="26" t="str">
        <f t="shared" si="234"/>
        <v/>
      </c>
      <c r="BP87" s="26" t="str">
        <f t="shared" si="235"/>
        <v/>
      </c>
      <c r="BQ87" s="26" t="str">
        <f t="shared" si="236"/>
        <v/>
      </c>
      <c r="BR87" s="26" t="str">
        <f t="shared" si="237"/>
        <v/>
      </c>
      <c r="BS87" s="26" t="str">
        <f t="shared" si="174"/>
        <v/>
      </c>
      <c r="BT87" s="26" t="str">
        <f t="shared" si="175"/>
        <v/>
      </c>
      <c r="BU87" s="26" t="str">
        <f t="shared" si="176"/>
        <v/>
      </c>
      <c r="BV87" s="26" t="str">
        <f t="shared" si="177"/>
        <v/>
      </c>
      <c r="BW87" s="26" t="str">
        <f t="shared" si="178"/>
        <v/>
      </c>
      <c r="BX87" s="26" t="str">
        <f t="shared" si="179"/>
        <v/>
      </c>
      <c r="BY87" s="26" t="str">
        <f t="shared" si="180"/>
        <v/>
      </c>
      <c r="BZ87" s="26" t="str">
        <f t="shared" si="181"/>
        <v/>
      </c>
      <c r="CA87" s="26" t="str">
        <f t="shared" si="182"/>
        <v/>
      </c>
      <c r="CB87" s="24" t="str">
        <f t="shared" si="183"/>
        <v/>
      </c>
      <c r="CC87" s="24" t="str">
        <f t="shared" si="184"/>
        <v/>
      </c>
      <c r="CD87" s="24" t="str">
        <f t="shared" si="185"/>
        <v/>
      </c>
      <c r="CE87" s="24" t="str">
        <f t="shared" si="186"/>
        <v/>
      </c>
      <c r="CF87" s="24" t="str">
        <f t="shared" si="187"/>
        <v/>
      </c>
      <c r="CG87" s="24" t="str">
        <f t="shared" si="188"/>
        <v/>
      </c>
      <c r="CH87" s="24" t="str">
        <f t="shared" si="189"/>
        <v/>
      </c>
      <c r="CI87" s="24" t="str">
        <f t="shared" si="238"/>
        <v/>
      </c>
      <c r="CJ87" s="24" t="str">
        <f t="shared" si="260"/>
        <v/>
      </c>
      <c r="CK87" s="26" t="str">
        <f t="shared" si="239"/>
        <v/>
      </c>
      <c r="CL87" s="26" t="str">
        <f t="shared" si="261"/>
        <v/>
      </c>
      <c r="CM87" s="24" t="str">
        <f t="shared" si="262"/>
        <v/>
      </c>
      <c r="CN87" s="26" t="str">
        <f t="shared" si="240"/>
        <v/>
      </c>
      <c r="CO87" s="24" t="str">
        <f t="shared" si="241"/>
        <v/>
      </c>
      <c r="CP87" s="26" t="str">
        <f t="shared" si="242"/>
        <v/>
      </c>
      <c r="CQ87" s="26" t="str">
        <f t="shared" si="243"/>
        <v/>
      </c>
      <c r="CR87" s="26" t="str">
        <f t="shared" si="244"/>
        <v/>
      </c>
      <c r="CS87" s="24" t="str">
        <f t="shared" si="245"/>
        <v/>
      </c>
      <c r="CT87" s="27" t="str">
        <f t="shared" si="246"/>
        <v/>
      </c>
      <c r="CU87" s="24" t="str">
        <f t="shared" si="247"/>
        <v/>
      </c>
      <c r="CV87" s="27" t="str">
        <f t="shared" si="248"/>
        <v/>
      </c>
      <c r="CW87" s="27" t="str">
        <f t="shared" si="249"/>
        <v/>
      </c>
      <c r="CX87" s="26" t="str">
        <f t="shared" si="263"/>
        <v/>
      </c>
      <c r="CY87" s="27" t="str">
        <f t="shared" si="264"/>
        <v/>
      </c>
      <c r="CZ87" s="26" t="str">
        <f t="shared" si="250"/>
        <v/>
      </c>
      <c r="DA87" s="24" t="str">
        <f t="shared" si="251"/>
        <v/>
      </c>
      <c r="DB87" s="24" t="str">
        <f t="shared" si="252"/>
        <v/>
      </c>
      <c r="DC87" s="24" t="str">
        <f t="shared" si="253"/>
        <v/>
      </c>
      <c r="DD87" s="24" t="str">
        <f t="shared" si="254"/>
        <v/>
      </c>
      <c r="DE87" s="1"/>
      <c r="DF87" s="1"/>
      <c r="DG87" s="1"/>
      <c r="DH87" s="24" t="str">
        <f t="shared" si="255"/>
        <v/>
      </c>
      <c r="DI87" s="25" t="str">
        <f t="shared" si="256"/>
        <v/>
      </c>
      <c r="DJ87" t="str">
        <f t="shared" si="257"/>
        <v/>
      </c>
      <c r="DK87" s="9"/>
      <c r="DL87" s="9"/>
      <c r="DM87" s="9"/>
      <c r="DN87" s="9"/>
      <c r="DO87" s="9"/>
      <c r="DP87" s="9"/>
      <c r="DQ87" s="136" t="b">
        <f t="shared" si="258"/>
        <v>1</v>
      </c>
    </row>
    <row r="88" spans="1:121" ht="27" customHeight="1" x14ac:dyDescent="0.95">
      <c r="A88" s="24" t="str">
        <f t="shared" si="259"/>
        <v/>
      </c>
      <c r="B88" s="9"/>
      <c r="C88" s="32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10"/>
      <c r="Q88" s="10"/>
      <c r="R88" s="10"/>
      <c r="S88" s="10"/>
      <c r="T88" s="10"/>
      <c r="U88" s="10"/>
      <c r="V88" s="10"/>
      <c r="W88" s="3" t="str">
        <f t="shared" si="190"/>
        <v/>
      </c>
      <c r="X88" s="3" t="str">
        <f t="shared" si="191"/>
        <v/>
      </c>
      <c r="Y88" s="3" t="str">
        <f t="shared" si="192"/>
        <v/>
      </c>
      <c r="Z88" s="3" t="str">
        <f t="shared" si="193"/>
        <v/>
      </c>
      <c r="AA88" s="3" t="str">
        <f t="shared" si="194"/>
        <v/>
      </c>
      <c r="AB88" s="3" t="str">
        <f t="shared" si="195"/>
        <v/>
      </c>
      <c r="AC88" s="3" t="str">
        <f t="shared" si="196"/>
        <v/>
      </c>
      <c r="AD88" s="3" t="str">
        <f t="shared" si="197"/>
        <v/>
      </c>
      <c r="AE88" s="3" t="str">
        <f t="shared" si="198"/>
        <v/>
      </c>
      <c r="AF88" s="24" t="str">
        <f t="shared" si="199"/>
        <v/>
      </c>
      <c r="AG88" s="24" t="str">
        <f t="shared" si="200"/>
        <v/>
      </c>
      <c r="AH88" s="24" t="str">
        <f t="shared" si="201"/>
        <v/>
      </c>
      <c r="AI88" s="24" t="str">
        <f t="shared" si="202"/>
        <v/>
      </c>
      <c r="AJ88" s="24" t="str">
        <f t="shared" si="203"/>
        <v/>
      </c>
      <c r="AK88" s="24" t="str">
        <f t="shared" si="204"/>
        <v/>
      </c>
      <c r="AL88" s="24" t="str">
        <f t="shared" si="205"/>
        <v/>
      </c>
      <c r="AM88" s="24" t="str">
        <f t="shared" si="206"/>
        <v/>
      </c>
      <c r="AN88" s="24" t="str">
        <f t="shared" si="207"/>
        <v/>
      </c>
      <c r="AO88" s="24" t="str">
        <f t="shared" si="208"/>
        <v/>
      </c>
      <c r="AP88" s="24" t="str">
        <f t="shared" si="209"/>
        <v/>
      </c>
      <c r="AQ88" s="24" t="str">
        <f t="shared" si="210"/>
        <v/>
      </c>
      <c r="AR88" s="24" t="str">
        <f t="shared" si="211"/>
        <v/>
      </c>
      <c r="AS88" s="24" t="str">
        <f t="shared" si="212"/>
        <v/>
      </c>
      <c r="AT88" s="24" t="str">
        <f t="shared" si="213"/>
        <v/>
      </c>
      <c r="AU88" s="24" t="str">
        <f t="shared" si="214"/>
        <v/>
      </c>
      <c r="AV88" s="24" t="str">
        <f t="shared" si="215"/>
        <v/>
      </c>
      <c r="AW88" s="24" t="str">
        <f t="shared" si="216"/>
        <v/>
      </c>
      <c r="AX88" s="24" t="str">
        <f t="shared" si="217"/>
        <v/>
      </c>
      <c r="AY88" s="24"/>
      <c r="AZ88" s="24" t="str">
        <f t="shared" si="219"/>
        <v/>
      </c>
      <c r="BA88" s="24" t="str">
        <f t="shared" si="220"/>
        <v/>
      </c>
      <c r="BB88" s="24" t="str">
        <f t="shared" si="221"/>
        <v/>
      </c>
      <c r="BC88" s="24" t="str">
        <f t="shared" si="222"/>
        <v/>
      </c>
      <c r="BD88" s="24" t="str">
        <f t="shared" si="223"/>
        <v/>
      </c>
      <c r="BE88" s="24" t="str">
        <f t="shared" si="224"/>
        <v/>
      </c>
      <c r="BF88" s="24" t="str">
        <f t="shared" si="225"/>
        <v/>
      </c>
      <c r="BG88" s="24" t="str">
        <f t="shared" si="226"/>
        <v/>
      </c>
      <c r="BH88" s="24" t="str">
        <f t="shared" si="227"/>
        <v/>
      </c>
      <c r="BI88" s="24" t="str">
        <f t="shared" si="228"/>
        <v/>
      </c>
      <c r="BJ88" s="24" t="str">
        <f t="shared" si="229"/>
        <v/>
      </c>
      <c r="BK88" s="24" t="str">
        <f t="shared" si="230"/>
        <v/>
      </c>
      <c r="BL88" s="26" t="str">
        <f t="shared" si="231"/>
        <v/>
      </c>
      <c r="BM88" s="26" t="str">
        <f t="shared" si="232"/>
        <v/>
      </c>
      <c r="BN88" s="26" t="str">
        <f t="shared" si="233"/>
        <v/>
      </c>
      <c r="BO88" s="26" t="str">
        <f t="shared" si="234"/>
        <v/>
      </c>
      <c r="BP88" s="26" t="str">
        <f t="shared" si="235"/>
        <v/>
      </c>
      <c r="BQ88" s="26" t="str">
        <f t="shared" si="236"/>
        <v/>
      </c>
      <c r="BR88" s="26" t="str">
        <f t="shared" si="237"/>
        <v/>
      </c>
      <c r="BS88" s="26" t="str">
        <f t="shared" si="174"/>
        <v/>
      </c>
      <c r="BT88" s="26" t="str">
        <f t="shared" si="175"/>
        <v/>
      </c>
      <c r="BU88" s="26" t="str">
        <f t="shared" si="176"/>
        <v/>
      </c>
      <c r="BV88" s="26" t="str">
        <f t="shared" si="177"/>
        <v/>
      </c>
      <c r="BW88" s="26" t="str">
        <f t="shared" si="178"/>
        <v/>
      </c>
      <c r="BX88" s="26" t="str">
        <f t="shared" si="179"/>
        <v/>
      </c>
      <c r="BY88" s="26" t="str">
        <f t="shared" si="180"/>
        <v/>
      </c>
      <c r="BZ88" s="26" t="str">
        <f t="shared" si="181"/>
        <v/>
      </c>
      <c r="CA88" s="26" t="str">
        <f t="shared" si="182"/>
        <v/>
      </c>
      <c r="CB88" s="24" t="str">
        <f t="shared" si="183"/>
        <v/>
      </c>
      <c r="CC88" s="24" t="str">
        <f t="shared" si="184"/>
        <v/>
      </c>
      <c r="CD88" s="24" t="str">
        <f t="shared" si="185"/>
        <v/>
      </c>
      <c r="CE88" s="24" t="str">
        <f t="shared" si="186"/>
        <v/>
      </c>
      <c r="CF88" s="24" t="str">
        <f t="shared" si="187"/>
        <v/>
      </c>
      <c r="CG88" s="24" t="str">
        <f t="shared" si="188"/>
        <v/>
      </c>
      <c r="CH88" s="24" t="str">
        <f t="shared" si="189"/>
        <v/>
      </c>
      <c r="CI88" s="24" t="str">
        <f t="shared" si="238"/>
        <v/>
      </c>
      <c r="CJ88" s="24" t="str">
        <f t="shared" si="260"/>
        <v/>
      </c>
      <c r="CK88" s="26" t="str">
        <f t="shared" si="239"/>
        <v/>
      </c>
      <c r="CL88" s="26" t="str">
        <f t="shared" si="261"/>
        <v/>
      </c>
      <c r="CM88" s="24" t="str">
        <f t="shared" si="262"/>
        <v/>
      </c>
      <c r="CN88" s="26" t="str">
        <f t="shared" si="240"/>
        <v/>
      </c>
      <c r="CO88" s="24" t="str">
        <f t="shared" si="241"/>
        <v/>
      </c>
      <c r="CP88" s="26" t="str">
        <f t="shared" si="242"/>
        <v/>
      </c>
      <c r="CQ88" s="26" t="str">
        <f t="shared" si="243"/>
        <v/>
      </c>
      <c r="CR88" s="26" t="str">
        <f t="shared" si="244"/>
        <v/>
      </c>
      <c r="CS88" s="24" t="str">
        <f t="shared" si="245"/>
        <v/>
      </c>
      <c r="CT88" s="27" t="str">
        <f t="shared" si="246"/>
        <v/>
      </c>
      <c r="CU88" s="24" t="str">
        <f t="shared" si="247"/>
        <v/>
      </c>
      <c r="CV88" s="27" t="str">
        <f t="shared" si="248"/>
        <v/>
      </c>
      <c r="CW88" s="27" t="str">
        <f t="shared" si="249"/>
        <v/>
      </c>
      <c r="CX88" s="26" t="str">
        <f t="shared" si="263"/>
        <v/>
      </c>
      <c r="CY88" s="27" t="str">
        <f t="shared" si="264"/>
        <v/>
      </c>
      <c r="CZ88" s="26" t="str">
        <f t="shared" si="250"/>
        <v/>
      </c>
      <c r="DA88" s="24" t="str">
        <f t="shared" si="251"/>
        <v/>
      </c>
      <c r="DB88" s="24" t="str">
        <f t="shared" si="252"/>
        <v/>
      </c>
      <c r="DC88" s="24" t="str">
        <f t="shared" si="253"/>
        <v/>
      </c>
      <c r="DD88" s="24" t="str">
        <f t="shared" si="254"/>
        <v/>
      </c>
      <c r="DE88" s="1"/>
      <c r="DF88" s="1"/>
      <c r="DG88" s="1"/>
      <c r="DH88" s="24" t="str">
        <f t="shared" si="255"/>
        <v/>
      </c>
      <c r="DI88" s="25" t="str">
        <f t="shared" si="256"/>
        <v/>
      </c>
      <c r="DJ88" t="str">
        <f t="shared" si="257"/>
        <v/>
      </c>
      <c r="DK88" s="9"/>
      <c r="DL88" s="9"/>
      <c r="DM88" s="9"/>
      <c r="DN88" s="9"/>
      <c r="DO88" s="9"/>
      <c r="DP88" s="9"/>
      <c r="DQ88" s="136" t="b">
        <f t="shared" si="258"/>
        <v>1</v>
      </c>
    </row>
    <row r="89" spans="1:121" ht="27" customHeight="1" x14ac:dyDescent="0.95">
      <c r="A89" s="24" t="str">
        <f t="shared" si="259"/>
        <v/>
      </c>
      <c r="B89" s="9"/>
      <c r="C89" s="32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10"/>
      <c r="Q89" s="10"/>
      <c r="R89" s="10"/>
      <c r="S89" s="10"/>
      <c r="T89" s="10"/>
      <c r="U89" s="10"/>
      <c r="V89" s="10"/>
      <c r="W89" s="3" t="str">
        <f t="shared" si="190"/>
        <v/>
      </c>
      <c r="X89" s="3" t="str">
        <f t="shared" si="191"/>
        <v/>
      </c>
      <c r="Y89" s="3" t="str">
        <f t="shared" si="192"/>
        <v/>
      </c>
      <c r="Z89" s="3" t="str">
        <f t="shared" si="193"/>
        <v/>
      </c>
      <c r="AA89" s="3" t="str">
        <f t="shared" si="194"/>
        <v/>
      </c>
      <c r="AB89" s="3" t="str">
        <f t="shared" si="195"/>
        <v/>
      </c>
      <c r="AC89" s="3" t="str">
        <f t="shared" si="196"/>
        <v/>
      </c>
      <c r="AD89" s="3" t="str">
        <f t="shared" si="197"/>
        <v/>
      </c>
      <c r="AE89" s="3" t="str">
        <f t="shared" si="198"/>
        <v/>
      </c>
      <c r="AF89" s="24" t="str">
        <f t="shared" si="199"/>
        <v/>
      </c>
      <c r="AG89" s="24" t="str">
        <f t="shared" si="200"/>
        <v/>
      </c>
      <c r="AH89" s="24" t="str">
        <f t="shared" si="201"/>
        <v/>
      </c>
      <c r="AI89" s="24" t="str">
        <f t="shared" si="202"/>
        <v/>
      </c>
      <c r="AJ89" s="24" t="str">
        <f t="shared" si="203"/>
        <v/>
      </c>
      <c r="AK89" s="24" t="str">
        <f t="shared" si="204"/>
        <v/>
      </c>
      <c r="AL89" s="24" t="str">
        <f t="shared" si="205"/>
        <v/>
      </c>
      <c r="AM89" s="24" t="str">
        <f t="shared" si="206"/>
        <v/>
      </c>
      <c r="AN89" s="24" t="str">
        <f t="shared" si="207"/>
        <v/>
      </c>
      <c r="AO89" s="24" t="str">
        <f t="shared" si="208"/>
        <v/>
      </c>
      <c r="AP89" s="24" t="str">
        <f t="shared" si="209"/>
        <v/>
      </c>
      <c r="AQ89" s="24" t="str">
        <f t="shared" si="210"/>
        <v/>
      </c>
      <c r="AR89" s="24" t="str">
        <f t="shared" si="211"/>
        <v/>
      </c>
      <c r="AS89" s="24" t="str">
        <f t="shared" si="212"/>
        <v/>
      </c>
      <c r="AT89" s="24" t="str">
        <f t="shared" si="213"/>
        <v/>
      </c>
      <c r="AU89" s="24" t="str">
        <f t="shared" si="214"/>
        <v/>
      </c>
      <c r="AV89" s="24" t="str">
        <f t="shared" si="215"/>
        <v/>
      </c>
      <c r="AW89" s="24" t="str">
        <f t="shared" si="216"/>
        <v/>
      </c>
      <c r="AX89" s="24" t="str">
        <f t="shared" si="217"/>
        <v/>
      </c>
      <c r="AY89" s="24"/>
      <c r="AZ89" s="24" t="str">
        <f t="shared" si="219"/>
        <v/>
      </c>
      <c r="BA89" s="24" t="str">
        <f t="shared" si="220"/>
        <v/>
      </c>
      <c r="BB89" s="24" t="str">
        <f t="shared" si="221"/>
        <v/>
      </c>
      <c r="BC89" s="24" t="str">
        <f t="shared" si="222"/>
        <v/>
      </c>
      <c r="BD89" s="24" t="str">
        <f t="shared" si="223"/>
        <v/>
      </c>
      <c r="BE89" s="24" t="str">
        <f t="shared" si="224"/>
        <v/>
      </c>
      <c r="BF89" s="24" t="str">
        <f t="shared" si="225"/>
        <v/>
      </c>
      <c r="BG89" s="24" t="str">
        <f t="shared" si="226"/>
        <v/>
      </c>
      <c r="BH89" s="24" t="str">
        <f t="shared" si="227"/>
        <v/>
      </c>
      <c r="BI89" s="24" t="str">
        <f t="shared" si="228"/>
        <v/>
      </c>
      <c r="BJ89" s="24" t="str">
        <f t="shared" si="229"/>
        <v/>
      </c>
      <c r="BK89" s="24" t="str">
        <f t="shared" si="230"/>
        <v/>
      </c>
      <c r="BL89" s="26" t="str">
        <f t="shared" si="231"/>
        <v/>
      </c>
      <c r="BM89" s="26" t="str">
        <f t="shared" si="232"/>
        <v/>
      </c>
      <c r="BN89" s="26" t="str">
        <f t="shared" si="233"/>
        <v/>
      </c>
      <c r="BO89" s="26" t="str">
        <f t="shared" si="234"/>
        <v/>
      </c>
      <c r="BP89" s="26" t="str">
        <f t="shared" si="235"/>
        <v/>
      </c>
      <c r="BQ89" s="26" t="str">
        <f t="shared" si="236"/>
        <v/>
      </c>
      <c r="BR89" s="26" t="str">
        <f t="shared" si="237"/>
        <v/>
      </c>
      <c r="BS89" s="26" t="str">
        <f t="shared" si="174"/>
        <v/>
      </c>
      <c r="BT89" s="26" t="str">
        <f t="shared" si="175"/>
        <v/>
      </c>
      <c r="BU89" s="26" t="str">
        <f t="shared" si="176"/>
        <v/>
      </c>
      <c r="BV89" s="26" t="str">
        <f t="shared" si="177"/>
        <v/>
      </c>
      <c r="BW89" s="26" t="str">
        <f t="shared" si="178"/>
        <v/>
      </c>
      <c r="BX89" s="26" t="str">
        <f t="shared" si="179"/>
        <v/>
      </c>
      <c r="BY89" s="26" t="str">
        <f t="shared" si="180"/>
        <v/>
      </c>
      <c r="BZ89" s="26" t="str">
        <f t="shared" si="181"/>
        <v/>
      </c>
      <c r="CA89" s="26" t="str">
        <f t="shared" si="182"/>
        <v/>
      </c>
      <c r="CB89" s="24" t="str">
        <f t="shared" si="183"/>
        <v/>
      </c>
      <c r="CC89" s="24" t="str">
        <f t="shared" si="184"/>
        <v/>
      </c>
      <c r="CD89" s="24" t="str">
        <f t="shared" si="185"/>
        <v/>
      </c>
      <c r="CE89" s="24" t="str">
        <f t="shared" si="186"/>
        <v/>
      </c>
      <c r="CF89" s="24" t="str">
        <f t="shared" si="187"/>
        <v/>
      </c>
      <c r="CG89" s="24" t="str">
        <f t="shared" si="188"/>
        <v/>
      </c>
      <c r="CH89" s="24" t="str">
        <f t="shared" si="189"/>
        <v/>
      </c>
      <c r="CI89" s="24" t="str">
        <f t="shared" si="238"/>
        <v/>
      </c>
      <c r="CJ89" s="24" t="str">
        <f t="shared" si="260"/>
        <v/>
      </c>
      <c r="CK89" s="26" t="str">
        <f t="shared" si="239"/>
        <v/>
      </c>
      <c r="CL89" s="26" t="str">
        <f t="shared" si="261"/>
        <v/>
      </c>
      <c r="CM89" s="24" t="str">
        <f t="shared" si="262"/>
        <v/>
      </c>
      <c r="CN89" s="26" t="str">
        <f t="shared" si="240"/>
        <v/>
      </c>
      <c r="CO89" s="24" t="str">
        <f t="shared" si="241"/>
        <v/>
      </c>
      <c r="CP89" s="26" t="str">
        <f t="shared" si="242"/>
        <v/>
      </c>
      <c r="CQ89" s="26" t="str">
        <f t="shared" si="243"/>
        <v/>
      </c>
      <c r="CR89" s="26" t="str">
        <f t="shared" si="244"/>
        <v/>
      </c>
      <c r="CS89" s="24" t="str">
        <f t="shared" si="245"/>
        <v/>
      </c>
      <c r="CT89" s="27" t="str">
        <f t="shared" si="246"/>
        <v/>
      </c>
      <c r="CU89" s="24" t="str">
        <f t="shared" si="247"/>
        <v/>
      </c>
      <c r="CV89" s="27" t="str">
        <f t="shared" si="248"/>
        <v/>
      </c>
      <c r="CW89" s="27" t="str">
        <f t="shared" si="249"/>
        <v/>
      </c>
      <c r="CX89" s="26" t="str">
        <f t="shared" si="263"/>
        <v/>
      </c>
      <c r="CY89" s="27" t="str">
        <f t="shared" si="264"/>
        <v/>
      </c>
      <c r="CZ89" s="26" t="str">
        <f t="shared" si="250"/>
        <v/>
      </c>
      <c r="DA89" s="24" t="str">
        <f t="shared" si="251"/>
        <v/>
      </c>
      <c r="DB89" s="24" t="str">
        <f t="shared" si="252"/>
        <v/>
      </c>
      <c r="DC89" s="24" t="str">
        <f t="shared" si="253"/>
        <v/>
      </c>
      <c r="DD89" s="24" t="str">
        <f t="shared" si="254"/>
        <v/>
      </c>
      <c r="DE89" s="1"/>
      <c r="DF89" s="1"/>
      <c r="DG89" s="1"/>
      <c r="DH89" s="24" t="str">
        <f t="shared" si="255"/>
        <v/>
      </c>
      <c r="DI89" s="25" t="str">
        <f t="shared" si="256"/>
        <v/>
      </c>
      <c r="DJ89" t="str">
        <f t="shared" si="257"/>
        <v/>
      </c>
      <c r="DK89" s="9"/>
      <c r="DL89" s="9"/>
      <c r="DM89" s="9"/>
      <c r="DN89" s="9"/>
      <c r="DO89" s="9"/>
      <c r="DP89" s="9"/>
      <c r="DQ89" s="136" t="b">
        <f t="shared" si="258"/>
        <v>1</v>
      </c>
    </row>
    <row r="90" spans="1:121" ht="27" customHeight="1" x14ac:dyDescent="0.95">
      <c r="A90" s="24" t="str">
        <f t="shared" si="259"/>
        <v/>
      </c>
      <c r="B90" s="9"/>
      <c r="C90" s="32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10"/>
      <c r="Q90" s="10"/>
      <c r="R90" s="10"/>
      <c r="S90" s="10"/>
      <c r="T90" s="10"/>
      <c r="U90" s="10"/>
      <c r="V90" s="10"/>
      <c r="W90" s="3" t="str">
        <f t="shared" si="190"/>
        <v/>
      </c>
      <c r="X90" s="3" t="str">
        <f t="shared" si="191"/>
        <v/>
      </c>
      <c r="Y90" s="3" t="str">
        <f t="shared" si="192"/>
        <v/>
      </c>
      <c r="Z90" s="3" t="str">
        <f t="shared" si="193"/>
        <v/>
      </c>
      <c r="AA90" s="3" t="str">
        <f t="shared" si="194"/>
        <v/>
      </c>
      <c r="AB90" s="3" t="str">
        <f t="shared" si="195"/>
        <v/>
      </c>
      <c r="AC90" s="3" t="str">
        <f t="shared" si="196"/>
        <v/>
      </c>
      <c r="AD90" s="3" t="str">
        <f t="shared" si="197"/>
        <v/>
      </c>
      <c r="AE90" s="3" t="str">
        <f t="shared" si="198"/>
        <v/>
      </c>
      <c r="AF90" s="24" t="str">
        <f t="shared" si="199"/>
        <v/>
      </c>
      <c r="AG90" s="24" t="str">
        <f t="shared" si="200"/>
        <v/>
      </c>
      <c r="AH90" s="24" t="str">
        <f t="shared" si="201"/>
        <v/>
      </c>
      <c r="AI90" s="24" t="str">
        <f t="shared" si="202"/>
        <v/>
      </c>
      <c r="AJ90" s="24" t="str">
        <f t="shared" si="203"/>
        <v/>
      </c>
      <c r="AK90" s="24" t="str">
        <f t="shared" si="204"/>
        <v/>
      </c>
      <c r="AL90" s="24" t="str">
        <f t="shared" si="205"/>
        <v/>
      </c>
      <c r="AM90" s="24" t="str">
        <f t="shared" si="206"/>
        <v/>
      </c>
      <c r="AN90" s="24" t="str">
        <f t="shared" si="207"/>
        <v/>
      </c>
      <c r="AO90" s="24" t="str">
        <f t="shared" si="208"/>
        <v/>
      </c>
      <c r="AP90" s="24" t="str">
        <f t="shared" si="209"/>
        <v/>
      </c>
      <c r="AQ90" s="24" t="str">
        <f t="shared" si="210"/>
        <v/>
      </c>
      <c r="AR90" s="24" t="str">
        <f t="shared" si="211"/>
        <v/>
      </c>
      <c r="AS90" s="24" t="str">
        <f t="shared" si="212"/>
        <v/>
      </c>
      <c r="AT90" s="24" t="str">
        <f t="shared" si="213"/>
        <v/>
      </c>
      <c r="AU90" s="24" t="str">
        <f t="shared" si="214"/>
        <v/>
      </c>
      <c r="AV90" s="24" t="str">
        <f t="shared" si="215"/>
        <v/>
      </c>
      <c r="AW90" s="24" t="str">
        <f t="shared" si="216"/>
        <v/>
      </c>
      <c r="AX90" s="24" t="str">
        <f t="shared" si="217"/>
        <v/>
      </c>
      <c r="AY90" s="24"/>
      <c r="AZ90" s="24" t="str">
        <f t="shared" si="219"/>
        <v/>
      </c>
      <c r="BA90" s="24" t="str">
        <f t="shared" si="220"/>
        <v/>
      </c>
      <c r="BB90" s="24" t="str">
        <f t="shared" si="221"/>
        <v/>
      </c>
      <c r="BC90" s="24" t="str">
        <f t="shared" si="222"/>
        <v/>
      </c>
      <c r="BD90" s="24" t="str">
        <f t="shared" si="223"/>
        <v/>
      </c>
      <c r="BE90" s="24" t="str">
        <f t="shared" si="224"/>
        <v/>
      </c>
      <c r="BF90" s="24" t="str">
        <f t="shared" si="225"/>
        <v/>
      </c>
      <c r="BG90" s="24" t="str">
        <f t="shared" si="226"/>
        <v/>
      </c>
      <c r="BH90" s="24" t="str">
        <f t="shared" si="227"/>
        <v/>
      </c>
      <c r="BI90" s="24" t="str">
        <f t="shared" si="228"/>
        <v/>
      </c>
      <c r="BJ90" s="24" t="str">
        <f t="shared" si="229"/>
        <v/>
      </c>
      <c r="BK90" s="24" t="str">
        <f t="shared" si="230"/>
        <v/>
      </c>
      <c r="BL90" s="26" t="str">
        <f t="shared" si="231"/>
        <v/>
      </c>
      <c r="BM90" s="26" t="str">
        <f t="shared" si="232"/>
        <v/>
      </c>
      <c r="BN90" s="26" t="str">
        <f t="shared" si="233"/>
        <v/>
      </c>
      <c r="BO90" s="26" t="str">
        <f t="shared" si="234"/>
        <v/>
      </c>
      <c r="BP90" s="26" t="str">
        <f t="shared" si="235"/>
        <v/>
      </c>
      <c r="BQ90" s="26" t="str">
        <f t="shared" si="236"/>
        <v/>
      </c>
      <c r="BR90" s="26" t="str">
        <f t="shared" si="237"/>
        <v/>
      </c>
      <c r="BS90" s="26" t="str">
        <f t="shared" si="174"/>
        <v/>
      </c>
      <c r="BT90" s="26" t="str">
        <f t="shared" si="175"/>
        <v/>
      </c>
      <c r="BU90" s="26" t="str">
        <f t="shared" si="176"/>
        <v/>
      </c>
      <c r="BV90" s="26" t="str">
        <f t="shared" si="177"/>
        <v/>
      </c>
      <c r="BW90" s="26" t="str">
        <f t="shared" si="178"/>
        <v/>
      </c>
      <c r="BX90" s="26" t="str">
        <f t="shared" si="179"/>
        <v/>
      </c>
      <c r="BY90" s="26" t="str">
        <f t="shared" si="180"/>
        <v/>
      </c>
      <c r="BZ90" s="26" t="str">
        <f t="shared" si="181"/>
        <v/>
      </c>
      <c r="CA90" s="26" t="str">
        <f t="shared" si="182"/>
        <v/>
      </c>
      <c r="CB90" s="24" t="str">
        <f t="shared" si="183"/>
        <v/>
      </c>
      <c r="CC90" s="24" t="str">
        <f t="shared" si="184"/>
        <v/>
      </c>
      <c r="CD90" s="24" t="str">
        <f t="shared" si="185"/>
        <v/>
      </c>
      <c r="CE90" s="24" t="str">
        <f t="shared" si="186"/>
        <v/>
      </c>
      <c r="CF90" s="24" t="str">
        <f t="shared" si="187"/>
        <v/>
      </c>
      <c r="CG90" s="24" t="str">
        <f t="shared" si="188"/>
        <v/>
      </c>
      <c r="CH90" s="24" t="str">
        <f t="shared" si="189"/>
        <v/>
      </c>
      <c r="CI90" s="24" t="str">
        <f t="shared" si="238"/>
        <v/>
      </c>
      <c r="CJ90" s="24" t="str">
        <f t="shared" si="260"/>
        <v/>
      </c>
      <c r="CK90" s="26" t="str">
        <f t="shared" si="239"/>
        <v/>
      </c>
      <c r="CL90" s="26" t="str">
        <f t="shared" si="261"/>
        <v/>
      </c>
      <c r="CM90" s="24" t="str">
        <f t="shared" si="262"/>
        <v/>
      </c>
      <c r="CN90" s="26" t="str">
        <f t="shared" si="240"/>
        <v/>
      </c>
      <c r="CO90" s="24" t="str">
        <f t="shared" si="241"/>
        <v/>
      </c>
      <c r="CP90" s="26" t="str">
        <f t="shared" si="242"/>
        <v/>
      </c>
      <c r="CQ90" s="26" t="str">
        <f t="shared" si="243"/>
        <v/>
      </c>
      <c r="CR90" s="26" t="str">
        <f t="shared" si="244"/>
        <v/>
      </c>
      <c r="CS90" s="24" t="str">
        <f t="shared" si="245"/>
        <v/>
      </c>
      <c r="CT90" s="27" t="str">
        <f t="shared" si="246"/>
        <v/>
      </c>
      <c r="CU90" s="24" t="str">
        <f t="shared" si="247"/>
        <v/>
      </c>
      <c r="CV90" s="27" t="str">
        <f t="shared" si="248"/>
        <v/>
      </c>
      <c r="CW90" s="27" t="str">
        <f t="shared" si="249"/>
        <v/>
      </c>
      <c r="CX90" s="26" t="str">
        <f t="shared" si="263"/>
        <v/>
      </c>
      <c r="CY90" s="27" t="str">
        <f t="shared" si="264"/>
        <v/>
      </c>
      <c r="CZ90" s="26" t="str">
        <f t="shared" si="250"/>
        <v/>
      </c>
      <c r="DA90" s="24" t="str">
        <f t="shared" si="251"/>
        <v/>
      </c>
      <c r="DB90" s="24" t="str">
        <f t="shared" si="252"/>
        <v/>
      </c>
      <c r="DC90" s="24" t="str">
        <f t="shared" si="253"/>
        <v/>
      </c>
      <c r="DD90" s="24" t="str">
        <f t="shared" si="254"/>
        <v/>
      </c>
      <c r="DE90" s="1"/>
      <c r="DF90" s="1"/>
      <c r="DG90" s="1"/>
      <c r="DH90" s="24" t="str">
        <f t="shared" si="255"/>
        <v/>
      </c>
      <c r="DI90" s="25" t="str">
        <f t="shared" si="256"/>
        <v/>
      </c>
      <c r="DJ90" t="str">
        <f t="shared" si="257"/>
        <v/>
      </c>
      <c r="DK90" s="9"/>
      <c r="DL90" s="9"/>
      <c r="DM90" s="9"/>
      <c r="DN90" s="9"/>
      <c r="DO90" s="9"/>
      <c r="DP90" s="9"/>
      <c r="DQ90" s="136" t="b">
        <f t="shared" si="258"/>
        <v>1</v>
      </c>
    </row>
    <row r="91" spans="1:121" ht="27" customHeight="1" x14ac:dyDescent="0.95">
      <c r="A91" s="24" t="str">
        <f t="shared" si="259"/>
        <v/>
      </c>
      <c r="B91" s="9"/>
      <c r="C91" s="32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10"/>
      <c r="Q91" s="10"/>
      <c r="R91" s="10"/>
      <c r="S91" s="10"/>
      <c r="T91" s="10"/>
      <c r="U91" s="10"/>
      <c r="V91" s="10"/>
      <c r="W91" s="3" t="str">
        <f t="shared" si="190"/>
        <v/>
      </c>
      <c r="X91" s="3" t="str">
        <f t="shared" si="191"/>
        <v/>
      </c>
      <c r="Y91" s="3" t="str">
        <f t="shared" si="192"/>
        <v/>
      </c>
      <c r="Z91" s="3" t="str">
        <f t="shared" si="193"/>
        <v/>
      </c>
      <c r="AA91" s="3" t="str">
        <f t="shared" si="194"/>
        <v/>
      </c>
      <c r="AB91" s="3" t="str">
        <f t="shared" si="195"/>
        <v/>
      </c>
      <c r="AC91" s="3" t="str">
        <f t="shared" si="196"/>
        <v/>
      </c>
      <c r="AD91" s="3" t="str">
        <f t="shared" si="197"/>
        <v/>
      </c>
      <c r="AE91" s="3" t="str">
        <f t="shared" si="198"/>
        <v/>
      </c>
      <c r="AF91" s="24" t="str">
        <f t="shared" si="199"/>
        <v/>
      </c>
      <c r="AG91" s="24" t="str">
        <f t="shared" si="200"/>
        <v/>
      </c>
      <c r="AH91" s="24" t="str">
        <f t="shared" si="201"/>
        <v/>
      </c>
      <c r="AI91" s="24" t="str">
        <f t="shared" si="202"/>
        <v/>
      </c>
      <c r="AJ91" s="24" t="str">
        <f t="shared" si="203"/>
        <v/>
      </c>
      <c r="AK91" s="24" t="str">
        <f t="shared" si="204"/>
        <v/>
      </c>
      <c r="AL91" s="24" t="str">
        <f t="shared" si="205"/>
        <v/>
      </c>
      <c r="AM91" s="24" t="str">
        <f t="shared" si="206"/>
        <v/>
      </c>
      <c r="AN91" s="24" t="str">
        <f t="shared" si="207"/>
        <v/>
      </c>
      <c r="AO91" s="24" t="str">
        <f t="shared" si="208"/>
        <v/>
      </c>
      <c r="AP91" s="24" t="str">
        <f t="shared" si="209"/>
        <v/>
      </c>
      <c r="AQ91" s="24" t="str">
        <f t="shared" si="210"/>
        <v/>
      </c>
      <c r="AR91" s="24" t="str">
        <f t="shared" si="211"/>
        <v/>
      </c>
      <c r="AS91" s="24" t="str">
        <f t="shared" si="212"/>
        <v/>
      </c>
      <c r="AT91" s="24" t="str">
        <f t="shared" si="213"/>
        <v/>
      </c>
      <c r="AU91" s="24" t="str">
        <f t="shared" si="214"/>
        <v/>
      </c>
      <c r="AV91" s="24" t="str">
        <f t="shared" si="215"/>
        <v/>
      </c>
      <c r="AW91" s="24" t="str">
        <f t="shared" si="216"/>
        <v/>
      </c>
      <c r="AX91" s="24" t="str">
        <f t="shared" si="217"/>
        <v/>
      </c>
      <c r="AY91" s="24"/>
      <c r="AZ91" s="24" t="str">
        <f t="shared" si="219"/>
        <v/>
      </c>
      <c r="BA91" s="24" t="str">
        <f t="shared" si="220"/>
        <v/>
      </c>
      <c r="BB91" s="24" t="str">
        <f t="shared" si="221"/>
        <v/>
      </c>
      <c r="BC91" s="24" t="str">
        <f t="shared" si="222"/>
        <v/>
      </c>
      <c r="BD91" s="24" t="str">
        <f t="shared" si="223"/>
        <v/>
      </c>
      <c r="BE91" s="24" t="str">
        <f t="shared" si="224"/>
        <v/>
      </c>
      <c r="BF91" s="24" t="str">
        <f t="shared" si="225"/>
        <v/>
      </c>
      <c r="BG91" s="24" t="str">
        <f t="shared" si="226"/>
        <v/>
      </c>
      <c r="BH91" s="24" t="str">
        <f t="shared" si="227"/>
        <v/>
      </c>
      <c r="BI91" s="24" t="str">
        <f t="shared" si="228"/>
        <v/>
      </c>
      <c r="BJ91" s="24" t="str">
        <f t="shared" si="229"/>
        <v/>
      </c>
      <c r="BK91" s="24" t="str">
        <f t="shared" si="230"/>
        <v/>
      </c>
      <c r="BL91" s="26" t="str">
        <f t="shared" si="231"/>
        <v/>
      </c>
      <c r="BM91" s="26" t="str">
        <f t="shared" si="232"/>
        <v/>
      </c>
      <c r="BN91" s="26" t="str">
        <f t="shared" si="233"/>
        <v/>
      </c>
      <c r="BO91" s="26" t="str">
        <f t="shared" si="234"/>
        <v/>
      </c>
      <c r="BP91" s="26" t="str">
        <f t="shared" si="235"/>
        <v/>
      </c>
      <c r="BQ91" s="26" t="str">
        <f t="shared" si="236"/>
        <v/>
      </c>
      <c r="BR91" s="26" t="str">
        <f t="shared" si="237"/>
        <v/>
      </c>
      <c r="BS91" s="26" t="str">
        <f t="shared" si="174"/>
        <v/>
      </c>
      <c r="BT91" s="26" t="str">
        <f t="shared" si="175"/>
        <v/>
      </c>
      <c r="BU91" s="26" t="str">
        <f t="shared" si="176"/>
        <v/>
      </c>
      <c r="BV91" s="26" t="str">
        <f t="shared" si="177"/>
        <v/>
      </c>
      <c r="BW91" s="26" t="str">
        <f t="shared" si="178"/>
        <v/>
      </c>
      <c r="BX91" s="26" t="str">
        <f t="shared" si="179"/>
        <v/>
      </c>
      <c r="BY91" s="26" t="str">
        <f t="shared" si="180"/>
        <v/>
      </c>
      <c r="BZ91" s="26" t="str">
        <f t="shared" si="181"/>
        <v/>
      </c>
      <c r="CA91" s="26" t="str">
        <f t="shared" si="182"/>
        <v/>
      </c>
      <c r="CB91" s="24" t="str">
        <f t="shared" si="183"/>
        <v/>
      </c>
      <c r="CC91" s="24" t="str">
        <f t="shared" si="184"/>
        <v/>
      </c>
      <c r="CD91" s="24" t="str">
        <f t="shared" si="185"/>
        <v/>
      </c>
      <c r="CE91" s="24" t="str">
        <f t="shared" si="186"/>
        <v/>
      </c>
      <c r="CF91" s="24" t="str">
        <f t="shared" si="187"/>
        <v/>
      </c>
      <c r="CG91" s="24" t="str">
        <f t="shared" si="188"/>
        <v/>
      </c>
      <c r="CH91" s="24" t="str">
        <f t="shared" si="189"/>
        <v/>
      </c>
      <c r="CI91" s="24" t="str">
        <f t="shared" si="238"/>
        <v/>
      </c>
      <c r="CJ91" s="24" t="str">
        <f t="shared" si="260"/>
        <v/>
      </c>
      <c r="CK91" s="26" t="str">
        <f t="shared" si="239"/>
        <v/>
      </c>
      <c r="CL91" s="26" t="str">
        <f t="shared" si="261"/>
        <v/>
      </c>
      <c r="CM91" s="24" t="str">
        <f t="shared" si="262"/>
        <v/>
      </c>
      <c r="CN91" s="26" t="str">
        <f t="shared" si="240"/>
        <v/>
      </c>
      <c r="CO91" s="24" t="str">
        <f t="shared" si="241"/>
        <v/>
      </c>
      <c r="CP91" s="26" t="str">
        <f t="shared" si="242"/>
        <v/>
      </c>
      <c r="CQ91" s="26" t="str">
        <f t="shared" si="243"/>
        <v/>
      </c>
      <c r="CR91" s="26" t="str">
        <f t="shared" si="244"/>
        <v/>
      </c>
      <c r="CS91" s="24" t="str">
        <f t="shared" si="245"/>
        <v/>
      </c>
      <c r="CT91" s="27" t="str">
        <f t="shared" si="246"/>
        <v/>
      </c>
      <c r="CU91" s="24" t="str">
        <f t="shared" si="247"/>
        <v/>
      </c>
      <c r="CV91" s="27" t="str">
        <f t="shared" si="248"/>
        <v/>
      </c>
      <c r="CW91" s="27" t="str">
        <f t="shared" si="249"/>
        <v/>
      </c>
      <c r="CX91" s="26" t="str">
        <f t="shared" si="263"/>
        <v/>
      </c>
      <c r="CY91" s="27" t="str">
        <f t="shared" si="264"/>
        <v/>
      </c>
      <c r="CZ91" s="26" t="str">
        <f t="shared" si="250"/>
        <v/>
      </c>
      <c r="DA91" s="24" t="str">
        <f t="shared" si="251"/>
        <v/>
      </c>
      <c r="DB91" s="24" t="str">
        <f t="shared" si="252"/>
        <v/>
      </c>
      <c r="DC91" s="24" t="str">
        <f t="shared" si="253"/>
        <v/>
      </c>
      <c r="DD91" s="24" t="str">
        <f t="shared" si="254"/>
        <v/>
      </c>
      <c r="DE91" s="1"/>
      <c r="DF91" s="1"/>
      <c r="DG91" s="1"/>
      <c r="DH91" s="24" t="str">
        <f t="shared" si="255"/>
        <v/>
      </c>
      <c r="DI91" s="25" t="str">
        <f t="shared" si="256"/>
        <v/>
      </c>
      <c r="DJ91" t="str">
        <f t="shared" si="257"/>
        <v/>
      </c>
      <c r="DK91" s="9"/>
      <c r="DL91" s="9"/>
      <c r="DM91" s="9"/>
      <c r="DN91" s="9"/>
      <c r="DO91" s="9"/>
      <c r="DP91" s="9"/>
      <c r="DQ91" s="136" t="b">
        <f t="shared" si="258"/>
        <v>1</v>
      </c>
    </row>
    <row r="92" spans="1:121" ht="27" customHeight="1" x14ac:dyDescent="0.95">
      <c r="A92" s="24" t="str">
        <f t="shared" si="259"/>
        <v/>
      </c>
      <c r="B92" s="9"/>
      <c r="C92" s="32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10"/>
      <c r="Q92" s="10"/>
      <c r="R92" s="10"/>
      <c r="S92" s="10"/>
      <c r="T92" s="10"/>
      <c r="U92" s="10"/>
      <c r="V92" s="10"/>
      <c r="W92" s="3" t="str">
        <f t="shared" si="190"/>
        <v/>
      </c>
      <c r="X92" s="3" t="str">
        <f t="shared" si="191"/>
        <v/>
      </c>
      <c r="Y92" s="3" t="str">
        <f t="shared" si="192"/>
        <v/>
      </c>
      <c r="Z92" s="3" t="str">
        <f t="shared" si="193"/>
        <v/>
      </c>
      <c r="AA92" s="3" t="str">
        <f t="shared" si="194"/>
        <v/>
      </c>
      <c r="AB92" s="3" t="str">
        <f t="shared" si="195"/>
        <v/>
      </c>
      <c r="AC92" s="3" t="str">
        <f t="shared" si="196"/>
        <v/>
      </c>
      <c r="AD92" s="3" t="str">
        <f t="shared" si="197"/>
        <v/>
      </c>
      <c r="AE92" s="3" t="str">
        <f t="shared" si="198"/>
        <v/>
      </c>
      <c r="AF92" s="24" t="str">
        <f t="shared" si="199"/>
        <v/>
      </c>
      <c r="AG92" s="24" t="str">
        <f t="shared" si="200"/>
        <v/>
      </c>
      <c r="AH92" s="24" t="str">
        <f t="shared" si="201"/>
        <v/>
      </c>
      <c r="AI92" s="24" t="str">
        <f t="shared" si="202"/>
        <v/>
      </c>
      <c r="AJ92" s="24" t="str">
        <f t="shared" si="203"/>
        <v/>
      </c>
      <c r="AK92" s="24" t="str">
        <f t="shared" si="204"/>
        <v/>
      </c>
      <c r="AL92" s="24" t="str">
        <f t="shared" si="205"/>
        <v/>
      </c>
      <c r="AM92" s="24" t="str">
        <f t="shared" si="206"/>
        <v/>
      </c>
      <c r="AN92" s="24" t="str">
        <f t="shared" si="207"/>
        <v/>
      </c>
      <c r="AO92" s="24" t="str">
        <f t="shared" si="208"/>
        <v/>
      </c>
      <c r="AP92" s="24" t="str">
        <f t="shared" si="209"/>
        <v/>
      </c>
      <c r="AQ92" s="24" t="str">
        <f t="shared" si="210"/>
        <v/>
      </c>
      <c r="AR92" s="24" t="str">
        <f t="shared" si="211"/>
        <v/>
      </c>
      <c r="AS92" s="24" t="str">
        <f t="shared" si="212"/>
        <v/>
      </c>
      <c r="AT92" s="24" t="str">
        <f t="shared" si="213"/>
        <v/>
      </c>
      <c r="AU92" s="24" t="str">
        <f t="shared" si="214"/>
        <v/>
      </c>
      <c r="AV92" s="24" t="str">
        <f t="shared" si="215"/>
        <v/>
      </c>
      <c r="AW92" s="24" t="str">
        <f t="shared" si="216"/>
        <v/>
      </c>
      <c r="AX92" s="24" t="str">
        <f t="shared" si="217"/>
        <v/>
      </c>
      <c r="AY92" s="24"/>
      <c r="AZ92" s="24" t="str">
        <f t="shared" si="219"/>
        <v/>
      </c>
      <c r="BA92" s="24" t="str">
        <f t="shared" si="220"/>
        <v/>
      </c>
      <c r="BB92" s="24" t="str">
        <f t="shared" si="221"/>
        <v/>
      </c>
      <c r="BC92" s="24" t="str">
        <f t="shared" si="222"/>
        <v/>
      </c>
      <c r="BD92" s="24" t="str">
        <f t="shared" si="223"/>
        <v/>
      </c>
      <c r="BE92" s="24" t="str">
        <f t="shared" si="224"/>
        <v/>
      </c>
      <c r="BF92" s="24" t="str">
        <f t="shared" si="225"/>
        <v/>
      </c>
      <c r="BG92" s="24" t="str">
        <f t="shared" si="226"/>
        <v/>
      </c>
      <c r="BH92" s="24" t="str">
        <f t="shared" si="227"/>
        <v/>
      </c>
      <c r="BI92" s="24" t="str">
        <f t="shared" si="228"/>
        <v/>
      </c>
      <c r="BJ92" s="24" t="str">
        <f t="shared" si="229"/>
        <v/>
      </c>
      <c r="BK92" s="24" t="str">
        <f t="shared" si="230"/>
        <v/>
      </c>
      <c r="BL92" s="26" t="str">
        <f t="shared" si="231"/>
        <v/>
      </c>
      <c r="BM92" s="26" t="str">
        <f t="shared" si="232"/>
        <v/>
      </c>
      <c r="BN92" s="26" t="str">
        <f t="shared" si="233"/>
        <v/>
      </c>
      <c r="BO92" s="26" t="str">
        <f t="shared" si="234"/>
        <v/>
      </c>
      <c r="BP92" s="26" t="str">
        <f t="shared" si="235"/>
        <v/>
      </c>
      <c r="BQ92" s="26" t="str">
        <f t="shared" si="236"/>
        <v/>
      </c>
      <c r="BR92" s="26" t="str">
        <f t="shared" si="237"/>
        <v/>
      </c>
      <c r="BS92" s="26" t="str">
        <f t="shared" si="174"/>
        <v/>
      </c>
      <c r="BT92" s="26" t="str">
        <f t="shared" si="175"/>
        <v/>
      </c>
      <c r="BU92" s="26" t="str">
        <f t="shared" si="176"/>
        <v/>
      </c>
      <c r="BV92" s="26" t="str">
        <f t="shared" si="177"/>
        <v/>
      </c>
      <c r="BW92" s="26" t="str">
        <f t="shared" si="178"/>
        <v/>
      </c>
      <c r="BX92" s="26" t="str">
        <f t="shared" si="179"/>
        <v/>
      </c>
      <c r="BY92" s="26" t="str">
        <f t="shared" si="180"/>
        <v/>
      </c>
      <c r="BZ92" s="26" t="str">
        <f t="shared" si="181"/>
        <v/>
      </c>
      <c r="CA92" s="26" t="str">
        <f t="shared" si="182"/>
        <v/>
      </c>
      <c r="CB92" s="24" t="str">
        <f t="shared" si="183"/>
        <v/>
      </c>
      <c r="CC92" s="24" t="str">
        <f t="shared" si="184"/>
        <v/>
      </c>
      <c r="CD92" s="24" t="str">
        <f t="shared" si="185"/>
        <v/>
      </c>
      <c r="CE92" s="24"/>
      <c r="CF92" s="24" t="str">
        <f t="shared" si="187"/>
        <v/>
      </c>
      <c r="CG92" s="24" t="str">
        <f t="shared" si="188"/>
        <v/>
      </c>
      <c r="CH92" s="24" t="str">
        <f t="shared" si="189"/>
        <v/>
      </c>
      <c r="CI92" s="24" t="str">
        <f t="shared" si="238"/>
        <v/>
      </c>
      <c r="CJ92" s="24" t="str">
        <f t="shared" si="260"/>
        <v/>
      </c>
      <c r="CK92" s="26" t="str">
        <f t="shared" si="239"/>
        <v/>
      </c>
      <c r="CL92" s="26" t="str">
        <f t="shared" si="261"/>
        <v/>
      </c>
      <c r="CM92" s="24" t="str">
        <f t="shared" si="262"/>
        <v/>
      </c>
      <c r="CN92" s="26" t="str">
        <f t="shared" si="240"/>
        <v/>
      </c>
      <c r="CO92" s="24" t="str">
        <f t="shared" si="241"/>
        <v/>
      </c>
      <c r="CP92" s="26" t="str">
        <f t="shared" si="242"/>
        <v/>
      </c>
      <c r="CQ92" s="26" t="str">
        <f t="shared" si="243"/>
        <v/>
      </c>
      <c r="CR92" s="26" t="str">
        <f t="shared" si="244"/>
        <v/>
      </c>
      <c r="CS92" s="24" t="str">
        <f t="shared" si="245"/>
        <v/>
      </c>
      <c r="CT92" s="27" t="str">
        <f t="shared" si="246"/>
        <v/>
      </c>
      <c r="CU92" s="24" t="str">
        <f t="shared" si="247"/>
        <v/>
      </c>
      <c r="CV92" s="27" t="str">
        <f t="shared" si="248"/>
        <v/>
      </c>
      <c r="CW92" s="27" t="str">
        <f t="shared" si="249"/>
        <v/>
      </c>
      <c r="CX92" s="26" t="str">
        <f t="shared" si="263"/>
        <v/>
      </c>
      <c r="CY92" s="27" t="str">
        <f t="shared" si="264"/>
        <v/>
      </c>
      <c r="CZ92" s="26" t="str">
        <f t="shared" si="250"/>
        <v/>
      </c>
      <c r="DA92" s="24" t="str">
        <f t="shared" si="251"/>
        <v/>
      </c>
      <c r="DB92" s="24" t="str">
        <f t="shared" si="252"/>
        <v/>
      </c>
      <c r="DC92" s="24" t="str">
        <f t="shared" si="253"/>
        <v/>
      </c>
      <c r="DD92" s="24" t="str">
        <f t="shared" si="254"/>
        <v/>
      </c>
      <c r="DE92" s="1"/>
      <c r="DF92" s="1"/>
      <c r="DG92" s="1"/>
      <c r="DH92" s="24" t="str">
        <f t="shared" si="255"/>
        <v/>
      </c>
      <c r="DI92" s="25" t="str">
        <f t="shared" si="256"/>
        <v/>
      </c>
      <c r="DJ92" t="str">
        <f t="shared" si="257"/>
        <v/>
      </c>
      <c r="DK92" s="9"/>
      <c r="DL92" s="9"/>
      <c r="DM92" s="9"/>
      <c r="DN92" s="9"/>
      <c r="DO92" s="9"/>
      <c r="DP92" s="9"/>
      <c r="DQ92" s="136" t="b">
        <f t="shared" si="258"/>
        <v>1</v>
      </c>
    </row>
    <row r="93" spans="1:121" ht="27" customHeight="1" x14ac:dyDescent="0.95">
      <c r="A93" s="24" t="str">
        <f t="shared" si="259"/>
        <v/>
      </c>
      <c r="B93" s="9"/>
      <c r="C93" s="32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10"/>
      <c r="Q93" s="10"/>
      <c r="R93" s="10"/>
      <c r="S93" s="10"/>
      <c r="T93" s="10"/>
      <c r="U93" s="10"/>
      <c r="V93" s="10"/>
      <c r="W93" s="3" t="str">
        <f t="shared" si="190"/>
        <v/>
      </c>
      <c r="X93" s="3" t="str">
        <f t="shared" si="191"/>
        <v/>
      </c>
      <c r="Y93" s="3" t="str">
        <f t="shared" si="192"/>
        <v/>
      </c>
      <c r="Z93" s="3" t="str">
        <f t="shared" si="193"/>
        <v/>
      </c>
      <c r="AA93" s="3" t="str">
        <f t="shared" si="194"/>
        <v/>
      </c>
      <c r="AB93" s="3" t="str">
        <f t="shared" si="195"/>
        <v/>
      </c>
      <c r="AC93" s="3" t="str">
        <f t="shared" si="196"/>
        <v/>
      </c>
      <c r="AD93" s="3" t="str">
        <f t="shared" si="197"/>
        <v/>
      </c>
      <c r="AE93" s="3" t="str">
        <f t="shared" si="198"/>
        <v/>
      </c>
      <c r="AF93" s="24" t="str">
        <f t="shared" si="199"/>
        <v/>
      </c>
      <c r="AG93" s="24" t="str">
        <f t="shared" si="200"/>
        <v/>
      </c>
      <c r="AH93" s="24" t="str">
        <f t="shared" si="201"/>
        <v/>
      </c>
      <c r="AI93" s="24" t="str">
        <f t="shared" si="202"/>
        <v/>
      </c>
      <c r="AJ93" s="24" t="str">
        <f t="shared" si="203"/>
        <v/>
      </c>
      <c r="AK93" s="24" t="str">
        <f t="shared" si="204"/>
        <v/>
      </c>
      <c r="AL93" s="24" t="str">
        <f t="shared" si="205"/>
        <v/>
      </c>
      <c r="AM93" s="24" t="str">
        <f t="shared" si="206"/>
        <v/>
      </c>
      <c r="AN93" s="24" t="str">
        <f t="shared" si="207"/>
        <v/>
      </c>
      <c r="AO93" s="24" t="str">
        <f t="shared" si="208"/>
        <v/>
      </c>
      <c r="AP93" s="24" t="str">
        <f t="shared" si="209"/>
        <v/>
      </c>
      <c r="AQ93" s="24" t="str">
        <f t="shared" si="210"/>
        <v/>
      </c>
      <c r="AR93" s="24" t="str">
        <f t="shared" si="211"/>
        <v/>
      </c>
      <c r="AS93" s="24" t="str">
        <f t="shared" si="212"/>
        <v/>
      </c>
      <c r="AT93" s="24" t="str">
        <f t="shared" si="213"/>
        <v/>
      </c>
      <c r="AU93" s="24" t="str">
        <f t="shared" si="214"/>
        <v/>
      </c>
      <c r="AV93" s="24" t="str">
        <f t="shared" si="215"/>
        <v/>
      </c>
      <c r="AW93" s="24" t="str">
        <f t="shared" si="216"/>
        <v/>
      </c>
      <c r="AX93" s="24" t="str">
        <f t="shared" si="217"/>
        <v/>
      </c>
      <c r="AY93" s="24"/>
      <c r="AZ93" s="24" t="str">
        <f t="shared" si="219"/>
        <v/>
      </c>
      <c r="BA93" s="24" t="str">
        <f t="shared" si="220"/>
        <v/>
      </c>
      <c r="BB93" s="24" t="str">
        <f t="shared" si="221"/>
        <v/>
      </c>
      <c r="BC93" s="24" t="str">
        <f t="shared" si="222"/>
        <v/>
      </c>
      <c r="BD93" s="24" t="str">
        <f t="shared" si="223"/>
        <v/>
      </c>
      <c r="BE93" s="24" t="str">
        <f t="shared" si="224"/>
        <v/>
      </c>
      <c r="BF93" s="24" t="str">
        <f t="shared" si="225"/>
        <v/>
      </c>
      <c r="BG93" s="24" t="str">
        <f t="shared" si="226"/>
        <v/>
      </c>
      <c r="BH93" s="24" t="str">
        <f t="shared" si="227"/>
        <v/>
      </c>
      <c r="BI93" s="24" t="str">
        <f t="shared" si="228"/>
        <v/>
      </c>
      <c r="BJ93" s="24" t="str">
        <f t="shared" si="229"/>
        <v/>
      </c>
      <c r="BK93" s="24" t="str">
        <f t="shared" si="230"/>
        <v/>
      </c>
      <c r="BL93" s="26" t="str">
        <f t="shared" si="231"/>
        <v/>
      </c>
      <c r="BM93" s="26" t="str">
        <f t="shared" si="232"/>
        <v/>
      </c>
      <c r="BN93" s="26" t="str">
        <f t="shared" si="233"/>
        <v/>
      </c>
      <c r="BO93" s="26" t="str">
        <f t="shared" si="234"/>
        <v/>
      </c>
      <c r="BP93" s="26" t="str">
        <f t="shared" si="235"/>
        <v/>
      </c>
      <c r="BQ93" s="26" t="str">
        <f t="shared" si="236"/>
        <v/>
      </c>
      <c r="BR93" s="26" t="str">
        <f t="shared" si="237"/>
        <v/>
      </c>
      <c r="BS93" s="26" t="str">
        <f t="shared" si="174"/>
        <v/>
      </c>
      <c r="BT93" s="26" t="str">
        <f t="shared" si="175"/>
        <v/>
      </c>
      <c r="BU93" s="26" t="str">
        <f t="shared" si="176"/>
        <v/>
      </c>
      <c r="BV93" s="26" t="str">
        <f t="shared" si="177"/>
        <v/>
      </c>
      <c r="BW93" s="26" t="str">
        <f t="shared" si="178"/>
        <v/>
      </c>
      <c r="BX93" s="26" t="str">
        <f t="shared" si="179"/>
        <v/>
      </c>
      <c r="BY93" s="26" t="str">
        <f t="shared" si="180"/>
        <v/>
      </c>
      <c r="BZ93" s="26" t="str">
        <f t="shared" si="181"/>
        <v/>
      </c>
      <c r="CA93" s="26" t="str">
        <f t="shared" si="182"/>
        <v/>
      </c>
      <c r="CB93" s="24" t="str">
        <f t="shared" si="183"/>
        <v/>
      </c>
      <c r="CC93" s="24" t="str">
        <f t="shared" si="184"/>
        <v/>
      </c>
      <c r="CD93" s="24" t="str">
        <f t="shared" si="185"/>
        <v/>
      </c>
      <c r="CE93" s="24"/>
      <c r="CF93" s="24" t="str">
        <f t="shared" si="187"/>
        <v/>
      </c>
      <c r="CG93" s="24" t="str">
        <f t="shared" si="188"/>
        <v/>
      </c>
      <c r="CH93" s="24" t="str">
        <f t="shared" si="189"/>
        <v/>
      </c>
      <c r="CI93" s="24" t="str">
        <f t="shared" si="238"/>
        <v/>
      </c>
      <c r="CJ93" s="24" t="str">
        <f t="shared" si="260"/>
        <v/>
      </c>
      <c r="CK93" s="26" t="str">
        <f t="shared" si="239"/>
        <v/>
      </c>
      <c r="CL93" s="26" t="str">
        <f t="shared" si="261"/>
        <v/>
      </c>
      <c r="CM93" s="24" t="str">
        <f t="shared" si="262"/>
        <v/>
      </c>
      <c r="CN93" s="26" t="str">
        <f t="shared" si="240"/>
        <v/>
      </c>
      <c r="CO93" s="24" t="str">
        <f t="shared" si="241"/>
        <v/>
      </c>
      <c r="CP93" s="26" t="str">
        <f t="shared" si="242"/>
        <v/>
      </c>
      <c r="CQ93" s="26" t="str">
        <f t="shared" si="243"/>
        <v/>
      </c>
      <c r="CR93" s="26" t="str">
        <f t="shared" si="244"/>
        <v/>
      </c>
      <c r="CS93" s="24" t="str">
        <f t="shared" si="245"/>
        <v/>
      </c>
      <c r="CT93" s="27" t="str">
        <f t="shared" si="246"/>
        <v/>
      </c>
      <c r="CU93" s="24" t="str">
        <f t="shared" si="247"/>
        <v/>
      </c>
      <c r="CV93" s="27" t="str">
        <f t="shared" si="248"/>
        <v/>
      </c>
      <c r="CW93" s="27" t="str">
        <f t="shared" si="249"/>
        <v/>
      </c>
      <c r="CX93" s="26" t="str">
        <f t="shared" si="263"/>
        <v/>
      </c>
      <c r="CY93" s="27" t="str">
        <f t="shared" si="264"/>
        <v/>
      </c>
      <c r="CZ93" s="26" t="str">
        <f t="shared" si="250"/>
        <v/>
      </c>
      <c r="DA93" s="24" t="str">
        <f t="shared" si="251"/>
        <v/>
      </c>
      <c r="DB93" s="24" t="str">
        <f t="shared" si="252"/>
        <v/>
      </c>
      <c r="DC93" s="24" t="str">
        <f t="shared" si="253"/>
        <v/>
      </c>
      <c r="DD93" s="24" t="str">
        <f t="shared" si="254"/>
        <v/>
      </c>
      <c r="DE93" s="1"/>
      <c r="DF93" s="1"/>
      <c r="DG93" s="1"/>
      <c r="DH93" s="24" t="str">
        <f t="shared" si="255"/>
        <v/>
      </c>
      <c r="DI93" s="25" t="str">
        <f t="shared" si="256"/>
        <v/>
      </c>
      <c r="DJ93" t="str">
        <f t="shared" si="257"/>
        <v/>
      </c>
      <c r="DK93" s="9"/>
      <c r="DL93" s="9"/>
      <c r="DM93" s="9"/>
      <c r="DN93" s="9"/>
      <c r="DO93" s="9"/>
      <c r="DP93" s="9"/>
      <c r="DQ93" s="136" t="b">
        <f t="shared" si="258"/>
        <v>1</v>
      </c>
    </row>
    <row r="94" spans="1:121" ht="27" customHeight="1" x14ac:dyDescent="0.95">
      <c r="A94" s="24" t="str">
        <f t="shared" si="259"/>
        <v/>
      </c>
      <c r="B94" s="9"/>
      <c r="C94" s="32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10"/>
      <c r="Q94" s="10"/>
      <c r="R94" s="10"/>
      <c r="S94" s="10"/>
      <c r="T94" s="10"/>
      <c r="U94" s="10"/>
      <c r="V94" s="10"/>
      <c r="W94" s="3" t="str">
        <f t="shared" si="190"/>
        <v/>
      </c>
      <c r="X94" s="3" t="str">
        <f t="shared" si="191"/>
        <v/>
      </c>
      <c r="Y94" s="3" t="str">
        <f t="shared" si="192"/>
        <v/>
      </c>
      <c r="Z94" s="3" t="str">
        <f t="shared" si="193"/>
        <v/>
      </c>
      <c r="AA94" s="3" t="str">
        <f t="shared" si="194"/>
        <v/>
      </c>
      <c r="AB94" s="3" t="str">
        <f t="shared" si="195"/>
        <v/>
      </c>
      <c r="AC94" s="3" t="str">
        <f t="shared" si="196"/>
        <v/>
      </c>
      <c r="AD94" s="3" t="str">
        <f t="shared" si="197"/>
        <v/>
      </c>
      <c r="AE94" s="3" t="str">
        <f t="shared" si="198"/>
        <v/>
      </c>
      <c r="AF94" s="24" t="str">
        <f t="shared" si="199"/>
        <v/>
      </c>
      <c r="AG94" s="24" t="str">
        <f t="shared" si="200"/>
        <v/>
      </c>
      <c r="AH94" s="24" t="str">
        <f t="shared" si="201"/>
        <v/>
      </c>
      <c r="AI94" s="24" t="str">
        <f t="shared" si="202"/>
        <v/>
      </c>
      <c r="AJ94" s="24" t="str">
        <f t="shared" si="203"/>
        <v/>
      </c>
      <c r="AK94" s="24" t="str">
        <f t="shared" si="204"/>
        <v/>
      </c>
      <c r="AL94" s="24" t="str">
        <f t="shared" si="205"/>
        <v/>
      </c>
      <c r="AM94" s="24" t="str">
        <f t="shared" si="206"/>
        <v/>
      </c>
      <c r="AN94" s="24" t="str">
        <f t="shared" si="207"/>
        <v/>
      </c>
      <c r="AO94" s="24" t="str">
        <f t="shared" si="208"/>
        <v/>
      </c>
      <c r="AP94" s="24" t="str">
        <f t="shared" si="209"/>
        <v/>
      </c>
      <c r="AQ94" s="24" t="str">
        <f t="shared" si="210"/>
        <v/>
      </c>
      <c r="AR94" s="24" t="str">
        <f t="shared" si="211"/>
        <v/>
      </c>
      <c r="AS94" s="24" t="str">
        <f t="shared" si="212"/>
        <v/>
      </c>
      <c r="AT94" s="24" t="str">
        <f t="shared" si="213"/>
        <v/>
      </c>
      <c r="AU94" s="24" t="str">
        <f t="shared" si="214"/>
        <v/>
      </c>
      <c r="AV94" s="24" t="str">
        <f t="shared" si="215"/>
        <v/>
      </c>
      <c r="AW94" s="24" t="str">
        <f t="shared" si="216"/>
        <v/>
      </c>
      <c r="AX94" s="24" t="str">
        <f t="shared" si="217"/>
        <v/>
      </c>
      <c r="AY94" s="24"/>
      <c r="AZ94" s="24" t="str">
        <f t="shared" si="219"/>
        <v/>
      </c>
      <c r="BA94" s="24" t="str">
        <f t="shared" si="220"/>
        <v/>
      </c>
      <c r="BB94" s="24" t="str">
        <f t="shared" si="221"/>
        <v/>
      </c>
      <c r="BC94" s="24" t="str">
        <f t="shared" si="222"/>
        <v/>
      </c>
      <c r="BD94" s="24" t="str">
        <f t="shared" si="223"/>
        <v/>
      </c>
      <c r="BE94" s="24" t="str">
        <f t="shared" si="224"/>
        <v/>
      </c>
      <c r="BF94" s="24" t="str">
        <f t="shared" si="225"/>
        <v/>
      </c>
      <c r="BG94" s="24" t="str">
        <f t="shared" si="226"/>
        <v/>
      </c>
      <c r="BH94" s="24" t="str">
        <f t="shared" si="227"/>
        <v/>
      </c>
      <c r="BI94" s="24" t="str">
        <f t="shared" si="228"/>
        <v/>
      </c>
      <c r="BJ94" s="24" t="str">
        <f t="shared" si="229"/>
        <v/>
      </c>
      <c r="BK94" s="24" t="str">
        <f t="shared" si="230"/>
        <v/>
      </c>
      <c r="BL94" s="26" t="str">
        <f t="shared" si="231"/>
        <v/>
      </c>
      <c r="BM94" s="26" t="str">
        <f t="shared" si="232"/>
        <v/>
      </c>
      <c r="BN94" s="26" t="str">
        <f t="shared" si="233"/>
        <v/>
      </c>
      <c r="BO94" s="26" t="str">
        <f t="shared" si="234"/>
        <v/>
      </c>
      <c r="BP94" s="26" t="str">
        <f t="shared" si="235"/>
        <v/>
      </c>
      <c r="BQ94" s="26" t="str">
        <f t="shared" si="236"/>
        <v/>
      </c>
      <c r="BR94" s="26" t="str">
        <f t="shared" si="237"/>
        <v/>
      </c>
      <c r="BS94" s="26" t="str">
        <f t="shared" ref="BS94:BS99" si="265">IF(OR(AM94="",W94=""),"",AM94*(IF(OR(W94="A",W94="a"),4,(IF(OR(W602="B",W94="b"),3,(IF(OR(W94="C",W94="c"),2,(IF(OR(W94="D",W94="d"),1.5,(IF(OR(W94="E",W94="e"),1,(IF(OR(W94="F",W94="f"),0)))))))))))))</f>
        <v/>
      </c>
      <c r="BT94" s="26" t="str">
        <f t="shared" ref="BT94:BT99" si="266">IF(OR(AN94="",X94=""),"",AN94*(IF(OR(X94="A",X94="a"),4,(IF(OR(X602="B",X94="b"),3,(IF(OR(X94="C",X94="c"),2,(IF(OR(X94="D",X94="d"),1.5,(IF(OR(X94="E",X94="e"),1,(IF(OR(X94="F",X94="f"),0)))))))))))))</f>
        <v/>
      </c>
      <c r="BU94" s="26" t="str">
        <f t="shared" ref="BU94:BU99" si="267">IF(OR(AO94="",Y94=""),"",AO94*(IF(OR(Y94="A",Y94="a"),4,(IF(OR(Y602="B",Y94="b"),3,(IF(OR(Y94="C",Y94="c"),2,(IF(OR(Y94="D",Y94="d"),1.5,(IF(OR(Y94="E",Y94="e"),1,(IF(OR(Y94="F",Y94="f"),0)))))))))))))</f>
        <v/>
      </c>
      <c r="BV94" s="26" t="str">
        <f t="shared" ref="BV94:BV99" si="268">IF(OR(AP94="",Z94=""),"",AP94*(IF(OR(Z94="A",Z94="a"),4,(IF(OR(Z602="B",Z94="b"),3,(IF(OR(Z94="C",Z94="c"),2,(IF(OR(Z94="D",Z94="d"),1.5,(IF(OR(Z94="E",Z94="e"),1,(IF(OR(Z94="F",Z94="f"),0)))))))))))))</f>
        <v/>
      </c>
      <c r="BW94" s="26" t="str">
        <f t="shared" ref="BW94:BW99" si="269">IF(OR(AQ94="",AA94=""),"",AQ94*(IF(OR(AA94="A",AA94="a"),4,(IF(OR(AA602="B",AA94="b"),3,(IF(OR(AA94="C",AA94="c"),2,(IF(OR(AA94="D",AA94="d"),1.5,(IF(OR(AA94="E",AA94="e"),1,(IF(OR(AA94="F",AA94="f"),0)))))))))))))</f>
        <v/>
      </c>
      <c r="BX94" s="26" t="str">
        <f t="shared" ref="BX94:BX99" si="270">IF(OR(AR94="",AB94=""),"",AR94*(IF(OR(AB94="A",AB94="a"),4,(IF(OR(AB602="B",AB94="b"),3,(IF(OR(AB94="C",AB94="c"),2,(IF(OR(AB94="D",AB94="d"),1.5,(IF(OR(AB94="E",AB94="e"),1,(IF(OR(AB94="F",AB94="f"),0)))))))))))))</f>
        <v/>
      </c>
      <c r="BY94" s="26" t="str">
        <f t="shared" ref="BY94:BY99" si="271">IF(OR(AS94="",AC94=""),"",AS94*(IF(OR(AC94="A",AC94="a"),4,(IF(OR(AC602="B",AC94="b"),3,(IF(OR(AC94="C",AC94="c"),2,(IF(OR(AC94="D",AC94="d"),1.5,(IF(OR(AC94="E",AC94="e"),1,(IF(OR(AC94="F",AC94="f"),0)))))))))))))</f>
        <v/>
      </c>
      <c r="BZ94" s="26" t="str">
        <f t="shared" ref="BZ94:BZ99" si="272">IF(OR(AT94="",AD94=""),"",AT94*(IF(OR(AD94="A",AD94="a"),4,(IF(OR(AD602="B",AD94="b"),3,(IF(OR(AD94="C",AD94="c"),2,(IF(OR(AD94="D",AD94="d"),1.5,(IF(OR(AD94="E",AD94="e"),1,(IF(OR(AD94="F",AD94="f"),0)))))))))))))</f>
        <v/>
      </c>
      <c r="CA94" s="26" t="str">
        <f t="shared" ref="CA94:CA99" si="273">IF(OR(AU94="",AE94=""),"",AU94*(IF(OR(AE94="A",AE94="a"),4,(IF(OR(AE602="B",AE94="b"),3,(IF(OR(AE94="C",AE94="c"),2,(IF(OR(AE94="D",AE94="d"),1.5,(IF(OR(AE94="E",AE94="e"),1,(IF(OR(AE94="F",AE94="f"),0)))))))))))))</f>
        <v/>
      </c>
      <c r="CB94" s="24" t="str">
        <f t="shared" ref="CB94:CB99" si="274">IF(OR(AV94="",AF94=""),"",AV94*(IF(OR(AF94="A",AF94="a"),4,(IF(OR(AF603="B",AF94="b"),3,(IF(OR(AF94="C",AF94="c"),2,(IF(OR(AF94="D",AF94="d"),1.5,(IF(OR(AF94="E",AF94="e"),1,(IF(OR(AF94="F",AF94="f"),0)))))))))))))</f>
        <v/>
      </c>
      <c r="CC94" s="24" t="str">
        <f t="shared" ref="CC94:CC99" si="275">IF(OR(AW94="",AG94=""),"",AW94*(IF(OR(AG94="A",AG94="a"),4,(IF(OR(AG603="B",AG94="b"),3,(IF(OR(AG94="C",AG94="c"),2,(IF(OR(AG94="D",AG94="d"),1.5,(IF(OR(AG94="E",AG94="e"),1,(IF(OR(AG94="F",AG94="f"),0)))))))))))))</f>
        <v/>
      </c>
      <c r="CD94" s="24" t="str">
        <f t="shared" ref="CD94:CD99" si="276">IF(OR(AX94="",AH94=""),"",AX94*(IF(OR(AH94="A",AH94="a"),4,(IF(OR(AH603="B",AH94="b"),3,(IF(OR(AH94="C",AH94="c"),2,(IF(OR(AH94="D",AH94="d"),1.5,(IF(OR(AH94="E",AH94="e"),1,(IF(OR(AH94="F",AH94="f"),0)))))))))))))</f>
        <v/>
      </c>
      <c r="CE94" s="24"/>
      <c r="CF94" s="24" t="str">
        <f t="shared" ref="CF94:CF99" si="277">IF(OR(AZ94="",AJ94=""),"",AZ94*(IF(OR(AJ94="A",AJ94="a"),4,(IF(OR(AJ603="B",AJ94="b"),3,(IF(OR(AJ94="C",AJ94="c"),2,(IF(OR(AJ94="D",AJ94="d"),1.5,(IF(OR(AJ94="E",AJ94="e"),1,(IF(OR(AJ94="F",AJ94="f"),0)))))))))))))</f>
        <v/>
      </c>
      <c r="CG94" s="24" t="str">
        <f t="shared" ref="CG94:CG99" si="278">IF(OR(BA94="",AK94=""),"",BA94*(IF(OR(AK94="A",AK94="a"),4,(IF(OR(AK603="B",AK94="b"),3,(IF(OR(AK94="C",AK94="c"),2,(IF(OR(AK94="D",AK94="d"),1.5,(IF(OR(AK94="E",AK94="e"),1,(IF(OR(AK94="F",AK94="f"),0)))))))))))))</f>
        <v/>
      </c>
      <c r="CH94" s="24" t="str">
        <f t="shared" ref="CH94:CH99" si="279">IF(OR(BB94="",AL94=""),"",BB94*(IF(OR(AL94="A",AL94="a"),4,(IF(OR(AL603="B",AL94="b"),3,(IF(OR(AL94="C",AL94="c"),2,(IF(OR(AL94="D",AL94="d"),1.5,(IF(OR(AL94="E",AL94="e"),1,(IF(OR(AL94="F",AL94="f"),0)))))))))))))</f>
        <v/>
      </c>
      <c r="CI94" s="24" t="str">
        <f t="shared" si="238"/>
        <v/>
      </c>
      <c r="CJ94" s="24" t="str">
        <f t="shared" si="260"/>
        <v/>
      </c>
      <c r="CK94" s="26" t="str">
        <f t="shared" si="239"/>
        <v/>
      </c>
      <c r="CL94" s="26" t="str">
        <f t="shared" si="261"/>
        <v/>
      </c>
      <c r="CM94" s="24" t="str">
        <f t="shared" si="262"/>
        <v/>
      </c>
      <c r="CN94" s="26" t="str">
        <f t="shared" si="240"/>
        <v/>
      </c>
      <c r="CO94" s="24" t="str">
        <f t="shared" si="241"/>
        <v/>
      </c>
      <c r="CP94" s="26" t="str">
        <f t="shared" si="242"/>
        <v/>
      </c>
      <c r="CQ94" s="26" t="str">
        <f t="shared" si="243"/>
        <v/>
      </c>
      <c r="CR94" s="26" t="str">
        <f t="shared" si="244"/>
        <v/>
      </c>
      <c r="CS94" s="24" t="str">
        <f t="shared" si="245"/>
        <v/>
      </c>
      <c r="CT94" s="27" t="str">
        <f t="shared" si="246"/>
        <v/>
      </c>
      <c r="CU94" s="24" t="str">
        <f t="shared" si="247"/>
        <v/>
      </c>
      <c r="CV94" s="27" t="str">
        <f t="shared" si="248"/>
        <v/>
      </c>
      <c r="CW94" s="27" t="str">
        <f t="shared" si="249"/>
        <v/>
      </c>
      <c r="CX94" s="26" t="str">
        <f t="shared" si="263"/>
        <v/>
      </c>
      <c r="CY94" s="27" t="str">
        <f t="shared" si="264"/>
        <v/>
      </c>
      <c r="CZ94" s="26" t="str">
        <f t="shared" si="250"/>
        <v/>
      </c>
      <c r="DA94" s="24" t="str">
        <f t="shared" si="251"/>
        <v/>
      </c>
      <c r="DB94" s="24" t="str">
        <f t="shared" si="252"/>
        <v/>
      </c>
      <c r="DC94" s="24" t="str">
        <f t="shared" si="253"/>
        <v/>
      </c>
      <c r="DD94" s="24" t="str">
        <f t="shared" si="254"/>
        <v/>
      </c>
      <c r="DE94" s="1"/>
      <c r="DF94" s="1"/>
      <c r="DG94" s="1"/>
      <c r="DH94" s="24" t="str">
        <f t="shared" si="255"/>
        <v/>
      </c>
      <c r="DI94" s="25" t="str">
        <f t="shared" si="256"/>
        <v/>
      </c>
      <c r="DJ94" t="str">
        <f t="shared" si="257"/>
        <v/>
      </c>
      <c r="DK94" s="9"/>
      <c r="DL94" s="9"/>
      <c r="DM94" s="9"/>
      <c r="DN94" s="9"/>
      <c r="DO94" s="9"/>
      <c r="DP94" s="9"/>
      <c r="DQ94" s="136" t="b">
        <f t="shared" si="258"/>
        <v>1</v>
      </c>
    </row>
    <row r="95" spans="1:121" ht="27" customHeight="1" x14ac:dyDescent="0.95">
      <c r="A95" s="24" t="str">
        <f t="shared" si="259"/>
        <v/>
      </c>
      <c r="B95" s="9"/>
      <c r="C95" s="32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10"/>
      <c r="Q95" s="10"/>
      <c r="R95" s="10"/>
      <c r="S95" s="10"/>
      <c r="T95" s="10"/>
      <c r="U95" s="10"/>
      <c r="V95" s="10"/>
      <c r="W95" s="3" t="str">
        <f t="shared" si="190"/>
        <v/>
      </c>
      <c r="X95" s="3" t="str">
        <f t="shared" si="191"/>
        <v/>
      </c>
      <c r="Y95" s="3" t="str">
        <f t="shared" si="192"/>
        <v/>
      </c>
      <c r="Z95" s="3" t="str">
        <f t="shared" si="193"/>
        <v/>
      </c>
      <c r="AA95" s="3" t="str">
        <f t="shared" si="194"/>
        <v/>
      </c>
      <c r="AB95" s="3" t="str">
        <f t="shared" si="195"/>
        <v/>
      </c>
      <c r="AC95" s="3" t="str">
        <f t="shared" si="196"/>
        <v/>
      </c>
      <c r="AD95" s="3" t="str">
        <f t="shared" si="197"/>
        <v/>
      </c>
      <c r="AE95" s="3" t="str">
        <f t="shared" si="198"/>
        <v/>
      </c>
      <c r="AF95" s="24" t="str">
        <f t="shared" si="199"/>
        <v/>
      </c>
      <c r="AG95" s="24" t="str">
        <f t="shared" si="200"/>
        <v/>
      </c>
      <c r="AH95" s="24" t="str">
        <f t="shared" si="201"/>
        <v/>
      </c>
      <c r="AI95" s="24" t="str">
        <f t="shared" si="202"/>
        <v/>
      </c>
      <c r="AJ95" s="24" t="str">
        <f t="shared" si="203"/>
        <v/>
      </c>
      <c r="AK95" s="24" t="str">
        <f t="shared" si="204"/>
        <v/>
      </c>
      <c r="AL95" s="24" t="str">
        <f t="shared" si="205"/>
        <v/>
      </c>
      <c r="AM95" s="24" t="str">
        <f t="shared" si="206"/>
        <v/>
      </c>
      <c r="AN95" s="24" t="str">
        <f t="shared" si="207"/>
        <v/>
      </c>
      <c r="AO95" s="24" t="str">
        <f t="shared" si="208"/>
        <v/>
      </c>
      <c r="AP95" s="24" t="str">
        <f t="shared" si="209"/>
        <v/>
      </c>
      <c r="AQ95" s="24" t="str">
        <f t="shared" si="210"/>
        <v/>
      </c>
      <c r="AR95" s="24" t="str">
        <f t="shared" si="211"/>
        <v/>
      </c>
      <c r="AS95" s="24" t="str">
        <f t="shared" si="212"/>
        <v/>
      </c>
      <c r="AT95" s="24" t="str">
        <f t="shared" si="213"/>
        <v/>
      </c>
      <c r="AU95" s="24" t="str">
        <f t="shared" si="214"/>
        <v/>
      </c>
      <c r="AV95" s="24" t="str">
        <f t="shared" si="215"/>
        <v/>
      </c>
      <c r="AW95" s="24" t="str">
        <f t="shared" si="216"/>
        <v/>
      </c>
      <c r="AX95" s="24" t="str">
        <f t="shared" si="217"/>
        <v/>
      </c>
      <c r="AY95" s="24"/>
      <c r="AZ95" s="24" t="str">
        <f t="shared" si="219"/>
        <v/>
      </c>
      <c r="BA95" s="24" t="str">
        <f t="shared" si="220"/>
        <v/>
      </c>
      <c r="BB95" s="24" t="str">
        <f t="shared" si="221"/>
        <v/>
      </c>
      <c r="BC95" s="24" t="str">
        <f t="shared" si="222"/>
        <v/>
      </c>
      <c r="BD95" s="24" t="str">
        <f t="shared" si="223"/>
        <v/>
      </c>
      <c r="BE95" s="24" t="str">
        <f t="shared" si="224"/>
        <v/>
      </c>
      <c r="BF95" s="24" t="str">
        <f t="shared" si="225"/>
        <v/>
      </c>
      <c r="BG95" s="24" t="str">
        <f t="shared" si="226"/>
        <v/>
      </c>
      <c r="BH95" s="24" t="str">
        <f t="shared" si="227"/>
        <v/>
      </c>
      <c r="BI95" s="24" t="str">
        <f t="shared" si="228"/>
        <v/>
      </c>
      <c r="BJ95" s="24" t="str">
        <f t="shared" si="229"/>
        <v/>
      </c>
      <c r="BK95" s="24" t="str">
        <f t="shared" si="230"/>
        <v/>
      </c>
      <c r="BL95" s="26" t="str">
        <f t="shared" si="231"/>
        <v/>
      </c>
      <c r="BM95" s="26" t="str">
        <f t="shared" si="232"/>
        <v/>
      </c>
      <c r="BN95" s="26" t="str">
        <f t="shared" si="233"/>
        <v/>
      </c>
      <c r="BO95" s="26" t="str">
        <f t="shared" si="234"/>
        <v/>
      </c>
      <c r="BP95" s="26" t="str">
        <f t="shared" si="235"/>
        <v/>
      </c>
      <c r="BQ95" s="26" t="str">
        <f t="shared" si="236"/>
        <v/>
      </c>
      <c r="BR95" s="26" t="str">
        <f t="shared" si="237"/>
        <v/>
      </c>
      <c r="BS95" s="26" t="str">
        <f t="shared" si="265"/>
        <v/>
      </c>
      <c r="BT95" s="26" t="str">
        <f t="shared" si="266"/>
        <v/>
      </c>
      <c r="BU95" s="26" t="str">
        <f t="shared" si="267"/>
        <v/>
      </c>
      <c r="BV95" s="26" t="str">
        <f t="shared" si="268"/>
        <v/>
      </c>
      <c r="BW95" s="26" t="str">
        <f t="shared" si="269"/>
        <v/>
      </c>
      <c r="BX95" s="26" t="str">
        <f t="shared" si="270"/>
        <v/>
      </c>
      <c r="BY95" s="26" t="str">
        <f t="shared" si="271"/>
        <v/>
      </c>
      <c r="BZ95" s="26" t="str">
        <f t="shared" si="272"/>
        <v/>
      </c>
      <c r="CA95" s="26" t="str">
        <f t="shared" si="273"/>
        <v/>
      </c>
      <c r="CB95" s="24" t="str">
        <f t="shared" si="274"/>
        <v/>
      </c>
      <c r="CC95" s="24" t="str">
        <f t="shared" si="275"/>
        <v/>
      </c>
      <c r="CD95" s="24" t="str">
        <f t="shared" si="276"/>
        <v/>
      </c>
      <c r="CE95" s="24"/>
      <c r="CF95" s="24" t="str">
        <f t="shared" si="277"/>
        <v/>
      </c>
      <c r="CG95" s="24" t="str">
        <f t="shared" si="278"/>
        <v/>
      </c>
      <c r="CH95" s="24" t="str">
        <f t="shared" si="279"/>
        <v/>
      </c>
      <c r="CI95" s="24" t="str">
        <f t="shared" si="238"/>
        <v/>
      </c>
      <c r="CJ95" s="24" t="str">
        <f t="shared" si="260"/>
        <v/>
      </c>
      <c r="CK95" s="26" t="str">
        <f t="shared" si="239"/>
        <v/>
      </c>
      <c r="CL95" s="26" t="str">
        <f t="shared" si="261"/>
        <v/>
      </c>
      <c r="CM95" s="24" t="str">
        <f t="shared" si="262"/>
        <v/>
      </c>
      <c r="CN95" s="26" t="str">
        <f t="shared" si="240"/>
        <v/>
      </c>
      <c r="CO95" s="24" t="str">
        <f t="shared" si="241"/>
        <v/>
      </c>
      <c r="CP95" s="26" t="str">
        <f t="shared" si="242"/>
        <v/>
      </c>
      <c r="CQ95" s="26" t="str">
        <f t="shared" si="243"/>
        <v/>
      </c>
      <c r="CR95" s="26" t="str">
        <f t="shared" si="244"/>
        <v/>
      </c>
      <c r="CS95" s="24" t="str">
        <f t="shared" si="245"/>
        <v/>
      </c>
      <c r="CT95" s="27" t="str">
        <f t="shared" si="246"/>
        <v/>
      </c>
      <c r="CU95" s="24" t="str">
        <f t="shared" si="247"/>
        <v/>
      </c>
      <c r="CV95" s="27" t="str">
        <f t="shared" si="248"/>
        <v/>
      </c>
      <c r="CW95" s="27" t="str">
        <f t="shared" si="249"/>
        <v/>
      </c>
      <c r="CX95" s="26" t="str">
        <f t="shared" si="263"/>
        <v/>
      </c>
      <c r="CY95" s="27" t="str">
        <f t="shared" si="264"/>
        <v/>
      </c>
      <c r="CZ95" s="26" t="str">
        <f t="shared" si="250"/>
        <v/>
      </c>
      <c r="DA95" s="24" t="str">
        <f t="shared" si="251"/>
        <v/>
      </c>
      <c r="DB95" s="24" t="str">
        <f t="shared" si="252"/>
        <v/>
      </c>
      <c r="DC95" s="24" t="str">
        <f t="shared" si="253"/>
        <v/>
      </c>
      <c r="DD95" s="24" t="str">
        <f t="shared" si="254"/>
        <v/>
      </c>
      <c r="DE95" s="1"/>
      <c r="DF95" s="1"/>
      <c r="DG95" s="1"/>
      <c r="DH95" s="24" t="str">
        <f t="shared" si="255"/>
        <v/>
      </c>
      <c r="DI95" s="25" t="str">
        <f t="shared" si="256"/>
        <v/>
      </c>
      <c r="DJ95" t="str">
        <f t="shared" si="257"/>
        <v/>
      </c>
      <c r="DK95" s="9"/>
      <c r="DL95" s="9"/>
      <c r="DM95" s="9"/>
      <c r="DN95" s="9"/>
      <c r="DO95" s="9"/>
      <c r="DP95" s="9"/>
      <c r="DQ95" s="136" t="b">
        <f t="shared" si="258"/>
        <v>1</v>
      </c>
    </row>
    <row r="96" spans="1:121" ht="27" customHeight="1" x14ac:dyDescent="0.95">
      <c r="A96" s="24" t="str">
        <f t="shared" si="259"/>
        <v/>
      </c>
      <c r="B96" s="9"/>
      <c r="C96" s="32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10"/>
      <c r="Q96" s="10"/>
      <c r="R96" s="10"/>
      <c r="S96" s="10"/>
      <c r="T96" s="10"/>
      <c r="U96" s="10"/>
      <c r="V96" s="10"/>
      <c r="W96" s="3" t="str">
        <f t="shared" si="190"/>
        <v/>
      </c>
      <c r="X96" s="3" t="str">
        <f t="shared" si="191"/>
        <v/>
      </c>
      <c r="Y96" s="3" t="str">
        <f t="shared" si="192"/>
        <v/>
      </c>
      <c r="Z96" s="3" t="str">
        <f t="shared" si="193"/>
        <v/>
      </c>
      <c r="AA96" s="3" t="str">
        <f t="shared" si="194"/>
        <v/>
      </c>
      <c r="AB96" s="3" t="str">
        <f t="shared" si="195"/>
        <v/>
      </c>
      <c r="AC96" s="3" t="str">
        <f t="shared" si="196"/>
        <v/>
      </c>
      <c r="AD96" s="3" t="str">
        <f t="shared" si="197"/>
        <v/>
      </c>
      <c r="AE96" s="3" t="str">
        <f t="shared" si="198"/>
        <v/>
      </c>
      <c r="AF96" s="24" t="str">
        <f t="shared" si="199"/>
        <v/>
      </c>
      <c r="AG96" s="24" t="str">
        <f t="shared" si="200"/>
        <v/>
      </c>
      <c r="AH96" s="24" t="str">
        <f t="shared" si="201"/>
        <v/>
      </c>
      <c r="AI96" s="24" t="str">
        <f t="shared" si="202"/>
        <v/>
      </c>
      <c r="AJ96" s="24" t="str">
        <f t="shared" si="203"/>
        <v/>
      </c>
      <c r="AK96" s="24" t="str">
        <f t="shared" si="204"/>
        <v/>
      </c>
      <c r="AL96" s="24" t="str">
        <f t="shared" si="205"/>
        <v/>
      </c>
      <c r="AM96" s="24" t="str">
        <f t="shared" si="206"/>
        <v/>
      </c>
      <c r="AN96" s="24" t="str">
        <f t="shared" si="207"/>
        <v/>
      </c>
      <c r="AO96" s="24" t="str">
        <f t="shared" si="208"/>
        <v/>
      </c>
      <c r="AP96" s="24" t="str">
        <f t="shared" si="209"/>
        <v/>
      </c>
      <c r="AQ96" s="24" t="str">
        <f t="shared" si="210"/>
        <v/>
      </c>
      <c r="AR96" s="24" t="str">
        <f t="shared" si="211"/>
        <v/>
      </c>
      <c r="AS96" s="24" t="str">
        <f t="shared" si="212"/>
        <v/>
      </c>
      <c r="AT96" s="24" t="str">
        <f t="shared" si="213"/>
        <v/>
      </c>
      <c r="AU96" s="24" t="str">
        <f t="shared" si="214"/>
        <v/>
      </c>
      <c r="AV96" s="24" t="str">
        <f t="shared" si="215"/>
        <v/>
      </c>
      <c r="AW96" s="24" t="str">
        <f t="shared" si="216"/>
        <v/>
      </c>
      <c r="AX96" s="24" t="str">
        <f t="shared" si="217"/>
        <v/>
      </c>
      <c r="AY96" s="24"/>
      <c r="AZ96" s="24" t="str">
        <f t="shared" si="219"/>
        <v/>
      </c>
      <c r="BA96" s="24" t="str">
        <f t="shared" si="220"/>
        <v/>
      </c>
      <c r="BB96" s="24" t="str">
        <f t="shared" si="221"/>
        <v/>
      </c>
      <c r="BC96" s="24" t="str">
        <f t="shared" si="222"/>
        <v/>
      </c>
      <c r="BD96" s="24" t="str">
        <f t="shared" si="223"/>
        <v/>
      </c>
      <c r="BE96" s="24" t="str">
        <f t="shared" si="224"/>
        <v/>
      </c>
      <c r="BF96" s="24" t="str">
        <f t="shared" si="225"/>
        <v/>
      </c>
      <c r="BG96" s="24" t="str">
        <f t="shared" si="226"/>
        <v/>
      </c>
      <c r="BH96" s="24" t="str">
        <f t="shared" si="227"/>
        <v/>
      </c>
      <c r="BI96" s="24" t="str">
        <f t="shared" si="228"/>
        <v/>
      </c>
      <c r="BJ96" s="24" t="str">
        <f t="shared" si="229"/>
        <v/>
      </c>
      <c r="BK96" s="24" t="str">
        <f t="shared" si="230"/>
        <v/>
      </c>
      <c r="BL96" s="26" t="str">
        <f t="shared" si="231"/>
        <v/>
      </c>
      <c r="BM96" s="26" t="str">
        <f t="shared" si="232"/>
        <v/>
      </c>
      <c r="BN96" s="26" t="str">
        <f t="shared" si="233"/>
        <v/>
      </c>
      <c r="BO96" s="26" t="str">
        <f t="shared" si="234"/>
        <v/>
      </c>
      <c r="BP96" s="26" t="str">
        <f t="shared" si="235"/>
        <v/>
      </c>
      <c r="BQ96" s="26" t="str">
        <f t="shared" si="236"/>
        <v/>
      </c>
      <c r="BR96" s="26" t="str">
        <f t="shared" si="237"/>
        <v/>
      </c>
      <c r="BS96" s="26" t="str">
        <f t="shared" si="265"/>
        <v/>
      </c>
      <c r="BT96" s="26" t="str">
        <f t="shared" si="266"/>
        <v/>
      </c>
      <c r="BU96" s="26" t="str">
        <f t="shared" si="267"/>
        <v/>
      </c>
      <c r="BV96" s="26" t="str">
        <f t="shared" si="268"/>
        <v/>
      </c>
      <c r="BW96" s="26" t="str">
        <f t="shared" si="269"/>
        <v/>
      </c>
      <c r="BX96" s="26" t="str">
        <f t="shared" si="270"/>
        <v/>
      </c>
      <c r="BY96" s="26" t="str">
        <f t="shared" si="271"/>
        <v/>
      </c>
      <c r="BZ96" s="26" t="str">
        <f t="shared" si="272"/>
        <v/>
      </c>
      <c r="CA96" s="26" t="str">
        <f t="shared" si="273"/>
        <v/>
      </c>
      <c r="CB96" s="24" t="str">
        <f t="shared" si="274"/>
        <v/>
      </c>
      <c r="CC96" s="24" t="str">
        <f t="shared" si="275"/>
        <v/>
      </c>
      <c r="CD96" s="24" t="str">
        <f t="shared" si="276"/>
        <v/>
      </c>
      <c r="CE96" s="24"/>
      <c r="CF96" s="24" t="str">
        <f t="shared" si="277"/>
        <v/>
      </c>
      <c r="CG96" s="24" t="str">
        <f t="shared" si="278"/>
        <v/>
      </c>
      <c r="CH96" s="24" t="str">
        <f t="shared" si="279"/>
        <v/>
      </c>
      <c r="CI96" s="24" t="str">
        <f t="shared" si="238"/>
        <v/>
      </c>
      <c r="CJ96" s="24" t="str">
        <f t="shared" si="260"/>
        <v/>
      </c>
      <c r="CK96" s="26" t="str">
        <f t="shared" si="239"/>
        <v/>
      </c>
      <c r="CL96" s="26" t="str">
        <f t="shared" si="261"/>
        <v/>
      </c>
      <c r="CM96" s="24" t="str">
        <f t="shared" si="262"/>
        <v/>
      </c>
      <c r="CN96" s="26" t="str">
        <f t="shared" si="240"/>
        <v/>
      </c>
      <c r="CO96" s="24" t="str">
        <f t="shared" si="241"/>
        <v/>
      </c>
      <c r="CP96" s="26" t="str">
        <f t="shared" si="242"/>
        <v/>
      </c>
      <c r="CQ96" s="26" t="str">
        <f t="shared" si="243"/>
        <v/>
      </c>
      <c r="CR96" s="26" t="str">
        <f t="shared" si="244"/>
        <v/>
      </c>
      <c r="CS96" s="24" t="str">
        <f t="shared" si="245"/>
        <v/>
      </c>
      <c r="CT96" s="27" t="str">
        <f t="shared" si="246"/>
        <v/>
      </c>
      <c r="CU96" s="24" t="str">
        <f t="shared" si="247"/>
        <v/>
      </c>
      <c r="CV96" s="27" t="str">
        <f t="shared" si="248"/>
        <v/>
      </c>
      <c r="CW96" s="27" t="str">
        <f t="shared" si="249"/>
        <v/>
      </c>
      <c r="CX96" s="26" t="str">
        <f t="shared" si="263"/>
        <v/>
      </c>
      <c r="CY96" s="27" t="str">
        <f t="shared" si="264"/>
        <v/>
      </c>
      <c r="CZ96" s="26" t="str">
        <f t="shared" si="250"/>
        <v/>
      </c>
      <c r="DA96" s="24" t="str">
        <f t="shared" si="251"/>
        <v/>
      </c>
      <c r="DB96" s="24" t="str">
        <f t="shared" si="252"/>
        <v/>
      </c>
      <c r="DC96" s="24" t="str">
        <f t="shared" si="253"/>
        <v/>
      </c>
      <c r="DD96" s="24" t="str">
        <f t="shared" si="254"/>
        <v/>
      </c>
      <c r="DE96" s="1"/>
      <c r="DF96" s="1"/>
      <c r="DG96" s="1"/>
      <c r="DH96" s="24" t="str">
        <f t="shared" si="255"/>
        <v/>
      </c>
      <c r="DI96" s="25" t="str">
        <f t="shared" si="256"/>
        <v/>
      </c>
      <c r="DJ96" t="str">
        <f t="shared" si="257"/>
        <v/>
      </c>
      <c r="DK96" s="9"/>
      <c r="DL96" s="9"/>
      <c r="DM96" s="9"/>
      <c r="DN96" s="9"/>
      <c r="DO96" s="9"/>
      <c r="DP96" s="9"/>
      <c r="DQ96" s="136" t="b">
        <f t="shared" si="258"/>
        <v>1</v>
      </c>
    </row>
    <row r="97" spans="1:121" ht="27" customHeight="1" x14ac:dyDescent="0.95">
      <c r="A97" s="24" t="str">
        <f t="shared" si="259"/>
        <v/>
      </c>
      <c r="B97" s="9"/>
      <c r="C97" s="32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10"/>
      <c r="Q97" s="10"/>
      <c r="R97" s="10"/>
      <c r="S97" s="10"/>
      <c r="T97" s="10"/>
      <c r="U97" s="10"/>
      <c r="V97" s="10"/>
      <c r="W97" s="3" t="str">
        <f t="shared" si="190"/>
        <v/>
      </c>
      <c r="X97" s="3" t="str">
        <f t="shared" si="191"/>
        <v/>
      </c>
      <c r="Y97" s="3" t="str">
        <f t="shared" si="192"/>
        <v/>
      </c>
      <c r="Z97" s="3" t="str">
        <f t="shared" si="193"/>
        <v/>
      </c>
      <c r="AA97" s="3" t="str">
        <f t="shared" si="194"/>
        <v/>
      </c>
      <c r="AB97" s="3" t="str">
        <f t="shared" si="195"/>
        <v/>
      </c>
      <c r="AC97" s="3" t="str">
        <f t="shared" si="196"/>
        <v/>
      </c>
      <c r="AD97" s="3" t="str">
        <f t="shared" si="197"/>
        <v/>
      </c>
      <c r="AE97" s="3" t="str">
        <f t="shared" si="198"/>
        <v/>
      </c>
      <c r="AF97" s="24" t="str">
        <f t="shared" si="199"/>
        <v/>
      </c>
      <c r="AG97" s="24" t="str">
        <f t="shared" si="200"/>
        <v/>
      </c>
      <c r="AH97" s="24" t="str">
        <f t="shared" si="201"/>
        <v/>
      </c>
      <c r="AI97" s="24" t="str">
        <f t="shared" si="202"/>
        <v/>
      </c>
      <c r="AJ97" s="24" t="str">
        <f t="shared" si="203"/>
        <v/>
      </c>
      <c r="AK97" s="24" t="str">
        <f t="shared" si="204"/>
        <v/>
      </c>
      <c r="AL97" s="24" t="str">
        <f t="shared" si="205"/>
        <v/>
      </c>
      <c r="AM97" s="24" t="str">
        <f t="shared" si="206"/>
        <v/>
      </c>
      <c r="AN97" s="24" t="str">
        <f t="shared" si="207"/>
        <v/>
      </c>
      <c r="AO97" s="24" t="str">
        <f t="shared" si="208"/>
        <v/>
      </c>
      <c r="AP97" s="24" t="str">
        <f t="shared" si="209"/>
        <v/>
      </c>
      <c r="AQ97" s="24" t="str">
        <f t="shared" si="210"/>
        <v/>
      </c>
      <c r="AR97" s="24" t="str">
        <f t="shared" si="211"/>
        <v/>
      </c>
      <c r="AS97" s="24" t="str">
        <f t="shared" si="212"/>
        <v/>
      </c>
      <c r="AT97" s="24" t="str">
        <f t="shared" si="213"/>
        <v/>
      </c>
      <c r="AU97" s="24" t="str">
        <f t="shared" si="214"/>
        <v/>
      </c>
      <c r="AV97" s="24" t="str">
        <f t="shared" si="215"/>
        <v/>
      </c>
      <c r="AW97" s="24" t="str">
        <f t="shared" si="216"/>
        <v/>
      </c>
      <c r="AX97" s="24" t="str">
        <f t="shared" si="217"/>
        <v/>
      </c>
      <c r="AY97" s="24"/>
      <c r="AZ97" s="24" t="str">
        <f t="shared" si="219"/>
        <v/>
      </c>
      <c r="BA97" s="24" t="str">
        <f t="shared" si="220"/>
        <v/>
      </c>
      <c r="BB97" s="24" t="str">
        <f t="shared" si="221"/>
        <v/>
      </c>
      <c r="BC97" s="24" t="str">
        <f t="shared" ref="BC97:BN99" si="280">IF(OR(G97="",AM97=""),"",PRODUCT(G97,AM97))</f>
        <v/>
      </c>
      <c r="BD97" s="24" t="str">
        <f t="shared" si="280"/>
        <v/>
      </c>
      <c r="BE97" s="24" t="str">
        <f t="shared" si="280"/>
        <v/>
      </c>
      <c r="BF97" s="24" t="str">
        <f t="shared" si="280"/>
        <v/>
      </c>
      <c r="BG97" s="24" t="str">
        <f t="shared" si="280"/>
        <v/>
      </c>
      <c r="BH97" s="24" t="str">
        <f t="shared" si="280"/>
        <v/>
      </c>
      <c r="BI97" s="24" t="str">
        <f t="shared" si="280"/>
        <v/>
      </c>
      <c r="BJ97" s="24" t="str">
        <f t="shared" si="280"/>
        <v/>
      </c>
      <c r="BK97" s="24" t="str">
        <f t="shared" si="280"/>
        <v/>
      </c>
      <c r="BL97" s="26" t="str">
        <f t="shared" si="280"/>
        <v/>
      </c>
      <c r="BM97" s="26" t="str">
        <f t="shared" si="280"/>
        <v/>
      </c>
      <c r="BN97" s="26" t="str">
        <f t="shared" si="280"/>
        <v/>
      </c>
      <c r="BO97" s="26"/>
      <c r="BP97" s="26" t="str">
        <f t="shared" ref="BP97:BR99" si="281">IF(OR(T97="",AZ97=""),"",PRODUCT(T97,AZ97))</f>
        <v/>
      </c>
      <c r="BQ97" s="26" t="str">
        <f t="shared" si="281"/>
        <v/>
      </c>
      <c r="BR97" s="26" t="str">
        <f t="shared" si="281"/>
        <v/>
      </c>
      <c r="BS97" s="26" t="str">
        <f t="shared" si="265"/>
        <v/>
      </c>
      <c r="BT97" s="26" t="str">
        <f t="shared" si="266"/>
        <v/>
      </c>
      <c r="BU97" s="26" t="str">
        <f t="shared" si="267"/>
        <v/>
      </c>
      <c r="BV97" s="26" t="str">
        <f t="shared" si="268"/>
        <v/>
      </c>
      <c r="BW97" s="26" t="str">
        <f t="shared" si="269"/>
        <v/>
      </c>
      <c r="BX97" s="26" t="str">
        <f t="shared" si="270"/>
        <v/>
      </c>
      <c r="BY97" s="26" t="str">
        <f t="shared" si="271"/>
        <v/>
      </c>
      <c r="BZ97" s="26" t="str">
        <f t="shared" si="272"/>
        <v/>
      </c>
      <c r="CA97" s="26" t="str">
        <f t="shared" si="273"/>
        <v/>
      </c>
      <c r="CB97" s="24" t="str">
        <f t="shared" si="274"/>
        <v/>
      </c>
      <c r="CC97" s="24" t="str">
        <f t="shared" si="275"/>
        <v/>
      </c>
      <c r="CD97" s="24" t="str">
        <f t="shared" si="276"/>
        <v/>
      </c>
      <c r="CE97" s="24"/>
      <c r="CF97" s="24" t="str">
        <f t="shared" si="277"/>
        <v/>
      </c>
      <c r="CG97" s="24" t="str">
        <f t="shared" si="278"/>
        <v/>
      </c>
      <c r="CH97" s="24" t="str">
        <f t="shared" si="279"/>
        <v/>
      </c>
      <c r="CI97" s="24" t="str">
        <f t="shared" si="238"/>
        <v/>
      </c>
      <c r="CJ97" s="24" t="str">
        <f t="shared" si="260"/>
        <v/>
      </c>
      <c r="CK97" s="26" t="str">
        <f t="shared" si="239"/>
        <v/>
      </c>
      <c r="CL97" s="26" t="str">
        <f t="shared" si="261"/>
        <v/>
      </c>
      <c r="CM97" s="24" t="str">
        <f t="shared" si="262"/>
        <v/>
      </c>
      <c r="CN97" s="26" t="str">
        <f t="shared" si="240"/>
        <v/>
      </c>
      <c r="CO97" s="24" t="str">
        <f t="shared" si="241"/>
        <v/>
      </c>
      <c r="CP97" s="26" t="str">
        <f t="shared" si="242"/>
        <v/>
      </c>
      <c r="CQ97" s="26" t="str">
        <f t="shared" si="243"/>
        <v/>
      </c>
      <c r="CR97" s="26" t="str">
        <f t="shared" si="244"/>
        <v/>
      </c>
      <c r="CS97" s="24" t="str">
        <f t="shared" si="245"/>
        <v/>
      </c>
      <c r="CT97" s="27" t="str">
        <f t="shared" si="246"/>
        <v/>
      </c>
      <c r="CU97" s="24" t="str">
        <f t="shared" si="247"/>
        <v/>
      </c>
      <c r="CV97" s="27" t="str">
        <f t="shared" si="248"/>
        <v/>
      </c>
      <c r="CW97" s="27" t="str">
        <f t="shared" si="249"/>
        <v/>
      </c>
      <c r="CX97" s="26" t="str">
        <f t="shared" si="263"/>
        <v/>
      </c>
      <c r="CY97" s="27" t="str">
        <f t="shared" si="264"/>
        <v/>
      </c>
      <c r="CZ97" s="26" t="str">
        <f t="shared" si="250"/>
        <v/>
      </c>
      <c r="DA97" s="24" t="str">
        <f t="shared" si="251"/>
        <v/>
      </c>
      <c r="DB97" s="24" t="str">
        <f t="shared" si="252"/>
        <v/>
      </c>
      <c r="DC97" s="24" t="str">
        <f t="shared" si="253"/>
        <v/>
      </c>
      <c r="DD97" s="24" t="str">
        <f t="shared" si="254"/>
        <v/>
      </c>
      <c r="DE97" s="1"/>
      <c r="DF97" s="1"/>
      <c r="DG97" s="1"/>
      <c r="DH97" s="24" t="str">
        <f t="shared" si="255"/>
        <v/>
      </c>
      <c r="DI97" s="25" t="str">
        <f t="shared" si="256"/>
        <v/>
      </c>
      <c r="DJ97" t="str">
        <f t="shared" si="257"/>
        <v/>
      </c>
      <c r="DK97" s="9"/>
      <c r="DL97" s="9"/>
      <c r="DM97" s="9"/>
      <c r="DN97" s="9"/>
      <c r="DO97" s="9"/>
      <c r="DP97" s="9"/>
      <c r="DQ97" s="136" t="b">
        <f t="shared" si="258"/>
        <v>1</v>
      </c>
    </row>
    <row r="98" spans="1:121" ht="27" customHeight="1" x14ac:dyDescent="0.95">
      <c r="A98" s="24" t="str">
        <f t="shared" si="259"/>
        <v/>
      </c>
      <c r="B98" s="9"/>
      <c r="C98" s="32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10"/>
      <c r="Q98" s="10"/>
      <c r="R98" s="10"/>
      <c r="S98" s="10"/>
      <c r="T98" s="10"/>
      <c r="U98" s="10"/>
      <c r="V98" s="10"/>
      <c r="W98" s="3" t="str">
        <f t="shared" si="190"/>
        <v/>
      </c>
      <c r="X98" s="3" t="str">
        <f t="shared" si="191"/>
        <v/>
      </c>
      <c r="Y98" s="3" t="str">
        <f t="shared" si="192"/>
        <v/>
      </c>
      <c r="Z98" s="3" t="str">
        <f t="shared" si="193"/>
        <v/>
      </c>
      <c r="AA98" s="3" t="str">
        <f t="shared" si="194"/>
        <v/>
      </c>
      <c r="AB98" s="3" t="str">
        <f t="shared" si="195"/>
        <v/>
      </c>
      <c r="AC98" s="3" t="str">
        <f t="shared" si="196"/>
        <v/>
      </c>
      <c r="AD98" s="3" t="str">
        <f t="shared" si="197"/>
        <v/>
      </c>
      <c r="AE98" s="3" t="str">
        <f t="shared" si="198"/>
        <v/>
      </c>
      <c r="AF98" s="24" t="str">
        <f t="shared" si="199"/>
        <v/>
      </c>
      <c r="AG98" s="24" t="str">
        <f t="shared" si="200"/>
        <v/>
      </c>
      <c r="AH98" s="24" t="str">
        <f t="shared" si="201"/>
        <v/>
      </c>
      <c r="AI98" s="24" t="str">
        <f t="shared" si="202"/>
        <v/>
      </c>
      <c r="AJ98" s="24" t="str">
        <f t="shared" si="203"/>
        <v/>
      </c>
      <c r="AK98" s="24" t="str">
        <f t="shared" si="204"/>
        <v/>
      </c>
      <c r="AL98" s="24" t="str">
        <f t="shared" si="205"/>
        <v/>
      </c>
      <c r="AM98" s="24" t="str">
        <f t="shared" si="206"/>
        <v/>
      </c>
      <c r="AN98" s="24" t="str">
        <f t="shared" si="207"/>
        <v/>
      </c>
      <c r="AO98" s="24" t="str">
        <f t="shared" si="208"/>
        <v/>
      </c>
      <c r="AP98" s="24" t="str">
        <f t="shared" si="209"/>
        <v/>
      </c>
      <c r="AQ98" s="24" t="str">
        <f t="shared" si="210"/>
        <v/>
      </c>
      <c r="AR98" s="24" t="str">
        <f t="shared" si="211"/>
        <v/>
      </c>
      <c r="AS98" s="24" t="str">
        <f t="shared" si="212"/>
        <v/>
      </c>
      <c r="AT98" s="24" t="str">
        <f t="shared" si="213"/>
        <v/>
      </c>
      <c r="AU98" s="24" t="str">
        <f t="shared" si="214"/>
        <v/>
      </c>
      <c r="AV98" s="24" t="str">
        <f t="shared" si="215"/>
        <v/>
      </c>
      <c r="AW98" s="24" t="str">
        <f t="shared" si="216"/>
        <v/>
      </c>
      <c r="AX98" s="24" t="str">
        <f t="shared" si="217"/>
        <v/>
      </c>
      <c r="AY98" s="24"/>
      <c r="AZ98" s="24" t="str">
        <f t="shared" si="219"/>
        <v/>
      </c>
      <c r="BA98" s="24" t="str">
        <f t="shared" si="220"/>
        <v/>
      </c>
      <c r="BB98" s="24" t="str">
        <f t="shared" si="221"/>
        <v/>
      </c>
      <c r="BC98" s="24" t="str">
        <f t="shared" si="280"/>
        <v/>
      </c>
      <c r="BD98" s="24" t="str">
        <f t="shared" si="280"/>
        <v/>
      </c>
      <c r="BE98" s="24" t="str">
        <f t="shared" si="280"/>
        <v/>
      </c>
      <c r="BF98" s="24" t="str">
        <f t="shared" si="280"/>
        <v/>
      </c>
      <c r="BG98" s="24" t="str">
        <f t="shared" si="280"/>
        <v/>
      </c>
      <c r="BH98" s="24" t="str">
        <f t="shared" si="280"/>
        <v/>
      </c>
      <c r="BI98" s="24" t="str">
        <f t="shared" si="280"/>
        <v/>
      </c>
      <c r="BJ98" s="24" t="str">
        <f t="shared" si="280"/>
        <v/>
      </c>
      <c r="BK98" s="24" t="str">
        <f t="shared" si="280"/>
        <v/>
      </c>
      <c r="BL98" s="26" t="str">
        <f t="shared" si="280"/>
        <v/>
      </c>
      <c r="BM98" s="26" t="str">
        <f t="shared" si="280"/>
        <v/>
      </c>
      <c r="BN98" s="26" t="str">
        <f t="shared" si="280"/>
        <v/>
      </c>
      <c r="BO98" s="26"/>
      <c r="BP98" s="26" t="str">
        <f t="shared" si="281"/>
        <v/>
      </c>
      <c r="BQ98" s="26" t="str">
        <f t="shared" si="281"/>
        <v/>
      </c>
      <c r="BR98" s="26" t="str">
        <f t="shared" si="281"/>
        <v/>
      </c>
      <c r="BS98" s="26" t="str">
        <f t="shared" si="265"/>
        <v/>
      </c>
      <c r="BT98" s="26" t="str">
        <f t="shared" si="266"/>
        <v/>
      </c>
      <c r="BU98" s="26" t="str">
        <f t="shared" si="267"/>
        <v/>
      </c>
      <c r="BV98" s="26" t="str">
        <f t="shared" si="268"/>
        <v/>
      </c>
      <c r="BW98" s="26" t="str">
        <f t="shared" si="269"/>
        <v/>
      </c>
      <c r="BX98" s="26" t="str">
        <f t="shared" si="270"/>
        <v/>
      </c>
      <c r="BY98" s="26" t="str">
        <f t="shared" si="271"/>
        <v/>
      </c>
      <c r="BZ98" s="26" t="str">
        <f t="shared" si="272"/>
        <v/>
      </c>
      <c r="CA98" s="26" t="str">
        <f t="shared" si="273"/>
        <v/>
      </c>
      <c r="CB98" s="24" t="str">
        <f t="shared" si="274"/>
        <v/>
      </c>
      <c r="CC98" s="24" t="str">
        <f t="shared" si="275"/>
        <v/>
      </c>
      <c r="CD98" s="24" t="str">
        <f t="shared" si="276"/>
        <v/>
      </c>
      <c r="CE98" s="24"/>
      <c r="CF98" s="24" t="str">
        <f t="shared" si="277"/>
        <v/>
      </c>
      <c r="CG98" s="24" t="str">
        <f t="shared" si="278"/>
        <v/>
      </c>
      <c r="CH98" s="24" t="str">
        <f t="shared" si="279"/>
        <v/>
      </c>
      <c r="CI98" s="24" t="str">
        <f t="shared" si="238"/>
        <v/>
      </c>
      <c r="CJ98" s="24" t="str">
        <f t="shared" si="260"/>
        <v/>
      </c>
      <c r="CK98" s="26" t="str">
        <f t="shared" si="239"/>
        <v/>
      </c>
      <c r="CL98" s="26" t="str">
        <f t="shared" si="261"/>
        <v/>
      </c>
      <c r="CM98" s="24" t="str">
        <f t="shared" si="262"/>
        <v/>
      </c>
      <c r="CN98" s="26" t="str">
        <f t="shared" si="240"/>
        <v/>
      </c>
      <c r="CO98" s="24" t="str">
        <f t="shared" si="241"/>
        <v/>
      </c>
      <c r="CP98" s="26" t="str">
        <f t="shared" si="242"/>
        <v/>
      </c>
      <c r="CQ98" s="26" t="str">
        <f t="shared" si="243"/>
        <v/>
      </c>
      <c r="CR98" s="26" t="str">
        <f t="shared" si="244"/>
        <v/>
      </c>
      <c r="CS98" s="24" t="str">
        <f t="shared" si="245"/>
        <v/>
      </c>
      <c r="CT98" s="27" t="str">
        <f t="shared" si="246"/>
        <v/>
      </c>
      <c r="CU98" s="24" t="str">
        <f t="shared" si="247"/>
        <v/>
      </c>
      <c r="CV98" s="27" t="str">
        <f t="shared" si="248"/>
        <v/>
      </c>
      <c r="CW98" s="27" t="str">
        <f t="shared" si="249"/>
        <v/>
      </c>
      <c r="CX98" s="26" t="str">
        <f t="shared" si="263"/>
        <v/>
      </c>
      <c r="CY98" s="27" t="str">
        <f t="shared" si="264"/>
        <v/>
      </c>
      <c r="CZ98" s="26" t="str">
        <f t="shared" si="250"/>
        <v/>
      </c>
      <c r="DA98" s="24" t="str">
        <f t="shared" si="251"/>
        <v/>
      </c>
      <c r="DB98" s="24" t="str">
        <f t="shared" si="252"/>
        <v/>
      </c>
      <c r="DC98" s="24" t="str">
        <f t="shared" si="253"/>
        <v/>
      </c>
      <c r="DD98" s="24" t="str">
        <f t="shared" si="254"/>
        <v/>
      </c>
      <c r="DE98" s="1"/>
      <c r="DF98" s="1"/>
      <c r="DG98" s="1"/>
      <c r="DH98" s="24" t="str">
        <f t="shared" si="255"/>
        <v/>
      </c>
      <c r="DI98" s="25" t="str">
        <f t="shared" si="256"/>
        <v/>
      </c>
      <c r="DJ98" t="str">
        <f t="shared" si="257"/>
        <v/>
      </c>
      <c r="DK98" s="9"/>
      <c r="DL98" s="9"/>
      <c r="DM98" s="9"/>
      <c r="DN98" s="9"/>
      <c r="DO98" s="9"/>
      <c r="DP98" s="9"/>
      <c r="DQ98" s="136" t="b">
        <f t="shared" si="258"/>
        <v>1</v>
      </c>
    </row>
    <row r="99" spans="1:121" ht="27" customHeight="1" x14ac:dyDescent="0.95">
      <c r="A99" s="24" t="str">
        <f t="shared" si="259"/>
        <v/>
      </c>
      <c r="B99" s="9"/>
      <c r="C99" s="32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10"/>
      <c r="Q99" s="10"/>
      <c r="R99" s="10"/>
      <c r="S99" s="10"/>
      <c r="T99" s="10"/>
      <c r="U99" s="10"/>
      <c r="V99" s="10"/>
      <c r="W99" s="3" t="str">
        <f t="shared" si="190"/>
        <v/>
      </c>
      <c r="X99" s="3" t="str">
        <f t="shared" si="191"/>
        <v/>
      </c>
      <c r="Y99" s="3" t="str">
        <f t="shared" si="192"/>
        <v/>
      </c>
      <c r="Z99" s="3" t="str">
        <f t="shared" si="193"/>
        <v/>
      </c>
      <c r="AA99" s="3" t="str">
        <f t="shared" si="194"/>
        <v/>
      </c>
      <c r="AB99" s="3" t="str">
        <f t="shared" si="195"/>
        <v/>
      </c>
      <c r="AC99" s="3" t="str">
        <f t="shared" si="196"/>
        <v/>
      </c>
      <c r="AD99" s="3" t="str">
        <f t="shared" si="197"/>
        <v/>
      </c>
      <c r="AE99" s="3" t="str">
        <f t="shared" si="198"/>
        <v/>
      </c>
      <c r="AF99" s="24" t="str">
        <f t="shared" si="199"/>
        <v/>
      </c>
      <c r="AG99" s="24" t="str">
        <f t="shared" si="200"/>
        <v/>
      </c>
      <c r="AH99" s="24" t="str">
        <f t="shared" si="201"/>
        <v/>
      </c>
      <c r="AI99" s="24" t="str">
        <f t="shared" si="202"/>
        <v/>
      </c>
      <c r="AJ99" s="24" t="str">
        <f t="shared" si="203"/>
        <v/>
      </c>
      <c r="AK99" s="24" t="str">
        <f t="shared" si="204"/>
        <v/>
      </c>
      <c r="AL99" s="24" t="str">
        <f t="shared" si="205"/>
        <v/>
      </c>
      <c r="AM99" s="24" t="str">
        <f t="shared" si="206"/>
        <v/>
      </c>
      <c r="AN99" s="24" t="str">
        <f t="shared" si="207"/>
        <v/>
      </c>
      <c r="AO99" s="24" t="str">
        <f t="shared" si="208"/>
        <v/>
      </c>
      <c r="AP99" s="24" t="str">
        <f t="shared" si="209"/>
        <v/>
      </c>
      <c r="AQ99" s="24" t="str">
        <f t="shared" si="210"/>
        <v/>
      </c>
      <c r="AR99" s="24" t="str">
        <f t="shared" si="211"/>
        <v/>
      </c>
      <c r="AS99" s="24" t="str">
        <f t="shared" si="212"/>
        <v/>
      </c>
      <c r="AT99" s="24" t="str">
        <f t="shared" si="213"/>
        <v/>
      </c>
      <c r="AU99" s="24" t="str">
        <f t="shared" si="214"/>
        <v/>
      </c>
      <c r="AV99" s="24" t="str">
        <f t="shared" si="215"/>
        <v/>
      </c>
      <c r="AW99" s="24" t="str">
        <f t="shared" si="216"/>
        <v/>
      </c>
      <c r="AX99" s="24" t="str">
        <f t="shared" si="217"/>
        <v/>
      </c>
      <c r="AY99" s="24"/>
      <c r="AZ99" s="24" t="str">
        <f t="shared" si="219"/>
        <v/>
      </c>
      <c r="BA99" s="24" t="str">
        <f t="shared" si="220"/>
        <v/>
      </c>
      <c r="BB99" s="24" t="str">
        <f t="shared" si="221"/>
        <v/>
      </c>
      <c r="BC99" s="24" t="str">
        <f t="shared" si="280"/>
        <v/>
      </c>
      <c r="BD99" s="24" t="str">
        <f t="shared" si="280"/>
        <v/>
      </c>
      <c r="BE99" s="24" t="str">
        <f t="shared" si="280"/>
        <v/>
      </c>
      <c r="BF99" s="24" t="str">
        <f t="shared" si="280"/>
        <v/>
      </c>
      <c r="BG99" s="24" t="str">
        <f t="shared" si="280"/>
        <v/>
      </c>
      <c r="BH99" s="24" t="str">
        <f t="shared" si="280"/>
        <v/>
      </c>
      <c r="BI99" s="24" t="str">
        <f t="shared" si="280"/>
        <v/>
      </c>
      <c r="BJ99" s="24" t="str">
        <f t="shared" si="280"/>
        <v/>
      </c>
      <c r="BK99" s="24" t="str">
        <f t="shared" si="280"/>
        <v/>
      </c>
      <c r="BL99" s="26" t="str">
        <f t="shared" si="280"/>
        <v/>
      </c>
      <c r="BM99" s="26" t="str">
        <f t="shared" si="280"/>
        <v/>
      </c>
      <c r="BN99" s="26" t="str">
        <f t="shared" si="280"/>
        <v/>
      </c>
      <c r="BO99" s="26"/>
      <c r="BP99" s="26" t="str">
        <f t="shared" si="281"/>
        <v/>
      </c>
      <c r="BQ99" s="26" t="str">
        <f t="shared" si="281"/>
        <v/>
      </c>
      <c r="BR99" s="26" t="str">
        <f t="shared" si="281"/>
        <v/>
      </c>
      <c r="BS99" s="26" t="str">
        <f t="shared" si="265"/>
        <v/>
      </c>
      <c r="BT99" s="26" t="str">
        <f t="shared" si="266"/>
        <v/>
      </c>
      <c r="BU99" s="26" t="str">
        <f t="shared" si="267"/>
        <v/>
      </c>
      <c r="BV99" s="26" t="str">
        <f t="shared" si="268"/>
        <v/>
      </c>
      <c r="BW99" s="26" t="str">
        <f t="shared" si="269"/>
        <v/>
      </c>
      <c r="BX99" s="26" t="str">
        <f t="shared" si="270"/>
        <v/>
      </c>
      <c r="BY99" s="26" t="str">
        <f t="shared" si="271"/>
        <v/>
      </c>
      <c r="BZ99" s="26" t="str">
        <f t="shared" si="272"/>
        <v/>
      </c>
      <c r="CA99" s="26" t="str">
        <f t="shared" si="273"/>
        <v/>
      </c>
      <c r="CB99" s="24" t="str">
        <f t="shared" si="274"/>
        <v/>
      </c>
      <c r="CC99" s="24" t="str">
        <f t="shared" si="275"/>
        <v/>
      </c>
      <c r="CD99" s="24" t="str">
        <f t="shared" si="276"/>
        <v/>
      </c>
      <c r="CE99" s="24"/>
      <c r="CF99" s="24" t="str">
        <f t="shared" si="277"/>
        <v/>
      </c>
      <c r="CG99" s="24" t="str">
        <f t="shared" si="278"/>
        <v/>
      </c>
      <c r="CH99" s="24" t="str">
        <f t="shared" si="279"/>
        <v/>
      </c>
      <c r="CI99" s="24" t="str">
        <f t="shared" si="238"/>
        <v/>
      </c>
      <c r="CJ99" s="24" t="str">
        <f t="shared" si="260"/>
        <v/>
      </c>
      <c r="CK99" s="26" t="str">
        <f t="shared" si="239"/>
        <v/>
      </c>
      <c r="CL99" s="26" t="str">
        <f t="shared" si="261"/>
        <v/>
      </c>
      <c r="CM99" s="24" t="str">
        <f t="shared" si="262"/>
        <v/>
      </c>
      <c r="CN99" s="26" t="str">
        <f t="shared" si="240"/>
        <v/>
      </c>
      <c r="CO99" s="24" t="str">
        <f t="shared" si="241"/>
        <v/>
      </c>
      <c r="CP99" s="26" t="str">
        <f t="shared" si="242"/>
        <v/>
      </c>
      <c r="CQ99" s="26" t="str">
        <f t="shared" si="243"/>
        <v/>
      </c>
      <c r="CR99" s="26" t="str">
        <f t="shared" si="244"/>
        <v/>
      </c>
      <c r="CS99" s="24" t="str">
        <f t="shared" si="245"/>
        <v/>
      </c>
      <c r="CT99" s="27" t="str">
        <f t="shared" si="246"/>
        <v/>
      </c>
      <c r="CU99" s="24" t="str">
        <f t="shared" si="247"/>
        <v/>
      </c>
      <c r="CV99" s="27" t="str">
        <f t="shared" si="248"/>
        <v/>
      </c>
      <c r="CW99" s="27" t="str">
        <f t="shared" si="249"/>
        <v/>
      </c>
      <c r="CX99" s="26" t="str">
        <f t="shared" si="263"/>
        <v/>
      </c>
      <c r="CY99" s="27" t="str">
        <f t="shared" si="264"/>
        <v/>
      </c>
      <c r="CZ99" s="26" t="str">
        <f t="shared" si="250"/>
        <v/>
      </c>
      <c r="DA99" s="24" t="str">
        <f t="shared" si="251"/>
        <v/>
      </c>
      <c r="DB99" s="24" t="str">
        <f t="shared" si="252"/>
        <v/>
      </c>
      <c r="DC99" s="24" t="str">
        <f t="shared" si="253"/>
        <v/>
      </c>
      <c r="DD99" s="24" t="str">
        <f t="shared" si="254"/>
        <v/>
      </c>
      <c r="DE99" s="1"/>
      <c r="DF99" s="1"/>
      <c r="DG99" s="1"/>
      <c r="DH99" s="24" t="str">
        <f t="shared" si="255"/>
        <v/>
      </c>
      <c r="DI99" s="25" t="str">
        <f t="shared" si="256"/>
        <v/>
      </c>
      <c r="DJ99" t="str">
        <f t="shared" si="257"/>
        <v/>
      </c>
      <c r="DK99" s="9"/>
      <c r="DL99" s="9"/>
      <c r="DM99" s="9"/>
      <c r="DN99" s="9"/>
      <c r="DO99" s="9"/>
      <c r="DP99" s="9"/>
      <c r="DQ99" s="136" t="b">
        <f t="shared" si="258"/>
        <v>1</v>
      </c>
    </row>
  </sheetData>
  <mergeCells count="120">
    <mergeCell ref="DK12:DP12"/>
    <mergeCell ref="DQ12:DQ14"/>
    <mergeCell ref="DK13:DK14"/>
    <mergeCell ref="DL13:DL14"/>
    <mergeCell ref="DM13:DM14"/>
    <mergeCell ref="DN13:DN14"/>
    <mergeCell ref="DO13:DO14"/>
    <mergeCell ref="DP13:DP14"/>
    <mergeCell ref="CO12:CT12"/>
    <mergeCell ref="CU14:CZ14"/>
    <mergeCell ref="CU12:DD12"/>
    <mergeCell ref="DE12:DI12"/>
    <mergeCell ref="DA13:DA14"/>
    <mergeCell ref="DB13:DB14"/>
    <mergeCell ref="DC13:DC14"/>
    <mergeCell ref="DD13:DD14"/>
    <mergeCell ref="DE13:DE14"/>
    <mergeCell ref="DF13:DF14"/>
    <mergeCell ref="DG13:DG14"/>
    <mergeCell ref="DH13:DH14"/>
    <mergeCell ref="DI13:DI14"/>
    <mergeCell ref="CS13:CS14"/>
    <mergeCell ref="CT13:CT14"/>
    <mergeCell ref="CO13:CO14"/>
    <mergeCell ref="CI12:CN12"/>
    <mergeCell ref="CI13:CI14"/>
    <mergeCell ref="CJ13:CJ14"/>
    <mergeCell ref="CK13:CK14"/>
    <mergeCell ref="CL13:CL14"/>
    <mergeCell ref="CM13:CM14"/>
    <mergeCell ref="CN13:CN14"/>
    <mergeCell ref="BH13:BH14"/>
    <mergeCell ref="BI13:BI14"/>
    <mergeCell ref="BJ13:BJ14"/>
    <mergeCell ref="BK13:BK14"/>
    <mergeCell ref="BS12:CA12"/>
    <mergeCell ref="BS13:BS14"/>
    <mergeCell ref="BT13:BT14"/>
    <mergeCell ref="BU13:BU14"/>
    <mergeCell ref="BV13:BV14"/>
    <mergeCell ref="BW13:BW14"/>
    <mergeCell ref="BX13:BX14"/>
    <mergeCell ref="BY13:BY14"/>
    <mergeCell ref="BZ13:BZ14"/>
    <mergeCell ref="CA13:CA14"/>
    <mergeCell ref="BO13:BO14"/>
    <mergeCell ref="CF13:CF14"/>
    <mergeCell ref="CD13:CD14"/>
    <mergeCell ref="CP13:CP14"/>
    <mergeCell ref="CQ13:CQ14"/>
    <mergeCell ref="CR13:CR14"/>
    <mergeCell ref="CH13:CH14"/>
    <mergeCell ref="CG13:CG14"/>
    <mergeCell ref="A8:B8"/>
    <mergeCell ref="A9:B9"/>
    <mergeCell ref="A12:F12"/>
    <mergeCell ref="R13:R14"/>
    <mergeCell ref="A10:B10"/>
    <mergeCell ref="A11:B11"/>
    <mergeCell ref="A13:A14"/>
    <mergeCell ref="B13:B14"/>
    <mergeCell ref="C13:C14"/>
    <mergeCell ref="D13:D14"/>
    <mergeCell ref="E13:E14"/>
    <mergeCell ref="F13:F14"/>
    <mergeCell ref="P13:P14"/>
    <mergeCell ref="Q13:Q14"/>
    <mergeCell ref="G12:O12"/>
    <mergeCell ref="G13:G14"/>
    <mergeCell ref="H13:H14"/>
    <mergeCell ref="I13:I14"/>
    <mergeCell ref="P12:V12"/>
    <mergeCell ref="J13:J14"/>
    <mergeCell ref="K13:K14"/>
    <mergeCell ref="L13:L14"/>
    <mergeCell ref="M13:M14"/>
    <mergeCell ref="N13:N14"/>
    <mergeCell ref="O13:O14"/>
    <mergeCell ref="BL11:BR11"/>
    <mergeCell ref="CB13:CB14"/>
    <mergeCell ref="S13:S14"/>
    <mergeCell ref="U13:U14"/>
    <mergeCell ref="V13:V14"/>
    <mergeCell ref="T13:T14"/>
    <mergeCell ref="AF12:AL12"/>
    <mergeCell ref="BC13:BC14"/>
    <mergeCell ref="BD13:BD14"/>
    <mergeCell ref="BE13:BE14"/>
    <mergeCell ref="BF13:BF14"/>
    <mergeCell ref="BG13:BG14"/>
    <mergeCell ref="AB13:AB14"/>
    <mergeCell ref="AC13:AC14"/>
    <mergeCell ref="AD13:AD14"/>
    <mergeCell ref="AE13:AE14"/>
    <mergeCell ref="AG13:AG14"/>
    <mergeCell ref="AH13:AH14"/>
    <mergeCell ref="CC13:CC14"/>
    <mergeCell ref="BL13:BL14"/>
    <mergeCell ref="AK13:AK14"/>
    <mergeCell ref="BP13:BP14"/>
    <mergeCell ref="AV12:BB12"/>
    <mergeCell ref="BL12:BR12"/>
    <mergeCell ref="W12:AE12"/>
    <mergeCell ref="BC12:BK12"/>
    <mergeCell ref="CB12:CH12"/>
    <mergeCell ref="BM13:BM14"/>
    <mergeCell ref="BN13:BN14"/>
    <mergeCell ref="BQ13:BQ14"/>
    <mergeCell ref="BR13:BR14"/>
    <mergeCell ref="CE13:CE14"/>
    <mergeCell ref="AF13:AF14"/>
    <mergeCell ref="AJ13:AJ14"/>
    <mergeCell ref="AL13:AL14"/>
    <mergeCell ref="AM12:AU12"/>
    <mergeCell ref="W13:W14"/>
    <mergeCell ref="X13:X14"/>
    <mergeCell ref="Y13:Y14"/>
    <mergeCell ref="Z13:Z14"/>
    <mergeCell ref="AA13:AA14"/>
    <mergeCell ref="AI13:AI14"/>
  </mergeCells>
  <conditionalFormatting sqref="CR15:CR99">
    <cfRule type="cellIs" dxfId="15" priority="3" operator="lessThan">
      <formula>50</formula>
    </cfRule>
  </conditionalFormatting>
  <conditionalFormatting sqref="CS15:CS99">
    <cfRule type="cellIs" dxfId="14" priority="2" operator="equal">
      <formula>"F"</formula>
    </cfRule>
  </conditionalFormatting>
  <conditionalFormatting sqref="DQ15:DQ99">
    <cfRule type="cellIs" dxfId="13" priority="1" stopIfTrue="1" operator="equal">
      <formula>FALSE</formula>
    </cfRule>
  </conditionalFormatting>
  <dataValidations count="1">
    <dataValidation allowBlank="1" showInputMessage="1" showErrorMessage="1" promptTitle="Creadit" prompt="Please insert credit here!" sqref="G14:J14 W14:Z14 BC14:BF14 BS14:BV14" xr:uid="{00000000-0002-0000-0500-000000000000}"/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:CA67"/>
  <sheetViews>
    <sheetView topLeftCell="W4" zoomScale="85" zoomScaleNormal="85" workbookViewId="0">
      <selection activeCell="AU16" sqref="AU16"/>
    </sheetView>
  </sheetViews>
  <sheetFormatPr defaultColWidth="9.1796875" defaultRowHeight="23" x14ac:dyDescent="0.95"/>
  <cols>
    <col min="1" max="1" width="8.7265625" customWidth="1"/>
    <col min="2" max="2" width="28.1796875" style="105" customWidth="1"/>
    <col min="3" max="3" width="30.26953125" style="108" customWidth="1"/>
    <col min="4" max="4" width="16.453125" style="33" customWidth="1"/>
    <col min="5" max="6" width="8.7265625"/>
    <col min="7" max="7" width="12.54296875" customWidth="1"/>
    <col min="8" max="9" width="8.7265625"/>
    <col min="10" max="10" width="12.26953125" bestFit="1" customWidth="1"/>
    <col min="11" max="31" width="8.7265625"/>
    <col min="32" max="32" width="10.7265625" bestFit="1" customWidth="1"/>
    <col min="33" max="79" width="8.7265625" customWidth="1"/>
    <col min="80" max="16384" width="9.1796875" style="137"/>
  </cols>
  <sheetData>
    <row r="1" spans="1:79" ht="23.5" thickBot="1" x14ac:dyDescent="1">
      <c r="A1" s="137"/>
      <c r="B1" s="142"/>
      <c r="C1" s="143"/>
      <c r="D1" s="139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</row>
    <row r="2" spans="1:79" ht="20.5" thickBot="1" x14ac:dyDescent="0.4">
      <c r="A2" s="277" t="s">
        <v>21</v>
      </c>
      <c r="B2" s="277"/>
      <c r="C2" s="278" t="s">
        <v>56</v>
      </c>
      <c r="D2" s="278"/>
      <c r="E2" s="138"/>
      <c r="F2" s="139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9"/>
      <c r="AN2" s="139"/>
      <c r="AO2" s="139"/>
      <c r="AP2" s="139"/>
      <c r="AQ2" s="139"/>
      <c r="AR2" s="139"/>
      <c r="AS2" s="139"/>
      <c r="AT2" s="139"/>
      <c r="AU2" s="139"/>
      <c r="AV2" s="139"/>
      <c r="AW2" s="139"/>
      <c r="AX2" s="139"/>
      <c r="AY2" s="137"/>
      <c r="AZ2" s="137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40"/>
      <c r="BV2" s="140"/>
      <c r="BW2" s="140"/>
      <c r="BX2" s="140"/>
      <c r="BY2" s="140"/>
      <c r="BZ2" s="140"/>
      <c r="CA2" s="140"/>
    </row>
    <row r="3" spans="1:79" ht="20.5" thickBot="1" x14ac:dyDescent="0.4">
      <c r="A3" s="277" t="s">
        <v>108</v>
      </c>
      <c r="B3" s="277"/>
      <c r="C3" s="278" t="s">
        <v>109</v>
      </c>
      <c r="D3" s="278"/>
      <c r="E3" s="138"/>
      <c r="F3" s="139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37"/>
      <c r="AZ3" s="137"/>
      <c r="BA3" s="139"/>
      <c r="BB3" s="139"/>
      <c r="BC3" s="139"/>
      <c r="BD3" s="139"/>
      <c r="BE3" s="139"/>
      <c r="BF3" s="139"/>
      <c r="BG3" s="139"/>
      <c r="BH3" s="139"/>
      <c r="BI3" s="139"/>
      <c r="BJ3" s="139"/>
      <c r="BK3" s="139"/>
      <c r="BL3" s="139"/>
      <c r="BM3" s="139"/>
      <c r="BN3" s="139"/>
      <c r="BO3" s="139"/>
      <c r="BP3" s="139"/>
      <c r="BQ3" s="139"/>
      <c r="BR3" s="139"/>
      <c r="BS3" s="139"/>
      <c r="BT3" s="139"/>
      <c r="BU3" s="140"/>
      <c r="BV3" s="140"/>
      <c r="BW3" s="140"/>
      <c r="BX3" s="140"/>
      <c r="BY3" s="140"/>
      <c r="BZ3" s="140"/>
      <c r="CA3" s="140"/>
    </row>
    <row r="4" spans="1:79" ht="29" thickBot="1" x14ac:dyDescent="0.4">
      <c r="A4" s="280" t="s">
        <v>86</v>
      </c>
      <c r="B4" s="280"/>
      <c r="C4" s="279" t="str">
        <f>""&amp;'Q1'!C11</f>
        <v>2025-2026</v>
      </c>
      <c r="D4" s="279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/>
      <c r="AU4" s="141"/>
      <c r="AV4" s="141"/>
      <c r="AW4" s="141"/>
      <c r="AX4" s="141"/>
      <c r="AY4" s="141"/>
      <c r="AZ4" s="141"/>
      <c r="BA4" s="141"/>
      <c r="BB4" s="141"/>
      <c r="BC4" s="141"/>
      <c r="BD4" s="141"/>
      <c r="BE4" s="141"/>
      <c r="BF4" s="141"/>
      <c r="BG4" s="141"/>
      <c r="BH4" s="141"/>
      <c r="BI4" s="141"/>
      <c r="BJ4" s="141"/>
      <c r="BK4" s="141"/>
      <c r="BL4" s="141"/>
      <c r="BM4" s="141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</row>
    <row r="5" spans="1:79" ht="34" hidden="1" thickTop="1" thickBot="1" x14ac:dyDescent="0.4">
      <c r="A5" s="87"/>
      <c r="B5" s="88"/>
      <c r="C5" s="106"/>
      <c r="D5" s="103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87"/>
      <c r="BM5" s="87"/>
      <c r="BN5" s="87"/>
      <c r="BO5" s="87"/>
      <c r="BP5" s="87"/>
      <c r="BQ5" s="87"/>
      <c r="BR5" s="87"/>
      <c r="BS5" s="87"/>
      <c r="BT5" s="87"/>
      <c r="BU5" s="87"/>
      <c r="BV5" s="87"/>
      <c r="BW5" s="87"/>
      <c r="BX5" s="87"/>
      <c r="BY5" s="87"/>
      <c r="BZ5" s="87"/>
      <c r="CA5" s="87"/>
    </row>
    <row r="6" spans="1:79" ht="27.75" customHeight="1" x14ac:dyDescent="0.35">
      <c r="A6" s="331" t="s">
        <v>0</v>
      </c>
      <c r="B6" s="333" t="s">
        <v>1</v>
      </c>
      <c r="C6" s="335" t="s">
        <v>84</v>
      </c>
      <c r="D6" s="333" t="s">
        <v>3</v>
      </c>
      <c r="E6" s="337" t="s">
        <v>4</v>
      </c>
      <c r="F6" s="166" t="s">
        <v>5</v>
      </c>
      <c r="G6" s="275" t="s">
        <v>99</v>
      </c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O6" s="276"/>
      <c r="AP6" s="276"/>
      <c r="AQ6" s="275" t="s">
        <v>100</v>
      </c>
      <c r="AR6" s="276"/>
      <c r="AS6" s="276"/>
      <c r="AT6" s="276"/>
      <c r="AU6" s="276"/>
      <c r="AV6" s="276"/>
      <c r="AW6" s="276"/>
      <c r="AX6" s="276"/>
      <c r="AY6" s="276"/>
      <c r="AZ6" s="276"/>
      <c r="BA6" s="276"/>
      <c r="BB6" s="276"/>
      <c r="BC6" s="276"/>
      <c r="BD6" s="276"/>
      <c r="BE6" s="276"/>
      <c r="BF6" s="276"/>
      <c r="BG6" s="276"/>
      <c r="BH6" s="276"/>
      <c r="BI6" s="276"/>
      <c r="BJ6" s="276"/>
      <c r="BK6" s="276"/>
      <c r="BL6" s="276"/>
      <c r="BM6" s="276"/>
      <c r="BN6" s="276"/>
      <c r="BO6" s="276"/>
      <c r="BP6" s="276"/>
      <c r="BQ6" s="276"/>
      <c r="BR6" s="276"/>
      <c r="BS6" s="276"/>
      <c r="BT6" s="276"/>
      <c r="BU6" s="276"/>
      <c r="BV6" s="276"/>
      <c r="BW6" s="276"/>
      <c r="BX6" s="276"/>
      <c r="BY6" s="276"/>
      <c r="BZ6" s="276"/>
      <c r="CA6" s="89"/>
    </row>
    <row r="7" spans="1:79" ht="117.75" customHeight="1" x14ac:dyDescent="0.35">
      <c r="A7" s="332"/>
      <c r="B7" s="334"/>
      <c r="C7" s="336"/>
      <c r="D7" s="334"/>
      <c r="E7" s="338"/>
      <c r="F7" s="167"/>
      <c r="G7" s="109" t="s">
        <v>8</v>
      </c>
      <c r="H7" s="110" t="s">
        <v>9</v>
      </c>
      <c r="I7" s="111" t="s">
        <v>10</v>
      </c>
      <c r="J7" s="112" t="s">
        <v>11</v>
      </c>
      <c r="K7" s="109" t="s">
        <v>8</v>
      </c>
      <c r="L7" s="110" t="s">
        <v>9</v>
      </c>
      <c r="M7" s="111" t="s">
        <v>10</v>
      </c>
      <c r="N7" s="112" t="s">
        <v>11</v>
      </c>
      <c r="O7" s="109" t="s">
        <v>8</v>
      </c>
      <c r="P7" s="110" t="s">
        <v>9</v>
      </c>
      <c r="Q7" s="111" t="s">
        <v>10</v>
      </c>
      <c r="R7" s="112" t="s">
        <v>11</v>
      </c>
      <c r="S7" s="109" t="s">
        <v>8</v>
      </c>
      <c r="T7" s="110" t="s">
        <v>9</v>
      </c>
      <c r="U7" s="111" t="s">
        <v>10</v>
      </c>
      <c r="V7" s="112" t="s">
        <v>11</v>
      </c>
      <c r="W7" s="109" t="s">
        <v>8</v>
      </c>
      <c r="X7" s="110" t="s">
        <v>9</v>
      </c>
      <c r="Y7" s="111" t="s">
        <v>10</v>
      </c>
      <c r="Z7" s="112" t="s">
        <v>11</v>
      </c>
      <c r="AA7" s="109" t="s">
        <v>8</v>
      </c>
      <c r="AB7" s="110" t="s">
        <v>9</v>
      </c>
      <c r="AC7" s="111" t="s">
        <v>10</v>
      </c>
      <c r="AD7" s="112" t="s">
        <v>11</v>
      </c>
      <c r="AE7" s="109" t="s">
        <v>8</v>
      </c>
      <c r="AF7" s="110" t="s">
        <v>9</v>
      </c>
      <c r="AG7" s="111" t="s">
        <v>10</v>
      </c>
      <c r="AH7" s="112" t="s">
        <v>11</v>
      </c>
      <c r="AI7" s="109" t="s">
        <v>8</v>
      </c>
      <c r="AJ7" s="110" t="s">
        <v>9</v>
      </c>
      <c r="AK7" s="111" t="s">
        <v>10</v>
      </c>
      <c r="AL7" s="112" t="s">
        <v>11</v>
      </c>
      <c r="AM7" s="109" t="s">
        <v>8</v>
      </c>
      <c r="AN7" s="110" t="s">
        <v>9</v>
      </c>
      <c r="AO7" s="111" t="s">
        <v>10</v>
      </c>
      <c r="AP7" s="112" t="s">
        <v>11</v>
      </c>
      <c r="AQ7" s="113" t="s">
        <v>8</v>
      </c>
      <c r="AR7" s="114" t="s">
        <v>9</v>
      </c>
      <c r="AS7" s="115" t="s">
        <v>10</v>
      </c>
      <c r="AT7" s="116" t="s">
        <v>11</v>
      </c>
      <c r="AU7" s="113" t="s">
        <v>8</v>
      </c>
      <c r="AV7" s="114" t="s">
        <v>9</v>
      </c>
      <c r="AW7" s="115" t="s">
        <v>10</v>
      </c>
      <c r="AX7" s="116" t="s">
        <v>11</v>
      </c>
      <c r="AY7" s="113" t="s">
        <v>8</v>
      </c>
      <c r="AZ7" s="114" t="s">
        <v>9</v>
      </c>
      <c r="BA7" s="115" t="s">
        <v>10</v>
      </c>
      <c r="BB7" s="116" t="s">
        <v>11</v>
      </c>
      <c r="BC7" s="113" t="s">
        <v>8</v>
      </c>
      <c r="BD7" s="114" t="s">
        <v>9</v>
      </c>
      <c r="BE7" s="115" t="s">
        <v>10</v>
      </c>
      <c r="BF7" s="116" t="s">
        <v>11</v>
      </c>
      <c r="BG7" s="113" t="s">
        <v>8</v>
      </c>
      <c r="BH7" s="114" t="s">
        <v>9</v>
      </c>
      <c r="BI7" s="115" t="s">
        <v>10</v>
      </c>
      <c r="BJ7" s="116" t="s">
        <v>11</v>
      </c>
      <c r="BK7" s="113" t="s">
        <v>8</v>
      </c>
      <c r="BL7" s="114" t="s">
        <v>9</v>
      </c>
      <c r="BM7" s="115" t="s">
        <v>10</v>
      </c>
      <c r="BN7" s="116" t="s">
        <v>11</v>
      </c>
      <c r="BO7" s="113" t="s">
        <v>8</v>
      </c>
      <c r="BP7" s="114" t="s">
        <v>9</v>
      </c>
      <c r="BQ7" s="115" t="s">
        <v>10</v>
      </c>
      <c r="BR7" s="116" t="s">
        <v>11</v>
      </c>
      <c r="BS7" s="113" t="s">
        <v>8</v>
      </c>
      <c r="BT7" s="114" t="s">
        <v>9</v>
      </c>
      <c r="BU7" s="115" t="s">
        <v>10</v>
      </c>
      <c r="BV7" s="116" t="s">
        <v>11</v>
      </c>
      <c r="BW7" s="113" t="s">
        <v>8</v>
      </c>
      <c r="BX7" s="114" t="s">
        <v>9</v>
      </c>
      <c r="BY7" s="115" t="s">
        <v>10</v>
      </c>
      <c r="BZ7" s="116" t="s">
        <v>11</v>
      </c>
      <c r="CA7" s="266" t="s">
        <v>85</v>
      </c>
    </row>
    <row r="8" spans="1:79" ht="24" customHeight="1" thickBot="1" x14ac:dyDescent="0.4">
      <c r="A8" s="332"/>
      <c r="B8" s="334"/>
      <c r="C8" s="336"/>
      <c r="D8" s="334"/>
      <c r="E8" s="338"/>
      <c r="F8" s="168"/>
      <c r="G8" s="267" t="s">
        <v>6</v>
      </c>
      <c r="H8" s="268"/>
      <c r="I8" s="268"/>
      <c r="J8" s="269"/>
      <c r="K8" s="267" t="s">
        <v>87</v>
      </c>
      <c r="L8" s="268"/>
      <c r="M8" s="268"/>
      <c r="N8" s="269"/>
      <c r="O8" s="267" t="s">
        <v>88</v>
      </c>
      <c r="P8" s="268"/>
      <c r="Q8" s="268"/>
      <c r="R8" s="269"/>
      <c r="S8" s="267" t="s">
        <v>51</v>
      </c>
      <c r="T8" s="268"/>
      <c r="U8" s="268"/>
      <c r="V8" s="269"/>
      <c r="W8" s="267" t="s">
        <v>89</v>
      </c>
      <c r="X8" s="268"/>
      <c r="Y8" s="268"/>
      <c r="Z8" s="269"/>
      <c r="AA8" s="267" t="s">
        <v>31</v>
      </c>
      <c r="AB8" s="268"/>
      <c r="AC8" s="268"/>
      <c r="AD8" s="269"/>
      <c r="AE8" s="267" t="s">
        <v>7</v>
      </c>
      <c r="AF8" s="268"/>
      <c r="AG8" s="268"/>
      <c r="AH8" s="269"/>
      <c r="AI8" s="273" t="s">
        <v>90</v>
      </c>
      <c r="AJ8" s="271"/>
      <c r="AK8" s="271"/>
      <c r="AL8" s="274"/>
      <c r="AM8" s="273" t="s">
        <v>91</v>
      </c>
      <c r="AN8" s="271"/>
      <c r="AO8" s="271"/>
      <c r="AP8" s="274"/>
      <c r="AQ8" s="273" t="s">
        <v>92</v>
      </c>
      <c r="AR8" s="271"/>
      <c r="AS8" s="271"/>
      <c r="AT8" s="274"/>
      <c r="AU8" s="273" t="s">
        <v>101</v>
      </c>
      <c r="AV8" s="271"/>
      <c r="AW8" s="271"/>
      <c r="AX8" s="274"/>
      <c r="AY8" s="273" t="s">
        <v>93</v>
      </c>
      <c r="AZ8" s="271"/>
      <c r="BA8" s="271"/>
      <c r="BB8" s="271"/>
      <c r="BC8" s="271" t="s">
        <v>94</v>
      </c>
      <c r="BD8" s="271"/>
      <c r="BE8" s="271"/>
      <c r="BF8" s="272"/>
      <c r="BG8" s="270" t="s">
        <v>95</v>
      </c>
      <c r="BH8" s="271"/>
      <c r="BI8" s="271"/>
      <c r="BJ8" s="272"/>
      <c r="BK8" s="270" t="s">
        <v>97</v>
      </c>
      <c r="BL8" s="271"/>
      <c r="BM8" s="271"/>
      <c r="BN8" s="129"/>
      <c r="BO8" s="271" t="s">
        <v>96</v>
      </c>
      <c r="BP8" s="271"/>
      <c r="BQ8" s="271"/>
      <c r="BR8" s="272"/>
      <c r="BS8" s="270" t="s">
        <v>98</v>
      </c>
      <c r="BT8" s="271"/>
      <c r="BU8" s="271"/>
      <c r="BV8" s="272"/>
      <c r="BW8" s="273" t="s">
        <v>103</v>
      </c>
      <c r="BX8" s="271"/>
      <c r="BY8" s="271"/>
      <c r="BZ8" s="272"/>
      <c r="CA8" s="266"/>
    </row>
    <row r="9" spans="1:79" ht="21.75" customHeight="1" x14ac:dyDescent="0.35">
      <c r="A9" s="90">
        <f>IF('Q4'!A15="","",'Q4'!A15)</f>
        <v>1</v>
      </c>
      <c r="B9" s="90" t="str">
        <f>IF('Q3'!B15="","",'Q3'!B15)</f>
        <v>Sor Ketryawin</v>
      </c>
      <c r="C9" s="90" t="str">
        <f>IF('Q3'!C15="","",'Q3'!C15)</f>
        <v>ស កេតទ្រីយ៉ាវីន</v>
      </c>
      <c r="D9" s="90" t="str">
        <f>IF('Q3'!D15="","",'Q3'!D15)</f>
        <v>F</v>
      </c>
      <c r="E9" s="90">
        <f>IF('Q3'!E15="","",'Q3'!E15)</f>
        <v>691</v>
      </c>
      <c r="F9" s="90" t="str">
        <f>IF('Q3'!F15="","",'Q3'!F15)</f>
        <v>I</v>
      </c>
      <c r="G9" s="117" t="s">
        <v>196</v>
      </c>
      <c r="H9" s="118" t="s">
        <v>197</v>
      </c>
      <c r="I9" s="117" t="s">
        <v>195</v>
      </c>
      <c r="J9" s="118" t="s">
        <v>164</v>
      </c>
      <c r="K9" s="119" t="s">
        <v>262</v>
      </c>
      <c r="L9" s="118" t="s">
        <v>263</v>
      </c>
      <c r="M9" s="119" t="s">
        <v>264</v>
      </c>
      <c r="N9" s="118" t="s">
        <v>268</v>
      </c>
      <c r="O9" s="119" t="s">
        <v>187</v>
      </c>
      <c r="P9" s="118" t="s">
        <v>188</v>
      </c>
      <c r="Q9" s="119" t="s">
        <v>189</v>
      </c>
      <c r="R9" s="118" t="s">
        <v>190</v>
      </c>
      <c r="S9" s="119" t="s">
        <v>196</v>
      </c>
      <c r="T9" s="118" t="s">
        <v>220</v>
      </c>
      <c r="U9" s="119" t="s">
        <v>195</v>
      </c>
      <c r="V9" s="118" t="s">
        <v>162</v>
      </c>
      <c r="W9" s="119"/>
      <c r="X9" s="118"/>
      <c r="Y9" s="119"/>
      <c r="Z9" s="118"/>
      <c r="AA9" s="119" t="s">
        <v>269</v>
      </c>
      <c r="AB9" s="118" t="s">
        <v>270</v>
      </c>
      <c r="AC9" s="120" t="s">
        <v>271</v>
      </c>
      <c r="AD9" s="121" t="s">
        <v>215</v>
      </c>
      <c r="AE9" s="122" t="s">
        <v>196</v>
      </c>
      <c r="AF9" s="121" t="s">
        <v>220</v>
      </c>
      <c r="AG9" s="123" t="s">
        <v>195</v>
      </c>
      <c r="AH9" s="124" t="s">
        <v>162</v>
      </c>
      <c r="AI9" s="117" t="s">
        <v>196</v>
      </c>
      <c r="AJ9" s="118" t="s">
        <v>197</v>
      </c>
      <c r="AK9" s="119" t="s">
        <v>195</v>
      </c>
      <c r="AL9" s="118" t="s">
        <v>164</v>
      </c>
      <c r="AM9" s="119"/>
      <c r="AN9" s="118"/>
      <c r="AO9" s="119"/>
      <c r="AP9" s="118"/>
      <c r="AQ9" s="119" t="s">
        <v>146</v>
      </c>
      <c r="AR9" s="118" t="s">
        <v>252</v>
      </c>
      <c r="AS9" s="119" t="s">
        <v>253</v>
      </c>
      <c r="AT9" s="118" t="s">
        <v>254</v>
      </c>
      <c r="AU9" s="119" t="s">
        <v>146</v>
      </c>
      <c r="AV9" s="118" t="s">
        <v>252</v>
      </c>
      <c r="AW9" s="119" t="s">
        <v>253</v>
      </c>
      <c r="AX9" s="118" t="s">
        <v>254</v>
      </c>
      <c r="AY9" s="119" t="s">
        <v>146</v>
      </c>
      <c r="AZ9" s="118" t="s">
        <v>252</v>
      </c>
      <c r="BA9" s="119" t="s">
        <v>253</v>
      </c>
      <c r="BB9" s="118" t="s">
        <v>254</v>
      </c>
      <c r="BC9" s="119" t="s">
        <v>146</v>
      </c>
      <c r="BD9" s="118" t="s">
        <v>252</v>
      </c>
      <c r="BE9" s="119" t="s">
        <v>253</v>
      </c>
      <c r="BF9" s="118" t="s">
        <v>254</v>
      </c>
      <c r="BG9" s="119" t="s">
        <v>146</v>
      </c>
      <c r="BH9" s="118" t="s">
        <v>252</v>
      </c>
      <c r="BI9" s="119" t="s">
        <v>253</v>
      </c>
      <c r="BJ9" s="118" t="s">
        <v>254</v>
      </c>
      <c r="BK9" s="119" t="s">
        <v>146</v>
      </c>
      <c r="BL9" s="118" t="s">
        <v>252</v>
      </c>
      <c r="BM9" s="119" t="s">
        <v>253</v>
      </c>
      <c r="BN9" s="118" t="s">
        <v>254</v>
      </c>
      <c r="BO9" s="119" t="s">
        <v>146</v>
      </c>
      <c r="BP9" s="118" t="s">
        <v>252</v>
      </c>
      <c r="BQ9" s="119" t="s">
        <v>253</v>
      </c>
      <c r="BR9" s="118" t="s">
        <v>254</v>
      </c>
      <c r="BS9" s="119" t="s">
        <v>146</v>
      </c>
      <c r="BT9" s="118" t="s">
        <v>252</v>
      </c>
      <c r="BU9" s="119" t="s">
        <v>253</v>
      </c>
      <c r="BV9" s="118" t="s">
        <v>254</v>
      </c>
      <c r="BW9" s="119" t="s">
        <v>146</v>
      </c>
      <c r="BX9" s="118" t="s">
        <v>252</v>
      </c>
      <c r="BY9" s="119" t="s">
        <v>253</v>
      </c>
      <c r="BZ9" s="118" t="s">
        <v>254</v>
      </c>
      <c r="CA9" s="128" t="str">
        <f>IF(OR(B9="",$C$2=""),"",$C$2)</f>
        <v>1A</v>
      </c>
    </row>
    <row r="10" spans="1:79" ht="30" customHeight="1" x14ac:dyDescent="0.35">
      <c r="A10" s="90">
        <f>IF('Q4'!A16="","",'Q4'!A16)</f>
        <v>2</v>
      </c>
      <c r="B10" s="90" t="str">
        <f>IF('Q3'!B16="","",'Q3'!B16)</f>
        <v>Ly Sovannarith</v>
      </c>
      <c r="C10" s="90" t="str">
        <f>IF('Q3'!C16="","",'Q3'!C16)</f>
        <v>លី សុវណ្ណារិទ្ធ</v>
      </c>
      <c r="D10" s="90" t="str">
        <f>IF('Q3'!D16="","",'Q3'!D16)</f>
        <v>M</v>
      </c>
      <c r="E10" s="90">
        <f>IF('Q3'!E16="","",'Q3'!E16)</f>
        <v>689</v>
      </c>
      <c r="F10" s="90" t="str">
        <f>IF('Q3'!F16="","",'Q3'!F16)</f>
        <v>I</v>
      </c>
      <c r="G10" s="117" t="s">
        <v>191</v>
      </c>
      <c r="H10" s="118" t="s">
        <v>205</v>
      </c>
      <c r="I10" s="117" t="s">
        <v>221</v>
      </c>
      <c r="J10" s="118" t="s">
        <v>164</v>
      </c>
      <c r="K10" s="119" t="s">
        <v>262</v>
      </c>
      <c r="L10" s="118" t="s">
        <v>263</v>
      </c>
      <c r="M10" s="119" t="s">
        <v>264</v>
      </c>
      <c r="N10" s="118" t="s">
        <v>268</v>
      </c>
      <c r="O10" s="119" t="s">
        <v>191</v>
      </c>
      <c r="P10" s="118" t="s">
        <v>188</v>
      </c>
      <c r="Q10" s="119" t="s">
        <v>192</v>
      </c>
      <c r="R10" s="118" t="s">
        <v>190</v>
      </c>
      <c r="S10" s="119" t="s">
        <v>196</v>
      </c>
      <c r="T10" s="118" t="s">
        <v>220</v>
      </c>
      <c r="U10" s="119" t="s">
        <v>195</v>
      </c>
      <c r="V10" s="118" t="s">
        <v>162</v>
      </c>
      <c r="W10" s="119"/>
      <c r="X10" s="118"/>
      <c r="Y10" s="119"/>
      <c r="Z10" s="118"/>
      <c r="AA10" s="119" t="s">
        <v>269</v>
      </c>
      <c r="AB10" s="118" t="s">
        <v>270</v>
      </c>
      <c r="AC10" s="120" t="s">
        <v>271</v>
      </c>
      <c r="AD10" s="121" t="s">
        <v>215</v>
      </c>
      <c r="AE10" s="122" t="s">
        <v>196</v>
      </c>
      <c r="AF10" s="121" t="s">
        <v>220</v>
      </c>
      <c r="AG10" s="123" t="s">
        <v>195</v>
      </c>
      <c r="AH10" s="124" t="s">
        <v>162</v>
      </c>
      <c r="AI10" s="117" t="s">
        <v>191</v>
      </c>
      <c r="AJ10" s="118" t="s">
        <v>205</v>
      </c>
      <c r="AK10" s="119" t="s">
        <v>221</v>
      </c>
      <c r="AL10" s="118" t="s">
        <v>164</v>
      </c>
      <c r="AM10" s="119"/>
      <c r="AN10" s="118"/>
      <c r="AO10" s="119"/>
      <c r="AP10" s="118"/>
      <c r="AQ10" s="119" t="s">
        <v>146</v>
      </c>
      <c r="AR10" s="118" t="s">
        <v>255</v>
      </c>
      <c r="AS10" s="119" t="s">
        <v>256</v>
      </c>
      <c r="AT10" s="118" t="s">
        <v>254</v>
      </c>
      <c r="AU10" s="119" t="s">
        <v>146</v>
      </c>
      <c r="AV10" s="118" t="s">
        <v>255</v>
      </c>
      <c r="AW10" s="119" t="s">
        <v>256</v>
      </c>
      <c r="AX10" s="118" t="s">
        <v>254</v>
      </c>
      <c r="AY10" s="119" t="s">
        <v>146</v>
      </c>
      <c r="AZ10" s="118" t="s">
        <v>255</v>
      </c>
      <c r="BA10" s="119" t="s">
        <v>256</v>
      </c>
      <c r="BB10" s="118" t="s">
        <v>254</v>
      </c>
      <c r="BC10" s="119" t="s">
        <v>146</v>
      </c>
      <c r="BD10" s="118" t="s">
        <v>255</v>
      </c>
      <c r="BE10" s="119" t="s">
        <v>256</v>
      </c>
      <c r="BF10" s="118" t="s">
        <v>254</v>
      </c>
      <c r="BG10" s="119" t="s">
        <v>146</v>
      </c>
      <c r="BH10" s="118" t="s">
        <v>255</v>
      </c>
      <c r="BI10" s="119" t="s">
        <v>256</v>
      </c>
      <c r="BJ10" s="118" t="s">
        <v>254</v>
      </c>
      <c r="BK10" s="119" t="s">
        <v>146</v>
      </c>
      <c r="BL10" s="118" t="s">
        <v>255</v>
      </c>
      <c r="BM10" s="119" t="s">
        <v>256</v>
      </c>
      <c r="BN10" s="118" t="s">
        <v>254</v>
      </c>
      <c r="BO10" s="119" t="s">
        <v>146</v>
      </c>
      <c r="BP10" s="118" t="s">
        <v>255</v>
      </c>
      <c r="BQ10" s="119" t="s">
        <v>256</v>
      </c>
      <c r="BR10" s="118" t="s">
        <v>254</v>
      </c>
      <c r="BS10" s="119" t="s">
        <v>146</v>
      </c>
      <c r="BT10" s="118" t="s">
        <v>255</v>
      </c>
      <c r="BU10" s="119" t="s">
        <v>256</v>
      </c>
      <c r="BV10" s="118" t="s">
        <v>254</v>
      </c>
      <c r="BW10" s="119" t="s">
        <v>146</v>
      </c>
      <c r="BX10" s="118" t="s">
        <v>255</v>
      </c>
      <c r="BY10" s="119" t="s">
        <v>256</v>
      </c>
      <c r="BZ10" s="118" t="s">
        <v>254</v>
      </c>
      <c r="CA10" s="128" t="str">
        <f t="shared" ref="CA10:CA60" si="0">IF(OR(B10="",$C$2=""),"",$C$2)</f>
        <v>1A</v>
      </c>
    </row>
    <row r="11" spans="1:79" ht="30" customHeight="1" x14ac:dyDescent="0.35">
      <c r="A11" s="90">
        <f>IF('Q4'!A17="","",'Q4'!A17)</f>
        <v>3</v>
      </c>
      <c r="B11" s="90" t="str">
        <f>IF('Q3'!B17="","",'Q3'!B17)</f>
        <v>Phal Mengly</v>
      </c>
      <c r="C11" s="90" t="str">
        <f>IF('Q3'!C17="","",'Q3'!C17)</f>
        <v>ផល ម៉េងលី</v>
      </c>
      <c r="D11" s="90" t="str">
        <f>IF('Q3'!D17="","",'Q3'!D17)</f>
        <v>M</v>
      </c>
      <c r="E11" s="90">
        <f>IF('Q3'!E17="","",'Q3'!E17)</f>
        <v>688</v>
      </c>
      <c r="F11" s="90" t="str">
        <f>IF('Q3'!F17="","",'Q3'!F17)</f>
        <v>I</v>
      </c>
      <c r="G11" s="117" t="s">
        <v>188</v>
      </c>
      <c r="H11" s="118" t="s">
        <v>188</v>
      </c>
      <c r="I11" s="117" t="s">
        <v>209</v>
      </c>
      <c r="J11" s="118" t="s">
        <v>164</v>
      </c>
      <c r="K11" s="119" t="s">
        <v>262</v>
      </c>
      <c r="L11" s="118" t="s">
        <v>263</v>
      </c>
      <c r="M11" s="119" t="s">
        <v>264</v>
      </c>
      <c r="N11" s="118" t="s">
        <v>268</v>
      </c>
      <c r="O11" s="119" t="s">
        <v>193</v>
      </c>
      <c r="P11" s="118" t="s">
        <v>194</v>
      </c>
      <c r="Q11" s="119" t="s">
        <v>195</v>
      </c>
      <c r="R11" s="118" t="s">
        <v>190</v>
      </c>
      <c r="S11" s="119" t="s">
        <v>196</v>
      </c>
      <c r="T11" s="118" t="s">
        <v>220</v>
      </c>
      <c r="U11" s="119" t="s">
        <v>195</v>
      </c>
      <c r="V11" s="118" t="s">
        <v>162</v>
      </c>
      <c r="W11" s="119"/>
      <c r="X11" s="118"/>
      <c r="Y11" s="119"/>
      <c r="Z11" s="118"/>
      <c r="AA11" s="119" t="s">
        <v>269</v>
      </c>
      <c r="AB11" s="118" t="s">
        <v>270</v>
      </c>
      <c r="AC11" s="120" t="s">
        <v>271</v>
      </c>
      <c r="AD11" s="121" t="s">
        <v>215</v>
      </c>
      <c r="AE11" s="122" t="s">
        <v>196</v>
      </c>
      <c r="AF11" s="121" t="s">
        <v>220</v>
      </c>
      <c r="AG11" s="123" t="s">
        <v>195</v>
      </c>
      <c r="AH11" s="124" t="s">
        <v>162</v>
      </c>
      <c r="AI11" s="117" t="s">
        <v>188</v>
      </c>
      <c r="AJ11" s="118" t="s">
        <v>188</v>
      </c>
      <c r="AK11" s="119" t="s">
        <v>209</v>
      </c>
      <c r="AL11" s="118" t="s">
        <v>164</v>
      </c>
      <c r="AM11" s="119"/>
      <c r="AN11" s="118"/>
      <c r="AO11" s="119"/>
      <c r="AP11" s="118"/>
      <c r="AQ11" s="119" t="s">
        <v>146</v>
      </c>
      <c r="AR11" s="118" t="s">
        <v>255</v>
      </c>
      <c r="AS11" s="119" t="s">
        <v>256</v>
      </c>
      <c r="AT11" s="118" t="s">
        <v>254</v>
      </c>
      <c r="AU11" s="119" t="s">
        <v>146</v>
      </c>
      <c r="AV11" s="118" t="s">
        <v>255</v>
      </c>
      <c r="AW11" s="119" t="s">
        <v>256</v>
      </c>
      <c r="AX11" s="118" t="s">
        <v>254</v>
      </c>
      <c r="AY11" s="119" t="s">
        <v>146</v>
      </c>
      <c r="AZ11" s="118" t="s">
        <v>255</v>
      </c>
      <c r="BA11" s="119" t="s">
        <v>256</v>
      </c>
      <c r="BB11" s="118" t="s">
        <v>254</v>
      </c>
      <c r="BC11" s="119" t="s">
        <v>146</v>
      </c>
      <c r="BD11" s="118" t="s">
        <v>255</v>
      </c>
      <c r="BE11" s="119" t="s">
        <v>256</v>
      </c>
      <c r="BF11" s="118" t="s">
        <v>254</v>
      </c>
      <c r="BG11" s="119" t="s">
        <v>146</v>
      </c>
      <c r="BH11" s="118" t="s">
        <v>255</v>
      </c>
      <c r="BI11" s="119" t="s">
        <v>256</v>
      </c>
      <c r="BJ11" s="118" t="s">
        <v>254</v>
      </c>
      <c r="BK11" s="119" t="s">
        <v>146</v>
      </c>
      <c r="BL11" s="118" t="s">
        <v>255</v>
      </c>
      <c r="BM11" s="119" t="s">
        <v>256</v>
      </c>
      <c r="BN11" s="118" t="s">
        <v>254</v>
      </c>
      <c r="BO11" s="119" t="s">
        <v>146</v>
      </c>
      <c r="BP11" s="118" t="s">
        <v>255</v>
      </c>
      <c r="BQ11" s="119" t="s">
        <v>256</v>
      </c>
      <c r="BR11" s="118" t="s">
        <v>254</v>
      </c>
      <c r="BS11" s="119" t="s">
        <v>146</v>
      </c>
      <c r="BT11" s="118" t="s">
        <v>255</v>
      </c>
      <c r="BU11" s="119" t="s">
        <v>256</v>
      </c>
      <c r="BV11" s="118" t="s">
        <v>254</v>
      </c>
      <c r="BW11" s="119" t="s">
        <v>146</v>
      </c>
      <c r="BX11" s="118" t="s">
        <v>255</v>
      </c>
      <c r="BY11" s="119" t="s">
        <v>256</v>
      </c>
      <c r="BZ11" s="118" t="s">
        <v>254</v>
      </c>
      <c r="CA11" s="128" t="str">
        <f t="shared" si="0"/>
        <v>1A</v>
      </c>
    </row>
    <row r="12" spans="1:79" ht="30" customHeight="1" x14ac:dyDescent="0.35">
      <c r="A12" s="90">
        <f>IF('Q4'!A18="","",'Q4'!A18)</f>
        <v>4</v>
      </c>
      <c r="B12" s="90" t="str">
        <f>IF('Q3'!B18="","",'Q3'!B18)</f>
        <v>Song Santharasatya</v>
      </c>
      <c r="C12" s="90" t="str">
        <f>IF('Q3'!C18="","",'Q3'!C18)</f>
        <v>សុង សន្ទរសត្យា</v>
      </c>
      <c r="D12" s="90" t="str">
        <f>IF('Q3'!D18="","",'Q3'!D18)</f>
        <v>M</v>
      </c>
      <c r="E12" s="90">
        <f>IF('Q3'!E18="","",'Q3'!E18)</f>
        <v>693</v>
      </c>
      <c r="F12" s="90" t="str">
        <f>IF('Q3'!F18="","",'Q3'!F18)</f>
        <v>I</v>
      </c>
      <c r="G12" s="117" t="s">
        <v>196</v>
      </c>
      <c r="H12" s="118" t="s">
        <v>197</v>
      </c>
      <c r="I12" s="117" t="s">
        <v>195</v>
      </c>
      <c r="J12" s="118" t="s">
        <v>164</v>
      </c>
      <c r="K12" s="119" t="s">
        <v>265</v>
      </c>
      <c r="L12" s="118" t="s">
        <v>263</v>
      </c>
      <c r="M12" s="119" t="s">
        <v>264</v>
      </c>
      <c r="N12" s="118" t="s">
        <v>268</v>
      </c>
      <c r="O12" s="119" t="s">
        <v>196</v>
      </c>
      <c r="P12" s="118" t="s">
        <v>197</v>
      </c>
      <c r="Q12" s="119" t="s">
        <v>198</v>
      </c>
      <c r="R12" s="118" t="s">
        <v>190</v>
      </c>
      <c r="S12" s="119" t="s">
        <v>196</v>
      </c>
      <c r="T12" s="118" t="s">
        <v>220</v>
      </c>
      <c r="U12" s="119" t="s">
        <v>195</v>
      </c>
      <c r="V12" s="118" t="s">
        <v>162</v>
      </c>
      <c r="W12" s="119"/>
      <c r="X12" s="118"/>
      <c r="Y12" s="119"/>
      <c r="Z12" s="118"/>
      <c r="AA12" s="119" t="s">
        <v>269</v>
      </c>
      <c r="AB12" s="118" t="s">
        <v>270</v>
      </c>
      <c r="AC12" s="120" t="s">
        <v>271</v>
      </c>
      <c r="AD12" s="121" t="s">
        <v>215</v>
      </c>
      <c r="AE12" s="122" t="s">
        <v>196</v>
      </c>
      <c r="AF12" s="121" t="s">
        <v>220</v>
      </c>
      <c r="AG12" s="123" t="s">
        <v>195</v>
      </c>
      <c r="AH12" s="124" t="s">
        <v>162</v>
      </c>
      <c r="AI12" s="117" t="s">
        <v>196</v>
      </c>
      <c r="AJ12" s="118" t="s">
        <v>197</v>
      </c>
      <c r="AK12" s="119" t="s">
        <v>195</v>
      </c>
      <c r="AL12" s="118" t="s">
        <v>164</v>
      </c>
      <c r="AM12" s="119"/>
      <c r="AN12" s="118"/>
      <c r="AO12" s="119"/>
      <c r="AP12" s="118"/>
      <c r="AQ12" s="119" t="s">
        <v>146</v>
      </c>
      <c r="AR12" s="118" t="s">
        <v>252</v>
      </c>
      <c r="AS12" s="119" t="s">
        <v>257</v>
      </c>
      <c r="AT12" s="118" t="s">
        <v>254</v>
      </c>
      <c r="AU12" s="119" t="s">
        <v>146</v>
      </c>
      <c r="AV12" s="118" t="s">
        <v>252</v>
      </c>
      <c r="AW12" s="119" t="s">
        <v>257</v>
      </c>
      <c r="AX12" s="118" t="s">
        <v>254</v>
      </c>
      <c r="AY12" s="119" t="s">
        <v>146</v>
      </c>
      <c r="AZ12" s="118" t="s">
        <v>252</v>
      </c>
      <c r="BA12" s="119" t="s">
        <v>257</v>
      </c>
      <c r="BB12" s="118" t="s">
        <v>254</v>
      </c>
      <c r="BC12" s="119" t="s">
        <v>146</v>
      </c>
      <c r="BD12" s="118" t="s">
        <v>252</v>
      </c>
      <c r="BE12" s="119" t="s">
        <v>257</v>
      </c>
      <c r="BF12" s="118" t="s">
        <v>254</v>
      </c>
      <c r="BG12" s="119" t="s">
        <v>146</v>
      </c>
      <c r="BH12" s="118" t="s">
        <v>252</v>
      </c>
      <c r="BI12" s="119" t="s">
        <v>257</v>
      </c>
      <c r="BJ12" s="118" t="s">
        <v>254</v>
      </c>
      <c r="BK12" s="119" t="s">
        <v>146</v>
      </c>
      <c r="BL12" s="118" t="s">
        <v>252</v>
      </c>
      <c r="BM12" s="119" t="s">
        <v>257</v>
      </c>
      <c r="BN12" s="118" t="s">
        <v>254</v>
      </c>
      <c r="BO12" s="119" t="s">
        <v>146</v>
      </c>
      <c r="BP12" s="118" t="s">
        <v>252</v>
      </c>
      <c r="BQ12" s="119" t="s">
        <v>257</v>
      </c>
      <c r="BR12" s="118" t="s">
        <v>254</v>
      </c>
      <c r="BS12" s="119" t="s">
        <v>146</v>
      </c>
      <c r="BT12" s="118" t="s">
        <v>252</v>
      </c>
      <c r="BU12" s="119" t="s">
        <v>257</v>
      </c>
      <c r="BV12" s="118" t="s">
        <v>254</v>
      </c>
      <c r="BW12" s="119" t="s">
        <v>146</v>
      </c>
      <c r="BX12" s="118" t="s">
        <v>252</v>
      </c>
      <c r="BY12" s="119" t="s">
        <v>257</v>
      </c>
      <c r="BZ12" s="118" t="s">
        <v>254</v>
      </c>
      <c r="CA12" s="128" t="str">
        <f t="shared" si="0"/>
        <v>1A</v>
      </c>
    </row>
    <row r="13" spans="1:79" ht="30" customHeight="1" x14ac:dyDescent="0.35">
      <c r="A13" s="90">
        <f>IF('Q4'!A19="","",'Q4'!A19)</f>
        <v>5</v>
      </c>
      <c r="B13" s="90" t="str">
        <f>IF('Q3'!B19="","",'Q3'!B19)</f>
        <v>Heng Bunpiseth</v>
      </c>
      <c r="C13" s="90" t="str">
        <f>IF('Q3'!C19="","",'Q3'!C19)</f>
        <v>ហេង ប៊ុនពិសិដ្ឋ</v>
      </c>
      <c r="D13" s="90" t="str">
        <f>IF('Q3'!D19="","",'Q3'!D19)</f>
        <v>M</v>
      </c>
      <c r="E13" s="90">
        <f>IF('Q3'!E19="","",'Q3'!E19)</f>
        <v>694</v>
      </c>
      <c r="F13" s="90" t="str">
        <f>IF('Q3'!F19="","",'Q3'!F19)</f>
        <v>I</v>
      </c>
      <c r="G13" s="117" t="s">
        <v>191</v>
      </c>
      <c r="H13" s="118" t="s">
        <v>188</v>
      </c>
      <c r="I13" s="117" t="s">
        <v>195</v>
      </c>
      <c r="J13" s="118" t="s">
        <v>164</v>
      </c>
      <c r="K13" s="119" t="s">
        <v>262</v>
      </c>
      <c r="L13" s="118" t="s">
        <v>263</v>
      </c>
      <c r="M13" s="119" t="s">
        <v>264</v>
      </c>
      <c r="N13" s="118" t="s">
        <v>268</v>
      </c>
      <c r="O13" s="119" t="s">
        <v>199</v>
      </c>
      <c r="P13" s="118" t="s">
        <v>200</v>
      </c>
      <c r="Q13" s="119" t="s">
        <v>192</v>
      </c>
      <c r="R13" s="118" t="s">
        <v>190</v>
      </c>
      <c r="S13" s="119" t="s">
        <v>196</v>
      </c>
      <c r="T13" s="118" t="s">
        <v>220</v>
      </c>
      <c r="U13" s="119" t="s">
        <v>195</v>
      </c>
      <c r="V13" s="118" t="s">
        <v>162</v>
      </c>
      <c r="W13" s="119"/>
      <c r="X13" s="118"/>
      <c r="Y13" s="119"/>
      <c r="Z13" s="118"/>
      <c r="AA13" s="119" t="s">
        <v>213</v>
      </c>
      <c r="AB13" s="118" t="s">
        <v>270</v>
      </c>
      <c r="AC13" s="120" t="s">
        <v>271</v>
      </c>
      <c r="AD13" s="121" t="s">
        <v>215</v>
      </c>
      <c r="AE13" s="122" t="s">
        <v>196</v>
      </c>
      <c r="AF13" s="121" t="s">
        <v>220</v>
      </c>
      <c r="AG13" s="123" t="s">
        <v>195</v>
      </c>
      <c r="AH13" s="124" t="s">
        <v>162</v>
      </c>
      <c r="AI13" s="117" t="s">
        <v>191</v>
      </c>
      <c r="AJ13" s="118" t="s">
        <v>188</v>
      </c>
      <c r="AK13" s="119" t="s">
        <v>195</v>
      </c>
      <c r="AL13" s="118" t="s">
        <v>164</v>
      </c>
      <c r="AM13" s="119"/>
      <c r="AN13" s="118"/>
      <c r="AO13" s="119"/>
      <c r="AP13" s="118"/>
      <c r="AQ13" s="119" t="s">
        <v>145</v>
      </c>
      <c r="AR13" s="118" t="s">
        <v>255</v>
      </c>
      <c r="AS13" s="119" t="s">
        <v>256</v>
      </c>
      <c r="AT13" s="118" t="s">
        <v>254</v>
      </c>
      <c r="AU13" s="119" t="s">
        <v>145</v>
      </c>
      <c r="AV13" s="118" t="s">
        <v>255</v>
      </c>
      <c r="AW13" s="119" t="s">
        <v>256</v>
      </c>
      <c r="AX13" s="118" t="s">
        <v>254</v>
      </c>
      <c r="AY13" s="119" t="s">
        <v>145</v>
      </c>
      <c r="AZ13" s="118" t="s">
        <v>255</v>
      </c>
      <c r="BA13" s="119" t="s">
        <v>256</v>
      </c>
      <c r="BB13" s="118" t="s">
        <v>254</v>
      </c>
      <c r="BC13" s="119" t="s">
        <v>145</v>
      </c>
      <c r="BD13" s="118" t="s">
        <v>255</v>
      </c>
      <c r="BE13" s="119" t="s">
        <v>256</v>
      </c>
      <c r="BF13" s="118" t="s">
        <v>254</v>
      </c>
      <c r="BG13" s="119" t="s">
        <v>145</v>
      </c>
      <c r="BH13" s="118" t="s">
        <v>255</v>
      </c>
      <c r="BI13" s="119" t="s">
        <v>256</v>
      </c>
      <c r="BJ13" s="118" t="s">
        <v>254</v>
      </c>
      <c r="BK13" s="119" t="s">
        <v>145</v>
      </c>
      <c r="BL13" s="118" t="s">
        <v>255</v>
      </c>
      <c r="BM13" s="119" t="s">
        <v>256</v>
      </c>
      <c r="BN13" s="118" t="s">
        <v>254</v>
      </c>
      <c r="BO13" s="119" t="s">
        <v>145</v>
      </c>
      <c r="BP13" s="118" t="s">
        <v>255</v>
      </c>
      <c r="BQ13" s="119" t="s">
        <v>256</v>
      </c>
      <c r="BR13" s="118" t="s">
        <v>254</v>
      </c>
      <c r="BS13" s="119" t="s">
        <v>145</v>
      </c>
      <c r="BT13" s="118" t="s">
        <v>255</v>
      </c>
      <c r="BU13" s="119" t="s">
        <v>256</v>
      </c>
      <c r="BV13" s="118" t="s">
        <v>254</v>
      </c>
      <c r="BW13" s="119" t="s">
        <v>145</v>
      </c>
      <c r="BX13" s="118" t="s">
        <v>255</v>
      </c>
      <c r="BY13" s="119" t="s">
        <v>256</v>
      </c>
      <c r="BZ13" s="118" t="s">
        <v>254</v>
      </c>
      <c r="CA13" s="128" t="str">
        <f t="shared" si="0"/>
        <v>1A</v>
      </c>
    </row>
    <row r="14" spans="1:79" ht="30" customHeight="1" x14ac:dyDescent="0.35">
      <c r="A14" s="90">
        <f>IF('Q4'!A20="","",'Q4'!A20)</f>
        <v>6</v>
      </c>
      <c r="B14" s="90" t="str">
        <f>IF('Q3'!B20="","",'Q3'!B20)</f>
        <v>Pheng Meili</v>
      </c>
      <c r="C14" s="90" t="str">
        <f>IF('Q3'!C20="","",'Q3'!C20)</f>
        <v>ផេង ម៉ីលី</v>
      </c>
      <c r="D14" s="90" t="str">
        <f>IF('Q3'!D20="","",'Q3'!D20)</f>
        <v>F</v>
      </c>
      <c r="E14" s="90">
        <f>IF('Q3'!E20="","",'Q3'!E20)</f>
        <v>720</v>
      </c>
      <c r="F14" s="90" t="str">
        <f>IF('Q3'!F20="","",'Q3'!F20)</f>
        <v>I</v>
      </c>
      <c r="G14" s="117" t="s">
        <v>196</v>
      </c>
      <c r="H14" s="118" t="s">
        <v>197</v>
      </c>
      <c r="I14" s="117" t="s">
        <v>195</v>
      </c>
      <c r="J14" s="118" t="s">
        <v>164</v>
      </c>
      <c r="K14" s="119" t="s">
        <v>262</v>
      </c>
      <c r="L14" s="118" t="s">
        <v>263</v>
      </c>
      <c r="M14" s="119" t="s">
        <v>264</v>
      </c>
      <c r="N14" s="118" t="s">
        <v>268</v>
      </c>
      <c r="O14" s="119" t="s">
        <v>201</v>
      </c>
      <c r="P14" s="118" t="s">
        <v>202</v>
      </c>
      <c r="Q14" s="119" t="s">
        <v>203</v>
      </c>
      <c r="R14" s="118" t="s">
        <v>190</v>
      </c>
      <c r="S14" s="119" t="s">
        <v>196</v>
      </c>
      <c r="T14" s="118" t="s">
        <v>220</v>
      </c>
      <c r="U14" s="119" t="s">
        <v>195</v>
      </c>
      <c r="V14" s="118" t="s">
        <v>162</v>
      </c>
      <c r="W14" s="119"/>
      <c r="X14" s="118"/>
      <c r="Y14" s="119"/>
      <c r="Z14" s="118"/>
      <c r="AA14" s="119" t="s">
        <v>269</v>
      </c>
      <c r="AB14" s="118" t="s">
        <v>270</v>
      </c>
      <c r="AC14" s="120" t="s">
        <v>271</v>
      </c>
      <c r="AD14" s="121" t="s">
        <v>215</v>
      </c>
      <c r="AE14" s="122" t="s">
        <v>196</v>
      </c>
      <c r="AF14" s="121" t="s">
        <v>220</v>
      </c>
      <c r="AG14" s="123" t="s">
        <v>195</v>
      </c>
      <c r="AH14" s="124" t="s">
        <v>162</v>
      </c>
      <c r="AI14" s="117" t="s">
        <v>196</v>
      </c>
      <c r="AJ14" s="118" t="s">
        <v>197</v>
      </c>
      <c r="AK14" s="119" t="s">
        <v>195</v>
      </c>
      <c r="AL14" s="118" t="s">
        <v>164</v>
      </c>
      <c r="AM14" s="119"/>
      <c r="AN14" s="118"/>
      <c r="AO14" s="119"/>
      <c r="AP14" s="118"/>
      <c r="AQ14" s="119" t="s">
        <v>146</v>
      </c>
      <c r="AR14" s="118" t="s">
        <v>258</v>
      </c>
      <c r="AS14" s="119" t="s">
        <v>259</v>
      </c>
      <c r="AT14" s="118" t="s">
        <v>254</v>
      </c>
      <c r="AU14" s="119" t="s">
        <v>146</v>
      </c>
      <c r="AV14" s="118" t="s">
        <v>258</v>
      </c>
      <c r="AW14" s="119" t="s">
        <v>259</v>
      </c>
      <c r="AX14" s="118" t="s">
        <v>254</v>
      </c>
      <c r="AY14" s="119" t="s">
        <v>146</v>
      </c>
      <c r="AZ14" s="118" t="s">
        <v>258</v>
      </c>
      <c r="BA14" s="119" t="s">
        <v>259</v>
      </c>
      <c r="BB14" s="118" t="s">
        <v>254</v>
      </c>
      <c r="BC14" s="119" t="s">
        <v>146</v>
      </c>
      <c r="BD14" s="118" t="s">
        <v>258</v>
      </c>
      <c r="BE14" s="119" t="s">
        <v>259</v>
      </c>
      <c r="BF14" s="118" t="s">
        <v>254</v>
      </c>
      <c r="BG14" s="119" t="s">
        <v>146</v>
      </c>
      <c r="BH14" s="118" t="s">
        <v>258</v>
      </c>
      <c r="BI14" s="119" t="s">
        <v>259</v>
      </c>
      <c r="BJ14" s="118" t="s">
        <v>254</v>
      </c>
      <c r="BK14" s="119" t="s">
        <v>146</v>
      </c>
      <c r="BL14" s="118" t="s">
        <v>258</v>
      </c>
      <c r="BM14" s="119" t="s">
        <v>259</v>
      </c>
      <c r="BN14" s="118" t="s">
        <v>254</v>
      </c>
      <c r="BO14" s="119" t="s">
        <v>146</v>
      </c>
      <c r="BP14" s="118" t="s">
        <v>258</v>
      </c>
      <c r="BQ14" s="119" t="s">
        <v>259</v>
      </c>
      <c r="BR14" s="118" t="s">
        <v>254</v>
      </c>
      <c r="BS14" s="119" t="s">
        <v>146</v>
      </c>
      <c r="BT14" s="118" t="s">
        <v>258</v>
      </c>
      <c r="BU14" s="119" t="s">
        <v>259</v>
      </c>
      <c r="BV14" s="118" t="s">
        <v>254</v>
      </c>
      <c r="BW14" s="119" t="s">
        <v>146</v>
      </c>
      <c r="BX14" s="118" t="s">
        <v>258</v>
      </c>
      <c r="BY14" s="119" t="s">
        <v>259</v>
      </c>
      <c r="BZ14" s="118" t="s">
        <v>254</v>
      </c>
      <c r="CA14" s="128" t="str">
        <f t="shared" si="0"/>
        <v>1A</v>
      </c>
    </row>
    <row r="15" spans="1:79" ht="30" customHeight="1" x14ac:dyDescent="0.35">
      <c r="A15" s="90">
        <f>IF('Q4'!A21="","",'Q4'!A21)</f>
        <v>7</v>
      </c>
      <c r="B15" s="90" t="str">
        <f>IF('Q3'!B21="","",'Q3'!B21)</f>
        <v>Vuthy Eanvisal</v>
      </c>
      <c r="C15" s="90" t="str">
        <f>IF('Q3'!C21="","",'Q3'!C21)</f>
        <v>វុទ្ធី អ៊ានវិសាល</v>
      </c>
      <c r="D15" s="90" t="str">
        <f>IF('Q3'!D21="","",'Q3'!D21)</f>
        <v>M</v>
      </c>
      <c r="E15" s="90">
        <f>IF('Q3'!E21="","",'Q3'!E21)</f>
        <v>690</v>
      </c>
      <c r="F15" s="90" t="str">
        <f>IF('Q3'!F21="","",'Q3'!F21)</f>
        <v>I</v>
      </c>
      <c r="G15" s="117" t="s">
        <v>196</v>
      </c>
      <c r="H15" s="118" t="s">
        <v>197</v>
      </c>
      <c r="I15" s="117" t="s">
        <v>195</v>
      </c>
      <c r="J15" s="118" t="s">
        <v>164</v>
      </c>
      <c r="K15" s="119" t="s">
        <v>262</v>
      </c>
      <c r="L15" s="118" t="s">
        <v>266</v>
      </c>
      <c r="M15" s="119" t="s">
        <v>264</v>
      </c>
      <c r="N15" s="118" t="s">
        <v>268</v>
      </c>
      <c r="O15" s="119" t="s">
        <v>204</v>
      </c>
      <c r="P15" s="118" t="s">
        <v>205</v>
      </c>
      <c r="Q15" s="119" t="s">
        <v>198</v>
      </c>
      <c r="R15" s="118" t="s">
        <v>190</v>
      </c>
      <c r="S15" s="119" t="s">
        <v>196</v>
      </c>
      <c r="T15" s="118" t="s">
        <v>220</v>
      </c>
      <c r="U15" s="119" t="s">
        <v>195</v>
      </c>
      <c r="V15" s="118" t="s">
        <v>162</v>
      </c>
      <c r="W15" s="119"/>
      <c r="X15" s="118"/>
      <c r="Y15" s="119"/>
      <c r="Z15" s="118"/>
      <c r="AA15" s="119" t="s">
        <v>269</v>
      </c>
      <c r="AB15" s="118" t="s">
        <v>270</v>
      </c>
      <c r="AC15" s="120" t="s">
        <v>271</v>
      </c>
      <c r="AD15" s="121" t="s">
        <v>215</v>
      </c>
      <c r="AE15" s="122" t="s">
        <v>196</v>
      </c>
      <c r="AF15" s="121" t="s">
        <v>220</v>
      </c>
      <c r="AG15" s="123" t="s">
        <v>195</v>
      </c>
      <c r="AH15" s="124" t="s">
        <v>162</v>
      </c>
      <c r="AI15" s="117" t="s">
        <v>196</v>
      </c>
      <c r="AJ15" s="118" t="s">
        <v>197</v>
      </c>
      <c r="AK15" s="119" t="s">
        <v>195</v>
      </c>
      <c r="AL15" s="118" t="s">
        <v>164</v>
      </c>
      <c r="AM15" s="119"/>
      <c r="AN15" s="118"/>
      <c r="AO15" s="119"/>
      <c r="AP15" s="118"/>
      <c r="AQ15" s="119" t="s">
        <v>146</v>
      </c>
      <c r="AR15" s="118" t="s">
        <v>258</v>
      </c>
      <c r="AS15" s="119" t="s">
        <v>259</v>
      </c>
      <c r="AT15" s="118" t="s">
        <v>254</v>
      </c>
      <c r="AU15" s="119" t="s">
        <v>146</v>
      </c>
      <c r="AV15" s="118" t="s">
        <v>258</v>
      </c>
      <c r="AW15" s="119" t="s">
        <v>259</v>
      </c>
      <c r="AX15" s="118" t="s">
        <v>254</v>
      </c>
      <c r="AY15" s="119" t="s">
        <v>146</v>
      </c>
      <c r="AZ15" s="118" t="s">
        <v>258</v>
      </c>
      <c r="BA15" s="119" t="s">
        <v>259</v>
      </c>
      <c r="BB15" s="118" t="s">
        <v>254</v>
      </c>
      <c r="BC15" s="119" t="s">
        <v>146</v>
      </c>
      <c r="BD15" s="118" t="s">
        <v>258</v>
      </c>
      <c r="BE15" s="119" t="s">
        <v>259</v>
      </c>
      <c r="BF15" s="118" t="s">
        <v>254</v>
      </c>
      <c r="BG15" s="119" t="s">
        <v>146</v>
      </c>
      <c r="BH15" s="118" t="s">
        <v>258</v>
      </c>
      <c r="BI15" s="119" t="s">
        <v>259</v>
      </c>
      <c r="BJ15" s="118" t="s">
        <v>254</v>
      </c>
      <c r="BK15" s="119" t="s">
        <v>146</v>
      </c>
      <c r="BL15" s="118" t="s">
        <v>258</v>
      </c>
      <c r="BM15" s="119" t="s">
        <v>259</v>
      </c>
      <c r="BN15" s="118" t="s">
        <v>254</v>
      </c>
      <c r="BO15" s="119" t="s">
        <v>146</v>
      </c>
      <c r="BP15" s="118" t="s">
        <v>258</v>
      </c>
      <c r="BQ15" s="119" t="s">
        <v>259</v>
      </c>
      <c r="BR15" s="118" t="s">
        <v>254</v>
      </c>
      <c r="BS15" s="119" t="s">
        <v>146</v>
      </c>
      <c r="BT15" s="118" t="s">
        <v>258</v>
      </c>
      <c r="BU15" s="119" t="s">
        <v>259</v>
      </c>
      <c r="BV15" s="118" t="s">
        <v>254</v>
      </c>
      <c r="BW15" s="119" t="s">
        <v>146</v>
      </c>
      <c r="BX15" s="118" t="s">
        <v>258</v>
      </c>
      <c r="BY15" s="119" t="s">
        <v>259</v>
      </c>
      <c r="BZ15" s="118" t="s">
        <v>254</v>
      </c>
      <c r="CA15" s="128" t="str">
        <f t="shared" si="0"/>
        <v>1A</v>
      </c>
    </row>
    <row r="16" spans="1:79" ht="30" customHeight="1" x14ac:dyDescent="0.35">
      <c r="A16" s="90">
        <f>IF('Q4'!A22="","",'Q4'!A22)</f>
        <v>8</v>
      </c>
      <c r="B16" s="90" t="str">
        <f>IF('Q3'!B22="","",'Q3'!B22)</f>
        <v>Dyna Sovanysa</v>
      </c>
      <c r="C16" s="90" t="str">
        <f>IF('Q3'!C22="","",'Q3'!C22)</f>
        <v>ឌីណា សុវណ្ណីហ្សា</v>
      </c>
      <c r="D16" s="90" t="str">
        <f>IF('Q3'!D22="","",'Q3'!D22)</f>
        <v>F</v>
      </c>
      <c r="E16" s="90">
        <f>IF('Q3'!E22="","",'Q3'!E22)</f>
        <v>687</v>
      </c>
      <c r="F16" s="90" t="str">
        <f>IF('Q3'!F22="","",'Q3'!F22)</f>
        <v>I</v>
      </c>
      <c r="G16" s="117" t="s">
        <v>196</v>
      </c>
      <c r="H16" s="118" t="s">
        <v>197</v>
      </c>
      <c r="I16" s="117" t="s">
        <v>195</v>
      </c>
      <c r="J16" s="118" t="s">
        <v>164</v>
      </c>
      <c r="K16" s="119" t="s">
        <v>265</v>
      </c>
      <c r="L16" s="118" t="s">
        <v>263</v>
      </c>
      <c r="M16" s="119" t="s">
        <v>264</v>
      </c>
      <c r="N16" s="118" t="s">
        <v>268</v>
      </c>
      <c r="O16" s="119" t="s">
        <v>206</v>
      </c>
      <c r="P16" s="118" t="s">
        <v>188</v>
      </c>
      <c r="Q16" s="119" t="s">
        <v>198</v>
      </c>
      <c r="R16" s="118" t="s">
        <v>190</v>
      </c>
      <c r="S16" s="119" t="s">
        <v>196</v>
      </c>
      <c r="T16" s="118" t="s">
        <v>220</v>
      </c>
      <c r="U16" s="119" t="s">
        <v>195</v>
      </c>
      <c r="V16" s="118" t="s">
        <v>162</v>
      </c>
      <c r="W16" s="119"/>
      <c r="X16" s="118"/>
      <c r="Y16" s="119"/>
      <c r="Z16" s="118"/>
      <c r="AA16" s="119" t="s">
        <v>269</v>
      </c>
      <c r="AB16" s="118" t="s">
        <v>270</v>
      </c>
      <c r="AC16" s="120" t="s">
        <v>271</v>
      </c>
      <c r="AD16" s="121" t="s">
        <v>215</v>
      </c>
      <c r="AE16" s="122" t="s">
        <v>196</v>
      </c>
      <c r="AF16" s="121" t="s">
        <v>220</v>
      </c>
      <c r="AG16" s="123" t="s">
        <v>195</v>
      </c>
      <c r="AH16" s="124" t="s">
        <v>162</v>
      </c>
      <c r="AI16" s="117" t="s">
        <v>196</v>
      </c>
      <c r="AJ16" s="118" t="s">
        <v>197</v>
      </c>
      <c r="AK16" s="119" t="s">
        <v>195</v>
      </c>
      <c r="AL16" s="118" t="s">
        <v>164</v>
      </c>
      <c r="AM16" s="119"/>
      <c r="AN16" s="118"/>
      <c r="AO16" s="119"/>
      <c r="AP16" s="118"/>
      <c r="AQ16" s="119" t="s">
        <v>146</v>
      </c>
      <c r="AR16" s="118" t="s">
        <v>252</v>
      </c>
      <c r="AS16" s="119" t="s">
        <v>257</v>
      </c>
      <c r="AT16" s="118" t="s">
        <v>254</v>
      </c>
      <c r="AU16" s="119" t="s">
        <v>146</v>
      </c>
      <c r="AV16" s="118" t="s">
        <v>252</v>
      </c>
      <c r="AW16" s="119" t="s">
        <v>257</v>
      </c>
      <c r="AX16" s="118" t="s">
        <v>254</v>
      </c>
      <c r="AY16" s="119" t="s">
        <v>146</v>
      </c>
      <c r="AZ16" s="118" t="s">
        <v>252</v>
      </c>
      <c r="BA16" s="119" t="s">
        <v>257</v>
      </c>
      <c r="BB16" s="118" t="s">
        <v>254</v>
      </c>
      <c r="BC16" s="119" t="s">
        <v>146</v>
      </c>
      <c r="BD16" s="118" t="s">
        <v>252</v>
      </c>
      <c r="BE16" s="119" t="s">
        <v>257</v>
      </c>
      <c r="BF16" s="118" t="s">
        <v>254</v>
      </c>
      <c r="BG16" s="119" t="s">
        <v>146</v>
      </c>
      <c r="BH16" s="118" t="s">
        <v>252</v>
      </c>
      <c r="BI16" s="119" t="s">
        <v>257</v>
      </c>
      <c r="BJ16" s="118" t="s">
        <v>254</v>
      </c>
      <c r="BK16" s="119" t="s">
        <v>146</v>
      </c>
      <c r="BL16" s="118" t="s">
        <v>252</v>
      </c>
      <c r="BM16" s="119" t="s">
        <v>257</v>
      </c>
      <c r="BN16" s="118" t="s">
        <v>254</v>
      </c>
      <c r="BO16" s="119" t="s">
        <v>146</v>
      </c>
      <c r="BP16" s="118" t="s">
        <v>252</v>
      </c>
      <c r="BQ16" s="119" t="s">
        <v>257</v>
      </c>
      <c r="BR16" s="118" t="s">
        <v>254</v>
      </c>
      <c r="BS16" s="119" t="s">
        <v>146</v>
      </c>
      <c r="BT16" s="118" t="s">
        <v>252</v>
      </c>
      <c r="BU16" s="119" t="s">
        <v>257</v>
      </c>
      <c r="BV16" s="118" t="s">
        <v>254</v>
      </c>
      <c r="BW16" s="119" t="s">
        <v>146</v>
      </c>
      <c r="BX16" s="118" t="s">
        <v>252</v>
      </c>
      <c r="BY16" s="119" t="s">
        <v>257</v>
      </c>
      <c r="BZ16" s="118" t="s">
        <v>254</v>
      </c>
      <c r="CA16" s="128" t="str">
        <f t="shared" si="0"/>
        <v>1A</v>
      </c>
    </row>
    <row r="17" spans="1:79" ht="30" customHeight="1" x14ac:dyDescent="0.35">
      <c r="A17" s="90">
        <f>IF('Q4'!A23="","",'Q4'!A23)</f>
        <v>9</v>
      </c>
      <c r="B17" s="90" t="str">
        <f>IF('Q3'!B23="","",'Q3'!B23)</f>
        <v>Sann Visorth</v>
      </c>
      <c r="C17" s="90" t="str">
        <f>IF('Q3'!C23="","",'Q3'!C23)</f>
        <v>សាន វីសុទ្ធ</v>
      </c>
      <c r="D17" s="90" t="str">
        <f>IF('Q3'!D23="","",'Q3'!D23)</f>
        <v>M</v>
      </c>
      <c r="E17" s="90">
        <f>IF('Q3'!E23="","",'Q3'!E23)</f>
        <v>692</v>
      </c>
      <c r="F17" s="90" t="str">
        <f>IF('Q3'!F23="","",'Q3'!F23)</f>
        <v>I</v>
      </c>
      <c r="G17" s="117" t="s">
        <v>191</v>
      </c>
      <c r="H17" s="118" t="s">
        <v>188</v>
      </c>
      <c r="I17" s="117" t="s">
        <v>209</v>
      </c>
      <c r="J17" s="118" t="s">
        <v>164</v>
      </c>
      <c r="K17" s="119" t="s">
        <v>262</v>
      </c>
      <c r="L17" s="118" t="s">
        <v>263</v>
      </c>
      <c r="M17" s="119" t="s">
        <v>264</v>
      </c>
      <c r="N17" s="118" t="s">
        <v>268</v>
      </c>
      <c r="O17" s="119" t="s">
        <v>207</v>
      </c>
      <c r="P17" s="118" t="s">
        <v>208</v>
      </c>
      <c r="Q17" s="119" t="s">
        <v>209</v>
      </c>
      <c r="R17" s="118" t="s">
        <v>190</v>
      </c>
      <c r="S17" s="119" t="s">
        <v>196</v>
      </c>
      <c r="T17" s="118" t="s">
        <v>220</v>
      </c>
      <c r="U17" s="119" t="s">
        <v>195</v>
      </c>
      <c r="V17" s="118" t="s">
        <v>162</v>
      </c>
      <c r="W17" s="119"/>
      <c r="X17" s="118"/>
      <c r="Y17" s="119"/>
      <c r="Z17" s="118"/>
      <c r="AA17" s="119" t="s">
        <v>213</v>
      </c>
      <c r="AB17" s="118" t="s">
        <v>270</v>
      </c>
      <c r="AC17" s="120" t="s">
        <v>271</v>
      </c>
      <c r="AD17" s="121" t="s">
        <v>215</v>
      </c>
      <c r="AE17" s="122" t="s">
        <v>196</v>
      </c>
      <c r="AF17" s="121" t="s">
        <v>220</v>
      </c>
      <c r="AG17" s="123" t="s">
        <v>195</v>
      </c>
      <c r="AH17" s="124" t="s">
        <v>162</v>
      </c>
      <c r="AI17" s="117" t="s">
        <v>191</v>
      </c>
      <c r="AJ17" s="118" t="s">
        <v>188</v>
      </c>
      <c r="AK17" s="119" t="s">
        <v>209</v>
      </c>
      <c r="AL17" s="118" t="s">
        <v>164</v>
      </c>
      <c r="AM17" s="119"/>
      <c r="AN17" s="118"/>
      <c r="AO17" s="119"/>
      <c r="AP17" s="118"/>
      <c r="AQ17" s="119" t="s">
        <v>146</v>
      </c>
      <c r="AR17" s="118" t="s">
        <v>255</v>
      </c>
      <c r="AS17" s="119" t="s">
        <v>256</v>
      </c>
      <c r="AT17" s="118" t="s">
        <v>254</v>
      </c>
      <c r="AU17" s="119" t="s">
        <v>146</v>
      </c>
      <c r="AV17" s="118" t="s">
        <v>255</v>
      </c>
      <c r="AW17" s="119" t="s">
        <v>256</v>
      </c>
      <c r="AX17" s="118" t="s">
        <v>254</v>
      </c>
      <c r="AY17" s="119" t="s">
        <v>146</v>
      </c>
      <c r="AZ17" s="118" t="s">
        <v>255</v>
      </c>
      <c r="BA17" s="119" t="s">
        <v>256</v>
      </c>
      <c r="BB17" s="118" t="s">
        <v>254</v>
      </c>
      <c r="BC17" s="119" t="s">
        <v>146</v>
      </c>
      <c r="BD17" s="118" t="s">
        <v>255</v>
      </c>
      <c r="BE17" s="119" t="s">
        <v>256</v>
      </c>
      <c r="BF17" s="118" t="s">
        <v>254</v>
      </c>
      <c r="BG17" s="119" t="s">
        <v>146</v>
      </c>
      <c r="BH17" s="118" t="s">
        <v>255</v>
      </c>
      <c r="BI17" s="119" t="s">
        <v>256</v>
      </c>
      <c r="BJ17" s="118" t="s">
        <v>254</v>
      </c>
      <c r="BK17" s="119" t="s">
        <v>146</v>
      </c>
      <c r="BL17" s="118" t="s">
        <v>255</v>
      </c>
      <c r="BM17" s="119" t="s">
        <v>256</v>
      </c>
      <c r="BN17" s="118" t="s">
        <v>254</v>
      </c>
      <c r="BO17" s="119" t="s">
        <v>146</v>
      </c>
      <c r="BP17" s="118" t="s">
        <v>255</v>
      </c>
      <c r="BQ17" s="119" t="s">
        <v>256</v>
      </c>
      <c r="BR17" s="118" t="s">
        <v>254</v>
      </c>
      <c r="BS17" s="119" t="s">
        <v>146</v>
      </c>
      <c r="BT17" s="118" t="s">
        <v>255</v>
      </c>
      <c r="BU17" s="119" t="s">
        <v>256</v>
      </c>
      <c r="BV17" s="118" t="s">
        <v>254</v>
      </c>
      <c r="BW17" s="119" t="s">
        <v>146</v>
      </c>
      <c r="BX17" s="118" t="s">
        <v>255</v>
      </c>
      <c r="BY17" s="119" t="s">
        <v>256</v>
      </c>
      <c r="BZ17" s="118" t="s">
        <v>254</v>
      </c>
      <c r="CA17" s="128" t="str">
        <f t="shared" si="0"/>
        <v>1A</v>
      </c>
    </row>
    <row r="18" spans="1:79" ht="30" customHeight="1" x14ac:dyDescent="0.35">
      <c r="A18" s="90">
        <f>IF('Q4'!A24="","",'Q4'!A24)</f>
        <v>10</v>
      </c>
      <c r="B18" s="90" t="str">
        <f>IF('Q3'!B24="","",'Q3'!B24)</f>
        <v xml:space="preserve">Danong Kellen </v>
      </c>
      <c r="C18" s="90" t="str">
        <f>IF('Q3'!C24="","",'Q3'!C24)</f>
        <v>ដាណង់ ខេលេន</v>
      </c>
      <c r="D18" s="90" t="str">
        <f>IF('Q3'!D24="","",'Q3'!D24)</f>
        <v>M</v>
      </c>
      <c r="E18" s="90">
        <f>IF('Q3'!E24="","",'Q3'!E24)</f>
        <v>686</v>
      </c>
      <c r="F18" s="90" t="str">
        <f>IF('Q3'!F24="","",'Q3'!F24)</f>
        <v>I</v>
      </c>
      <c r="G18" s="117" t="s">
        <v>191</v>
      </c>
      <c r="H18" s="118" t="s">
        <v>188</v>
      </c>
      <c r="I18" s="117" t="s">
        <v>195</v>
      </c>
      <c r="J18" s="118" t="s">
        <v>164</v>
      </c>
      <c r="K18" s="119" t="s">
        <v>262</v>
      </c>
      <c r="L18" s="118" t="s">
        <v>263</v>
      </c>
      <c r="M18" s="119" t="s">
        <v>264</v>
      </c>
      <c r="N18" s="118" t="s">
        <v>268</v>
      </c>
      <c r="O18" s="119" t="s">
        <v>207</v>
      </c>
      <c r="P18" s="118" t="s">
        <v>208</v>
      </c>
      <c r="Q18" s="119" t="s">
        <v>209</v>
      </c>
      <c r="R18" s="118" t="s">
        <v>190</v>
      </c>
      <c r="S18" s="119" t="s">
        <v>196</v>
      </c>
      <c r="T18" s="118" t="s">
        <v>220</v>
      </c>
      <c r="U18" s="119" t="s">
        <v>195</v>
      </c>
      <c r="V18" s="118" t="s">
        <v>162</v>
      </c>
      <c r="W18" s="119"/>
      <c r="X18" s="118"/>
      <c r="Y18" s="119"/>
      <c r="Z18" s="118"/>
      <c r="AA18" s="119" t="s">
        <v>269</v>
      </c>
      <c r="AB18" s="118" t="s">
        <v>270</v>
      </c>
      <c r="AC18" s="120" t="s">
        <v>271</v>
      </c>
      <c r="AD18" s="121" t="s">
        <v>215</v>
      </c>
      <c r="AE18" s="122" t="s">
        <v>196</v>
      </c>
      <c r="AF18" s="121" t="s">
        <v>220</v>
      </c>
      <c r="AG18" s="123" t="s">
        <v>195</v>
      </c>
      <c r="AH18" s="124" t="s">
        <v>162</v>
      </c>
      <c r="AI18" s="117" t="s">
        <v>191</v>
      </c>
      <c r="AJ18" s="118" t="s">
        <v>188</v>
      </c>
      <c r="AK18" s="119" t="s">
        <v>195</v>
      </c>
      <c r="AL18" s="118" t="s">
        <v>164</v>
      </c>
      <c r="AM18" s="119"/>
      <c r="AN18" s="118"/>
      <c r="AO18" s="119"/>
      <c r="AP18" s="118"/>
      <c r="AQ18" s="119" t="s">
        <v>145</v>
      </c>
      <c r="AR18" s="118" t="s">
        <v>258</v>
      </c>
      <c r="AS18" s="119" t="s">
        <v>259</v>
      </c>
      <c r="AT18" s="118" t="s">
        <v>254</v>
      </c>
      <c r="AU18" s="119" t="s">
        <v>145</v>
      </c>
      <c r="AV18" s="118" t="s">
        <v>258</v>
      </c>
      <c r="AW18" s="119" t="s">
        <v>259</v>
      </c>
      <c r="AX18" s="118" t="s">
        <v>254</v>
      </c>
      <c r="AY18" s="119" t="s">
        <v>145</v>
      </c>
      <c r="AZ18" s="118" t="s">
        <v>258</v>
      </c>
      <c r="BA18" s="119" t="s">
        <v>259</v>
      </c>
      <c r="BB18" s="118" t="s">
        <v>254</v>
      </c>
      <c r="BC18" s="119" t="s">
        <v>145</v>
      </c>
      <c r="BD18" s="118" t="s">
        <v>258</v>
      </c>
      <c r="BE18" s="119" t="s">
        <v>259</v>
      </c>
      <c r="BF18" s="118" t="s">
        <v>254</v>
      </c>
      <c r="BG18" s="119" t="s">
        <v>145</v>
      </c>
      <c r="BH18" s="118" t="s">
        <v>258</v>
      </c>
      <c r="BI18" s="119" t="s">
        <v>259</v>
      </c>
      <c r="BJ18" s="118" t="s">
        <v>254</v>
      </c>
      <c r="BK18" s="119" t="s">
        <v>145</v>
      </c>
      <c r="BL18" s="118" t="s">
        <v>258</v>
      </c>
      <c r="BM18" s="119" t="s">
        <v>259</v>
      </c>
      <c r="BN18" s="118" t="s">
        <v>254</v>
      </c>
      <c r="BO18" s="119" t="s">
        <v>145</v>
      </c>
      <c r="BP18" s="118" t="s">
        <v>258</v>
      </c>
      <c r="BQ18" s="119" t="s">
        <v>259</v>
      </c>
      <c r="BR18" s="118" t="s">
        <v>254</v>
      </c>
      <c r="BS18" s="119" t="s">
        <v>145</v>
      </c>
      <c r="BT18" s="118" t="s">
        <v>258</v>
      </c>
      <c r="BU18" s="119" t="s">
        <v>259</v>
      </c>
      <c r="BV18" s="118" t="s">
        <v>254</v>
      </c>
      <c r="BW18" s="119" t="s">
        <v>145</v>
      </c>
      <c r="BX18" s="118" t="s">
        <v>258</v>
      </c>
      <c r="BY18" s="119" t="s">
        <v>259</v>
      </c>
      <c r="BZ18" s="118" t="s">
        <v>254</v>
      </c>
      <c r="CA18" s="128" t="str">
        <f t="shared" si="0"/>
        <v>1A</v>
      </c>
    </row>
    <row r="19" spans="1:79" ht="30" customHeight="1" x14ac:dyDescent="0.35">
      <c r="A19" s="90">
        <f>IF('Q4'!A25="","",'Q4'!A25)</f>
        <v>11</v>
      </c>
      <c r="B19" s="90" t="str">
        <f>IF('Q3'!B25="","",'Q3'!B25)</f>
        <v>Reaksmey Vorakbot</v>
      </c>
      <c r="C19" s="90" t="str">
        <f>IF('Q3'!C25="","",'Q3'!C25)</f>
        <v>រស្មី វរបុត្រ</v>
      </c>
      <c r="D19" s="90" t="str">
        <f>IF('Q3'!D25="","",'Q3'!D25)</f>
        <v>M</v>
      </c>
      <c r="E19" s="90">
        <f>IF('Q3'!E25="","",'Q3'!E25)</f>
        <v>789</v>
      </c>
      <c r="F19" s="90" t="str">
        <f>IF('Q3'!F25="","",'Q3'!F25)</f>
        <v>I</v>
      </c>
      <c r="G19" s="117" t="s">
        <v>191</v>
      </c>
      <c r="H19" s="118" t="s">
        <v>188</v>
      </c>
      <c r="I19" s="117" t="s">
        <v>195</v>
      </c>
      <c r="J19" s="118" t="s">
        <v>164</v>
      </c>
      <c r="K19" s="119" t="s">
        <v>267</v>
      </c>
      <c r="L19" s="118" t="s">
        <v>263</v>
      </c>
      <c r="M19" s="119" t="s">
        <v>264</v>
      </c>
      <c r="N19" s="118" t="s">
        <v>268</v>
      </c>
      <c r="O19" s="119" t="s">
        <v>207</v>
      </c>
      <c r="P19" s="118" t="s">
        <v>208</v>
      </c>
      <c r="Q19" s="119" t="s">
        <v>209</v>
      </c>
      <c r="R19" s="118" t="s">
        <v>190</v>
      </c>
      <c r="S19" s="119" t="s">
        <v>196</v>
      </c>
      <c r="T19" s="118" t="s">
        <v>220</v>
      </c>
      <c r="U19" s="119" t="s">
        <v>195</v>
      </c>
      <c r="V19" s="118" t="s">
        <v>162</v>
      </c>
      <c r="W19" s="119"/>
      <c r="X19" s="118"/>
      <c r="Y19" s="119"/>
      <c r="Z19" s="118"/>
      <c r="AA19" s="119" t="s">
        <v>213</v>
      </c>
      <c r="AB19" s="118" t="s">
        <v>270</v>
      </c>
      <c r="AC19" s="120" t="s">
        <v>271</v>
      </c>
      <c r="AD19" s="121" t="s">
        <v>215</v>
      </c>
      <c r="AE19" s="122" t="s">
        <v>196</v>
      </c>
      <c r="AF19" s="121" t="s">
        <v>220</v>
      </c>
      <c r="AG19" s="123" t="s">
        <v>195</v>
      </c>
      <c r="AH19" s="124" t="s">
        <v>162</v>
      </c>
      <c r="AI19" s="117" t="s">
        <v>191</v>
      </c>
      <c r="AJ19" s="118" t="s">
        <v>188</v>
      </c>
      <c r="AK19" s="119" t="s">
        <v>195</v>
      </c>
      <c r="AL19" s="118" t="s">
        <v>164</v>
      </c>
      <c r="AM19" s="119"/>
      <c r="AN19" s="118"/>
      <c r="AO19" s="119"/>
      <c r="AP19" s="118"/>
      <c r="AQ19" s="119" t="s">
        <v>145</v>
      </c>
      <c r="AR19" s="118" t="s">
        <v>260</v>
      </c>
      <c r="AS19" s="119" t="s">
        <v>261</v>
      </c>
      <c r="AT19" s="118" t="s">
        <v>254</v>
      </c>
      <c r="AU19" s="119" t="s">
        <v>145</v>
      </c>
      <c r="AV19" s="118" t="s">
        <v>260</v>
      </c>
      <c r="AW19" s="119" t="s">
        <v>261</v>
      </c>
      <c r="AX19" s="118" t="s">
        <v>254</v>
      </c>
      <c r="AY19" s="119" t="s">
        <v>145</v>
      </c>
      <c r="AZ19" s="118" t="s">
        <v>260</v>
      </c>
      <c r="BA19" s="119" t="s">
        <v>261</v>
      </c>
      <c r="BB19" s="118" t="s">
        <v>254</v>
      </c>
      <c r="BC19" s="119" t="s">
        <v>145</v>
      </c>
      <c r="BD19" s="118" t="s">
        <v>260</v>
      </c>
      <c r="BE19" s="119" t="s">
        <v>261</v>
      </c>
      <c r="BF19" s="118" t="s">
        <v>254</v>
      </c>
      <c r="BG19" s="119" t="s">
        <v>145</v>
      </c>
      <c r="BH19" s="118" t="s">
        <v>260</v>
      </c>
      <c r="BI19" s="119" t="s">
        <v>261</v>
      </c>
      <c r="BJ19" s="118" t="s">
        <v>254</v>
      </c>
      <c r="BK19" s="119" t="s">
        <v>145</v>
      </c>
      <c r="BL19" s="118" t="s">
        <v>260</v>
      </c>
      <c r="BM19" s="119" t="s">
        <v>261</v>
      </c>
      <c r="BN19" s="118" t="s">
        <v>254</v>
      </c>
      <c r="BO19" s="119" t="s">
        <v>145</v>
      </c>
      <c r="BP19" s="118" t="s">
        <v>260</v>
      </c>
      <c r="BQ19" s="119" t="s">
        <v>261</v>
      </c>
      <c r="BR19" s="118" t="s">
        <v>254</v>
      </c>
      <c r="BS19" s="119" t="s">
        <v>145</v>
      </c>
      <c r="BT19" s="118" t="s">
        <v>260</v>
      </c>
      <c r="BU19" s="119" t="s">
        <v>261</v>
      </c>
      <c r="BV19" s="118" t="s">
        <v>254</v>
      </c>
      <c r="BW19" s="119" t="s">
        <v>145</v>
      </c>
      <c r="BX19" s="118" t="s">
        <v>260</v>
      </c>
      <c r="BY19" s="119" t="s">
        <v>261</v>
      </c>
      <c r="BZ19" s="118" t="s">
        <v>254</v>
      </c>
      <c r="CA19" s="128" t="str">
        <f t="shared" si="0"/>
        <v>1A</v>
      </c>
    </row>
    <row r="20" spans="1:79" ht="30" customHeight="1" x14ac:dyDescent="0.35">
      <c r="A20" s="90">
        <f>IF('Q4'!A26="","",'Q4'!A26)</f>
        <v>12</v>
      </c>
      <c r="B20" s="90" t="str">
        <f>IF('Q3'!B26="","",'Q3'!B26)</f>
        <v>Nean Lyhour</v>
      </c>
      <c r="C20" s="90" t="str">
        <f>IF('Q3'!C26="","",'Q3'!C26)</f>
        <v>នាន លីហួរ</v>
      </c>
      <c r="D20" s="90" t="str">
        <f>IF('Q3'!D26="","",'Q3'!D26)</f>
        <v>M</v>
      </c>
      <c r="E20" s="90">
        <f>IF('Q3'!E26="","",'Q3'!E26)</f>
        <v>769</v>
      </c>
      <c r="F20" s="90" t="str">
        <f>IF('Q3'!F26="","",'Q3'!F26)</f>
        <v>I</v>
      </c>
      <c r="G20" s="117" t="s">
        <v>191</v>
      </c>
      <c r="H20" s="118" t="s">
        <v>188</v>
      </c>
      <c r="I20" s="117" t="s">
        <v>195</v>
      </c>
      <c r="J20" s="118" t="s">
        <v>164</v>
      </c>
      <c r="K20" s="119" t="s">
        <v>265</v>
      </c>
      <c r="L20" s="118" t="s">
        <v>263</v>
      </c>
      <c r="M20" s="119" t="s">
        <v>264</v>
      </c>
      <c r="N20" s="118" t="s">
        <v>268</v>
      </c>
      <c r="O20" s="119" t="s">
        <v>201</v>
      </c>
      <c r="P20" s="118" t="s">
        <v>200</v>
      </c>
      <c r="Q20" s="119" t="s">
        <v>198</v>
      </c>
      <c r="R20" s="118" t="s">
        <v>190</v>
      </c>
      <c r="S20" s="119" t="s">
        <v>196</v>
      </c>
      <c r="T20" s="118" t="s">
        <v>220</v>
      </c>
      <c r="U20" s="119" t="s">
        <v>195</v>
      </c>
      <c r="V20" s="118" t="s">
        <v>162</v>
      </c>
      <c r="W20" s="119"/>
      <c r="X20" s="118"/>
      <c r="Y20" s="119"/>
      <c r="Z20" s="118"/>
      <c r="AA20" s="119" t="s">
        <v>269</v>
      </c>
      <c r="AB20" s="118" t="s">
        <v>270</v>
      </c>
      <c r="AC20" s="120" t="s">
        <v>271</v>
      </c>
      <c r="AD20" s="121" t="s">
        <v>215</v>
      </c>
      <c r="AE20" s="122" t="s">
        <v>196</v>
      </c>
      <c r="AF20" s="121" t="s">
        <v>220</v>
      </c>
      <c r="AG20" s="123" t="s">
        <v>195</v>
      </c>
      <c r="AH20" s="124" t="s">
        <v>162</v>
      </c>
      <c r="AI20" s="117" t="s">
        <v>191</v>
      </c>
      <c r="AJ20" s="118" t="s">
        <v>188</v>
      </c>
      <c r="AK20" s="119" t="s">
        <v>195</v>
      </c>
      <c r="AL20" s="118" t="s">
        <v>164</v>
      </c>
      <c r="AM20" s="119"/>
      <c r="AN20" s="118"/>
      <c r="AO20" s="119"/>
      <c r="AP20" s="118"/>
      <c r="AQ20" s="119" t="s">
        <v>146</v>
      </c>
      <c r="AR20" s="118" t="s">
        <v>252</v>
      </c>
      <c r="AS20" s="119" t="s">
        <v>257</v>
      </c>
      <c r="AT20" s="118" t="s">
        <v>254</v>
      </c>
      <c r="AU20" s="119" t="s">
        <v>146</v>
      </c>
      <c r="AV20" s="118" t="s">
        <v>252</v>
      </c>
      <c r="AW20" s="119" t="s">
        <v>257</v>
      </c>
      <c r="AX20" s="118" t="s">
        <v>254</v>
      </c>
      <c r="AY20" s="119" t="s">
        <v>146</v>
      </c>
      <c r="AZ20" s="118" t="s">
        <v>252</v>
      </c>
      <c r="BA20" s="119" t="s">
        <v>257</v>
      </c>
      <c r="BB20" s="118" t="s">
        <v>254</v>
      </c>
      <c r="BC20" s="119" t="s">
        <v>146</v>
      </c>
      <c r="BD20" s="118" t="s">
        <v>252</v>
      </c>
      <c r="BE20" s="119" t="s">
        <v>257</v>
      </c>
      <c r="BF20" s="118" t="s">
        <v>254</v>
      </c>
      <c r="BG20" s="119" t="s">
        <v>146</v>
      </c>
      <c r="BH20" s="118" t="s">
        <v>252</v>
      </c>
      <c r="BI20" s="119" t="s">
        <v>257</v>
      </c>
      <c r="BJ20" s="118" t="s">
        <v>254</v>
      </c>
      <c r="BK20" s="119" t="s">
        <v>146</v>
      </c>
      <c r="BL20" s="118" t="s">
        <v>252</v>
      </c>
      <c r="BM20" s="119" t="s">
        <v>257</v>
      </c>
      <c r="BN20" s="118" t="s">
        <v>254</v>
      </c>
      <c r="BO20" s="119" t="s">
        <v>146</v>
      </c>
      <c r="BP20" s="118" t="s">
        <v>252</v>
      </c>
      <c r="BQ20" s="119" t="s">
        <v>257</v>
      </c>
      <c r="BR20" s="118" t="s">
        <v>254</v>
      </c>
      <c r="BS20" s="119" t="s">
        <v>146</v>
      </c>
      <c r="BT20" s="118" t="s">
        <v>252</v>
      </c>
      <c r="BU20" s="119" t="s">
        <v>257</v>
      </c>
      <c r="BV20" s="118" t="s">
        <v>254</v>
      </c>
      <c r="BW20" s="119" t="s">
        <v>146</v>
      </c>
      <c r="BX20" s="118" t="s">
        <v>252</v>
      </c>
      <c r="BY20" s="119" t="s">
        <v>257</v>
      </c>
      <c r="BZ20" s="118" t="s">
        <v>254</v>
      </c>
      <c r="CA20" s="128" t="str">
        <f t="shared" si="0"/>
        <v>1A</v>
      </c>
    </row>
    <row r="21" spans="1:79" ht="30" customHeight="1" x14ac:dyDescent="0.35">
      <c r="A21" s="90">
        <f>IF('Q4'!A27="","",'Q4'!A27)</f>
        <v>13</v>
      </c>
      <c r="B21" s="90" t="str">
        <f>IF('Q3'!B27="","",'Q3'!B27)</f>
        <v>Pheng Udomveha</v>
      </c>
      <c r="C21" s="90" t="str">
        <f>IF('Q3'!C27="","",'Q3'!C27)</f>
        <v>ផេង ឧត្តមវេហា</v>
      </c>
      <c r="D21" s="90" t="str">
        <f>IF('Q3'!D27="","",'Q3'!D27)</f>
        <v>M</v>
      </c>
      <c r="E21" s="90">
        <f>IF('Q3'!E27="","",'Q3'!E27)</f>
        <v>773</v>
      </c>
      <c r="F21" s="90" t="str">
        <f>IF('Q3'!F27="","",'Q3'!F27)</f>
        <v>I</v>
      </c>
      <c r="G21" s="117" t="s">
        <v>191</v>
      </c>
      <c r="H21" s="118" t="s">
        <v>188</v>
      </c>
      <c r="I21" s="117" t="s">
        <v>195</v>
      </c>
      <c r="J21" s="118" t="s">
        <v>164</v>
      </c>
      <c r="K21" s="119" t="s">
        <v>267</v>
      </c>
      <c r="L21" s="118" t="s">
        <v>263</v>
      </c>
      <c r="M21" s="119" t="s">
        <v>264</v>
      </c>
      <c r="N21" s="118" t="s">
        <v>268</v>
      </c>
      <c r="O21" s="119" t="s">
        <v>191</v>
      </c>
      <c r="P21" s="118" t="s">
        <v>200</v>
      </c>
      <c r="Q21" s="119" t="s">
        <v>192</v>
      </c>
      <c r="R21" s="118" t="s">
        <v>190</v>
      </c>
      <c r="S21" s="119" t="s">
        <v>196</v>
      </c>
      <c r="T21" s="118" t="s">
        <v>220</v>
      </c>
      <c r="U21" s="119" t="s">
        <v>195</v>
      </c>
      <c r="V21" s="118" t="s">
        <v>162</v>
      </c>
      <c r="W21" s="119"/>
      <c r="X21" s="118"/>
      <c r="Y21" s="119"/>
      <c r="Z21" s="118"/>
      <c r="AA21" s="119" t="s">
        <v>269</v>
      </c>
      <c r="AB21" s="118" t="s">
        <v>270</v>
      </c>
      <c r="AC21" s="120" t="s">
        <v>271</v>
      </c>
      <c r="AD21" s="121" t="s">
        <v>215</v>
      </c>
      <c r="AE21" s="122" t="s">
        <v>196</v>
      </c>
      <c r="AF21" s="121" t="s">
        <v>220</v>
      </c>
      <c r="AG21" s="123" t="s">
        <v>195</v>
      </c>
      <c r="AH21" s="124" t="s">
        <v>162</v>
      </c>
      <c r="AI21" s="117" t="s">
        <v>191</v>
      </c>
      <c r="AJ21" s="118" t="s">
        <v>188</v>
      </c>
      <c r="AK21" s="119" t="s">
        <v>195</v>
      </c>
      <c r="AL21" s="118" t="s">
        <v>164</v>
      </c>
      <c r="AM21" s="119"/>
      <c r="AN21" s="118"/>
      <c r="AO21" s="119"/>
      <c r="AP21" s="118"/>
      <c r="AQ21" s="119" t="s">
        <v>146</v>
      </c>
      <c r="AR21" s="118" t="s">
        <v>252</v>
      </c>
      <c r="AS21" s="119" t="s">
        <v>257</v>
      </c>
      <c r="AT21" s="118" t="s">
        <v>254</v>
      </c>
      <c r="AU21" s="119" t="s">
        <v>146</v>
      </c>
      <c r="AV21" s="118" t="s">
        <v>252</v>
      </c>
      <c r="AW21" s="119" t="s">
        <v>257</v>
      </c>
      <c r="AX21" s="118" t="s">
        <v>254</v>
      </c>
      <c r="AY21" s="119" t="s">
        <v>146</v>
      </c>
      <c r="AZ21" s="118" t="s">
        <v>252</v>
      </c>
      <c r="BA21" s="119" t="s">
        <v>257</v>
      </c>
      <c r="BB21" s="118" t="s">
        <v>254</v>
      </c>
      <c r="BC21" s="119" t="s">
        <v>146</v>
      </c>
      <c r="BD21" s="118" t="s">
        <v>252</v>
      </c>
      <c r="BE21" s="119" t="s">
        <v>257</v>
      </c>
      <c r="BF21" s="118" t="s">
        <v>254</v>
      </c>
      <c r="BG21" s="119" t="s">
        <v>146</v>
      </c>
      <c r="BH21" s="118" t="s">
        <v>252</v>
      </c>
      <c r="BI21" s="119" t="s">
        <v>257</v>
      </c>
      <c r="BJ21" s="118" t="s">
        <v>254</v>
      </c>
      <c r="BK21" s="119" t="s">
        <v>146</v>
      </c>
      <c r="BL21" s="118" t="s">
        <v>252</v>
      </c>
      <c r="BM21" s="119" t="s">
        <v>257</v>
      </c>
      <c r="BN21" s="118" t="s">
        <v>254</v>
      </c>
      <c r="BO21" s="119" t="s">
        <v>146</v>
      </c>
      <c r="BP21" s="118" t="s">
        <v>252</v>
      </c>
      <c r="BQ21" s="119" t="s">
        <v>257</v>
      </c>
      <c r="BR21" s="118" t="s">
        <v>254</v>
      </c>
      <c r="BS21" s="119" t="s">
        <v>146</v>
      </c>
      <c r="BT21" s="118" t="s">
        <v>252</v>
      </c>
      <c r="BU21" s="119" t="s">
        <v>257</v>
      </c>
      <c r="BV21" s="118" t="s">
        <v>254</v>
      </c>
      <c r="BW21" s="119" t="s">
        <v>146</v>
      </c>
      <c r="BX21" s="118" t="s">
        <v>252</v>
      </c>
      <c r="BY21" s="119" t="s">
        <v>257</v>
      </c>
      <c r="BZ21" s="118" t="s">
        <v>254</v>
      </c>
      <c r="CA21" s="128" t="str">
        <f t="shared" si="0"/>
        <v>1A</v>
      </c>
    </row>
    <row r="22" spans="1:79" ht="30" customHeight="1" x14ac:dyDescent="0.35">
      <c r="A22" s="90" t="str">
        <f>IF('Q4'!A28="","",'Q4'!A28)</f>
        <v/>
      </c>
      <c r="B22" s="90" t="str">
        <f>IF('Q3'!B28="","",'Q3'!B28)</f>
        <v/>
      </c>
      <c r="C22" s="90" t="str">
        <f>IF('Q3'!C28="","",'Q3'!C28)</f>
        <v/>
      </c>
      <c r="D22" s="90" t="str">
        <f>IF('Q3'!D28="","",'Q3'!D28)</f>
        <v/>
      </c>
      <c r="E22" s="90" t="str">
        <f>IF('Q3'!E28="","",'Q3'!E28)</f>
        <v/>
      </c>
      <c r="F22" s="90" t="str">
        <f>IF('Q3'!F28="","",'Q3'!F28)</f>
        <v/>
      </c>
      <c r="G22" s="117"/>
      <c r="H22" s="118"/>
      <c r="I22" s="117"/>
      <c r="J22" s="118"/>
      <c r="K22" s="119"/>
      <c r="L22" s="118"/>
      <c r="M22" s="119"/>
      <c r="N22" s="118"/>
      <c r="O22" s="119"/>
      <c r="P22" s="118"/>
      <c r="Q22" s="119"/>
      <c r="R22" s="118"/>
      <c r="S22" s="119"/>
      <c r="T22" s="118"/>
      <c r="U22" s="119"/>
      <c r="V22" s="118"/>
      <c r="W22" s="119"/>
      <c r="X22" s="118"/>
      <c r="Y22" s="119"/>
      <c r="Z22" s="118"/>
      <c r="AA22" s="119"/>
      <c r="AB22" s="118"/>
      <c r="AC22" s="120"/>
      <c r="AD22" s="121"/>
      <c r="AE22" s="122"/>
      <c r="AF22" s="121"/>
      <c r="AG22" s="123"/>
      <c r="AH22" s="124"/>
      <c r="AI22" s="117"/>
      <c r="AJ22" s="118"/>
      <c r="AK22" s="119"/>
      <c r="AL22" s="118"/>
      <c r="AM22" s="119"/>
      <c r="AN22" s="118"/>
      <c r="AO22" s="119"/>
      <c r="AP22" s="118"/>
      <c r="AQ22" s="119"/>
      <c r="AR22" s="118"/>
      <c r="AS22" s="119"/>
      <c r="AT22" s="118"/>
      <c r="AU22" s="119"/>
      <c r="AV22" s="118"/>
      <c r="AW22" s="119"/>
      <c r="AX22" s="118"/>
      <c r="AY22" s="119"/>
      <c r="AZ22" s="118"/>
      <c r="BA22" s="119"/>
      <c r="BB22" s="118"/>
      <c r="BC22" s="119"/>
      <c r="BD22" s="118"/>
      <c r="BE22" s="120"/>
      <c r="BF22" s="121"/>
      <c r="BG22" s="122"/>
      <c r="BH22" s="121"/>
      <c r="BI22" s="123"/>
      <c r="BJ22" s="124"/>
      <c r="BK22" s="125"/>
      <c r="BL22" s="126"/>
      <c r="BM22" s="127"/>
      <c r="BN22" s="126"/>
      <c r="BO22" s="127"/>
      <c r="BP22" s="126"/>
      <c r="BQ22" s="127"/>
      <c r="BR22" s="126"/>
      <c r="BS22" s="127"/>
      <c r="BT22" s="126"/>
      <c r="BU22" s="127"/>
      <c r="BV22" s="126"/>
      <c r="BW22" s="127"/>
      <c r="BX22" s="126"/>
      <c r="BY22" s="127"/>
      <c r="BZ22" s="126"/>
      <c r="CA22" s="128" t="str">
        <f t="shared" si="0"/>
        <v/>
      </c>
    </row>
    <row r="23" spans="1:79" ht="30" customHeight="1" x14ac:dyDescent="0.35">
      <c r="A23" s="90" t="str">
        <f>IF('Q4'!A29="","",'Q4'!A29)</f>
        <v/>
      </c>
      <c r="B23" s="90" t="str">
        <f>IF('Q3'!B29="","",'Q3'!B29)</f>
        <v/>
      </c>
      <c r="C23" s="90" t="str">
        <f>IF('Q3'!C29="","",'Q3'!C29)</f>
        <v/>
      </c>
      <c r="D23" s="90" t="str">
        <f>IF('Q3'!D29="","",'Q3'!D29)</f>
        <v/>
      </c>
      <c r="E23" s="90" t="str">
        <f>IF('Q3'!E29="","",'Q3'!E29)</f>
        <v/>
      </c>
      <c r="F23" s="90" t="str">
        <f>IF('Q3'!F29="","",'Q3'!F29)</f>
        <v/>
      </c>
      <c r="G23" s="117"/>
      <c r="H23" s="118"/>
      <c r="I23" s="117"/>
      <c r="J23" s="118"/>
      <c r="K23" s="119"/>
      <c r="L23" s="118"/>
      <c r="M23" s="119"/>
      <c r="N23" s="118"/>
      <c r="O23" s="119"/>
      <c r="P23" s="118"/>
      <c r="Q23" s="119"/>
      <c r="R23" s="118"/>
      <c r="S23" s="119"/>
      <c r="T23" s="118"/>
      <c r="U23" s="119"/>
      <c r="V23" s="118"/>
      <c r="W23" s="119"/>
      <c r="X23" s="118"/>
      <c r="Y23" s="119"/>
      <c r="Z23" s="118"/>
      <c r="AA23" s="119"/>
      <c r="AB23" s="118"/>
      <c r="AC23" s="120"/>
      <c r="AD23" s="121"/>
      <c r="AE23" s="122"/>
      <c r="AF23" s="121"/>
      <c r="AG23" s="123"/>
      <c r="AH23" s="124"/>
      <c r="AI23" s="117"/>
      <c r="AJ23" s="118"/>
      <c r="AK23" s="119"/>
      <c r="AL23" s="118"/>
      <c r="AM23" s="119"/>
      <c r="AN23" s="118"/>
      <c r="AO23" s="119"/>
      <c r="AP23" s="118"/>
      <c r="AQ23" s="119"/>
      <c r="AR23" s="118"/>
      <c r="AS23" s="119"/>
      <c r="AT23" s="118"/>
      <c r="AU23" s="119"/>
      <c r="AV23" s="118"/>
      <c r="AW23" s="119"/>
      <c r="AX23" s="118"/>
      <c r="AY23" s="119"/>
      <c r="AZ23" s="118"/>
      <c r="BA23" s="119"/>
      <c r="BB23" s="118"/>
      <c r="BC23" s="119"/>
      <c r="BD23" s="118"/>
      <c r="BE23" s="120"/>
      <c r="BF23" s="121"/>
      <c r="BG23" s="122"/>
      <c r="BH23" s="121"/>
      <c r="BI23" s="123"/>
      <c r="BJ23" s="124"/>
      <c r="BK23" s="125"/>
      <c r="BL23" s="126"/>
      <c r="BM23" s="127"/>
      <c r="BN23" s="126"/>
      <c r="BO23" s="127"/>
      <c r="BP23" s="126"/>
      <c r="BQ23" s="127"/>
      <c r="BR23" s="126"/>
      <c r="BS23" s="127"/>
      <c r="BT23" s="126"/>
      <c r="BU23" s="127"/>
      <c r="BV23" s="126"/>
      <c r="BW23" s="127"/>
      <c r="BX23" s="126"/>
      <c r="BY23" s="127"/>
      <c r="BZ23" s="126"/>
      <c r="CA23" s="128" t="str">
        <f t="shared" si="0"/>
        <v/>
      </c>
    </row>
    <row r="24" spans="1:79" ht="30" customHeight="1" x14ac:dyDescent="0.35">
      <c r="A24" s="90" t="str">
        <f>IF('Q4'!A30="","",'Q4'!A30)</f>
        <v/>
      </c>
      <c r="B24" s="90" t="str">
        <f>IF('Q3'!B30="","",'Q3'!B30)</f>
        <v/>
      </c>
      <c r="C24" s="90" t="str">
        <f>IF('Q3'!C30="","",'Q3'!C30)</f>
        <v/>
      </c>
      <c r="D24" s="90" t="str">
        <f>IF('Q3'!D30="","",'Q3'!D30)</f>
        <v/>
      </c>
      <c r="E24" s="90" t="str">
        <f>IF('Q3'!E30="","",'Q3'!E30)</f>
        <v/>
      </c>
      <c r="F24" s="90" t="str">
        <f>IF('Q3'!F30="","",'Q3'!F30)</f>
        <v/>
      </c>
      <c r="G24" s="117"/>
      <c r="H24" s="118"/>
      <c r="I24" s="117"/>
      <c r="J24" s="118"/>
      <c r="K24" s="119"/>
      <c r="L24" s="118"/>
      <c r="M24" s="119"/>
      <c r="N24" s="118"/>
      <c r="O24" s="119"/>
      <c r="P24" s="118"/>
      <c r="Q24" s="119"/>
      <c r="R24" s="118"/>
      <c r="S24" s="119"/>
      <c r="T24" s="118"/>
      <c r="U24" s="119"/>
      <c r="V24" s="118"/>
      <c r="W24" s="119"/>
      <c r="X24" s="118"/>
      <c r="Y24" s="119"/>
      <c r="Z24" s="118"/>
      <c r="AA24" s="119"/>
      <c r="AB24" s="118"/>
      <c r="AC24" s="120"/>
      <c r="AD24" s="121"/>
      <c r="AE24" s="122"/>
      <c r="AF24" s="121"/>
      <c r="AG24" s="123"/>
      <c r="AH24" s="124"/>
      <c r="AI24" s="117"/>
      <c r="AJ24" s="118"/>
      <c r="AK24" s="119"/>
      <c r="AL24" s="118"/>
      <c r="AM24" s="119"/>
      <c r="AN24" s="118"/>
      <c r="AO24" s="119"/>
      <c r="AP24" s="118"/>
      <c r="AQ24" s="119"/>
      <c r="AR24" s="118"/>
      <c r="AS24" s="119"/>
      <c r="AT24" s="118"/>
      <c r="AU24" s="119"/>
      <c r="AV24" s="118"/>
      <c r="AW24" s="119"/>
      <c r="AX24" s="118"/>
      <c r="AY24" s="119"/>
      <c r="AZ24" s="118"/>
      <c r="BA24" s="119"/>
      <c r="BB24" s="118"/>
      <c r="BC24" s="119"/>
      <c r="BD24" s="118"/>
      <c r="BE24" s="120"/>
      <c r="BF24" s="121"/>
      <c r="BG24" s="122"/>
      <c r="BH24" s="121"/>
      <c r="BI24" s="123"/>
      <c r="BJ24" s="124"/>
      <c r="BK24" s="125"/>
      <c r="BL24" s="126"/>
      <c r="BM24" s="127"/>
      <c r="BN24" s="126"/>
      <c r="BO24" s="127"/>
      <c r="BP24" s="126"/>
      <c r="BQ24" s="127"/>
      <c r="BR24" s="126"/>
      <c r="BS24" s="127"/>
      <c r="BT24" s="126"/>
      <c r="BU24" s="127"/>
      <c r="BV24" s="126"/>
      <c r="BW24" s="127"/>
      <c r="BX24" s="126"/>
      <c r="BY24" s="127"/>
      <c r="BZ24" s="126"/>
      <c r="CA24" s="128" t="str">
        <f t="shared" si="0"/>
        <v/>
      </c>
    </row>
    <row r="25" spans="1:79" ht="30" customHeight="1" x14ac:dyDescent="0.35">
      <c r="A25" s="90" t="str">
        <f>IF('Q4'!A31="","",'Q4'!A31)</f>
        <v/>
      </c>
      <c r="B25" s="90" t="str">
        <f>IF('Q3'!B31="","",'Q3'!B31)</f>
        <v/>
      </c>
      <c r="C25" s="90" t="str">
        <f>IF('Q3'!C31="","",'Q3'!C31)</f>
        <v/>
      </c>
      <c r="D25" s="90" t="str">
        <f>IF('Q3'!D31="","",'Q3'!D31)</f>
        <v/>
      </c>
      <c r="E25" s="90" t="str">
        <f>IF('Q3'!E31="","",'Q3'!E31)</f>
        <v/>
      </c>
      <c r="F25" s="90" t="str">
        <f>IF('Q3'!F31="","",'Q3'!F31)</f>
        <v/>
      </c>
      <c r="G25" s="117"/>
      <c r="H25" s="118"/>
      <c r="I25" s="117"/>
      <c r="J25" s="118"/>
      <c r="K25" s="119"/>
      <c r="L25" s="118"/>
      <c r="M25" s="119"/>
      <c r="N25" s="118"/>
      <c r="O25" s="119"/>
      <c r="P25" s="118"/>
      <c r="Q25" s="119"/>
      <c r="R25" s="118"/>
      <c r="S25" s="119"/>
      <c r="T25" s="118"/>
      <c r="U25" s="119"/>
      <c r="V25" s="118"/>
      <c r="W25" s="119"/>
      <c r="X25" s="118"/>
      <c r="Y25" s="119"/>
      <c r="Z25" s="118"/>
      <c r="AA25" s="119"/>
      <c r="AB25" s="118"/>
      <c r="AC25" s="120"/>
      <c r="AD25" s="121"/>
      <c r="AE25" s="122"/>
      <c r="AF25" s="121"/>
      <c r="AG25" s="123"/>
      <c r="AH25" s="124"/>
      <c r="AI25" s="117"/>
      <c r="AJ25" s="118"/>
      <c r="AK25" s="119"/>
      <c r="AL25" s="118"/>
      <c r="AM25" s="119"/>
      <c r="AN25" s="118"/>
      <c r="AO25" s="119"/>
      <c r="AP25" s="118"/>
      <c r="AQ25" s="119"/>
      <c r="AR25" s="118"/>
      <c r="AS25" s="119"/>
      <c r="AT25" s="118"/>
      <c r="AU25" s="119"/>
      <c r="AV25" s="118"/>
      <c r="AW25" s="119"/>
      <c r="AX25" s="118"/>
      <c r="AY25" s="119"/>
      <c r="AZ25" s="118"/>
      <c r="BA25" s="119"/>
      <c r="BB25" s="118"/>
      <c r="BC25" s="119"/>
      <c r="BD25" s="118"/>
      <c r="BE25" s="120"/>
      <c r="BF25" s="121"/>
      <c r="BG25" s="122"/>
      <c r="BH25" s="121"/>
      <c r="BI25" s="123"/>
      <c r="BJ25" s="124"/>
      <c r="BK25" s="125"/>
      <c r="BL25" s="126"/>
      <c r="BM25" s="127"/>
      <c r="BN25" s="126"/>
      <c r="BO25" s="127"/>
      <c r="BP25" s="126"/>
      <c r="BQ25" s="127"/>
      <c r="BR25" s="126"/>
      <c r="BS25" s="127"/>
      <c r="BT25" s="126"/>
      <c r="BU25" s="127"/>
      <c r="BV25" s="126"/>
      <c r="BW25" s="127"/>
      <c r="BX25" s="126"/>
      <c r="BY25" s="127"/>
      <c r="BZ25" s="126"/>
      <c r="CA25" s="128" t="str">
        <f t="shared" si="0"/>
        <v/>
      </c>
    </row>
    <row r="26" spans="1:79" ht="30" customHeight="1" x14ac:dyDescent="0.35">
      <c r="A26" s="90" t="str">
        <f>IF('Q4'!A32="","",'Q4'!A32)</f>
        <v/>
      </c>
      <c r="B26" s="90" t="str">
        <f>IF('Q3'!B32="","",'Q3'!B32)</f>
        <v/>
      </c>
      <c r="C26" s="90" t="str">
        <f>IF('Q3'!C32="","",'Q3'!C32)</f>
        <v/>
      </c>
      <c r="D26" s="90" t="str">
        <f>IF('Q3'!D32="","",'Q3'!D32)</f>
        <v/>
      </c>
      <c r="E26" s="90" t="str">
        <f>IF('Q3'!E32="","",'Q3'!E32)</f>
        <v/>
      </c>
      <c r="F26" s="90" t="str">
        <f>IF('Q3'!F32="","",'Q3'!F32)</f>
        <v/>
      </c>
      <c r="G26" s="117"/>
      <c r="H26" s="118"/>
      <c r="I26" s="117"/>
      <c r="J26" s="118"/>
      <c r="K26" s="119"/>
      <c r="L26" s="118"/>
      <c r="M26" s="119"/>
      <c r="N26" s="118"/>
      <c r="O26" s="119"/>
      <c r="P26" s="118"/>
      <c r="Q26" s="119"/>
      <c r="R26" s="118"/>
      <c r="S26" s="119"/>
      <c r="T26" s="118"/>
      <c r="U26" s="119"/>
      <c r="V26" s="118"/>
      <c r="W26" s="119"/>
      <c r="X26" s="118"/>
      <c r="Y26" s="119"/>
      <c r="Z26" s="118"/>
      <c r="AA26" s="119"/>
      <c r="AB26" s="118"/>
      <c r="AC26" s="120"/>
      <c r="AD26" s="121"/>
      <c r="AE26" s="122"/>
      <c r="AF26" s="121"/>
      <c r="AG26" s="123"/>
      <c r="AH26" s="124"/>
      <c r="AI26" s="117"/>
      <c r="AJ26" s="118"/>
      <c r="AK26" s="119"/>
      <c r="AL26" s="118"/>
      <c r="AM26" s="119"/>
      <c r="AN26" s="118"/>
      <c r="AO26" s="119"/>
      <c r="AP26" s="118"/>
      <c r="AQ26" s="119"/>
      <c r="AR26" s="118"/>
      <c r="AS26" s="119"/>
      <c r="AT26" s="118"/>
      <c r="AU26" s="119"/>
      <c r="AV26" s="118"/>
      <c r="AW26" s="119"/>
      <c r="AX26" s="118"/>
      <c r="AY26" s="119"/>
      <c r="AZ26" s="118"/>
      <c r="BA26" s="119"/>
      <c r="BB26" s="118"/>
      <c r="BC26" s="119"/>
      <c r="BD26" s="118"/>
      <c r="BE26" s="120"/>
      <c r="BF26" s="121"/>
      <c r="BG26" s="122"/>
      <c r="BH26" s="121"/>
      <c r="BI26" s="123"/>
      <c r="BJ26" s="124"/>
      <c r="BK26" s="125"/>
      <c r="BL26" s="126"/>
      <c r="BM26" s="127"/>
      <c r="BN26" s="126"/>
      <c r="BO26" s="127"/>
      <c r="BP26" s="126"/>
      <c r="BQ26" s="127"/>
      <c r="BR26" s="126"/>
      <c r="BS26" s="127"/>
      <c r="BT26" s="126"/>
      <c r="BU26" s="127"/>
      <c r="BV26" s="126"/>
      <c r="BW26" s="127"/>
      <c r="BX26" s="126"/>
      <c r="BY26" s="127"/>
      <c r="BZ26" s="126"/>
      <c r="CA26" s="128" t="str">
        <f t="shared" si="0"/>
        <v/>
      </c>
    </row>
    <row r="27" spans="1:79" ht="30" customHeight="1" x14ac:dyDescent="0.35">
      <c r="A27" s="90" t="str">
        <f>IF('Q4'!A33="","",'Q4'!A33)</f>
        <v/>
      </c>
      <c r="B27" s="90" t="str">
        <f>IF('Q3'!B33="","",'Q3'!B33)</f>
        <v/>
      </c>
      <c r="C27" s="90" t="str">
        <f>IF('Q3'!C33="","",'Q3'!C33)</f>
        <v/>
      </c>
      <c r="D27" s="90" t="str">
        <f>IF('Q3'!D33="","",'Q3'!D33)</f>
        <v/>
      </c>
      <c r="E27" s="90" t="str">
        <f>IF('Q3'!E33="","",'Q3'!E33)</f>
        <v/>
      </c>
      <c r="F27" s="90" t="str">
        <f>IF('Q3'!F33="","",'Q3'!F33)</f>
        <v/>
      </c>
      <c r="G27" s="117"/>
      <c r="H27" s="118"/>
      <c r="I27" s="117"/>
      <c r="J27" s="118"/>
      <c r="K27" s="119"/>
      <c r="L27" s="118"/>
      <c r="M27" s="119"/>
      <c r="N27" s="118"/>
      <c r="O27" s="119"/>
      <c r="P27" s="118"/>
      <c r="Q27" s="119"/>
      <c r="R27" s="118"/>
      <c r="S27" s="119"/>
      <c r="T27" s="118"/>
      <c r="U27" s="119"/>
      <c r="V27" s="118"/>
      <c r="W27" s="119"/>
      <c r="X27" s="118"/>
      <c r="Y27" s="119"/>
      <c r="Z27" s="118"/>
      <c r="AA27" s="119"/>
      <c r="AB27" s="118"/>
      <c r="AC27" s="120"/>
      <c r="AD27" s="121"/>
      <c r="AE27" s="122"/>
      <c r="AF27" s="121"/>
      <c r="AG27" s="123"/>
      <c r="AH27" s="124"/>
      <c r="AI27" s="117"/>
      <c r="AJ27" s="118"/>
      <c r="AK27" s="119"/>
      <c r="AL27" s="118"/>
      <c r="AM27" s="119"/>
      <c r="AN27" s="118"/>
      <c r="AO27" s="119"/>
      <c r="AP27" s="118"/>
      <c r="AQ27" s="119"/>
      <c r="AR27" s="118"/>
      <c r="AS27" s="119"/>
      <c r="AT27" s="118"/>
      <c r="AU27" s="119"/>
      <c r="AV27" s="118"/>
      <c r="AW27" s="119"/>
      <c r="AX27" s="118"/>
      <c r="AY27" s="119"/>
      <c r="AZ27" s="118"/>
      <c r="BA27" s="119"/>
      <c r="BB27" s="118"/>
      <c r="BC27" s="119"/>
      <c r="BD27" s="118"/>
      <c r="BE27" s="120"/>
      <c r="BF27" s="121"/>
      <c r="BG27" s="122"/>
      <c r="BH27" s="121"/>
      <c r="BI27" s="123"/>
      <c r="BJ27" s="124"/>
      <c r="BK27" s="125"/>
      <c r="BL27" s="126"/>
      <c r="BM27" s="127"/>
      <c r="BN27" s="126"/>
      <c r="BO27" s="127"/>
      <c r="BP27" s="126"/>
      <c r="BQ27" s="127"/>
      <c r="BR27" s="126"/>
      <c r="BS27" s="127"/>
      <c r="BT27" s="126"/>
      <c r="BU27" s="127"/>
      <c r="BV27" s="126"/>
      <c r="BW27" s="127"/>
      <c r="BX27" s="126"/>
      <c r="BY27" s="127"/>
      <c r="BZ27" s="126"/>
      <c r="CA27" s="128" t="str">
        <f t="shared" si="0"/>
        <v/>
      </c>
    </row>
    <row r="28" spans="1:79" ht="30" customHeight="1" x14ac:dyDescent="0.35">
      <c r="A28" s="90" t="str">
        <f>IF('Q4'!A34="","",'Q4'!A34)</f>
        <v/>
      </c>
      <c r="B28" s="90" t="str">
        <f>IF('Q3'!B34="","",'Q3'!B34)</f>
        <v/>
      </c>
      <c r="C28" s="90" t="str">
        <f>IF('Q3'!C34="","",'Q3'!C34)</f>
        <v/>
      </c>
      <c r="D28" s="90" t="str">
        <f>IF('Q3'!D34="","",'Q3'!D34)</f>
        <v/>
      </c>
      <c r="E28" s="90" t="str">
        <f>IF('Q3'!E34="","",'Q3'!E34)</f>
        <v/>
      </c>
      <c r="F28" s="90" t="str">
        <f>IF('Q3'!F34="","",'Q3'!F34)</f>
        <v/>
      </c>
      <c r="G28" s="117"/>
      <c r="H28" s="118"/>
      <c r="I28" s="117"/>
      <c r="J28" s="118"/>
      <c r="K28" s="119"/>
      <c r="L28" s="118"/>
      <c r="M28" s="119"/>
      <c r="N28" s="118"/>
      <c r="O28" s="119"/>
      <c r="P28" s="118"/>
      <c r="Q28" s="119"/>
      <c r="R28" s="118"/>
      <c r="S28" s="119"/>
      <c r="T28" s="118"/>
      <c r="U28" s="119"/>
      <c r="V28" s="118"/>
      <c r="W28" s="119"/>
      <c r="X28" s="118"/>
      <c r="Y28" s="119"/>
      <c r="Z28" s="118"/>
      <c r="AA28" s="119"/>
      <c r="AB28" s="118"/>
      <c r="AC28" s="120"/>
      <c r="AD28" s="121"/>
      <c r="AE28" s="122"/>
      <c r="AF28" s="121"/>
      <c r="AG28" s="123"/>
      <c r="AH28" s="124"/>
      <c r="AI28" s="117"/>
      <c r="AJ28" s="118"/>
      <c r="AK28" s="119"/>
      <c r="AL28" s="118"/>
      <c r="AM28" s="119"/>
      <c r="AN28" s="118"/>
      <c r="AO28" s="119"/>
      <c r="AP28" s="118"/>
      <c r="AQ28" s="119"/>
      <c r="AR28" s="118"/>
      <c r="AS28" s="119"/>
      <c r="AT28" s="118"/>
      <c r="AU28" s="119"/>
      <c r="AV28" s="118"/>
      <c r="AW28" s="119"/>
      <c r="AX28" s="118"/>
      <c r="AY28" s="119"/>
      <c r="AZ28" s="118"/>
      <c r="BA28" s="119"/>
      <c r="BB28" s="118"/>
      <c r="BC28" s="119"/>
      <c r="BD28" s="118"/>
      <c r="BE28" s="120"/>
      <c r="BF28" s="121"/>
      <c r="BG28" s="122"/>
      <c r="BH28" s="121"/>
      <c r="BI28" s="123"/>
      <c r="BJ28" s="124"/>
      <c r="BK28" s="125"/>
      <c r="BL28" s="126"/>
      <c r="BM28" s="127"/>
      <c r="BN28" s="126"/>
      <c r="BO28" s="127"/>
      <c r="BP28" s="126"/>
      <c r="BQ28" s="127"/>
      <c r="BR28" s="126"/>
      <c r="BS28" s="127"/>
      <c r="BT28" s="126"/>
      <c r="BU28" s="127"/>
      <c r="BV28" s="126"/>
      <c r="BW28" s="127"/>
      <c r="BX28" s="126"/>
      <c r="BY28" s="127"/>
      <c r="BZ28" s="126"/>
      <c r="CA28" s="128" t="str">
        <f t="shared" si="0"/>
        <v/>
      </c>
    </row>
    <row r="29" spans="1:79" ht="30" customHeight="1" x14ac:dyDescent="0.35">
      <c r="A29" s="90" t="str">
        <f>IF('Q4'!A35="","",'Q4'!A35)</f>
        <v/>
      </c>
      <c r="B29" s="90" t="str">
        <f>IF('Q3'!B35="","",'Q3'!B35)</f>
        <v/>
      </c>
      <c r="C29" s="90" t="str">
        <f>IF('Q3'!C35="","",'Q3'!C35)</f>
        <v/>
      </c>
      <c r="D29" s="90" t="str">
        <f>IF('Q3'!D35="","",'Q3'!D35)</f>
        <v/>
      </c>
      <c r="E29" s="90" t="str">
        <f>IF('Q3'!E35="","",'Q3'!E35)</f>
        <v/>
      </c>
      <c r="F29" s="90" t="str">
        <f>IF('Q3'!F35="","",'Q3'!F35)</f>
        <v/>
      </c>
      <c r="G29" s="117"/>
      <c r="H29" s="118"/>
      <c r="I29" s="117"/>
      <c r="J29" s="118"/>
      <c r="K29" s="119"/>
      <c r="L29" s="118"/>
      <c r="M29" s="119"/>
      <c r="N29" s="118"/>
      <c r="O29" s="119"/>
      <c r="P29" s="118"/>
      <c r="Q29" s="119"/>
      <c r="R29" s="118"/>
      <c r="S29" s="119"/>
      <c r="T29" s="118"/>
      <c r="U29" s="119"/>
      <c r="V29" s="118"/>
      <c r="W29" s="119"/>
      <c r="X29" s="118"/>
      <c r="Y29" s="119"/>
      <c r="Z29" s="118"/>
      <c r="AA29" s="119"/>
      <c r="AB29" s="118"/>
      <c r="AC29" s="120"/>
      <c r="AD29" s="121"/>
      <c r="AE29" s="122"/>
      <c r="AF29" s="121"/>
      <c r="AG29" s="123"/>
      <c r="AH29" s="124"/>
      <c r="AI29" s="117"/>
      <c r="AJ29" s="118"/>
      <c r="AK29" s="119"/>
      <c r="AL29" s="118"/>
      <c r="AM29" s="119"/>
      <c r="AN29" s="118"/>
      <c r="AO29" s="119"/>
      <c r="AP29" s="118"/>
      <c r="AQ29" s="119"/>
      <c r="AR29" s="118"/>
      <c r="AS29" s="119"/>
      <c r="AT29" s="118"/>
      <c r="AU29" s="119"/>
      <c r="AV29" s="118"/>
      <c r="AW29" s="119"/>
      <c r="AX29" s="118"/>
      <c r="AY29" s="119"/>
      <c r="AZ29" s="118"/>
      <c r="BA29" s="119"/>
      <c r="BB29" s="118"/>
      <c r="BC29" s="119"/>
      <c r="BD29" s="118"/>
      <c r="BE29" s="120"/>
      <c r="BF29" s="121"/>
      <c r="BG29" s="122"/>
      <c r="BH29" s="121"/>
      <c r="BI29" s="123"/>
      <c r="BJ29" s="124"/>
      <c r="BK29" s="125"/>
      <c r="BL29" s="126"/>
      <c r="BM29" s="127"/>
      <c r="BN29" s="126"/>
      <c r="BO29" s="127"/>
      <c r="BP29" s="126"/>
      <c r="BQ29" s="127"/>
      <c r="BR29" s="126"/>
      <c r="BS29" s="127"/>
      <c r="BT29" s="126"/>
      <c r="BU29" s="127"/>
      <c r="BV29" s="126"/>
      <c r="BW29" s="127"/>
      <c r="BX29" s="126"/>
      <c r="BY29" s="127"/>
      <c r="BZ29" s="126"/>
      <c r="CA29" s="128" t="str">
        <f t="shared" si="0"/>
        <v/>
      </c>
    </row>
    <row r="30" spans="1:79" ht="30" customHeight="1" x14ac:dyDescent="0.35">
      <c r="A30" s="90" t="str">
        <f>IF('Q4'!A36="","",'Q4'!A36)</f>
        <v/>
      </c>
      <c r="B30" s="90" t="str">
        <f>IF('Q3'!B36="","",'Q3'!B36)</f>
        <v/>
      </c>
      <c r="C30" s="90" t="str">
        <f>IF('Q3'!C36="","",'Q3'!C36)</f>
        <v/>
      </c>
      <c r="D30" s="90" t="str">
        <f>IF('Q3'!D36="","",'Q3'!D36)</f>
        <v/>
      </c>
      <c r="E30" s="90" t="str">
        <f>IF('Q3'!E36="","",'Q3'!E36)</f>
        <v/>
      </c>
      <c r="F30" s="90" t="str">
        <f>IF('Q3'!F36="","",'Q3'!F36)</f>
        <v/>
      </c>
      <c r="G30" s="117"/>
      <c r="H30" s="118"/>
      <c r="I30" s="117"/>
      <c r="J30" s="118"/>
      <c r="K30" s="119"/>
      <c r="L30" s="118"/>
      <c r="M30" s="119"/>
      <c r="N30" s="118"/>
      <c r="O30" s="119"/>
      <c r="P30" s="118"/>
      <c r="Q30" s="119"/>
      <c r="R30" s="118"/>
      <c r="S30" s="119"/>
      <c r="T30" s="118"/>
      <c r="U30" s="119"/>
      <c r="V30" s="118"/>
      <c r="W30" s="119"/>
      <c r="X30" s="118"/>
      <c r="Y30" s="119"/>
      <c r="Z30" s="118"/>
      <c r="AA30" s="119"/>
      <c r="AB30" s="118"/>
      <c r="AC30" s="120"/>
      <c r="AD30" s="121"/>
      <c r="AE30" s="122"/>
      <c r="AF30" s="121"/>
      <c r="AG30" s="123"/>
      <c r="AH30" s="124"/>
      <c r="AI30" s="117"/>
      <c r="AJ30" s="118"/>
      <c r="AK30" s="119"/>
      <c r="AL30" s="118"/>
      <c r="AM30" s="119"/>
      <c r="AN30" s="118"/>
      <c r="AO30" s="119"/>
      <c r="AP30" s="118"/>
      <c r="AQ30" s="119"/>
      <c r="AR30" s="118"/>
      <c r="AS30" s="119"/>
      <c r="AT30" s="118"/>
      <c r="AU30" s="119"/>
      <c r="AV30" s="118"/>
      <c r="AW30" s="119"/>
      <c r="AX30" s="118"/>
      <c r="AY30" s="119"/>
      <c r="AZ30" s="118"/>
      <c r="BA30" s="119"/>
      <c r="BB30" s="118"/>
      <c r="BC30" s="119"/>
      <c r="BD30" s="118"/>
      <c r="BE30" s="120"/>
      <c r="BF30" s="121"/>
      <c r="BG30" s="122"/>
      <c r="BH30" s="121"/>
      <c r="BI30" s="123"/>
      <c r="BJ30" s="124"/>
      <c r="BK30" s="125"/>
      <c r="BL30" s="126"/>
      <c r="BM30" s="127"/>
      <c r="BN30" s="126"/>
      <c r="BO30" s="127"/>
      <c r="BP30" s="126"/>
      <c r="BQ30" s="127"/>
      <c r="BR30" s="126"/>
      <c r="BS30" s="127"/>
      <c r="BT30" s="126"/>
      <c r="BU30" s="127"/>
      <c r="BV30" s="126"/>
      <c r="BW30" s="127"/>
      <c r="BX30" s="126"/>
      <c r="BY30" s="127"/>
      <c r="BZ30" s="126"/>
      <c r="CA30" s="128" t="str">
        <f t="shared" si="0"/>
        <v/>
      </c>
    </row>
    <row r="31" spans="1:79" ht="30" customHeight="1" x14ac:dyDescent="0.35">
      <c r="A31" s="90" t="str">
        <f>IF('Q4'!A37="","",'Q4'!A37)</f>
        <v/>
      </c>
      <c r="B31" s="90" t="str">
        <f>IF('Q3'!B37="","",'Q3'!B37)</f>
        <v/>
      </c>
      <c r="C31" s="90" t="str">
        <f>IF('Q3'!C37="","",'Q3'!C37)</f>
        <v/>
      </c>
      <c r="D31" s="90" t="str">
        <f>IF('Q3'!D37="","",'Q3'!D37)</f>
        <v/>
      </c>
      <c r="E31" s="90" t="str">
        <f>IF('Q3'!E37="","",'Q3'!E37)</f>
        <v/>
      </c>
      <c r="F31" s="90" t="str">
        <f>IF('Q3'!F37="","",'Q3'!F37)</f>
        <v/>
      </c>
      <c r="G31" s="117"/>
      <c r="H31" s="118"/>
      <c r="I31" s="117"/>
      <c r="J31" s="118"/>
      <c r="K31" s="119"/>
      <c r="L31" s="118"/>
      <c r="M31" s="119"/>
      <c r="N31" s="118"/>
      <c r="O31" s="119"/>
      <c r="P31" s="118"/>
      <c r="Q31" s="119"/>
      <c r="R31" s="118"/>
      <c r="S31" s="119"/>
      <c r="T31" s="118"/>
      <c r="U31" s="119"/>
      <c r="V31" s="118"/>
      <c r="W31" s="119"/>
      <c r="X31" s="118"/>
      <c r="Y31" s="119"/>
      <c r="Z31" s="118"/>
      <c r="AA31" s="119"/>
      <c r="AB31" s="118"/>
      <c r="AC31" s="120"/>
      <c r="AD31" s="121"/>
      <c r="AE31" s="122"/>
      <c r="AF31" s="121"/>
      <c r="AG31" s="123"/>
      <c r="AH31" s="124"/>
      <c r="AI31" s="117"/>
      <c r="AJ31" s="118"/>
      <c r="AK31" s="119"/>
      <c r="AL31" s="118"/>
      <c r="AM31" s="119"/>
      <c r="AN31" s="118"/>
      <c r="AO31" s="119"/>
      <c r="AP31" s="118"/>
      <c r="AQ31" s="119"/>
      <c r="AR31" s="118"/>
      <c r="AS31" s="119"/>
      <c r="AT31" s="118"/>
      <c r="AU31" s="119"/>
      <c r="AV31" s="118"/>
      <c r="AW31" s="119"/>
      <c r="AX31" s="118"/>
      <c r="AY31" s="119"/>
      <c r="AZ31" s="118"/>
      <c r="BA31" s="119"/>
      <c r="BB31" s="118"/>
      <c r="BC31" s="119"/>
      <c r="BD31" s="118"/>
      <c r="BE31" s="120"/>
      <c r="BF31" s="121"/>
      <c r="BG31" s="122"/>
      <c r="BH31" s="121"/>
      <c r="BI31" s="123"/>
      <c r="BJ31" s="124"/>
      <c r="BK31" s="125"/>
      <c r="BL31" s="126"/>
      <c r="BM31" s="127"/>
      <c r="BN31" s="126"/>
      <c r="BO31" s="127"/>
      <c r="BP31" s="126"/>
      <c r="BQ31" s="127"/>
      <c r="BR31" s="126"/>
      <c r="BS31" s="127"/>
      <c r="BT31" s="126"/>
      <c r="BU31" s="127"/>
      <c r="BV31" s="126"/>
      <c r="BW31" s="127"/>
      <c r="BX31" s="126"/>
      <c r="BY31" s="127"/>
      <c r="BZ31" s="126"/>
      <c r="CA31" s="128" t="str">
        <f t="shared" si="0"/>
        <v/>
      </c>
    </row>
    <row r="32" spans="1:79" ht="30" customHeight="1" x14ac:dyDescent="0.35">
      <c r="A32" s="90" t="str">
        <f>IF('Q4'!A38="","",'Q4'!A38)</f>
        <v/>
      </c>
      <c r="B32" s="90" t="str">
        <f>IF('Q3'!B38="","",'Q3'!B38)</f>
        <v/>
      </c>
      <c r="C32" s="90" t="str">
        <f>IF('Q3'!C38="","",'Q3'!C38)</f>
        <v/>
      </c>
      <c r="D32" s="90" t="str">
        <f>IF('Q3'!D38="","",'Q3'!D38)</f>
        <v/>
      </c>
      <c r="E32" s="90" t="str">
        <f>IF('Q3'!E38="","",'Q3'!E38)</f>
        <v/>
      </c>
      <c r="F32" s="90" t="str">
        <f>IF('Q3'!F38="","",'Q3'!F38)</f>
        <v/>
      </c>
      <c r="G32" s="117"/>
      <c r="H32" s="118"/>
      <c r="I32" s="117"/>
      <c r="J32" s="118"/>
      <c r="K32" s="119"/>
      <c r="L32" s="118"/>
      <c r="M32" s="119"/>
      <c r="N32" s="118"/>
      <c r="O32" s="119"/>
      <c r="P32" s="118"/>
      <c r="Q32" s="119"/>
      <c r="R32" s="118"/>
      <c r="S32" s="119"/>
      <c r="T32" s="118"/>
      <c r="U32" s="119"/>
      <c r="V32" s="118"/>
      <c r="W32" s="119"/>
      <c r="X32" s="118"/>
      <c r="Y32" s="119"/>
      <c r="Z32" s="118"/>
      <c r="AA32" s="119"/>
      <c r="AB32" s="118"/>
      <c r="AC32" s="120"/>
      <c r="AD32" s="121"/>
      <c r="AE32" s="122"/>
      <c r="AF32" s="121"/>
      <c r="AG32" s="123"/>
      <c r="AH32" s="124"/>
      <c r="AI32" s="117"/>
      <c r="AJ32" s="118"/>
      <c r="AK32" s="119"/>
      <c r="AL32" s="118"/>
      <c r="AM32" s="119"/>
      <c r="AN32" s="118"/>
      <c r="AO32" s="119"/>
      <c r="AP32" s="118"/>
      <c r="AQ32" s="119"/>
      <c r="AR32" s="118"/>
      <c r="AS32" s="119"/>
      <c r="AT32" s="118"/>
      <c r="AU32" s="119"/>
      <c r="AV32" s="118"/>
      <c r="AW32" s="119"/>
      <c r="AX32" s="118"/>
      <c r="AY32" s="119"/>
      <c r="AZ32" s="118"/>
      <c r="BA32" s="119"/>
      <c r="BB32" s="118"/>
      <c r="BC32" s="119"/>
      <c r="BD32" s="118"/>
      <c r="BE32" s="120"/>
      <c r="BF32" s="121"/>
      <c r="BG32" s="122"/>
      <c r="BH32" s="121"/>
      <c r="BI32" s="123"/>
      <c r="BJ32" s="124"/>
      <c r="BK32" s="125"/>
      <c r="BL32" s="126"/>
      <c r="BM32" s="127"/>
      <c r="BN32" s="126"/>
      <c r="BO32" s="127"/>
      <c r="BP32" s="126"/>
      <c r="BQ32" s="127"/>
      <c r="BR32" s="126"/>
      <c r="BS32" s="127"/>
      <c r="BT32" s="126"/>
      <c r="BU32" s="127"/>
      <c r="BV32" s="126"/>
      <c r="BW32" s="127"/>
      <c r="BX32" s="126"/>
      <c r="BY32" s="127"/>
      <c r="BZ32" s="126"/>
      <c r="CA32" s="128" t="str">
        <f t="shared" si="0"/>
        <v/>
      </c>
    </row>
    <row r="33" spans="1:79" ht="30" customHeight="1" x14ac:dyDescent="0.35">
      <c r="A33" s="90" t="str">
        <f>IF('Q4'!A39="","",'Q4'!A39)</f>
        <v/>
      </c>
      <c r="B33" s="90" t="str">
        <f>IF('Q3'!B39="","",'Q3'!B39)</f>
        <v/>
      </c>
      <c r="C33" s="90" t="str">
        <f>IF('Q3'!C39="","",'Q3'!C39)</f>
        <v/>
      </c>
      <c r="D33" s="90" t="str">
        <f>IF('Q3'!D39="","",'Q3'!D39)</f>
        <v/>
      </c>
      <c r="E33" s="90" t="str">
        <f>IF('Q3'!E39="","",'Q3'!E39)</f>
        <v/>
      </c>
      <c r="F33" s="90" t="str">
        <f>IF('Q3'!F39="","",'Q3'!F39)</f>
        <v/>
      </c>
      <c r="G33" s="117"/>
      <c r="H33" s="118"/>
      <c r="I33" s="117"/>
      <c r="J33" s="118"/>
      <c r="K33" s="119"/>
      <c r="L33" s="118"/>
      <c r="M33" s="119"/>
      <c r="N33" s="118"/>
      <c r="O33" s="119"/>
      <c r="P33" s="118"/>
      <c r="Q33" s="119"/>
      <c r="R33" s="118"/>
      <c r="S33" s="119"/>
      <c r="T33" s="118"/>
      <c r="U33" s="119"/>
      <c r="V33" s="118"/>
      <c r="W33" s="119"/>
      <c r="X33" s="118"/>
      <c r="Y33" s="119"/>
      <c r="Z33" s="118"/>
      <c r="AA33" s="119"/>
      <c r="AB33" s="118"/>
      <c r="AC33" s="120"/>
      <c r="AD33" s="121"/>
      <c r="AE33" s="122"/>
      <c r="AF33" s="121"/>
      <c r="AG33" s="123"/>
      <c r="AH33" s="124"/>
      <c r="AI33" s="117"/>
      <c r="AJ33" s="118"/>
      <c r="AK33" s="119"/>
      <c r="AL33" s="118"/>
      <c r="AM33" s="119"/>
      <c r="AN33" s="118"/>
      <c r="AO33" s="119"/>
      <c r="AP33" s="118"/>
      <c r="AQ33" s="119"/>
      <c r="AR33" s="118"/>
      <c r="AS33" s="119"/>
      <c r="AT33" s="118"/>
      <c r="AU33" s="119"/>
      <c r="AV33" s="118"/>
      <c r="AW33" s="119"/>
      <c r="AX33" s="118"/>
      <c r="AY33" s="119"/>
      <c r="AZ33" s="118"/>
      <c r="BA33" s="119"/>
      <c r="BB33" s="118"/>
      <c r="BC33" s="119"/>
      <c r="BD33" s="118"/>
      <c r="BE33" s="120"/>
      <c r="BF33" s="121"/>
      <c r="BG33" s="122"/>
      <c r="BH33" s="121"/>
      <c r="BI33" s="123"/>
      <c r="BJ33" s="124"/>
      <c r="BK33" s="125"/>
      <c r="BL33" s="126"/>
      <c r="BM33" s="127"/>
      <c r="BN33" s="126"/>
      <c r="BO33" s="127"/>
      <c r="BP33" s="126"/>
      <c r="BQ33" s="127"/>
      <c r="BR33" s="126"/>
      <c r="BS33" s="127"/>
      <c r="BT33" s="126"/>
      <c r="BU33" s="127"/>
      <c r="BV33" s="126"/>
      <c r="BW33" s="127"/>
      <c r="BX33" s="126"/>
      <c r="BY33" s="127"/>
      <c r="BZ33" s="126"/>
      <c r="CA33" s="128" t="str">
        <f t="shared" si="0"/>
        <v/>
      </c>
    </row>
    <row r="34" spans="1:79" ht="30" customHeight="1" x14ac:dyDescent="0.35">
      <c r="A34" s="90" t="str">
        <f>IF('Q4'!A40="","",'Q4'!A40)</f>
        <v/>
      </c>
      <c r="B34" s="90" t="str">
        <f>IF('Q3'!B40="","",'Q3'!B40)</f>
        <v/>
      </c>
      <c r="C34" s="90" t="str">
        <f>IF('Q3'!C40="","",'Q3'!C40)</f>
        <v/>
      </c>
      <c r="D34" s="90" t="str">
        <f>IF('Q3'!D40="","",'Q3'!D40)</f>
        <v/>
      </c>
      <c r="E34" s="90" t="str">
        <f>IF('Q3'!E40="","",'Q3'!E40)</f>
        <v/>
      </c>
      <c r="F34" s="90" t="str">
        <f>IF('Q3'!F40="","",'Q3'!F40)</f>
        <v/>
      </c>
      <c r="G34" s="117"/>
      <c r="H34" s="118"/>
      <c r="I34" s="117"/>
      <c r="J34" s="118"/>
      <c r="K34" s="119"/>
      <c r="L34" s="118"/>
      <c r="M34" s="119"/>
      <c r="N34" s="118"/>
      <c r="O34" s="119"/>
      <c r="P34" s="118"/>
      <c r="Q34" s="119"/>
      <c r="R34" s="118"/>
      <c r="S34" s="119"/>
      <c r="T34" s="118"/>
      <c r="U34" s="119"/>
      <c r="V34" s="118"/>
      <c r="W34" s="119"/>
      <c r="X34" s="118"/>
      <c r="Y34" s="119"/>
      <c r="Z34" s="118"/>
      <c r="AA34" s="119"/>
      <c r="AB34" s="118"/>
      <c r="AC34" s="120"/>
      <c r="AD34" s="121"/>
      <c r="AE34" s="122"/>
      <c r="AF34" s="121"/>
      <c r="AG34" s="123"/>
      <c r="AH34" s="124"/>
      <c r="AI34" s="117"/>
      <c r="AJ34" s="118"/>
      <c r="AK34" s="119"/>
      <c r="AL34" s="118"/>
      <c r="AM34" s="119"/>
      <c r="AN34" s="118"/>
      <c r="AO34" s="119"/>
      <c r="AP34" s="118"/>
      <c r="AQ34" s="119"/>
      <c r="AR34" s="118"/>
      <c r="AS34" s="119"/>
      <c r="AT34" s="118"/>
      <c r="AU34" s="119"/>
      <c r="AV34" s="118"/>
      <c r="AW34" s="119"/>
      <c r="AX34" s="118"/>
      <c r="AY34" s="119"/>
      <c r="AZ34" s="118"/>
      <c r="BA34" s="119"/>
      <c r="BB34" s="118"/>
      <c r="BC34" s="119"/>
      <c r="BD34" s="118"/>
      <c r="BE34" s="120"/>
      <c r="BF34" s="121"/>
      <c r="BG34" s="122"/>
      <c r="BH34" s="121"/>
      <c r="BI34" s="123"/>
      <c r="BJ34" s="124"/>
      <c r="BK34" s="125"/>
      <c r="BL34" s="126"/>
      <c r="BM34" s="127"/>
      <c r="BN34" s="126"/>
      <c r="BO34" s="127"/>
      <c r="BP34" s="126"/>
      <c r="BQ34" s="127"/>
      <c r="BR34" s="126"/>
      <c r="BS34" s="127"/>
      <c r="BT34" s="126"/>
      <c r="BU34" s="127"/>
      <c r="BV34" s="126"/>
      <c r="BW34" s="127"/>
      <c r="BX34" s="126"/>
      <c r="BY34" s="127"/>
      <c r="BZ34" s="126"/>
      <c r="CA34" s="128" t="str">
        <f t="shared" si="0"/>
        <v/>
      </c>
    </row>
    <row r="35" spans="1:79" ht="30" customHeight="1" x14ac:dyDescent="0.35">
      <c r="A35" s="90" t="str">
        <f>IF('Q4'!A41="","",'Q4'!A41)</f>
        <v/>
      </c>
      <c r="B35" s="90" t="str">
        <f>IF('Q3'!B41="","",'Q3'!B41)</f>
        <v/>
      </c>
      <c r="C35" s="90" t="str">
        <f>IF('Q3'!C41="","",'Q3'!C41)</f>
        <v/>
      </c>
      <c r="D35" s="90" t="str">
        <f>IF('Q3'!D41="","",'Q3'!D41)</f>
        <v/>
      </c>
      <c r="E35" s="90" t="str">
        <f>IF('Q3'!E41="","",'Q3'!E41)</f>
        <v/>
      </c>
      <c r="F35" s="90" t="str">
        <f>IF('Q3'!F41="","",'Q3'!F41)</f>
        <v/>
      </c>
      <c r="G35" s="117"/>
      <c r="H35" s="118"/>
      <c r="I35" s="117"/>
      <c r="J35" s="118"/>
      <c r="K35" s="119"/>
      <c r="L35" s="118"/>
      <c r="M35" s="119"/>
      <c r="N35" s="118"/>
      <c r="O35" s="119"/>
      <c r="P35" s="118"/>
      <c r="Q35" s="119"/>
      <c r="R35" s="118"/>
      <c r="S35" s="119"/>
      <c r="T35" s="118"/>
      <c r="U35" s="119"/>
      <c r="V35" s="118"/>
      <c r="W35" s="119"/>
      <c r="X35" s="118"/>
      <c r="Y35" s="119"/>
      <c r="Z35" s="118"/>
      <c r="AA35" s="119"/>
      <c r="AB35" s="118"/>
      <c r="AC35" s="120"/>
      <c r="AD35" s="121"/>
      <c r="AE35" s="122"/>
      <c r="AF35" s="121"/>
      <c r="AG35" s="123"/>
      <c r="AH35" s="124"/>
      <c r="AI35" s="117"/>
      <c r="AJ35" s="118"/>
      <c r="AK35" s="119"/>
      <c r="AL35" s="118"/>
      <c r="AM35" s="119"/>
      <c r="AN35" s="118"/>
      <c r="AO35" s="119"/>
      <c r="AP35" s="118"/>
      <c r="AQ35" s="119"/>
      <c r="AR35" s="118"/>
      <c r="AS35" s="119"/>
      <c r="AT35" s="118"/>
      <c r="AU35" s="119"/>
      <c r="AV35" s="118"/>
      <c r="AW35" s="119"/>
      <c r="AX35" s="118"/>
      <c r="AY35" s="119"/>
      <c r="AZ35" s="118"/>
      <c r="BA35" s="119"/>
      <c r="BB35" s="118"/>
      <c r="BC35" s="119"/>
      <c r="BD35" s="118"/>
      <c r="BE35" s="120"/>
      <c r="BF35" s="121"/>
      <c r="BG35" s="122"/>
      <c r="BH35" s="121"/>
      <c r="BI35" s="123"/>
      <c r="BJ35" s="124"/>
      <c r="BK35" s="125"/>
      <c r="BL35" s="126"/>
      <c r="BM35" s="127"/>
      <c r="BN35" s="126"/>
      <c r="BO35" s="127"/>
      <c r="BP35" s="126"/>
      <c r="BQ35" s="127"/>
      <c r="BR35" s="126"/>
      <c r="BS35" s="127"/>
      <c r="BT35" s="126"/>
      <c r="BU35" s="127"/>
      <c r="BV35" s="126"/>
      <c r="BW35" s="127"/>
      <c r="BX35" s="126"/>
      <c r="BY35" s="127"/>
      <c r="BZ35" s="126"/>
      <c r="CA35" s="128" t="str">
        <f t="shared" si="0"/>
        <v/>
      </c>
    </row>
    <row r="36" spans="1:79" ht="30" customHeight="1" x14ac:dyDescent="0.35">
      <c r="A36" s="90" t="str">
        <f>IF('Q4'!A42="","",'Q4'!A42)</f>
        <v/>
      </c>
      <c r="B36" s="90" t="str">
        <f>IF('Q3'!B42="","",'Q3'!B42)</f>
        <v/>
      </c>
      <c r="C36" s="90" t="str">
        <f>IF('Q3'!C42="","",'Q3'!C42)</f>
        <v/>
      </c>
      <c r="D36" s="90" t="str">
        <f>IF('Q3'!D42="","",'Q3'!D42)</f>
        <v/>
      </c>
      <c r="E36" s="90" t="str">
        <f>IF('Q3'!E42="","",'Q3'!E42)</f>
        <v/>
      </c>
      <c r="F36" s="90" t="str">
        <f>IF('Q3'!F42="","",'Q3'!F42)</f>
        <v/>
      </c>
      <c r="G36" s="117"/>
      <c r="H36" s="118"/>
      <c r="I36" s="117"/>
      <c r="J36" s="118"/>
      <c r="K36" s="119"/>
      <c r="L36" s="118"/>
      <c r="M36" s="119"/>
      <c r="N36" s="118"/>
      <c r="O36" s="119"/>
      <c r="P36" s="118"/>
      <c r="Q36" s="119"/>
      <c r="R36" s="118"/>
      <c r="S36" s="119"/>
      <c r="T36" s="118"/>
      <c r="U36" s="119"/>
      <c r="V36" s="118"/>
      <c r="W36" s="119"/>
      <c r="X36" s="118"/>
      <c r="Y36" s="119"/>
      <c r="Z36" s="118"/>
      <c r="AA36" s="119"/>
      <c r="AB36" s="118"/>
      <c r="AC36" s="120"/>
      <c r="AD36" s="121"/>
      <c r="AE36" s="122"/>
      <c r="AF36" s="121"/>
      <c r="AG36" s="123"/>
      <c r="AH36" s="124"/>
      <c r="AI36" s="117"/>
      <c r="AJ36" s="118"/>
      <c r="AK36" s="119"/>
      <c r="AL36" s="118"/>
      <c r="AM36" s="119"/>
      <c r="AN36" s="118"/>
      <c r="AO36" s="119"/>
      <c r="AP36" s="118"/>
      <c r="AQ36" s="119"/>
      <c r="AR36" s="118"/>
      <c r="AS36" s="119"/>
      <c r="AT36" s="118"/>
      <c r="AU36" s="119"/>
      <c r="AV36" s="118"/>
      <c r="AW36" s="119"/>
      <c r="AX36" s="118"/>
      <c r="AY36" s="119"/>
      <c r="AZ36" s="118"/>
      <c r="BA36" s="119"/>
      <c r="BB36" s="118"/>
      <c r="BC36" s="119"/>
      <c r="BD36" s="118"/>
      <c r="BE36" s="120"/>
      <c r="BF36" s="121"/>
      <c r="BG36" s="122"/>
      <c r="BH36" s="121"/>
      <c r="BI36" s="123"/>
      <c r="BJ36" s="124"/>
      <c r="BK36" s="125"/>
      <c r="BL36" s="126"/>
      <c r="BM36" s="127"/>
      <c r="BN36" s="126"/>
      <c r="BO36" s="127"/>
      <c r="BP36" s="126"/>
      <c r="BQ36" s="127"/>
      <c r="BR36" s="126"/>
      <c r="BS36" s="127"/>
      <c r="BT36" s="126"/>
      <c r="BU36" s="127"/>
      <c r="BV36" s="126"/>
      <c r="BW36" s="127"/>
      <c r="BX36" s="126"/>
      <c r="BY36" s="127"/>
      <c r="BZ36" s="126"/>
      <c r="CA36" s="128" t="str">
        <f t="shared" si="0"/>
        <v/>
      </c>
    </row>
    <row r="37" spans="1:79" ht="30" customHeight="1" x14ac:dyDescent="0.35">
      <c r="A37" s="90" t="str">
        <f>IF('Q4'!A43="","",'Q4'!A43)</f>
        <v/>
      </c>
      <c r="B37" s="90" t="str">
        <f>IF('Q3'!B43="","",'Q3'!B43)</f>
        <v/>
      </c>
      <c r="C37" s="90" t="str">
        <f>IF('Q3'!C43="","",'Q3'!C43)</f>
        <v/>
      </c>
      <c r="D37" s="90" t="str">
        <f>IF('Q3'!D43="","",'Q3'!D43)</f>
        <v/>
      </c>
      <c r="E37" s="90" t="str">
        <f>IF('Q3'!E43="","",'Q3'!E43)</f>
        <v/>
      </c>
      <c r="F37" s="90" t="str">
        <f>IF('Q3'!F43="","",'Q3'!F43)</f>
        <v/>
      </c>
      <c r="G37" s="117"/>
      <c r="H37" s="118"/>
      <c r="I37" s="117"/>
      <c r="J37" s="118"/>
      <c r="K37" s="119"/>
      <c r="L37" s="118"/>
      <c r="M37" s="119"/>
      <c r="N37" s="118"/>
      <c r="O37" s="119"/>
      <c r="P37" s="118"/>
      <c r="Q37" s="119"/>
      <c r="R37" s="118"/>
      <c r="S37" s="119"/>
      <c r="T37" s="118"/>
      <c r="U37" s="119"/>
      <c r="V37" s="118"/>
      <c r="W37" s="119"/>
      <c r="X37" s="118"/>
      <c r="Y37" s="119"/>
      <c r="Z37" s="118"/>
      <c r="AA37" s="119"/>
      <c r="AB37" s="118"/>
      <c r="AC37" s="120"/>
      <c r="AD37" s="121"/>
      <c r="AE37" s="122"/>
      <c r="AF37" s="121"/>
      <c r="AG37" s="123"/>
      <c r="AH37" s="124"/>
      <c r="AI37" s="117"/>
      <c r="AJ37" s="118"/>
      <c r="AK37" s="119"/>
      <c r="AL37" s="118"/>
      <c r="AM37" s="119"/>
      <c r="AN37" s="118"/>
      <c r="AO37" s="119"/>
      <c r="AP37" s="118"/>
      <c r="AQ37" s="119"/>
      <c r="AR37" s="118"/>
      <c r="AS37" s="119"/>
      <c r="AT37" s="118"/>
      <c r="AU37" s="119"/>
      <c r="AV37" s="118"/>
      <c r="AW37" s="119"/>
      <c r="AX37" s="118"/>
      <c r="AY37" s="119"/>
      <c r="AZ37" s="118"/>
      <c r="BA37" s="119"/>
      <c r="BB37" s="118"/>
      <c r="BC37" s="119"/>
      <c r="BD37" s="118"/>
      <c r="BE37" s="120"/>
      <c r="BF37" s="121"/>
      <c r="BG37" s="122"/>
      <c r="BH37" s="121"/>
      <c r="BI37" s="123"/>
      <c r="BJ37" s="124"/>
      <c r="BK37" s="125"/>
      <c r="BL37" s="126"/>
      <c r="BM37" s="127"/>
      <c r="BN37" s="126"/>
      <c r="BO37" s="127"/>
      <c r="BP37" s="126"/>
      <c r="BQ37" s="127"/>
      <c r="BR37" s="126"/>
      <c r="BS37" s="127"/>
      <c r="BT37" s="126"/>
      <c r="BU37" s="127"/>
      <c r="BV37" s="126"/>
      <c r="BW37" s="127"/>
      <c r="BX37" s="126"/>
      <c r="BY37" s="127"/>
      <c r="BZ37" s="126"/>
      <c r="CA37" s="128" t="str">
        <f t="shared" si="0"/>
        <v/>
      </c>
    </row>
    <row r="38" spans="1:79" ht="30" customHeight="1" x14ac:dyDescent="0.35">
      <c r="A38" s="90" t="str">
        <f>IF('Q4'!A44="","",'Q4'!A44)</f>
        <v/>
      </c>
      <c r="B38" s="90" t="str">
        <f>IF('Q3'!B44="","",'Q3'!B44)</f>
        <v/>
      </c>
      <c r="C38" s="90" t="str">
        <f>IF('Q3'!C44="","",'Q3'!C44)</f>
        <v/>
      </c>
      <c r="D38" s="90" t="str">
        <f>IF('Q3'!D44="","",'Q3'!D44)</f>
        <v/>
      </c>
      <c r="E38" s="90" t="str">
        <f>IF('Q3'!E44="","",'Q3'!E44)</f>
        <v/>
      </c>
      <c r="F38" s="90" t="str">
        <f>IF('Q3'!F44="","",'Q3'!F44)</f>
        <v/>
      </c>
      <c r="G38" s="117"/>
      <c r="H38" s="118"/>
      <c r="I38" s="117"/>
      <c r="J38" s="118"/>
      <c r="K38" s="119"/>
      <c r="L38" s="118"/>
      <c r="M38" s="119"/>
      <c r="N38" s="118"/>
      <c r="O38" s="119"/>
      <c r="P38" s="118"/>
      <c r="Q38" s="119"/>
      <c r="R38" s="118"/>
      <c r="S38" s="119"/>
      <c r="T38" s="118"/>
      <c r="U38" s="119"/>
      <c r="V38" s="118"/>
      <c r="W38" s="119"/>
      <c r="X38" s="118"/>
      <c r="Y38" s="119"/>
      <c r="Z38" s="118"/>
      <c r="AA38" s="119"/>
      <c r="AB38" s="118"/>
      <c r="AC38" s="120"/>
      <c r="AD38" s="121"/>
      <c r="AE38" s="122"/>
      <c r="AF38" s="121"/>
      <c r="AG38" s="123"/>
      <c r="AH38" s="124"/>
      <c r="AI38" s="117"/>
      <c r="AJ38" s="118"/>
      <c r="AK38" s="119"/>
      <c r="AL38" s="118"/>
      <c r="AM38" s="119"/>
      <c r="AN38" s="118"/>
      <c r="AO38" s="119"/>
      <c r="AP38" s="118"/>
      <c r="AQ38" s="119"/>
      <c r="AR38" s="118"/>
      <c r="AS38" s="119"/>
      <c r="AT38" s="118"/>
      <c r="AU38" s="119"/>
      <c r="AV38" s="118"/>
      <c r="AW38" s="119"/>
      <c r="AX38" s="118"/>
      <c r="AY38" s="119"/>
      <c r="AZ38" s="118"/>
      <c r="BA38" s="119"/>
      <c r="BB38" s="118"/>
      <c r="BC38" s="119"/>
      <c r="BD38" s="118"/>
      <c r="BE38" s="120"/>
      <c r="BF38" s="121"/>
      <c r="BG38" s="122"/>
      <c r="BH38" s="121"/>
      <c r="BI38" s="123"/>
      <c r="BJ38" s="124"/>
      <c r="BK38" s="125"/>
      <c r="BL38" s="126"/>
      <c r="BM38" s="127"/>
      <c r="BN38" s="126"/>
      <c r="BO38" s="127"/>
      <c r="BP38" s="126"/>
      <c r="BQ38" s="127"/>
      <c r="BR38" s="126"/>
      <c r="BS38" s="127"/>
      <c r="BT38" s="126"/>
      <c r="BU38" s="127"/>
      <c r="BV38" s="126"/>
      <c r="BW38" s="127"/>
      <c r="BX38" s="126"/>
      <c r="BY38" s="127"/>
      <c r="BZ38" s="126"/>
      <c r="CA38" s="128" t="str">
        <f t="shared" si="0"/>
        <v/>
      </c>
    </row>
    <row r="39" spans="1:79" ht="30" customHeight="1" x14ac:dyDescent="0.35">
      <c r="A39" s="90" t="str">
        <f>IF('Q4'!A45="","",'Q4'!A45)</f>
        <v/>
      </c>
      <c r="B39" s="90" t="str">
        <f>IF('Q3'!B45="","",'Q3'!B45)</f>
        <v/>
      </c>
      <c r="C39" s="90" t="str">
        <f>IF('Q3'!C45="","",'Q3'!C45)</f>
        <v/>
      </c>
      <c r="D39" s="90" t="str">
        <f>IF('Q3'!D45="","",'Q3'!D45)</f>
        <v/>
      </c>
      <c r="E39" s="90" t="str">
        <f>IF('Q3'!E45="","",'Q3'!E45)</f>
        <v/>
      </c>
      <c r="F39" s="90" t="str">
        <f>IF('Q3'!F45="","",'Q3'!F45)</f>
        <v/>
      </c>
      <c r="G39" s="117"/>
      <c r="H39" s="118"/>
      <c r="I39" s="117"/>
      <c r="J39" s="118"/>
      <c r="K39" s="119"/>
      <c r="L39" s="118"/>
      <c r="M39" s="119"/>
      <c r="N39" s="118"/>
      <c r="O39" s="119"/>
      <c r="P39" s="118"/>
      <c r="Q39" s="119"/>
      <c r="R39" s="118"/>
      <c r="S39" s="119"/>
      <c r="T39" s="118"/>
      <c r="U39" s="119"/>
      <c r="V39" s="118"/>
      <c r="W39" s="119"/>
      <c r="X39" s="118"/>
      <c r="Y39" s="119"/>
      <c r="Z39" s="118"/>
      <c r="AA39" s="119"/>
      <c r="AB39" s="118"/>
      <c r="AC39" s="120"/>
      <c r="AD39" s="121"/>
      <c r="AE39" s="122"/>
      <c r="AF39" s="121"/>
      <c r="AG39" s="123"/>
      <c r="AH39" s="124"/>
      <c r="AI39" s="117"/>
      <c r="AJ39" s="118"/>
      <c r="AK39" s="119"/>
      <c r="AL39" s="118"/>
      <c r="AM39" s="119"/>
      <c r="AN39" s="118"/>
      <c r="AO39" s="119"/>
      <c r="AP39" s="118"/>
      <c r="AQ39" s="119"/>
      <c r="AR39" s="118"/>
      <c r="AS39" s="119"/>
      <c r="AT39" s="118"/>
      <c r="AU39" s="119"/>
      <c r="AV39" s="118"/>
      <c r="AW39" s="119"/>
      <c r="AX39" s="118"/>
      <c r="AY39" s="119"/>
      <c r="AZ39" s="118"/>
      <c r="BA39" s="119"/>
      <c r="BB39" s="118"/>
      <c r="BC39" s="119"/>
      <c r="BD39" s="118"/>
      <c r="BE39" s="120"/>
      <c r="BF39" s="121"/>
      <c r="BG39" s="122"/>
      <c r="BH39" s="121"/>
      <c r="BI39" s="123"/>
      <c r="BJ39" s="124"/>
      <c r="BK39" s="125"/>
      <c r="BL39" s="126"/>
      <c r="BM39" s="127"/>
      <c r="BN39" s="126"/>
      <c r="BO39" s="127"/>
      <c r="BP39" s="126"/>
      <c r="BQ39" s="127"/>
      <c r="BR39" s="126"/>
      <c r="BS39" s="127"/>
      <c r="BT39" s="126"/>
      <c r="BU39" s="127"/>
      <c r="BV39" s="126"/>
      <c r="BW39" s="127"/>
      <c r="BX39" s="126"/>
      <c r="BY39" s="127"/>
      <c r="BZ39" s="126"/>
      <c r="CA39" s="128" t="str">
        <f t="shared" si="0"/>
        <v/>
      </c>
    </row>
    <row r="40" spans="1:79" ht="30" customHeight="1" x14ac:dyDescent="0.35">
      <c r="A40" s="90" t="str">
        <f>IF('Q4'!A46="","",'Q4'!A46)</f>
        <v/>
      </c>
      <c r="B40" s="90" t="str">
        <f>IF('Q3'!B46="","",'Q3'!B46)</f>
        <v/>
      </c>
      <c r="C40" s="90" t="str">
        <f>IF('Q3'!C46="","",'Q3'!C46)</f>
        <v/>
      </c>
      <c r="D40" s="90" t="str">
        <f>IF('Q3'!D46="","",'Q3'!D46)</f>
        <v/>
      </c>
      <c r="E40" s="90" t="str">
        <f>IF('Q3'!E46="","",'Q3'!E46)</f>
        <v/>
      </c>
      <c r="F40" s="90" t="str">
        <f>IF('Q3'!F46="","",'Q3'!F46)</f>
        <v/>
      </c>
      <c r="G40" s="117"/>
      <c r="H40" s="118"/>
      <c r="I40" s="117"/>
      <c r="J40" s="118"/>
      <c r="K40" s="119"/>
      <c r="L40" s="118"/>
      <c r="M40" s="119"/>
      <c r="N40" s="118"/>
      <c r="O40" s="119"/>
      <c r="P40" s="118"/>
      <c r="Q40" s="119"/>
      <c r="R40" s="118"/>
      <c r="S40" s="119"/>
      <c r="T40" s="118"/>
      <c r="U40" s="119"/>
      <c r="V40" s="118"/>
      <c r="W40" s="119"/>
      <c r="X40" s="118"/>
      <c r="Y40" s="119"/>
      <c r="Z40" s="118"/>
      <c r="AA40" s="119"/>
      <c r="AB40" s="118"/>
      <c r="AC40" s="120"/>
      <c r="AD40" s="121"/>
      <c r="AE40" s="122"/>
      <c r="AF40" s="121"/>
      <c r="AG40" s="123"/>
      <c r="AH40" s="124"/>
      <c r="AI40" s="117"/>
      <c r="AJ40" s="118"/>
      <c r="AK40" s="119"/>
      <c r="AL40" s="118"/>
      <c r="AM40" s="119"/>
      <c r="AN40" s="118"/>
      <c r="AO40" s="119"/>
      <c r="AP40" s="118"/>
      <c r="AQ40" s="119"/>
      <c r="AR40" s="118"/>
      <c r="AS40" s="119"/>
      <c r="AT40" s="118"/>
      <c r="AU40" s="119"/>
      <c r="AV40" s="118"/>
      <c r="AW40" s="119"/>
      <c r="AX40" s="118"/>
      <c r="AY40" s="119"/>
      <c r="AZ40" s="118"/>
      <c r="BA40" s="119"/>
      <c r="BB40" s="118"/>
      <c r="BC40" s="119"/>
      <c r="BD40" s="118"/>
      <c r="BE40" s="120"/>
      <c r="BF40" s="121"/>
      <c r="BG40" s="122"/>
      <c r="BH40" s="121"/>
      <c r="BI40" s="123"/>
      <c r="BJ40" s="124"/>
      <c r="BK40" s="125"/>
      <c r="BL40" s="126"/>
      <c r="BM40" s="127"/>
      <c r="BN40" s="126"/>
      <c r="BO40" s="127"/>
      <c r="BP40" s="126"/>
      <c r="BQ40" s="127"/>
      <c r="BR40" s="126"/>
      <c r="BS40" s="127"/>
      <c r="BT40" s="126"/>
      <c r="BU40" s="127"/>
      <c r="BV40" s="126"/>
      <c r="BW40" s="127"/>
      <c r="BX40" s="126"/>
      <c r="BY40" s="127"/>
      <c r="BZ40" s="126"/>
      <c r="CA40" s="128" t="str">
        <f t="shared" si="0"/>
        <v/>
      </c>
    </row>
    <row r="41" spans="1:79" ht="30" customHeight="1" x14ac:dyDescent="0.35">
      <c r="A41" s="90" t="str">
        <f>IF('Q4'!A47="","",'Q4'!A47)</f>
        <v/>
      </c>
      <c r="B41" s="90" t="str">
        <f>IF('Q3'!B47="","",'Q3'!B47)</f>
        <v/>
      </c>
      <c r="C41" s="90" t="str">
        <f>IF('Q3'!C47="","",'Q3'!C47)</f>
        <v/>
      </c>
      <c r="D41" s="90" t="str">
        <f>IF('Q3'!D47="","",'Q3'!D47)</f>
        <v/>
      </c>
      <c r="E41" s="90" t="str">
        <f>IF('Q3'!E47="","",'Q3'!E47)</f>
        <v/>
      </c>
      <c r="F41" s="90" t="str">
        <f>IF('Q3'!F47="","",'Q3'!F47)</f>
        <v/>
      </c>
      <c r="G41" s="117"/>
      <c r="H41" s="118"/>
      <c r="I41" s="117"/>
      <c r="J41" s="118"/>
      <c r="K41" s="119"/>
      <c r="L41" s="118"/>
      <c r="M41" s="119"/>
      <c r="N41" s="118"/>
      <c r="O41" s="119"/>
      <c r="P41" s="118"/>
      <c r="Q41" s="119"/>
      <c r="R41" s="118"/>
      <c r="S41" s="119"/>
      <c r="T41" s="118"/>
      <c r="U41" s="119"/>
      <c r="V41" s="118"/>
      <c r="W41" s="119"/>
      <c r="X41" s="118"/>
      <c r="Y41" s="119"/>
      <c r="Z41" s="118"/>
      <c r="AA41" s="119"/>
      <c r="AB41" s="118"/>
      <c r="AC41" s="120"/>
      <c r="AD41" s="121"/>
      <c r="AE41" s="122"/>
      <c r="AF41" s="121"/>
      <c r="AG41" s="123"/>
      <c r="AH41" s="124"/>
      <c r="AI41" s="117"/>
      <c r="AJ41" s="118"/>
      <c r="AK41" s="119"/>
      <c r="AL41" s="118"/>
      <c r="AM41" s="119"/>
      <c r="AN41" s="118"/>
      <c r="AO41" s="119"/>
      <c r="AP41" s="118"/>
      <c r="AQ41" s="119"/>
      <c r="AR41" s="118"/>
      <c r="AS41" s="119"/>
      <c r="AT41" s="118"/>
      <c r="AU41" s="119"/>
      <c r="AV41" s="118"/>
      <c r="AW41" s="119"/>
      <c r="AX41" s="118"/>
      <c r="AY41" s="119"/>
      <c r="AZ41" s="118"/>
      <c r="BA41" s="119"/>
      <c r="BB41" s="118"/>
      <c r="BC41" s="119"/>
      <c r="BD41" s="118"/>
      <c r="BE41" s="120"/>
      <c r="BF41" s="121"/>
      <c r="BG41" s="122"/>
      <c r="BH41" s="121"/>
      <c r="BI41" s="123"/>
      <c r="BJ41" s="124"/>
      <c r="BK41" s="125"/>
      <c r="BL41" s="126"/>
      <c r="BM41" s="127"/>
      <c r="BN41" s="126"/>
      <c r="BO41" s="127"/>
      <c r="BP41" s="126"/>
      <c r="BQ41" s="127"/>
      <c r="BR41" s="126"/>
      <c r="BS41" s="127"/>
      <c r="BT41" s="126"/>
      <c r="BU41" s="127"/>
      <c r="BV41" s="126"/>
      <c r="BW41" s="127"/>
      <c r="BX41" s="126"/>
      <c r="BY41" s="127"/>
      <c r="BZ41" s="126"/>
      <c r="CA41" s="128" t="str">
        <f t="shared" si="0"/>
        <v/>
      </c>
    </row>
    <row r="42" spans="1:79" ht="30" customHeight="1" x14ac:dyDescent="0.35">
      <c r="A42" s="90" t="str">
        <f>IF('Q4'!A48="","",'Q4'!A48)</f>
        <v/>
      </c>
      <c r="B42" s="90" t="str">
        <f>IF('Q3'!B48="","",'Q3'!B48)</f>
        <v/>
      </c>
      <c r="C42" s="90" t="str">
        <f>IF('Q3'!C48="","",'Q3'!C48)</f>
        <v/>
      </c>
      <c r="D42" s="90" t="str">
        <f>IF('Q3'!D48="","",'Q3'!D48)</f>
        <v/>
      </c>
      <c r="E42" s="90" t="str">
        <f>IF('Q3'!E48="","",'Q3'!E48)</f>
        <v/>
      </c>
      <c r="F42" s="90" t="str">
        <f>IF('Q3'!F48="","",'Q3'!F48)</f>
        <v/>
      </c>
      <c r="G42" s="117"/>
      <c r="H42" s="118"/>
      <c r="I42" s="117"/>
      <c r="J42" s="118"/>
      <c r="K42" s="119"/>
      <c r="L42" s="118"/>
      <c r="M42" s="119"/>
      <c r="N42" s="118"/>
      <c r="O42" s="119"/>
      <c r="P42" s="118"/>
      <c r="Q42" s="119"/>
      <c r="R42" s="118"/>
      <c r="S42" s="119"/>
      <c r="T42" s="118"/>
      <c r="U42" s="119"/>
      <c r="V42" s="118"/>
      <c r="W42" s="119"/>
      <c r="X42" s="118"/>
      <c r="Y42" s="119"/>
      <c r="Z42" s="118"/>
      <c r="AA42" s="119"/>
      <c r="AB42" s="118"/>
      <c r="AC42" s="120"/>
      <c r="AD42" s="121"/>
      <c r="AE42" s="122"/>
      <c r="AF42" s="121"/>
      <c r="AG42" s="123"/>
      <c r="AH42" s="124"/>
      <c r="AI42" s="117"/>
      <c r="AJ42" s="118"/>
      <c r="AK42" s="119"/>
      <c r="AL42" s="118"/>
      <c r="AM42" s="119"/>
      <c r="AN42" s="118"/>
      <c r="AO42" s="119"/>
      <c r="AP42" s="118"/>
      <c r="AQ42" s="119"/>
      <c r="AR42" s="118"/>
      <c r="AS42" s="119"/>
      <c r="AT42" s="118"/>
      <c r="AU42" s="119"/>
      <c r="AV42" s="118"/>
      <c r="AW42" s="119"/>
      <c r="AX42" s="118"/>
      <c r="AY42" s="119"/>
      <c r="AZ42" s="118"/>
      <c r="BA42" s="119"/>
      <c r="BB42" s="118"/>
      <c r="BC42" s="119"/>
      <c r="BD42" s="118"/>
      <c r="BE42" s="120"/>
      <c r="BF42" s="121"/>
      <c r="BG42" s="122"/>
      <c r="BH42" s="121"/>
      <c r="BI42" s="123"/>
      <c r="BJ42" s="124"/>
      <c r="BK42" s="125"/>
      <c r="BL42" s="126"/>
      <c r="BM42" s="127"/>
      <c r="BN42" s="126"/>
      <c r="BO42" s="127"/>
      <c r="BP42" s="126"/>
      <c r="BQ42" s="127"/>
      <c r="BR42" s="126"/>
      <c r="BS42" s="127"/>
      <c r="BT42" s="126"/>
      <c r="BU42" s="127"/>
      <c r="BV42" s="126"/>
      <c r="BW42" s="127"/>
      <c r="BX42" s="126"/>
      <c r="BY42" s="127"/>
      <c r="BZ42" s="126"/>
      <c r="CA42" s="128" t="str">
        <f t="shared" si="0"/>
        <v/>
      </c>
    </row>
    <row r="43" spans="1:79" ht="30" customHeight="1" x14ac:dyDescent="0.35">
      <c r="A43" s="90" t="str">
        <f>IF('Q4'!A49="","",'Q4'!A49)</f>
        <v/>
      </c>
      <c r="B43" s="90" t="str">
        <f>IF('Q3'!B49="","",'Q3'!B49)</f>
        <v/>
      </c>
      <c r="C43" s="90" t="str">
        <f>IF('Q3'!C49="","",'Q3'!C49)</f>
        <v/>
      </c>
      <c r="D43" s="90" t="str">
        <f>IF('Q3'!D49="","",'Q3'!D49)</f>
        <v/>
      </c>
      <c r="E43" s="90" t="str">
        <f>IF('Q3'!E49="","",'Q3'!E49)</f>
        <v/>
      </c>
      <c r="F43" s="90" t="str">
        <f>IF('Q3'!F49="","",'Q3'!F49)</f>
        <v/>
      </c>
      <c r="G43" s="117"/>
      <c r="H43" s="118"/>
      <c r="I43" s="117"/>
      <c r="J43" s="118"/>
      <c r="K43" s="119"/>
      <c r="L43" s="118"/>
      <c r="M43" s="119"/>
      <c r="N43" s="118"/>
      <c r="O43" s="119"/>
      <c r="P43" s="118"/>
      <c r="Q43" s="119"/>
      <c r="R43" s="118"/>
      <c r="S43" s="119"/>
      <c r="T43" s="118"/>
      <c r="U43" s="119"/>
      <c r="V43" s="118"/>
      <c r="W43" s="119"/>
      <c r="X43" s="118"/>
      <c r="Y43" s="119"/>
      <c r="Z43" s="118"/>
      <c r="AA43" s="119"/>
      <c r="AB43" s="118"/>
      <c r="AC43" s="120"/>
      <c r="AD43" s="121"/>
      <c r="AE43" s="122"/>
      <c r="AF43" s="121"/>
      <c r="AG43" s="123"/>
      <c r="AH43" s="124"/>
      <c r="AI43" s="117"/>
      <c r="AJ43" s="118"/>
      <c r="AK43" s="119"/>
      <c r="AL43" s="118"/>
      <c r="AM43" s="119"/>
      <c r="AN43" s="118"/>
      <c r="AO43" s="119"/>
      <c r="AP43" s="118"/>
      <c r="AQ43" s="119"/>
      <c r="AR43" s="118"/>
      <c r="AS43" s="119"/>
      <c r="AT43" s="118"/>
      <c r="AU43" s="119"/>
      <c r="AV43" s="118"/>
      <c r="AW43" s="119"/>
      <c r="AX43" s="118"/>
      <c r="AY43" s="119"/>
      <c r="AZ43" s="118"/>
      <c r="BA43" s="119"/>
      <c r="BB43" s="118"/>
      <c r="BC43" s="119"/>
      <c r="BD43" s="118"/>
      <c r="BE43" s="120"/>
      <c r="BF43" s="121"/>
      <c r="BG43" s="122"/>
      <c r="BH43" s="121"/>
      <c r="BI43" s="123"/>
      <c r="BJ43" s="124"/>
      <c r="BK43" s="125"/>
      <c r="BL43" s="126"/>
      <c r="BM43" s="127"/>
      <c r="BN43" s="126"/>
      <c r="BO43" s="127"/>
      <c r="BP43" s="126"/>
      <c r="BQ43" s="127"/>
      <c r="BR43" s="126"/>
      <c r="BS43" s="127"/>
      <c r="BT43" s="126"/>
      <c r="BU43" s="127"/>
      <c r="BV43" s="126"/>
      <c r="BW43" s="127"/>
      <c r="BX43" s="126"/>
      <c r="BY43" s="127"/>
      <c r="BZ43" s="126"/>
      <c r="CA43" s="128" t="str">
        <f t="shared" si="0"/>
        <v/>
      </c>
    </row>
    <row r="44" spans="1:79" ht="30" customHeight="1" x14ac:dyDescent="0.35">
      <c r="A44" s="90" t="str">
        <f>IF('Q4'!A50="","",'Q4'!A50)</f>
        <v/>
      </c>
      <c r="B44" s="90" t="str">
        <f>IF('Q3'!B50="","",'Q3'!B50)</f>
        <v/>
      </c>
      <c r="C44" s="90" t="str">
        <f>IF('Q3'!C50="","",'Q3'!C50)</f>
        <v/>
      </c>
      <c r="D44" s="90" t="str">
        <f>IF('Q3'!D50="","",'Q3'!D50)</f>
        <v/>
      </c>
      <c r="E44" s="90" t="str">
        <f>IF('Q3'!E50="","",'Q3'!E50)</f>
        <v/>
      </c>
      <c r="F44" s="90" t="str">
        <f>IF('Q3'!F50="","",'Q3'!F50)</f>
        <v/>
      </c>
      <c r="G44" s="117"/>
      <c r="H44" s="118"/>
      <c r="I44" s="117"/>
      <c r="J44" s="118"/>
      <c r="K44" s="119"/>
      <c r="L44" s="118"/>
      <c r="M44" s="119"/>
      <c r="N44" s="118"/>
      <c r="O44" s="119"/>
      <c r="P44" s="118"/>
      <c r="Q44" s="119"/>
      <c r="R44" s="118"/>
      <c r="S44" s="119"/>
      <c r="T44" s="118"/>
      <c r="U44" s="119"/>
      <c r="V44" s="118"/>
      <c r="W44" s="119"/>
      <c r="X44" s="118"/>
      <c r="Y44" s="119"/>
      <c r="Z44" s="118"/>
      <c r="AA44" s="119"/>
      <c r="AB44" s="118"/>
      <c r="AC44" s="120"/>
      <c r="AD44" s="121"/>
      <c r="AE44" s="122"/>
      <c r="AF44" s="121"/>
      <c r="AG44" s="123"/>
      <c r="AH44" s="124"/>
      <c r="AI44" s="117"/>
      <c r="AJ44" s="118"/>
      <c r="AK44" s="119"/>
      <c r="AL44" s="118"/>
      <c r="AM44" s="119"/>
      <c r="AN44" s="118"/>
      <c r="AO44" s="119"/>
      <c r="AP44" s="118"/>
      <c r="AQ44" s="119"/>
      <c r="AR44" s="118"/>
      <c r="AS44" s="119"/>
      <c r="AT44" s="118"/>
      <c r="AU44" s="119"/>
      <c r="AV44" s="118"/>
      <c r="AW44" s="119"/>
      <c r="AX44" s="118"/>
      <c r="AY44" s="119"/>
      <c r="AZ44" s="118"/>
      <c r="BA44" s="119"/>
      <c r="BB44" s="118"/>
      <c r="BC44" s="119"/>
      <c r="BD44" s="118"/>
      <c r="BE44" s="120"/>
      <c r="BF44" s="121"/>
      <c r="BG44" s="122"/>
      <c r="BH44" s="121"/>
      <c r="BI44" s="123"/>
      <c r="BJ44" s="124"/>
      <c r="BK44" s="125"/>
      <c r="BL44" s="126"/>
      <c r="BM44" s="127"/>
      <c r="BN44" s="126"/>
      <c r="BO44" s="127"/>
      <c r="BP44" s="126"/>
      <c r="BQ44" s="127"/>
      <c r="BR44" s="126"/>
      <c r="BS44" s="127"/>
      <c r="BT44" s="126"/>
      <c r="BU44" s="127"/>
      <c r="BV44" s="126"/>
      <c r="BW44" s="127"/>
      <c r="BX44" s="126"/>
      <c r="BY44" s="127"/>
      <c r="BZ44" s="126"/>
      <c r="CA44" s="128" t="str">
        <f t="shared" si="0"/>
        <v/>
      </c>
    </row>
    <row r="45" spans="1:79" ht="30" customHeight="1" x14ac:dyDescent="0.35">
      <c r="A45" s="90" t="str">
        <f>IF('Q4'!A51="","",'Q4'!A51)</f>
        <v/>
      </c>
      <c r="B45" s="90" t="str">
        <f>IF('Q3'!B51="","",'Q3'!B51)</f>
        <v/>
      </c>
      <c r="C45" s="90" t="str">
        <f>IF('Q3'!C51="","",'Q3'!C51)</f>
        <v/>
      </c>
      <c r="D45" s="90" t="str">
        <f>IF('Q3'!D51="","",'Q3'!D51)</f>
        <v/>
      </c>
      <c r="E45" s="90" t="str">
        <f>IF('Q3'!E51="","",'Q3'!E51)</f>
        <v/>
      </c>
      <c r="F45" s="90" t="str">
        <f>IF('Q3'!F51="","",'Q3'!F51)</f>
        <v/>
      </c>
      <c r="G45" s="117"/>
      <c r="H45" s="118"/>
      <c r="I45" s="117"/>
      <c r="J45" s="118"/>
      <c r="K45" s="119"/>
      <c r="L45" s="118"/>
      <c r="M45" s="119"/>
      <c r="N45" s="118"/>
      <c r="O45" s="119"/>
      <c r="P45" s="118"/>
      <c r="Q45" s="119"/>
      <c r="R45" s="118"/>
      <c r="S45" s="119"/>
      <c r="T45" s="118"/>
      <c r="U45" s="119"/>
      <c r="V45" s="118"/>
      <c r="W45" s="119"/>
      <c r="X45" s="118"/>
      <c r="Y45" s="119"/>
      <c r="Z45" s="118"/>
      <c r="AA45" s="119"/>
      <c r="AB45" s="118"/>
      <c r="AC45" s="120"/>
      <c r="AD45" s="121"/>
      <c r="AE45" s="122"/>
      <c r="AF45" s="121"/>
      <c r="AG45" s="123"/>
      <c r="AH45" s="124"/>
      <c r="AI45" s="117"/>
      <c r="AJ45" s="118"/>
      <c r="AK45" s="119"/>
      <c r="AL45" s="118"/>
      <c r="AM45" s="119"/>
      <c r="AN45" s="118"/>
      <c r="AO45" s="119"/>
      <c r="AP45" s="118"/>
      <c r="AQ45" s="119"/>
      <c r="AR45" s="118"/>
      <c r="AS45" s="119"/>
      <c r="AT45" s="118"/>
      <c r="AU45" s="119"/>
      <c r="AV45" s="118"/>
      <c r="AW45" s="119"/>
      <c r="AX45" s="118"/>
      <c r="AY45" s="119"/>
      <c r="AZ45" s="118"/>
      <c r="BA45" s="119"/>
      <c r="BB45" s="118"/>
      <c r="BC45" s="119"/>
      <c r="BD45" s="118"/>
      <c r="BE45" s="120"/>
      <c r="BF45" s="121"/>
      <c r="BG45" s="122"/>
      <c r="BH45" s="121"/>
      <c r="BI45" s="123"/>
      <c r="BJ45" s="124"/>
      <c r="BK45" s="125"/>
      <c r="BL45" s="126"/>
      <c r="BM45" s="127"/>
      <c r="BN45" s="126"/>
      <c r="BO45" s="127"/>
      <c r="BP45" s="126"/>
      <c r="BQ45" s="127"/>
      <c r="BR45" s="126"/>
      <c r="BS45" s="127"/>
      <c r="BT45" s="126"/>
      <c r="BU45" s="127"/>
      <c r="BV45" s="126"/>
      <c r="BW45" s="127"/>
      <c r="BX45" s="126"/>
      <c r="BY45" s="127"/>
      <c r="BZ45" s="126"/>
      <c r="CA45" s="128" t="str">
        <f t="shared" si="0"/>
        <v/>
      </c>
    </row>
    <row r="46" spans="1:79" ht="30" customHeight="1" x14ac:dyDescent="0.35">
      <c r="A46" s="90" t="str">
        <f>IF('Q4'!A52="","",'Q4'!A52)</f>
        <v/>
      </c>
      <c r="B46" s="90" t="str">
        <f>IF('Q3'!B52="","",'Q3'!B52)</f>
        <v/>
      </c>
      <c r="C46" s="90" t="str">
        <f>IF('Q3'!C52="","",'Q3'!C52)</f>
        <v/>
      </c>
      <c r="D46" s="90" t="str">
        <f>IF('Q3'!D52="","",'Q3'!D52)</f>
        <v/>
      </c>
      <c r="E46" s="90" t="str">
        <f>IF('Q3'!E52="","",'Q3'!E52)</f>
        <v/>
      </c>
      <c r="F46" s="90" t="str">
        <f>IF('Q3'!F52="","",'Q3'!F52)</f>
        <v/>
      </c>
      <c r="G46" s="117"/>
      <c r="H46" s="118"/>
      <c r="I46" s="117"/>
      <c r="J46" s="118"/>
      <c r="K46" s="119"/>
      <c r="L46" s="118"/>
      <c r="M46" s="119"/>
      <c r="N46" s="118"/>
      <c r="O46" s="119"/>
      <c r="P46" s="118"/>
      <c r="Q46" s="119"/>
      <c r="R46" s="118"/>
      <c r="S46" s="119"/>
      <c r="T46" s="118"/>
      <c r="U46" s="119"/>
      <c r="V46" s="118"/>
      <c r="W46" s="119"/>
      <c r="X46" s="118"/>
      <c r="Y46" s="119"/>
      <c r="Z46" s="118"/>
      <c r="AA46" s="119"/>
      <c r="AB46" s="118"/>
      <c r="AC46" s="120"/>
      <c r="AD46" s="121"/>
      <c r="AE46" s="122"/>
      <c r="AF46" s="121"/>
      <c r="AG46" s="123"/>
      <c r="AH46" s="124"/>
      <c r="AI46" s="117"/>
      <c r="AJ46" s="118"/>
      <c r="AK46" s="119"/>
      <c r="AL46" s="118"/>
      <c r="AM46" s="119"/>
      <c r="AN46" s="118"/>
      <c r="AO46" s="119"/>
      <c r="AP46" s="118"/>
      <c r="AQ46" s="119"/>
      <c r="AR46" s="118"/>
      <c r="AS46" s="119"/>
      <c r="AT46" s="118"/>
      <c r="AU46" s="119"/>
      <c r="AV46" s="118"/>
      <c r="AW46" s="119"/>
      <c r="AX46" s="118"/>
      <c r="AY46" s="119"/>
      <c r="AZ46" s="118"/>
      <c r="BA46" s="119"/>
      <c r="BB46" s="118"/>
      <c r="BC46" s="119"/>
      <c r="BD46" s="118"/>
      <c r="BE46" s="120"/>
      <c r="BF46" s="121"/>
      <c r="BG46" s="122"/>
      <c r="BH46" s="121"/>
      <c r="BI46" s="123"/>
      <c r="BJ46" s="124"/>
      <c r="BK46" s="125"/>
      <c r="BL46" s="126"/>
      <c r="BM46" s="127"/>
      <c r="BN46" s="126"/>
      <c r="BO46" s="127"/>
      <c r="BP46" s="126"/>
      <c r="BQ46" s="127"/>
      <c r="BR46" s="126"/>
      <c r="BS46" s="127"/>
      <c r="BT46" s="126"/>
      <c r="BU46" s="127"/>
      <c r="BV46" s="126"/>
      <c r="BW46" s="127"/>
      <c r="BX46" s="126"/>
      <c r="BY46" s="127"/>
      <c r="BZ46" s="126"/>
      <c r="CA46" s="128" t="str">
        <f t="shared" si="0"/>
        <v/>
      </c>
    </row>
    <row r="47" spans="1:79" ht="30" customHeight="1" x14ac:dyDescent="0.35">
      <c r="A47" s="90" t="str">
        <f>IF('Q4'!A53="","",'Q4'!A53)</f>
        <v/>
      </c>
      <c r="B47" s="90" t="str">
        <f>IF('Q3'!B53="","",'Q3'!B53)</f>
        <v/>
      </c>
      <c r="C47" s="90" t="str">
        <f>IF('Q3'!C53="","",'Q3'!C53)</f>
        <v/>
      </c>
      <c r="D47" s="90" t="str">
        <f>IF('Q3'!D53="","",'Q3'!D53)</f>
        <v/>
      </c>
      <c r="E47" s="90" t="str">
        <f>IF('Q3'!E53="","",'Q3'!E53)</f>
        <v/>
      </c>
      <c r="F47" s="90" t="str">
        <f>IF('Q3'!F53="","",'Q3'!F53)</f>
        <v/>
      </c>
      <c r="G47" s="117"/>
      <c r="H47" s="118"/>
      <c r="I47" s="117"/>
      <c r="J47" s="118"/>
      <c r="K47" s="119"/>
      <c r="L47" s="118"/>
      <c r="M47" s="119"/>
      <c r="N47" s="118"/>
      <c r="O47" s="119"/>
      <c r="P47" s="118"/>
      <c r="Q47" s="119"/>
      <c r="R47" s="118"/>
      <c r="S47" s="119"/>
      <c r="T47" s="118"/>
      <c r="U47" s="119"/>
      <c r="V47" s="118"/>
      <c r="W47" s="119"/>
      <c r="X47" s="118"/>
      <c r="Y47" s="119"/>
      <c r="Z47" s="118"/>
      <c r="AA47" s="119"/>
      <c r="AB47" s="118"/>
      <c r="AC47" s="120"/>
      <c r="AD47" s="121"/>
      <c r="AE47" s="122"/>
      <c r="AF47" s="121"/>
      <c r="AG47" s="123"/>
      <c r="AH47" s="124"/>
      <c r="AI47" s="117"/>
      <c r="AJ47" s="118"/>
      <c r="AK47" s="119"/>
      <c r="AL47" s="118"/>
      <c r="AM47" s="119"/>
      <c r="AN47" s="118"/>
      <c r="AO47" s="119"/>
      <c r="AP47" s="118"/>
      <c r="AQ47" s="119"/>
      <c r="AR47" s="118"/>
      <c r="AS47" s="119"/>
      <c r="AT47" s="118"/>
      <c r="AU47" s="119"/>
      <c r="AV47" s="118"/>
      <c r="AW47" s="119"/>
      <c r="AX47" s="118"/>
      <c r="AY47" s="119"/>
      <c r="AZ47" s="118"/>
      <c r="BA47" s="119"/>
      <c r="BB47" s="118"/>
      <c r="BC47" s="119"/>
      <c r="BD47" s="118"/>
      <c r="BE47" s="120"/>
      <c r="BF47" s="121"/>
      <c r="BG47" s="122"/>
      <c r="BH47" s="121"/>
      <c r="BI47" s="123"/>
      <c r="BJ47" s="124"/>
      <c r="BK47" s="125"/>
      <c r="BL47" s="126"/>
      <c r="BM47" s="127"/>
      <c r="BN47" s="126"/>
      <c r="BO47" s="127"/>
      <c r="BP47" s="126"/>
      <c r="BQ47" s="127"/>
      <c r="BR47" s="126"/>
      <c r="BS47" s="127"/>
      <c r="BT47" s="126"/>
      <c r="BU47" s="127"/>
      <c r="BV47" s="126"/>
      <c r="BW47" s="127"/>
      <c r="BX47" s="126"/>
      <c r="BY47" s="127"/>
      <c r="BZ47" s="126"/>
      <c r="CA47" s="128" t="str">
        <f t="shared" si="0"/>
        <v/>
      </c>
    </row>
    <row r="48" spans="1:79" ht="30" customHeight="1" x14ac:dyDescent="0.35">
      <c r="A48" s="90" t="str">
        <f>IF('Q4'!A54="","",'Q4'!A54)</f>
        <v/>
      </c>
      <c r="B48" s="90" t="str">
        <f>IF('Q3'!B54="","",'Q3'!B54)</f>
        <v/>
      </c>
      <c r="C48" s="90" t="str">
        <f>IF('Q3'!C54="","",'Q3'!C54)</f>
        <v/>
      </c>
      <c r="D48" s="90" t="str">
        <f>IF('Q3'!D54="","",'Q3'!D54)</f>
        <v/>
      </c>
      <c r="E48" s="90" t="str">
        <f>IF('Q3'!E54="","",'Q3'!E54)</f>
        <v/>
      </c>
      <c r="F48" s="90" t="str">
        <f>IF('Q3'!F54="","",'Q3'!F54)</f>
        <v/>
      </c>
      <c r="G48" s="117"/>
      <c r="H48" s="118"/>
      <c r="I48" s="117"/>
      <c r="J48" s="118"/>
      <c r="K48" s="119"/>
      <c r="L48" s="118"/>
      <c r="M48" s="119"/>
      <c r="N48" s="118"/>
      <c r="O48" s="119"/>
      <c r="P48" s="118"/>
      <c r="Q48" s="119"/>
      <c r="R48" s="118"/>
      <c r="S48" s="119"/>
      <c r="T48" s="118"/>
      <c r="U48" s="119"/>
      <c r="V48" s="118"/>
      <c r="W48" s="119"/>
      <c r="X48" s="118"/>
      <c r="Y48" s="119"/>
      <c r="Z48" s="118"/>
      <c r="AA48" s="119"/>
      <c r="AB48" s="118"/>
      <c r="AC48" s="120"/>
      <c r="AD48" s="121"/>
      <c r="AE48" s="122"/>
      <c r="AF48" s="121"/>
      <c r="AG48" s="123"/>
      <c r="AH48" s="124"/>
      <c r="AI48" s="117"/>
      <c r="AJ48" s="118"/>
      <c r="AK48" s="119"/>
      <c r="AL48" s="118"/>
      <c r="AM48" s="119"/>
      <c r="AN48" s="118"/>
      <c r="AO48" s="119"/>
      <c r="AP48" s="118"/>
      <c r="AQ48" s="119"/>
      <c r="AR48" s="118"/>
      <c r="AS48" s="119"/>
      <c r="AT48" s="118"/>
      <c r="AU48" s="119"/>
      <c r="AV48" s="118"/>
      <c r="AW48" s="119"/>
      <c r="AX48" s="118"/>
      <c r="AY48" s="119"/>
      <c r="AZ48" s="118"/>
      <c r="BA48" s="119"/>
      <c r="BB48" s="118"/>
      <c r="BC48" s="119"/>
      <c r="BD48" s="118"/>
      <c r="BE48" s="120"/>
      <c r="BF48" s="121"/>
      <c r="BG48" s="122"/>
      <c r="BH48" s="121"/>
      <c r="BI48" s="123"/>
      <c r="BJ48" s="124"/>
      <c r="BK48" s="125"/>
      <c r="BL48" s="126"/>
      <c r="BM48" s="127"/>
      <c r="BN48" s="126"/>
      <c r="BO48" s="127"/>
      <c r="BP48" s="126"/>
      <c r="BQ48" s="127"/>
      <c r="BR48" s="126"/>
      <c r="BS48" s="127"/>
      <c r="BT48" s="126"/>
      <c r="BU48" s="127"/>
      <c r="BV48" s="126"/>
      <c r="BW48" s="127"/>
      <c r="BX48" s="126"/>
      <c r="BY48" s="127"/>
      <c r="BZ48" s="126"/>
      <c r="CA48" s="128" t="str">
        <f t="shared" si="0"/>
        <v/>
      </c>
    </row>
    <row r="49" spans="1:79" ht="30" customHeight="1" x14ac:dyDescent="0.35">
      <c r="A49" s="90" t="str">
        <f>IF('Q4'!A55="","",'Q4'!A55)</f>
        <v/>
      </c>
      <c r="B49" s="90" t="str">
        <f>IF('Q3'!B55="","",'Q3'!B55)</f>
        <v/>
      </c>
      <c r="C49" s="90" t="str">
        <f>IF('Q3'!C55="","",'Q3'!C55)</f>
        <v/>
      </c>
      <c r="D49" s="90" t="str">
        <f>IF('Q3'!D55="","",'Q3'!D55)</f>
        <v/>
      </c>
      <c r="E49" s="90" t="str">
        <f>IF('Q3'!E55="","",'Q3'!E55)</f>
        <v/>
      </c>
      <c r="F49" s="90" t="str">
        <f>IF('Q3'!F55="","",'Q3'!F55)</f>
        <v/>
      </c>
      <c r="G49" s="117"/>
      <c r="H49" s="118"/>
      <c r="I49" s="117"/>
      <c r="J49" s="118"/>
      <c r="K49" s="119"/>
      <c r="L49" s="118"/>
      <c r="M49" s="119"/>
      <c r="N49" s="118"/>
      <c r="O49" s="119"/>
      <c r="P49" s="118"/>
      <c r="Q49" s="119"/>
      <c r="R49" s="118"/>
      <c r="S49" s="119"/>
      <c r="T49" s="118"/>
      <c r="U49" s="119"/>
      <c r="V49" s="118"/>
      <c r="W49" s="119"/>
      <c r="X49" s="118"/>
      <c r="Y49" s="119"/>
      <c r="Z49" s="118"/>
      <c r="AA49" s="119"/>
      <c r="AB49" s="118"/>
      <c r="AC49" s="120"/>
      <c r="AD49" s="121"/>
      <c r="AE49" s="122"/>
      <c r="AF49" s="121"/>
      <c r="AG49" s="123"/>
      <c r="AH49" s="124"/>
      <c r="AI49" s="117"/>
      <c r="AJ49" s="118"/>
      <c r="AK49" s="119"/>
      <c r="AL49" s="118"/>
      <c r="AM49" s="119"/>
      <c r="AN49" s="118"/>
      <c r="AO49" s="119"/>
      <c r="AP49" s="118"/>
      <c r="AQ49" s="119"/>
      <c r="AR49" s="118"/>
      <c r="AS49" s="119"/>
      <c r="AT49" s="118"/>
      <c r="AU49" s="119"/>
      <c r="AV49" s="118"/>
      <c r="AW49" s="119"/>
      <c r="AX49" s="118"/>
      <c r="AY49" s="119"/>
      <c r="AZ49" s="118"/>
      <c r="BA49" s="119"/>
      <c r="BB49" s="118"/>
      <c r="BC49" s="119"/>
      <c r="BD49" s="118"/>
      <c r="BE49" s="120"/>
      <c r="BF49" s="121"/>
      <c r="BG49" s="122"/>
      <c r="BH49" s="121"/>
      <c r="BI49" s="123"/>
      <c r="BJ49" s="124"/>
      <c r="BK49" s="125"/>
      <c r="BL49" s="126"/>
      <c r="BM49" s="127"/>
      <c r="BN49" s="126"/>
      <c r="BO49" s="127"/>
      <c r="BP49" s="126"/>
      <c r="BQ49" s="127"/>
      <c r="BR49" s="126"/>
      <c r="BS49" s="127"/>
      <c r="BT49" s="126"/>
      <c r="BU49" s="127"/>
      <c r="BV49" s="126"/>
      <c r="BW49" s="127"/>
      <c r="BX49" s="126"/>
      <c r="BY49" s="127"/>
      <c r="BZ49" s="126"/>
      <c r="CA49" s="128" t="str">
        <f t="shared" si="0"/>
        <v/>
      </c>
    </row>
    <row r="50" spans="1:79" ht="30" customHeight="1" x14ac:dyDescent="0.35">
      <c r="A50" s="90" t="str">
        <f>IF('Q4'!A56="","",'Q4'!A56)</f>
        <v/>
      </c>
      <c r="B50" s="90" t="str">
        <f>IF('Q3'!B56="","",'Q3'!B56)</f>
        <v/>
      </c>
      <c r="C50" s="90" t="str">
        <f>IF('Q3'!C56="","",'Q3'!C56)</f>
        <v/>
      </c>
      <c r="D50" s="90" t="str">
        <f>IF('Q3'!D56="","",'Q3'!D56)</f>
        <v/>
      </c>
      <c r="E50" s="90" t="str">
        <f>IF('Q3'!E56="","",'Q3'!E56)</f>
        <v/>
      </c>
      <c r="F50" s="90" t="str">
        <f>IF('Q3'!F56="","",'Q3'!F56)</f>
        <v/>
      </c>
      <c r="G50" s="117"/>
      <c r="H50" s="118"/>
      <c r="I50" s="117"/>
      <c r="J50" s="118"/>
      <c r="K50" s="119"/>
      <c r="L50" s="118"/>
      <c r="M50" s="119"/>
      <c r="N50" s="118"/>
      <c r="O50" s="119"/>
      <c r="P50" s="118"/>
      <c r="Q50" s="119"/>
      <c r="R50" s="118"/>
      <c r="S50" s="119"/>
      <c r="T50" s="118"/>
      <c r="U50" s="119"/>
      <c r="V50" s="118"/>
      <c r="W50" s="119"/>
      <c r="X50" s="118"/>
      <c r="Y50" s="119"/>
      <c r="Z50" s="118"/>
      <c r="AA50" s="119"/>
      <c r="AB50" s="118"/>
      <c r="AC50" s="120"/>
      <c r="AD50" s="121"/>
      <c r="AE50" s="122"/>
      <c r="AF50" s="121"/>
      <c r="AG50" s="123"/>
      <c r="AH50" s="124"/>
      <c r="AI50" s="117"/>
      <c r="AJ50" s="118"/>
      <c r="AK50" s="119"/>
      <c r="AL50" s="118"/>
      <c r="AM50" s="119"/>
      <c r="AN50" s="118"/>
      <c r="AO50" s="119"/>
      <c r="AP50" s="118"/>
      <c r="AQ50" s="119"/>
      <c r="AR50" s="118"/>
      <c r="AS50" s="119"/>
      <c r="AT50" s="118"/>
      <c r="AU50" s="119"/>
      <c r="AV50" s="118"/>
      <c r="AW50" s="119"/>
      <c r="AX50" s="118"/>
      <c r="AY50" s="119"/>
      <c r="AZ50" s="118"/>
      <c r="BA50" s="119"/>
      <c r="BB50" s="118"/>
      <c r="BC50" s="119"/>
      <c r="BD50" s="118"/>
      <c r="BE50" s="120"/>
      <c r="BF50" s="121"/>
      <c r="BG50" s="122"/>
      <c r="BH50" s="121"/>
      <c r="BI50" s="123"/>
      <c r="BJ50" s="124"/>
      <c r="BK50" s="125"/>
      <c r="BL50" s="126"/>
      <c r="BM50" s="127"/>
      <c r="BN50" s="126"/>
      <c r="BO50" s="127"/>
      <c r="BP50" s="126"/>
      <c r="BQ50" s="127"/>
      <c r="BR50" s="126"/>
      <c r="BS50" s="127"/>
      <c r="BT50" s="126"/>
      <c r="BU50" s="127"/>
      <c r="BV50" s="126"/>
      <c r="BW50" s="127"/>
      <c r="BX50" s="126"/>
      <c r="BY50" s="127"/>
      <c r="BZ50" s="126"/>
      <c r="CA50" s="128" t="str">
        <f t="shared" si="0"/>
        <v/>
      </c>
    </row>
    <row r="51" spans="1:79" ht="30" customHeight="1" x14ac:dyDescent="0.35">
      <c r="A51" s="90" t="str">
        <f>IF('Q4'!A57="","",'Q4'!A57)</f>
        <v/>
      </c>
      <c r="B51" s="90" t="str">
        <f>IF('Q3'!B57="","",'Q3'!B57)</f>
        <v/>
      </c>
      <c r="C51" s="90" t="str">
        <f>IF('Q3'!C57="","",'Q3'!C57)</f>
        <v/>
      </c>
      <c r="D51" s="90" t="str">
        <f>IF('Q3'!D57="","",'Q3'!D57)</f>
        <v/>
      </c>
      <c r="E51" s="90" t="str">
        <f>IF('Q3'!E57="","",'Q3'!E57)</f>
        <v/>
      </c>
      <c r="F51" s="90" t="str">
        <f>IF('Q3'!F57="","",'Q3'!F57)</f>
        <v/>
      </c>
      <c r="G51" s="117"/>
      <c r="H51" s="118"/>
      <c r="I51" s="117"/>
      <c r="J51" s="118"/>
      <c r="K51" s="119"/>
      <c r="L51" s="118"/>
      <c r="M51" s="119"/>
      <c r="N51" s="118"/>
      <c r="O51" s="119"/>
      <c r="P51" s="118"/>
      <c r="Q51" s="119"/>
      <c r="R51" s="118"/>
      <c r="S51" s="119"/>
      <c r="T51" s="118"/>
      <c r="U51" s="119"/>
      <c r="V51" s="118"/>
      <c r="W51" s="119"/>
      <c r="X51" s="118"/>
      <c r="Y51" s="119"/>
      <c r="Z51" s="118"/>
      <c r="AA51" s="119"/>
      <c r="AB51" s="118"/>
      <c r="AC51" s="120"/>
      <c r="AD51" s="121"/>
      <c r="AE51" s="122"/>
      <c r="AF51" s="121"/>
      <c r="AG51" s="123"/>
      <c r="AH51" s="124"/>
      <c r="AI51" s="117"/>
      <c r="AJ51" s="118"/>
      <c r="AK51" s="119"/>
      <c r="AL51" s="118"/>
      <c r="AM51" s="119"/>
      <c r="AN51" s="118"/>
      <c r="AO51" s="119"/>
      <c r="AP51" s="118"/>
      <c r="AQ51" s="119"/>
      <c r="AR51" s="118"/>
      <c r="AS51" s="119"/>
      <c r="AT51" s="118"/>
      <c r="AU51" s="119"/>
      <c r="AV51" s="118"/>
      <c r="AW51" s="119"/>
      <c r="AX51" s="118"/>
      <c r="AY51" s="119"/>
      <c r="AZ51" s="118"/>
      <c r="BA51" s="119"/>
      <c r="BB51" s="118"/>
      <c r="BC51" s="119"/>
      <c r="BD51" s="118"/>
      <c r="BE51" s="120"/>
      <c r="BF51" s="121"/>
      <c r="BG51" s="122"/>
      <c r="BH51" s="121"/>
      <c r="BI51" s="123"/>
      <c r="BJ51" s="124"/>
      <c r="BK51" s="125"/>
      <c r="BL51" s="126"/>
      <c r="BM51" s="127"/>
      <c r="BN51" s="126"/>
      <c r="BO51" s="127"/>
      <c r="BP51" s="126"/>
      <c r="BQ51" s="127"/>
      <c r="BR51" s="126"/>
      <c r="BS51" s="127"/>
      <c r="BT51" s="126"/>
      <c r="BU51" s="127"/>
      <c r="BV51" s="126"/>
      <c r="BW51" s="127"/>
      <c r="BX51" s="126"/>
      <c r="BY51" s="127"/>
      <c r="BZ51" s="126"/>
      <c r="CA51" s="128" t="str">
        <f t="shared" si="0"/>
        <v/>
      </c>
    </row>
    <row r="52" spans="1:79" ht="30" customHeight="1" x14ac:dyDescent="0.35">
      <c r="A52" s="90" t="str">
        <f>IF('Q4'!A58="","",'Q4'!A58)</f>
        <v/>
      </c>
      <c r="B52" s="90" t="str">
        <f>IF('Q3'!B58="","",'Q3'!B58)</f>
        <v/>
      </c>
      <c r="C52" s="90" t="str">
        <f>IF('Q3'!C58="","",'Q3'!C58)</f>
        <v/>
      </c>
      <c r="D52" s="90" t="str">
        <f>IF('Q3'!D58="","",'Q3'!D58)</f>
        <v/>
      </c>
      <c r="E52" s="90" t="str">
        <f>IF('Q3'!E58="","",'Q3'!E58)</f>
        <v/>
      </c>
      <c r="F52" s="90" t="str">
        <f>IF('Q3'!F58="","",'Q3'!F58)</f>
        <v/>
      </c>
      <c r="G52" s="117"/>
      <c r="H52" s="118"/>
      <c r="I52" s="117"/>
      <c r="J52" s="118"/>
      <c r="K52" s="119"/>
      <c r="L52" s="118"/>
      <c r="M52" s="119"/>
      <c r="N52" s="118"/>
      <c r="O52" s="119"/>
      <c r="P52" s="118"/>
      <c r="Q52" s="119"/>
      <c r="R52" s="118"/>
      <c r="S52" s="119"/>
      <c r="T52" s="118"/>
      <c r="U52" s="119"/>
      <c r="V52" s="118"/>
      <c r="W52" s="119"/>
      <c r="X52" s="118"/>
      <c r="Y52" s="119"/>
      <c r="Z52" s="118"/>
      <c r="AA52" s="119"/>
      <c r="AB52" s="118"/>
      <c r="AC52" s="120"/>
      <c r="AD52" s="121"/>
      <c r="AE52" s="122"/>
      <c r="AF52" s="121"/>
      <c r="AG52" s="123"/>
      <c r="AH52" s="124"/>
      <c r="AI52" s="117"/>
      <c r="AJ52" s="118"/>
      <c r="AK52" s="119"/>
      <c r="AL52" s="118"/>
      <c r="AM52" s="119"/>
      <c r="AN52" s="118"/>
      <c r="AO52" s="119"/>
      <c r="AP52" s="118"/>
      <c r="AQ52" s="119"/>
      <c r="AR52" s="118"/>
      <c r="AS52" s="119"/>
      <c r="AT52" s="118"/>
      <c r="AU52" s="119"/>
      <c r="AV52" s="118"/>
      <c r="AW52" s="119"/>
      <c r="AX52" s="118"/>
      <c r="AY52" s="119"/>
      <c r="AZ52" s="118"/>
      <c r="BA52" s="119"/>
      <c r="BB52" s="118"/>
      <c r="BC52" s="119"/>
      <c r="BD52" s="118"/>
      <c r="BE52" s="120"/>
      <c r="BF52" s="121"/>
      <c r="BG52" s="122"/>
      <c r="BH52" s="121"/>
      <c r="BI52" s="123"/>
      <c r="BJ52" s="124"/>
      <c r="BK52" s="125"/>
      <c r="BL52" s="126"/>
      <c r="BM52" s="127"/>
      <c r="BN52" s="126"/>
      <c r="BO52" s="127"/>
      <c r="BP52" s="126"/>
      <c r="BQ52" s="127"/>
      <c r="BR52" s="126"/>
      <c r="BS52" s="127"/>
      <c r="BT52" s="126"/>
      <c r="BU52" s="127"/>
      <c r="BV52" s="126"/>
      <c r="BW52" s="127"/>
      <c r="BX52" s="126"/>
      <c r="BY52" s="127"/>
      <c r="BZ52" s="126"/>
      <c r="CA52" s="128" t="str">
        <f t="shared" si="0"/>
        <v/>
      </c>
    </row>
    <row r="53" spans="1:79" ht="30" customHeight="1" x14ac:dyDescent="0.35">
      <c r="A53" s="90" t="str">
        <f>IF('Q4'!A59="","",'Q4'!A59)</f>
        <v/>
      </c>
      <c r="B53" s="90" t="str">
        <f>IF('Q3'!B59="","",'Q3'!B59)</f>
        <v/>
      </c>
      <c r="C53" s="90" t="str">
        <f>IF('Q3'!C59="","",'Q3'!C59)</f>
        <v/>
      </c>
      <c r="D53" s="90" t="str">
        <f>IF('Q3'!D59="","",'Q3'!D59)</f>
        <v/>
      </c>
      <c r="E53" s="90" t="str">
        <f>IF('Q3'!E59="","",'Q3'!E59)</f>
        <v/>
      </c>
      <c r="F53" s="90" t="str">
        <f>IF('Q3'!F59="","",'Q3'!F59)</f>
        <v/>
      </c>
      <c r="G53" s="117"/>
      <c r="H53" s="118"/>
      <c r="I53" s="117"/>
      <c r="J53" s="118"/>
      <c r="K53" s="119"/>
      <c r="L53" s="118"/>
      <c r="M53" s="119"/>
      <c r="N53" s="118"/>
      <c r="O53" s="119"/>
      <c r="P53" s="118"/>
      <c r="Q53" s="119"/>
      <c r="R53" s="118"/>
      <c r="S53" s="119"/>
      <c r="T53" s="118"/>
      <c r="U53" s="119"/>
      <c r="V53" s="118"/>
      <c r="W53" s="119"/>
      <c r="X53" s="118"/>
      <c r="Y53" s="119"/>
      <c r="Z53" s="118"/>
      <c r="AA53" s="119"/>
      <c r="AB53" s="118"/>
      <c r="AC53" s="120"/>
      <c r="AD53" s="121"/>
      <c r="AE53" s="122"/>
      <c r="AF53" s="121"/>
      <c r="AG53" s="123"/>
      <c r="AH53" s="124"/>
      <c r="AI53" s="117"/>
      <c r="AJ53" s="118"/>
      <c r="AK53" s="119"/>
      <c r="AL53" s="118"/>
      <c r="AM53" s="119"/>
      <c r="AN53" s="118"/>
      <c r="AO53" s="119"/>
      <c r="AP53" s="118"/>
      <c r="AQ53" s="119"/>
      <c r="AR53" s="118"/>
      <c r="AS53" s="119"/>
      <c r="AT53" s="118"/>
      <c r="AU53" s="119"/>
      <c r="AV53" s="118"/>
      <c r="AW53" s="119"/>
      <c r="AX53" s="118"/>
      <c r="AY53" s="119"/>
      <c r="AZ53" s="118"/>
      <c r="BA53" s="119"/>
      <c r="BB53" s="118"/>
      <c r="BC53" s="119"/>
      <c r="BD53" s="118"/>
      <c r="BE53" s="120"/>
      <c r="BF53" s="121"/>
      <c r="BG53" s="122"/>
      <c r="BH53" s="121"/>
      <c r="BI53" s="123"/>
      <c r="BJ53" s="124"/>
      <c r="BK53" s="125"/>
      <c r="BL53" s="126"/>
      <c r="BM53" s="127"/>
      <c r="BN53" s="126"/>
      <c r="BO53" s="127"/>
      <c r="BP53" s="126"/>
      <c r="BQ53" s="127"/>
      <c r="BR53" s="126"/>
      <c r="BS53" s="127"/>
      <c r="BT53" s="126"/>
      <c r="BU53" s="127"/>
      <c r="BV53" s="126"/>
      <c r="BW53" s="127"/>
      <c r="BX53" s="126"/>
      <c r="BY53" s="127"/>
      <c r="BZ53" s="126"/>
      <c r="CA53" s="128" t="str">
        <f t="shared" si="0"/>
        <v/>
      </c>
    </row>
    <row r="54" spans="1:79" ht="15.5" x14ac:dyDescent="0.35">
      <c r="A54" s="90" t="str">
        <f>IF('Q4'!A60="","",'Q4'!A60)</f>
        <v/>
      </c>
      <c r="B54" s="90" t="str">
        <f>IF('Q3'!B60="","",'Q3'!B60)</f>
        <v/>
      </c>
      <c r="C54" s="90" t="str">
        <f>IF('Q3'!C60="","",'Q3'!C60)</f>
        <v/>
      </c>
      <c r="D54" s="90" t="str">
        <f>IF('Q3'!D60="","",'Q3'!D60)</f>
        <v/>
      </c>
      <c r="E54" s="90" t="str">
        <f>IF('Q3'!E60="","",'Q3'!E60)</f>
        <v/>
      </c>
      <c r="F54" s="90" t="str">
        <f>IF('Q3'!F60="","",'Q3'!F60)</f>
        <v/>
      </c>
      <c r="G54" s="91" t="str">
        <f>IF($B54="","",IF(FinalSem1!#REF!="","",FinalSem1!#REF!*0.1))</f>
        <v/>
      </c>
      <c r="H54" s="92" t="str">
        <f t="shared" ref="H54:H67" si="1">IF(G54="","",RANK(G54:G98,$G$9:$G$53))</f>
        <v/>
      </c>
      <c r="I54" s="91" t="str">
        <f>IF($B54="","",IF(FinalSem1!#REF!="","",FinalSem1!#REF!*0.1))</f>
        <v/>
      </c>
      <c r="J54" s="92" t="str">
        <f t="shared" ref="J54:J67" si="2">IF(I54="","",RANK(I54:I98,$I$9:$I$53))</f>
        <v/>
      </c>
      <c r="K54" s="93" t="str">
        <f>IF($B54="","",IF(FinalSem1!#REF!="","",FinalSem1!#REF!*0.1))</f>
        <v/>
      </c>
      <c r="L54" s="92" t="str">
        <f t="shared" ref="L54:L67" si="3">IF(K54="","",RANK(K54:K98,$K$9:$K$53))</f>
        <v/>
      </c>
      <c r="M54" s="93" t="str">
        <f>IF($B54="","",IF(FinalSem1!#REF!="","",FinalSem1!#REF!*0.1))</f>
        <v/>
      </c>
      <c r="N54" s="92" t="str">
        <f t="shared" ref="N54:N67" si="4">IF(M54="","",RANK(M54:M98,$M$9:$M$53))</f>
        <v/>
      </c>
      <c r="O54" s="93" t="str">
        <f>IF($B54="","",IF(FinalSem1!#REF!="","",FinalSem1!#REF!*0.1))</f>
        <v/>
      </c>
      <c r="P54" s="92" t="str">
        <f t="shared" ref="P54:P67" si="5">IF(O54="","",RANK(O54:O98,$O$9:$O$53))</f>
        <v/>
      </c>
      <c r="Q54" s="93" t="str">
        <f>IF($B54="","",IF(FinalSem1!#REF!="","",FinalSem1!#REF!*0.1))</f>
        <v/>
      </c>
      <c r="R54" s="92" t="str">
        <f t="shared" ref="R54:R67" si="6">IF(Q54="","",RANK(Q54:Q98,$Q$9:$Q$53))</f>
        <v/>
      </c>
      <c r="S54" s="93" t="str">
        <f>IF($B54="","",IF(FinalSem1!#REF!="","",FinalSem1!#REF!*0.1))</f>
        <v/>
      </c>
      <c r="T54" s="92" t="str">
        <f t="shared" ref="T54:T67" si="7">IF(S54="","",RANK(S54:S98,$S$9:$S$53))</f>
        <v/>
      </c>
      <c r="U54" s="93" t="str">
        <f>IF($B54="","",IF(FinalSem1!#REF!="","",FinalSem1!#REF!*0.1))</f>
        <v/>
      </c>
      <c r="V54" s="92" t="str">
        <f t="shared" ref="V54:V67" si="8">IF(U54="","",RANK(U54:U98,$U$9:$U$53))</f>
        <v/>
      </c>
      <c r="W54" s="93" t="str">
        <f>IF($B54="","",IF(FinalSem1!#REF!="","",FinalSem1!#REF!*0.1))</f>
        <v/>
      </c>
      <c r="X54" s="92" t="str">
        <f t="shared" ref="X54:X67" si="9">IF(W54="","",RANK(W54:W98,$W$9:$W$53))</f>
        <v/>
      </c>
      <c r="Y54" s="93" t="str">
        <f>IF($B54="","",IF(FinalSem1!#REF!="","",FinalSem1!#REF!*0.1))</f>
        <v/>
      </c>
      <c r="Z54" s="92" t="str">
        <f t="shared" ref="Z54:Z67" si="10">IF(Y54="","",RANK(Y54:Y98,$Y$9:$Y$53))</f>
        <v/>
      </c>
      <c r="AA54" s="93" t="str">
        <f>IF(ISERR(IF(B54="","",IF(F54="III",AVERAGE('[1]FINAL SEM1'!Y55:AA55)*0.1,IF(OR(F54="I",F54="II",F54="M",F54="A"),AVERAGE('[1]FINAL SEM1'!Y55:AA55)*0.1)))),"",IF(B54="","",IF(F54="III",AVERAGE('[1]FINAL SEM1'!Y55:AA55)*0.1,IF(OR(F54="I",F54="II",F54="M",F54="A"),AVERAGE('[1]FINAL SEM1'!Y55:AA55)*0.1))))</f>
        <v/>
      </c>
      <c r="AB54" s="92" t="str">
        <f t="shared" ref="AB54:AB67" si="11">IF(AA54="","",RANK(AA54:AA112,$AA$13:$AA$72))</f>
        <v/>
      </c>
      <c r="AC54" s="94" t="str">
        <f t="shared" ref="AC54:AC67" si="12">IF(SUM(I54,K54,M54,O54,Q54,S54,U54,W54,Y54,AA54,)=0,"",SUM(G54,I54,K54,M54,O54,Q54,S54,U54,W54,Y54,AA54,))</f>
        <v/>
      </c>
      <c r="AD54" s="95" t="str">
        <f t="shared" ref="AD54:AD67" si="13">IF(ISERR(IF(B54="","",AVERAGE(G54,I54,K54,M54,O54,Q54,S54,U54,W54,Y54,AA54,))),"",IF(B54="","",AVERAGE(G54,I54,K54,M54,O54,Q54,S54,U54,W54,Y54,AA54,)))</f>
        <v/>
      </c>
      <c r="AE54" s="96" t="str">
        <f t="shared" ref="AE54:AE67" si="14">IF(AD54="","",RANK(AD54:AD98,$AD$9:$AD$53))</f>
        <v/>
      </c>
      <c r="AF54" s="95" t="str">
        <f>IF(ISERR(IF(B54="","",AVERAGE('Q1'!#REF!,'Q2'!CX44)*0.1)),"",IF(B54="","",AVERAGE('Q1'!#REF!,'Q2'!CX44)*0.1))</f>
        <v/>
      </c>
      <c r="AG54" s="102" t="str">
        <f t="shared" ref="AG54:AG67" si="15">IF(OR(AD54="",AF54=""),"",AVERAGE(AD54,AF54))</f>
        <v/>
      </c>
      <c r="AH54" s="97" t="str">
        <f t="shared" ref="AH54:AH67" si="16">IF(AG54="","",RANK(AG54:AG98,$AG$9:$AG$53))</f>
        <v/>
      </c>
      <c r="AI54" s="91" t="str">
        <f>IF(ISERR(IF('[1]FINAL SEM2'!N55="","",'[1]FINAL SEM2'!N55*0.1)),"",IF($B54="","",IF('[1]FINAL SEM2'!N55="","",'[1]FINAL SEM2'!N55*0.1)))</f>
        <v/>
      </c>
      <c r="AJ54" s="92" t="str">
        <f t="shared" ref="AJ54:AJ67" si="17">IF(AI54="","",RANK(AI54:AI112,$AI$13:$AI$72))</f>
        <v/>
      </c>
      <c r="AK54" s="93" t="str">
        <f>IF($B54="","",IF(FinalSem2!#REF!="","",FinalSem2!#REF!*0.1))</f>
        <v/>
      </c>
      <c r="AL54" s="92" t="str">
        <f t="shared" ref="AL54:AL67" si="18">IF(AK54="","",RANK(AK54:AK98,$AK$9:$AK$53))</f>
        <v/>
      </c>
      <c r="AM54" s="93" t="str">
        <f>IF($B54="","",IF(FinalSem2!#REF!="","",FinalSem2!#REF!*0.1))</f>
        <v/>
      </c>
      <c r="AN54" s="92" t="str">
        <f t="shared" ref="AN54:AN67" si="19">IF(AM54="","",RANK(AM54:AM98,$AM$9:$AM$53))</f>
        <v/>
      </c>
      <c r="AO54" s="93" t="str">
        <f>IF($B54="","",IF(FinalSem2!#REF!="","",FinalSem2!#REF!*0.1))</f>
        <v/>
      </c>
      <c r="AP54" s="92" t="str">
        <f t="shared" ref="AP54:AP67" si="20">IF(AO54="","",RANK(AO54:AO98,$AO$9:$AO$53))</f>
        <v/>
      </c>
      <c r="AQ54" s="93" t="str">
        <f>IF($B54="","",IF(FinalSem2!#REF!="","",FinalSem2!#REF!*0.1))</f>
        <v/>
      </c>
      <c r="AR54" s="92" t="str">
        <f t="shared" ref="AR54:AR67" si="21">IF(AQ54="","",RANK(AQ54:AQ98,$AQ$9:$AQ$53))</f>
        <v/>
      </c>
      <c r="AS54" s="93" t="str">
        <f>IF($B54="","",IF(FinalSem2!#REF!="","",FinalSem2!#REF!*0.1))</f>
        <v/>
      </c>
      <c r="AT54" s="92" t="str">
        <f t="shared" ref="AT54:AT67" si="22">IF(AS54="","",RANK(AS54:AS698,$AS$9:$AS$53))</f>
        <v/>
      </c>
      <c r="AU54" s="93" t="str">
        <f>IF($B54="","",IF(FinalSem2!#REF!="","",FinalSem2!#REF!*0.1))</f>
        <v/>
      </c>
      <c r="AV54" s="92" t="str">
        <f t="shared" ref="AV54:AV67" si="23">IF(AU54="","",RANK(AU54:AU98,$AU$9:$AU$53))</f>
        <v/>
      </c>
      <c r="AW54" s="93" t="str">
        <f>IF($B54="","",IF(FinalSem2!#REF!="","",FinalSem2!#REF!*0.1))</f>
        <v/>
      </c>
      <c r="AX54" s="92" t="str">
        <f t="shared" ref="AX54:AX67" si="24">IF(AW54="","",RANK(AW54:AW98,$AW$9:$AW$53))</f>
        <v/>
      </c>
      <c r="AY54" s="93" t="str">
        <f>IF($B54="","",IF(FinalSem2!#REF!="","",FinalSem2!#REF!*0.1))</f>
        <v/>
      </c>
      <c r="AZ54" s="92" t="str">
        <f t="shared" ref="AZ54:AZ67" si="25">IF(AY54="","",RANK(AY54:AY98,$AY$9:$AY$53))</f>
        <v/>
      </c>
      <c r="BA54" s="93" t="str">
        <f>IF($B54="","",IF(FinalSem2!#REF!="","",FinalSem2!#REF!*0.1))</f>
        <v/>
      </c>
      <c r="BB54" s="92" t="str">
        <f t="shared" ref="BB54:BB67" si="26">IF(BA54="","",RANK(BA54:BA98,$BA$9:$BA$53))</f>
        <v/>
      </c>
      <c r="BC54" s="93" t="str">
        <f>IF($B54="","",IF(FinalSem2!#REF!="","",FinalSem2!#REF!*0.1))</f>
        <v/>
      </c>
      <c r="BD54" s="92" t="str">
        <f t="shared" ref="BD54:BD67" si="27">IF(BC54="","",RANK(BC54:BC98,$BC$9:$BC$53))</f>
        <v/>
      </c>
      <c r="BE54" s="94" t="str">
        <f t="shared" ref="BE54:BE67" si="28">IF(SUM(AI54,AK54,AM54,AO54,AQ54,AS54,AU54,AW54,AY54,BA54,BC54,)=0,"",SUM(AI54,AK54,AM54,AO54,AQ54,AS54,AU54,AW54,AY54,BA54,BC54,))</f>
        <v/>
      </c>
      <c r="BF54" s="95" t="str">
        <f t="shared" ref="BF54:BF67" si="29">IF(ISERR(IF(B54="","",AVERAGE(AK54,AM54,AO54,AQ54,AS54,AU54,AW54,AY54,BA54,BC54,))),"",IF(B54="","",AVERAGE(AI54,AK54,AM54,AO54,AQ54,AS54,AU54,AW54,AY54,BA54,BC54,)))</f>
        <v/>
      </c>
      <c r="BG54" s="96" t="str">
        <f t="shared" ref="BG54:BG67" si="30">IF(BF54="","",RANK(BF54:BF98,$BF$9:$BF$53))</f>
        <v/>
      </c>
      <c r="BH54" s="95" t="str">
        <f>IF(ISERR(IF(B54="","",AVERAGE('Q3'!CX60,'Q4'!CX60)*0.1)),"",IF(B54="","",AVERAGE('Q3'!CX60,'Q4'!CX60)*0.1))</f>
        <v/>
      </c>
      <c r="BI54" s="102" t="str">
        <f t="shared" ref="BI54:BI67" si="31">IF(OR(BF54="",BH54=""),"",AVERAGE(BF54,BH54))</f>
        <v/>
      </c>
      <c r="BJ54" s="97" t="str">
        <f t="shared" ref="BJ54:BJ67" si="32">IF(BI54="","",RANK(BI54:BI698,$BI$9:$BI$53))</f>
        <v/>
      </c>
      <c r="BK54" s="98" t="str">
        <f t="shared" ref="BK54:BK67" si="33">IF(OR(G54="",AI54=""),"",AVERAGE(G54,AI54))</f>
        <v/>
      </c>
      <c r="BL54" s="99" t="str">
        <f t="shared" ref="BL54:BL67" si="34">IF(BK54="","",IF(BK54="","",RANK(BK54:BK113,$BK$13:$BK$72)))</f>
        <v/>
      </c>
      <c r="BM54" s="100" t="str">
        <f t="shared" ref="BM54:BM67" si="35">IF(OR(I54="",AK54=""),"",AVERAGE(I54,AK54))</f>
        <v/>
      </c>
      <c r="BN54" s="99" t="str">
        <f t="shared" ref="BN54:BN67" si="36">IF(BM54="","",RANK(BM54:BM98,$BM$9:$BM$53))</f>
        <v/>
      </c>
      <c r="BO54" s="100" t="str">
        <f t="shared" ref="BO54:BO67" si="37">IF(OR(K54="",AM54=""),"",AVERAGE(K54,AM54))</f>
        <v/>
      </c>
      <c r="BP54" s="99" t="str">
        <f t="shared" ref="BP54:BP67" si="38">IF(BO54="","",RANK(BO54:BO98,$BO$9:$BO$53))</f>
        <v/>
      </c>
      <c r="BQ54" s="100" t="str">
        <f t="shared" ref="BQ54:BQ67" si="39">IF(OR(M54="",AO54=""),"",AVERAGE(M54,AO54))</f>
        <v/>
      </c>
      <c r="BR54" s="99" t="str">
        <f t="shared" ref="BR54:BR67" si="40">IF(BQ54="","",RANK(BQ54:BQ98,$BQ$9:$BQ$53))</f>
        <v/>
      </c>
      <c r="BS54" s="100" t="str">
        <f t="shared" ref="BS54:BS67" si="41">IF(OR(O54="",AQ54=""),"",AVERAGE(O54,AQ54))</f>
        <v/>
      </c>
      <c r="BT54" s="99" t="str">
        <f t="shared" ref="BT54:BT67" si="42">IF(BS54="","",RANK(BS54:BS98,$BS$9:$BS$53))</f>
        <v/>
      </c>
      <c r="BU54" s="100" t="str">
        <f t="shared" ref="BU54:BU67" si="43">IF(OR(Q54="",AS54=""),"",AVERAGE(Q54,AS54))</f>
        <v/>
      </c>
      <c r="BV54" s="99" t="str">
        <f t="shared" ref="BV54:BV67" si="44">IF(BU54="","",RANK(BU54:BU98,$BU$9:$BU$53))</f>
        <v/>
      </c>
      <c r="BW54" s="100" t="str">
        <f t="shared" ref="BW54:BW67" si="45">IF(OR(S54="",AU54=""),"",AVERAGE(S54,AU54))</f>
        <v/>
      </c>
      <c r="BX54" s="99" t="str">
        <f t="shared" ref="BX54:BX67" si="46">IF(BW54="","",RANK(BW54:BW98,$BW$9:$BW$53))</f>
        <v/>
      </c>
      <c r="BY54" s="100" t="str">
        <f t="shared" ref="BY54:BY67" si="47">IF(OR(U54="",AW54=""),"",AVERAGE(U54,AW54))</f>
        <v/>
      </c>
      <c r="BZ54" s="99" t="str">
        <f t="shared" ref="BZ54:BZ67" si="48">IF(BY54="","",RANK(BY54:BY98,$BY$9:$BY$53))</f>
        <v/>
      </c>
      <c r="CA54" s="128" t="str">
        <f t="shared" si="0"/>
        <v/>
      </c>
    </row>
    <row r="55" spans="1:79" ht="15.5" x14ac:dyDescent="0.35">
      <c r="A55" s="90" t="str">
        <f>IF('Q4'!A61="","",'Q4'!A61)</f>
        <v/>
      </c>
      <c r="B55" s="90" t="str">
        <f>IF('Q3'!B61="","",'Q3'!B61)</f>
        <v/>
      </c>
      <c r="C55" s="90" t="str">
        <f>IF('Q3'!C61="","",'Q3'!C61)</f>
        <v/>
      </c>
      <c r="D55" s="90" t="str">
        <f>IF('Q3'!D61="","",'Q3'!D61)</f>
        <v/>
      </c>
      <c r="E55" s="90" t="str">
        <f>IF('Q3'!E61="","",'Q3'!E61)</f>
        <v/>
      </c>
      <c r="F55" s="90" t="str">
        <f>IF('Q3'!F61="","",'Q3'!F61)</f>
        <v/>
      </c>
      <c r="G55" s="91" t="str">
        <f>IF($B55="","",IF(FinalSem1!#REF!="","",FinalSem1!#REF!*0.1))</f>
        <v/>
      </c>
      <c r="H55" s="92" t="str">
        <f t="shared" si="1"/>
        <v/>
      </c>
      <c r="I55" s="91" t="str">
        <f>IF($B55="","",IF(FinalSem1!#REF!="","",FinalSem1!#REF!*0.1))</f>
        <v/>
      </c>
      <c r="J55" s="92" t="str">
        <f t="shared" si="2"/>
        <v/>
      </c>
      <c r="K55" s="93" t="str">
        <f>IF($B55="","",IF(FinalSem1!#REF!="","",FinalSem1!#REF!*0.1))</f>
        <v/>
      </c>
      <c r="L55" s="92" t="str">
        <f t="shared" si="3"/>
        <v/>
      </c>
      <c r="M55" s="93" t="str">
        <f>IF($B55="","",IF(FinalSem1!#REF!="","",FinalSem1!#REF!*0.1))</f>
        <v/>
      </c>
      <c r="N55" s="92" t="str">
        <f t="shared" si="4"/>
        <v/>
      </c>
      <c r="O55" s="93" t="str">
        <f>IF($B55="","",IF(FinalSem1!#REF!="","",FinalSem1!#REF!*0.1))</f>
        <v/>
      </c>
      <c r="P55" s="92" t="str">
        <f t="shared" si="5"/>
        <v/>
      </c>
      <c r="Q55" s="93" t="str">
        <f>IF($B55="","",IF(FinalSem1!#REF!="","",FinalSem1!#REF!*0.1))</f>
        <v/>
      </c>
      <c r="R55" s="92" t="str">
        <f t="shared" si="6"/>
        <v/>
      </c>
      <c r="S55" s="93" t="str">
        <f>IF($B55="","",IF(FinalSem1!#REF!="","",FinalSem1!#REF!*0.1))</f>
        <v/>
      </c>
      <c r="T55" s="92" t="str">
        <f t="shared" si="7"/>
        <v/>
      </c>
      <c r="U55" s="93" t="str">
        <f>IF($B55="","",IF(FinalSem1!#REF!="","",FinalSem1!#REF!*0.1))</f>
        <v/>
      </c>
      <c r="V55" s="92" t="str">
        <f t="shared" si="8"/>
        <v/>
      </c>
      <c r="W55" s="93" t="str">
        <f>IF($B55="","",IF(FinalSem1!#REF!="","",FinalSem1!#REF!*0.1))</f>
        <v/>
      </c>
      <c r="X55" s="92" t="str">
        <f t="shared" si="9"/>
        <v/>
      </c>
      <c r="Y55" s="93" t="str">
        <f>IF($B55="","",IF(FinalSem1!#REF!="","",FinalSem1!#REF!*0.1))</f>
        <v/>
      </c>
      <c r="Z55" s="92" t="str">
        <f t="shared" si="10"/>
        <v/>
      </c>
      <c r="AA55" s="93" t="str">
        <f>IF(ISERR(IF(B55="","",IF(F55="III",AVERAGE('[1]FINAL SEM1'!Y56:AA56)*0.1,IF(OR(F55="I",F55="II",F55="M",F55="A"),AVERAGE('[1]FINAL SEM1'!Y56:AA56)*0.1)))),"",IF(B55="","",IF(F55="III",AVERAGE('[1]FINAL SEM1'!Y56:AA56)*0.1,IF(OR(F55="I",F55="II",F55="M",F55="A"),AVERAGE('[1]FINAL SEM1'!Y56:AA56)*0.1))))</f>
        <v/>
      </c>
      <c r="AB55" s="92" t="str">
        <f t="shared" si="11"/>
        <v/>
      </c>
      <c r="AC55" s="94" t="str">
        <f t="shared" si="12"/>
        <v/>
      </c>
      <c r="AD55" s="95" t="str">
        <f t="shared" si="13"/>
        <v/>
      </c>
      <c r="AE55" s="96" t="str">
        <f t="shared" si="14"/>
        <v/>
      </c>
      <c r="AF55" s="95" t="str">
        <f>IF(ISERR(IF(B55="","",AVERAGE('Q1'!#REF!,'Q2'!CX45)*0.1)),"",IF(B55="","",AVERAGE('Q1'!#REF!,'Q2'!CX45)*0.1))</f>
        <v/>
      </c>
      <c r="AG55" s="102" t="str">
        <f t="shared" si="15"/>
        <v/>
      </c>
      <c r="AH55" s="97" t="str">
        <f t="shared" si="16"/>
        <v/>
      </c>
      <c r="AI55" s="91" t="str">
        <f>IF(ISERR(IF('[1]FINAL SEM2'!N56="","",'[1]FINAL SEM2'!N56*0.1)),"",IF($B55="","",IF('[1]FINAL SEM2'!N56="","",'[1]FINAL SEM2'!N56*0.1)))</f>
        <v/>
      </c>
      <c r="AJ55" s="92" t="str">
        <f t="shared" si="17"/>
        <v/>
      </c>
      <c r="AK55" s="93" t="str">
        <f>IF($B55="","",IF(FinalSem2!#REF!="","",FinalSem2!#REF!*0.1))</f>
        <v/>
      </c>
      <c r="AL55" s="92" t="str">
        <f t="shared" si="18"/>
        <v/>
      </c>
      <c r="AM55" s="93" t="str">
        <f>IF($B55="","",IF(FinalSem2!#REF!="","",FinalSem2!#REF!*0.1))</f>
        <v/>
      </c>
      <c r="AN55" s="92" t="str">
        <f t="shared" si="19"/>
        <v/>
      </c>
      <c r="AO55" s="93" t="str">
        <f>IF($B55="","",IF(FinalSem2!#REF!="","",FinalSem2!#REF!*0.1))</f>
        <v/>
      </c>
      <c r="AP55" s="92" t="str">
        <f t="shared" si="20"/>
        <v/>
      </c>
      <c r="AQ55" s="93" t="str">
        <f>IF($B55="","",IF(FinalSem2!#REF!="","",FinalSem2!#REF!*0.1))</f>
        <v/>
      </c>
      <c r="AR55" s="92" t="str">
        <f t="shared" si="21"/>
        <v/>
      </c>
      <c r="AS55" s="93" t="str">
        <f>IF($B55="","",IF(FinalSem2!#REF!="","",FinalSem2!#REF!*0.1))</f>
        <v/>
      </c>
      <c r="AT55" s="92" t="str">
        <f t="shared" si="22"/>
        <v/>
      </c>
      <c r="AU55" s="93" t="str">
        <f>IF($B55="","",IF(FinalSem2!#REF!="","",FinalSem2!#REF!*0.1))</f>
        <v/>
      </c>
      <c r="AV55" s="92" t="str">
        <f t="shared" si="23"/>
        <v/>
      </c>
      <c r="AW55" s="93" t="str">
        <f>IF($B55="","",IF(FinalSem2!#REF!="","",FinalSem2!#REF!*0.1))</f>
        <v/>
      </c>
      <c r="AX55" s="92" t="str">
        <f t="shared" si="24"/>
        <v/>
      </c>
      <c r="AY55" s="93" t="str">
        <f>IF($B55="","",IF(FinalSem2!#REF!="","",FinalSem2!#REF!*0.1))</f>
        <v/>
      </c>
      <c r="AZ55" s="92" t="str">
        <f t="shared" si="25"/>
        <v/>
      </c>
      <c r="BA55" s="93" t="str">
        <f>IF($B55="","",IF(FinalSem2!#REF!="","",FinalSem2!#REF!*0.1))</f>
        <v/>
      </c>
      <c r="BB55" s="92" t="str">
        <f t="shared" si="26"/>
        <v/>
      </c>
      <c r="BC55" s="93" t="str">
        <f>IF($B55="","",IF(FinalSem2!#REF!="","",FinalSem2!#REF!*0.1))</f>
        <v/>
      </c>
      <c r="BD55" s="92" t="str">
        <f t="shared" si="27"/>
        <v/>
      </c>
      <c r="BE55" s="94" t="str">
        <f t="shared" si="28"/>
        <v/>
      </c>
      <c r="BF55" s="95" t="str">
        <f t="shared" si="29"/>
        <v/>
      </c>
      <c r="BG55" s="96" t="str">
        <f t="shared" si="30"/>
        <v/>
      </c>
      <c r="BH55" s="95" t="str">
        <f>IF(ISERR(IF(B55="","",AVERAGE('Q3'!CX61,'Q4'!CX61)*0.1)),"",IF(B55="","",AVERAGE('Q3'!CX61,'Q4'!CX61)*0.1))</f>
        <v/>
      </c>
      <c r="BI55" s="102" t="str">
        <f t="shared" si="31"/>
        <v/>
      </c>
      <c r="BJ55" s="97" t="str">
        <f t="shared" si="32"/>
        <v/>
      </c>
      <c r="BK55" s="98" t="str">
        <f t="shared" si="33"/>
        <v/>
      </c>
      <c r="BL55" s="99" t="str">
        <f t="shared" si="34"/>
        <v/>
      </c>
      <c r="BM55" s="100" t="str">
        <f t="shared" si="35"/>
        <v/>
      </c>
      <c r="BN55" s="99" t="str">
        <f t="shared" si="36"/>
        <v/>
      </c>
      <c r="BO55" s="100" t="str">
        <f t="shared" si="37"/>
        <v/>
      </c>
      <c r="BP55" s="99" t="str">
        <f t="shared" si="38"/>
        <v/>
      </c>
      <c r="BQ55" s="100" t="str">
        <f t="shared" si="39"/>
        <v/>
      </c>
      <c r="BR55" s="99" t="str">
        <f t="shared" si="40"/>
        <v/>
      </c>
      <c r="BS55" s="100" t="str">
        <f t="shared" si="41"/>
        <v/>
      </c>
      <c r="BT55" s="99" t="str">
        <f t="shared" si="42"/>
        <v/>
      </c>
      <c r="BU55" s="100" t="str">
        <f t="shared" si="43"/>
        <v/>
      </c>
      <c r="BV55" s="99" t="str">
        <f t="shared" si="44"/>
        <v/>
      </c>
      <c r="BW55" s="100" t="str">
        <f t="shared" si="45"/>
        <v/>
      </c>
      <c r="BX55" s="99" t="str">
        <f t="shared" si="46"/>
        <v/>
      </c>
      <c r="BY55" s="100" t="str">
        <f t="shared" si="47"/>
        <v/>
      </c>
      <c r="BZ55" s="99" t="str">
        <f t="shared" si="48"/>
        <v/>
      </c>
      <c r="CA55" s="128" t="str">
        <f t="shared" si="0"/>
        <v/>
      </c>
    </row>
    <row r="56" spans="1:79" ht="15.5" x14ac:dyDescent="0.35">
      <c r="A56" s="90" t="str">
        <f>IF('Q4'!A62="","",'Q4'!A62)</f>
        <v/>
      </c>
      <c r="B56" s="90" t="str">
        <f>IF('Q3'!B62="","",'Q3'!B62)</f>
        <v/>
      </c>
      <c r="C56" s="90" t="str">
        <f>IF('Q3'!C62="","",'Q3'!C62)</f>
        <v/>
      </c>
      <c r="D56" s="90" t="str">
        <f>IF('Q3'!D62="","",'Q3'!D62)</f>
        <v/>
      </c>
      <c r="E56" s="90" t="str">
        <f>IF('Q3'!E62="","",'Q3'!E62)</f>
        <v/>
      </c>
      <c r="F56" s="90" t="str">
        <f>IF('Q3'!F62="","",'Q3'!F62)</f>
        <v/>
      </c>
      <c r="G56" s="91" t="str">
        <f>IF($B56="","",IF(FinalSem1!#REF!="","",FinalSem1!#REF!*0.1))</f>
        <v/>
      </c>
      <c r="H56" s="92" t="str">
        <f t="shared" si="1"/>
        <v/>
      </c>
      <c r="I56" s="91" t="str">
        <f>IF($B56="","",IF(FinalSem1!#REF!="","",FinalSem1!#REF!*0.1))</f>
        <v/>
      </c>
      <c r="J56" s="92" t="str">
        <f t="shared" si="2"/>
        <v/>
      </c>
      <c r="K56" s="93" t="str">
        <f>IF($B56="","",IF(FinalSem1!#REF!="","",FinalSem1!#REF!*0.1))</f>
        <v/>
      </c>
      <c r="L56" s="92" t="str">
        <f t="shared" si="3"/>
        <v/>
      </c>
      <c r="M56" s="93" t="str">
        <f>IF($B56="","",IF(FinalSem1!#REF!="","",FinalSem1!#REF!*0.1))</f>
        <v/>
      </c>
      <c r="N56" s="92" t="str">
        <f t="shared" si="4"/>
        <v/>
      </c>
      <c r="O56" s="93" t="str">
        <f>IF($B56="","",IF(FinalSem1!#REF!="","",FinalSem1!#REF!*0.1))</f>
        <v/>
      </c>
      <c r="P56" s="92" t="str">
        <f t="shared" si="5"/>
        <v/>
      </c>
      <c r="Q56" s="93" t="str">
        <f>IF($B56="","",IF(FinalSem1!#REF!="","",FinalSem1!#REF!*0.1))</f>
        <v/>
      </c>
      <c r="R56" s="92" t="str">
        <f t="shared" si="6"/>
        <v/>
      </c>
      <c r="S56" s="93" t="str">
        <f>IF($B56="","",IF(FinalSem1!#REF!="","",FinalSem1!#REF!*0.1))</f>
        <v/>
      </c>
      <c r="T56" s="92" t="str">
        <f t="shared" si="7"/>
        <v/>
      </c>
      <c r="U56" s="93" t="str">
        <f>IF($B56="","",IF(FinalSem1!#REF!="","",FinalSem1!#REF!*0.1))</f>
        <v/>
      </c>
      <c r="V56" s="92" t="str">
        <f t="shared" si="8"/>
        <v/>
      </c>
      <c r="W56" s="93" t="str">
        <f>IF($B56="","",IF(FinalSem1!#REF!="","",FinalSem1!#REF!*0.1))</f>
        <v/>
      </c>
      <c r="X56" s="92" t="str">
        <f t="shared" si="9"/>
        <v/>
      </c>
      <c r="Y56" s="93" t="str">
        <f>IF($B56="","",IF(FinalSem1!#REF!="","",FinalSem1!#REF!*0.1))</f>
        <v/>
      </c>
      <c r="Z56" s="92" t="str">
        <f t="shared" si="10"/>
        <v/>
      </c>
      <c r="AA56" s="93" t="str">
        <f>IF(ISERR(IF(B56="","",IF(F56="III",AVERAGE('[1]FINAL SEM1'!Y57:AA57)*0.1,IF(OR(F56="I",F56="II",F56="M",F56="A"),AVERAGE('[1]FINAL SEM1'!Y57:AA57)*0.1)))),"",IF(B56="","",IF(F56="III",AVERAGE('[1]FINAL SEM1'!Y57:AA57)*0.1,IF(OR(F56="I",F56="II",F56="M",F56="A"),AVERAGE('[1]FINAL SEM1'!Y57:AA57)*0.1))))</f>
        <v/>
      </c>
      <c r="AB56" s="92" t="str">
        <f t="shared" si="11"/>
        <v/>
      </c>
      <c r="AC56" s="94" t="str">
        <f t="shared" si="12"/>
        <v/>
      </c>
      <c r="AD56" s="95" t="str">
        <f t="shared" si="13"/>
        <v/>
      </c>
      <c r="AE56" s="96" t="str">
        <f t="shared" si="14"/>
        <v/>
      </c>
      <c r="AF56" s="95" t="str">
        <f>IF(ISERR(IF(B56="","",AVERAGE('Q1'!#REF!,'Q2'!CX46)*0.1)),"",IF(B56="","",AVERAGE('Q1'!#REF!,'Q2'!CX46)*0.1))</f>
        <v/>
      </c>
      <c r="AG56" s="102" t="str">
        <f t="shared" si="15"/>
        <v/>
      </c>
      <c r="AH56" s="97" t="str">
        <f t="shared" si="16"/>
        <v/>
      </c>
      <c r="AI56" s="91" t="str">
        <f>IF(ISERR(IF('[1]FINAL SEM2'!N57="","",'[1]FINAL SEM2'!N57*0.1)),"",IF($B56="","",IF('[1]FINAL SEM2'!N57="","",'[1]FINAL SEM2'!N57*0.1)))</f>
        <v/>
      </c>
      <c r="AJ56" s="92" t="str">
        <f t="shared" si="17"/>
        <v/>
      </c>
      <c r="AK56" s="93" t="str">
        <f>IF($B56="","",IF(FinalSem2!#REF!="","",FinalSem2!#REF!*0.1))</f>
        <v/>
      </c>
      <c r="AL56" s="92" t="str">
        <f t="shared" si="18"/>
        <v/>
      </c>
      <c r="AM56" s="93" t="str">
        <f>IF($B56="","",IF(FinalSem2!#REF!="","",FinalSem2!#REF!*0.1))</f>
        <v/>
      </c>
      <c r="AN56" s="92" t="str">
        <f t="shared" si="19"/>
        <v/>
      </c>
      <c r="AO56" s="93" t="str">
        <f>IF($B56="","",IF(FinalSem2!#REF!="","",FinalSem2!#REF!*0.1))</f>
        <v/>
      </c>
      <c r="AP56" s="92" t="str">
        <f t="shared" si="20"/>
        <v/>
      </c>
      <c r="AQ56" s="93" t="str">
        <f>IF($B56="","",IF(FinalSem2!#REF!="","",FinalSem2!#REF!*0.1))</f>
        <v/>
      </c>
      <c r="AR56" s="92" t="str">
        <f t="shared" si="21"/>
        <v/>
      </c>
      <c r="AS56" s="93" t="str">
        <f>IF($B56="","",IF(FinalSem2!#REF!="","",FinalSem2!#REF!*0.1))</f>
        <v/>
      </c>
      <c r="AT56" s="92" t="str">
        <f t="shared" si="22"/>
        <v/>
      </c>
      <c r="AU56" s="93" t="str">
        <f>IF($B56="","",IF(FinalSem2!#REF!="","",FinalSem2!#REF!*0.1))</f>
        <v/>
      </c>
      <c r="AV56" s="92" t="str">
        <f t="shared" si="23"/>
        <v/>
      </c>
      <c r="AW56" s="93" t="str">
        <f>IF($B56="","",IF(FinalSem2!#REF!="","",FinalSem2!#REF!*0.1))</f>
        <v/>
      </c>
      <c r="AX56" s="92" t="str">
        <f t="shared" si="24"/>
        <v/>
      </c>
      <c r="AY56" s="93" t="str">
        <f>IF($B56="","",IF(FinalSem2!#REF!="","",FinalSem2!#REF!*0.1))</f>
        <v/>
      </c>
      <c r="AZ56" s="92" t="str">
        <f t="shared" si="25"/>
        <v/>
      </c>
      <c r="BA56" s="93" t="str">
        <f>IF($B56="","",IF(FinalSem2!#REF!="","",FinalSem2!#REF!*0.1))</f>
        <v/>
      </c>
      <c r="BB56" s="92" t="str">
        <f t="shared" si="26"/>
        <v/>
      </c>
      <c r="BC56" s="93" t="str">
        <f>IF($B56="","",IF(FinalSem2!#REF!="","",FinalSem2!#REF!*0.1))</f>
        <v/>
      </c>
      <c r="BD56" s="92" t="str">
        <f t="shared" si="27"/>
        <v/>
      </c>
      <c r="BE56" s="94" t="str">
        <f t="shared" si="28"/>
        <v/>
      </c>
      <c r="BF56" s="95" t="str">
        <f t="shared" si="29"/>
        <v/>
      </c>
      <c r="BG56" s="96" t="str">
        <f t="shared" si="30"/>
        <v/>
      </c>
      <c r="BH56" s="95" t="str">
        <f>IF(ISERR(IF(B56="","",AVERAGE('Q3'!CX62,'Q4'!CX62)*0.1)),"",IF(B56="","",AVERAGE('Q3'!CX62,'Q4'!CX62)*0.1))</f>
        <v/>
      </c>
      <c r="BI56" s="102" t="str">
        <f t="shared" si="31"/>
        <v/>
      </c>
      <c r="BJ56" s="97" t="str">
        <f t="shared" si="32"/>
        <v/>
      </c>
      <c r="BK56" s="98" t="str">
        <f t="shared" si="33"/>
        <v/>
      </c>
      <c r="BL56" s="99" t="str">
        <f t="shared" si="34"/>
        <v/>
      </c>
      <c r="BM56" s="100" t="str">
        <f t="shared" si="35"/>
        <v/>
      </c>
      <c r="BN56" s="99" t="str">
        <f t="shared" si="36"/>
        <v/>
      </c>
      <c r="BO56" s="100" t="str">
        <f t="shared" si="37"/>
        <v/>
      </c>
      <c r="BP56" s="99" t="str">
        <f t="shared" si="38"/>
        <v/>
      </c>
      <c r="BQ56" s="100" t="str">
        <f t="shared" si="39"/>
        <v/>
      </c>
      <c r="BR56" s="99" t="str">
        <f t="shared" si="40"/>
        <v/>
      </c>
      <c r="BS56" s="100" t="str">
        <f t="shared" si="41"/>
        <v/>
      </c>
      <c r="BT56" s="99" t="str">
        <f t="shared" si="42"/>
        <v/>
      </c>
      <c r="BU56" s="100" t="str">
        <f t="shared" si="43"/>
        <v/>
      </c>
      <c r="BV56" s="99" t="str">
        <f t="shared" si="44"/>
        <v/>
      </c>
      <c r="BW56" s="100" t="str">
        <f t="shared" si="45"/>
        <v/>
      </c>
      <c r="BX56" s="99" t="str">
        <f t="shared" si="46"/>
        <v/>
      </c>
      <c r="BY56" s="100" t="str">
        <f t="shared" si="47"/>
        <v/>
      </c>
      <c r="BZ56" s="99" t="str">
        <f t="shared" si="48"/>
        <v/>
      </c>
      <c r="CA56" s="128" t="str">
        <f t="shared" si="0"/>
        <v/>
      </c>
    </row>
    <row r="57" spans="1:79" ht="15.5" x14ac:dyDescent="0.35">
      <c r="A57" s="90" t="str">
        <f>IF('Q4'!A63="","",'Q4'!A63)</f>
        <v/>
      </c>
      <c r="B57" s="90" t="str">
        <f>IF('Q3'!B63="","",'Q3'!B63)</f>
        <v/>
      </c>
      <c r="C57" s="90" t="str">
        <f>IF('Q3'!C63="","",'Q3'!C63)</f>
        <v/>
      </c>
      <c r="D57" s="90" t="str">
        <f>IF('Q3'!D63="","",'Q3'!D63)</f>
        <v/>
      </c>
      <c r="E57" s="90" t="str">
        <f>IF('Q3'!E63="","",'Q3'!E63)</f>
        <v/>
      </c>
      <c r="F57" s="90" t="str">
        <f>IF('Q3'!F63="","",'Q3'!F63)</f>
        <v/>
      </c>
      <c r="G57" s="91" t="str">
        <f>IF($B57="","",IF(FinalSem1!#REF!="","",FinalSem1!#REF!*0.1))</f>
        <v/>
      </c>
      <c r="H57" s="92" t="str">
        <f t="shared" si="1"/>
        <v/>
      </c>
      <c r="I57" s="91" t="str">
        <f>IF($B57="","",IF(FinalSem1!#REF!="","",FinalSem1!#REF!*0.1))</f>
        <v/>
      </c>
      <c r="J57" s="92" t="str">
        <f t="shared" si="2"/>
        <v/>
      </c>
      <c r="K57" s="93" t="str">
        <f>IF($B57="","",IF(FinalSem1!#REF!="","",FinalSem1!#REF!*0.1))</f>
        <v/>
      </c>
      <c r="L57" s="92" t="str">
        <f t="shared" si="3"/>
        <v/>
      </c>
      <c r="M57" s="93" t="str">
        <f>IF($B57="","",IF(FinalSem1!#REF!="","",FinalSem1!#REF!*0.1))</f>
        <v/>
      </c>
      <c r="N57" s="92" t="str">
        <f t="shared" si="4"/>
        <v/>
      </c>
      <c r="O57" s="93" t="str">
        <f>IF($B57="","",IF(FinalSem1!#REF!="","",FinalSem1!#REF!*0.1))</f>
        <v/>
      </c>
      <c r="P57" s="92" t="str">
        <f t="shared" si="5"/>
        <v/>
      </c>
      <c r="Q57" s="93" t="str">
        <f>IF($B57="","",IF(FinalSem1!#REF!="","",FinalSem1!#REF!*0.1))</f>
        <v/>
      </c>
      <c r="R57" s="92" t="str">
        <f t="shared" si="6"/>
        <v/>
      </c>
      <c r="S57" s="93" t="str">
        <f>IF($B57="","",IF(FinalSem1!#REF!="","",FinalSem1!#REF!*0.1))</f>
        <v/>
      </c>
      <c r="T57" s="92" t="str">
        <f t="shared" si="7"/>
        <v/>
      </c>
      <c r="U57" s="93" t="str">
        <f>IF($B57="","",IF(FinalSem1!#REF!="","",FinalSem1!#REF!*0.1))</f>
        <v/>
      </c>
      <c r="V57" s="92" t="str">
        <f t="shared" si="8"/>
        <v/>
      </c>
      <c r="W57" s="93" t="str">
        <f>IF($B57="","",IF(FinalSem1!#REF!="","",FinalSem1!#REF!*0.1))</f>
        <v/>
      </c>
      <c r="X57" s="92" t="str">
        <f t="shared" si="9"/>
        <v/>
      </c>
      <c r="Y57" s="93" t="str">
        <f>IF($B57="","",IF(FinalSem1!#REF!="","",FinalSem1!#REF!*0.1))</f>
        <v/>
      </c>
      <c r="Z57" s="92" t="str">
        <f t="shared" si="10"/>
        <v/>
      </c>
      <c r="AA57" s="93" t="str">
        <f>IF(ISERR(IF(B57="","",IF(F57="III",AVERAGE('[1]FINAL SEM1'!Y58:AA58)*0.1,IF(OR(F57="I",F57="II",F57="M",F57="A"),AVERAGE('[1]FINAL SEM1'!Y58:AA58)*0.1)))),"",IF(B57="","",IF(F57="III",AVERAGE('[1]FINAL SEM1'!Y58:AA58)*0.1,IF(OR(F57="I",F57="II",F57="M",F57="A"),AVERAGE('[1]FINAL SEM1'!Y58:AA58)*0.1))))</f>
        <v/>
      </c>
      <c r="AB57" s="92" t="str">
        <f t="shared" si="11"/>
        <v/>
      </c>
      <c r="AC57" s="94" t="str">
        <f t="shared" si="12"/>
        <v/>
      </c>
      <c r="AD57" s="95" t="str">
        <f t="shared" si="13"/>
        <v/>
      </c>
      <c r="AE57" s="96" t="str">
        <f t="shared" si="14"/>
        <v/>
      </c>
      <c r="AF57" s="95" t="str">
        <f>IF(ISERR(IF(B57="","",AVERAGE('Q1'!#REF!,'Q2'!CX47)*0.1)),"",IF(B57="","",AVERAGE('Q1'!#REF!,'Q2'!CX47)*0.1))</f>
        <v/>
      </c>
      <c r="AG57" s="102" t="str">
        <f t="shared" si="15"/>
        <v/>
      </c>
      <c r="AH57" s="97" t="str">
        <f t="shared" si="16"/>
        <v/>
      </c>
      <c r="AI57" s="91" t="str">
        <f>IF(ISERR(IF('[1]FINAL SEM2'!N58="","",'[1]FINAL SEM2'!N58*0.1)),"",IF($B57="","",IF('[1]FINAL SEM2'!N58="","",'[1]FINAL SEM2'!N58*0.1)))</f>
        <v/>
      </c>
      <c r="AJ57" s="92" t="str">
        <f t="shared" si="17"/>
        <v/>
      </c>
      <c r="AK57" s="93" t="str">
        <f>IF($B57="","",IF(FinalSem2!#REF!="","",FinalSem2!#REF!*0.1))</f>
        <v/>
      </c>
      <c r="AL57" s="92" t="str">
        <f t="shared" si="18"/>
        <v/>
      </c>
      <c r="AM57" s="93" t="str">
        <f>IF($B57="","",IF(FinalSem2!#REF!="","",FinalSem2!#REF!*0.1))</f>
        <v/>
      </c>
      <c r="AN57" s="92" t="str">
        <f t="shared" si="19"/>
        <v/>
      </c>
      <c r="AO57" s="93" t="str">
        <f>IF($B57="","",IF(FinalSem2!#REF!="","",FinalSem2!#REF!*0.1))</f>
        <v/>
      </c>
      <c r="AP57" s="92" t="str">
        <f t="shared" si="20"/>
        <v/>
      </c>
      <c r="AQ57" s="93" t="str">
        <f>IF($B57="","",IF(FinalSem2!#REF!="","",FinalSem2!#REF!*0.1))</f>
        <v/>
      </c>
      <c r="AR57" s="92" t="str">
        <f t="shared" si="21"/>
        <v/>
      </c>
      <c r="AS57" s="93" t="str">
        <f>IF($B57="","",IF(FinalSem2!#REF!="","",FinalSem2!#REF!*0.1))</f>
        <v/>
      </c>
      <c r="AT57" s="92" t="str">
        <f t="shared" si="22"/>
        <v/>
      </c>
      <c r="AU57" s="93" t="str">
        <f>IF($B57="","",IF(FinalSem2!#REF!="","",FinalSem2!#REF!*0.1))</f>
        <v/>
      </c>
      <c r="AV57" s="92" t="str">
        <f t="shared" si="23"/>
        <v/>
      </c>
      <c r="AW57" s="93" t="str">
        <f>IF($B57="","",IF(FinalSem2!#REF!="","",FinalSem2!#REF!*0.1))</f>
        <v/>
      </c>
      <c r="AX57" s="92" t="str">
        <f t="shared" si="24"/>
        <v/>
      </c>
      <c r="AY57" s="93" t="str">
        <f>IF($B57="","",IF(FinalSem2!#REF!="","",FinalSem2!#REF!*0.1))</f>
        <v/>
      </c>
      <c r="AZ57" s="92" t="str">
        <f t="shared" si="25"/>
        <v/>
      </c>
      <c r="BA57" s="93" t="str">
        <f>IF($B57="","",IF(FinalSem2!#REF!="","",FinalSem2!#REF!*0.1))</f>
        <v/>
      </c>
      <c r="BB57" s="92" t="str">
        <f t="shared" si="26"/>
        <v/>
      </c>
      <c r="BC57" s="93" t="str">
        <f>IF($B57="","",IF(FinalSem2!#REF!="","",FinalSem2!#REF!*0.1))</f>
        <v/>
      </c>
      <c r="BD57" s="92" t="str">
        <f t="shared" si="27"/>
        <v/>
      </c>
      <c r="BE57" s="94" t="str">
        <f t="shared" si="28"/>
        <v/>
      </c>
      <c r="BF57" s="95" t="str">
        <f t="shared" si="29"/>
        <v/>
      </c>
      <c r="BG57" s="96" t="str">
        <f t="shared" si="30"/>
        <v/>
      </c>
      <c r="BH57" s="95" t="str">
        <f>IF(ISERR(IF(B57="","",AVERAGE('Q3'!CX63,'Q4'!CX63)*0.1)),"",IF(B57="","",AVERAGE('Q3'!CX63,'Q4'!CX63)*0.1))</f>
        <v/>
      </c>
      <c r="BI57" s="102" t="str">
        <f t="shared" si="31"/>
        <v/>
      </c>
      <c r="BJ57" s="97" t="str">
        <f t="shared" si="32"/>
        <v/>
      </c>
      <c r="BK57" s="98" t="str">
        <f t="shared" si="33"/>
        <v/>
      </c>
      <c r="BL57" s="99" t="str">
        <f t="shared" si="34"/>
        <v/>
      </c>
      <c r="BM57" s="100" t="str">
        <f t="shared" si="35"/>
        <v/>
      </c>
      <c r="BN57" s="99" t="str">
        <f t="shared" si="36"/>
        <v/>
      </c>
      <c r="BO57" s="100" t="str">
        <f t="shared" si="37"/>
        <v/>
      </c>
      <c r="BP57" s="99" t="str">
        <f t="shared" si="38"/>
        <v/>
      </c>
      <c r="BQ57" s="100" t="str">
        <f t="shared" si="39"/>
        <v/>
      </c>
      <c r="BR57" s="99" t="str">
        <f t="shared" si="40"/>
        <v/>
      </c>
      <c r="BS57" s="100" t="str">
        <f t="shared" si="41"/>
        <v/>
      </c>
      <c r="BT57" s="99" t="str">
        <f t="shared" si="42"/>
        <v/>
      </c>
      <c r="BU57" s="100" t="str">
        <f t="shared" si="43"/>
        <v/>
      </c>
      <c r="BV57" s="99" t="str">
        <f t="shared" si="44"/>
        <v/>
      </c>
      <c r="BW57" s="100" t="str">
        <f t="shared" si="45"/>
        <v/>
      </c>
      <c r="BX57" s="99" t="str">
        <f t="shared" si="46"/>
        <v/>
      </c>
      <c r="BY57" s="100" t="str">
        <f t="shared" si="47"/>
        <v/>
      </c>
      <c r="BZ57" s="99" t="str">
        <f t="shared" si="48"/>
        <v/>
      </c>
      <c r="CA57" s="128" t="str">
        <f t="shared" si="0"/>
        <v/>
      </c>
    </row>
    <row r="58" spans="1:79" ht="15.5" x14ac:dyDescent="0.35">
      <c r="A58" s="90" t="str">
        <f>IF('Q4'!A64="","",'Q4'!A64)</f>
        <v/>
      </c>
      <c r="B58" s="90" t="str">
        <f>IF('Q3'!B64="","",'Q3'!B64)</f>
        <v/>
      </c>
      <c r="C58" s="90" t="str">
        <f>IF('Q3'!C64="","",'Q3'!C64)</f>
        <v/>
      </c>
      <c r="D58" s="90" t="str">
        <f>IF('Q3'!D64="","",'Q3'!D64)</f>
        <v/>
      </c>
      <c r="E58" s="90" t="str">
        <f>IF('Q3'!E64="","",'Q3'!E64)</f>
        <v/>
      </c>
      <c r="F58" s="90" t="str">
        <f>IF('Q3'!F64="","",'Q3'!F64)</f>
        <v/>
      </c>
      <c r="G58" s="91" t="str">
        <f>IF($B58="","",IF(FinalSem1!#REF!="","",FinalSem1!#REF!*0.1))</f>
        <v/>
      </c>
      <c r="H58" s="92" t="str">
        <f t="shared" si="1"/>
        <v/>
      </c>
      <c r="I58" s="91" t="str">
        <f>IF($B58="","",IF(FinalSem1!#REF!="","",FinalSem1!#REF!*0.1))</f>
        <v/>
      </c>
      <c r="J58" s="92" t="str">
        <f t="shared" si="2"/>
        <v/>
      </c>
      <c r="K58" s="93" t="str">
        <f>IF($B58="","",IF(FinalSem1!#REF!="","",FinalSem1!#REF!*0.1))</f>
        <v/>
      </c>
      <c r="L58" s="92" t="str">
        <f t="shared" si="3"/>
        <v/>
      </c>
      <c r="M58" s="93" t="str">
        <f>IF($B58="","",IF(FinalSem1!#REF!="","",FinalSem1!#REF!*0.1))</f>
        <v/>
      </c>
      <c r="N58" s="92" t="str">
        <f t="shared" si="4"/>
        <v/>
      </c>
      <c r="O58" s="93" t="str">
        <f>IF($B58="","",IF(FinalSem1!#REF!="","",FinalSem1!#REF!*0.1))</f>
        <v/>
      </c>
      <c r="P58" s="92" t="str">
        <f t="shared" si="5"/>
        <v/>
      </c>
      <c r="Q58" s="93" t="str">
        <f>IF($B58="","",IF(FinalSem1!#REF!="","",FinalSem1!#REF!*0.1))</f>
        <v/>
      </c>
      <c r="R58" s="92" t="str">
        <f t="shared" si="6"/>
        <v/>
      </c>
      <c r="S58" s="93" t="str">
        <f>IF($B58="","",IF(FinalSem1!#REF!="","",FinalSem1!#REF!*0.1))</f>
        <v/>
      </c>
      <c r="T58" s="92" t="str">
        <f t="shared" si="7"/>
        <v/>
      </c>
      <c r="U58" s="93" t="str">
        <f>IF($B58="","",IF(FinalSem1!#REF!="","",FinalSem1!#REF!*0.1))</f>
        <v/>
      </c>
      <c r="V58" s="92" t="str">
        <f t="shared" si="8"/>
        <v/>
      </c>
      <c r="W58" s="93" t="str">
        <f>IF($B58="","",IF(FinalSem1!#REF!="","",FinalSem1!#REF!*0.1))</f>
        <v/>
      </c>
      <c r="X58" s="92" t="str">
        <f t="shared" si="9"/>
        <v/>
      </c>
      <c r="Y58" s="93" t="str">
        <f>IF($B58="","",IF(FinalSem1!#REF!="","",FinalSem1!#REF!*0.1))</f>
        <v/>
      </c>
      <c r="Z58" s="92" t="str">
        <f t="shared" si="10"/>
        <v/>
      </c>
      <c r="AA58" s="93" t="str">
        <f>IF(ISERR(IF(B58="","",IF(F58="III",AVERAGE('[1]FINAL SEM1'!Y59:AA59)*0.1,IF(OR(F58="I",F58="II",F58="M",F58="A"),AVERAGE('[1]FINAL SEM1'!Y59:AA59)*0.1)))),"",IF(B58="","",IF(F58="III",AVERAGE('[1]FINAL SEM1'!Y59:AA59)*0.1,IF(OR(F58="I",F58="II",F58="M",F58="A"),AVERAGE('[1]FINAL SEM1'!Y59:AA59)*0.1))))</f>
        <v/>
      </c>
      <c r="AB58" s="92" t="str">
        <f t="shared" si="11"/>
        <v/>
      </c>
      <c r="AC58" s="94" t="str">
        <f t="shared" si="12"/>
        <v/>
      </c>
      <c r="AD58" s="95" t="str">
        <f t="shared" si="13"/>
        <v/>
      </c>
      <c r="AE58" s="96" t="str">
        <f t="shared" si="14"/>
        <v/>
      </c>
      <c r="AF58" s="95" t="str">
        <f>IF(ISERR(IF(B58="","",AVERAGE('Q1'!#REF!,'Q2'!CX48)*0.1)),"",IF(B58="","",AVERAGE('Q1'!#REF!,'Q2'!CX48)*0.1))</f>
        <v/>
      </c>
      <c r="AG58" s="102" t="str">
        <f t="shared" si="15"/>
        <v/>
      </c>
      <c r="AH58" s="97" t="str">
        <f t="shared" si="16"/>
        <v/>
      </c>
      <c r="AI58" s="91" t="str">
        <f>IF(ISERR(IF('[1]FINAL SEM2'!N59="","",'[1]FINAL SEM2'!N59*0.1)),"",IF($B58="","",IF('[1]FINAL SEM2'!N59="","",'[1]FINAL SEM2'!N59*0.1)))</f>
        <v/>
      </c>
      <c r="AJ58" s="92" t="str">
        <f t="shared" si="17"/>
        <v/>
      </c>
      <c r="AK58" s="93" t="str">
        <f>IF($B58="","",IF(FinalSem2!#REF!="","",FinalSem2!#REF!*0.1))</f>
        <v/>
      </c>
      <c r="AL58" s="92" t="str">
        <f t="shared" si="18"/>
        <v/>
      </c>
      <c r="AM58" s="93" t="str">
        <f>IF($B58="","",IF(FinalSem2!#REF!="","",FinalSem2!#REF!*0.1))</f>
        <v/>
      </c>
      <c r="AN58" s="92" t="str">
        <f t="shared" si="19"/>
        <v/>
      </c>
      <c r="AO58" s="93" t="str">
        <f>IF($B58="","",IF(FinalSem2!#REF!="","",FinalSem2!#REF!*0.1))</f>
        <v/>
      </c>
      <c r="AP58" s="92" t="str">
        <f t="shared" si="20"/>
        <v/>
      </c>
      <c r="AQ58" s="93" t="str">
        <f>IF($B58="","",IF(FinalSem2!#REF!="","",FinalSem2!#REF!*0.1))</f>
        <v/>
      </c>
      <c r="AR58" s="92" t="str">
        <f t="shared" si="21"/>
        <v/>
      </c>
      <c r="AS58" s="93" t="str">
        <f>IF($B58="","",IF(FinalSem2!#REF!="","",FinalSem2!#REF!*0.1))</f>
        <v/>
      </c>
      <c r="AT58" s="92" t="str">
        <f t="shared" si="22"/>
        <v/>
      </c>
      <c r="AU58" s="93" t="str">
        <f>IF($B58="","",IF(FinalSem2!#REF!="","",FinalSem2!#REF!*0.1))</f>
        <v/>
      </c>
      <c r="AV58" s="92" t="str">
        <f t="shared" si="23"/>
        <v/>
      </c>
      <c r="AW58" s="93" t="str">
        <f>IF($B58="","",IF(FinalSem2!#REF!="","",FinalSem2!#REF!*0.1))</f>
        <v/>
      </c>
      <c r="AX58" s="92" t="str">
        <f t="shared" si="24"/>
        <v/>
      </c>
      <c r="AY58" s="93" t="str">
        <f>IF($B58="","",IF(FinalSem2!#REF!="","",FinalSem2!#REF!*0.1))</f>
        <v/>
      </c>
      <c r="AZ58" s="92" t="str">
        <f t="shared" si="25"/>
        <v/>
      </c>
      <c r="BA58" s="93" t="str">
        <f>IF($B58="","",IF(FinalSem2!#REF!="","",FinalSem2!#REF!*0.1))</f>
        <v/>
      </c>
      <c r="BB58" s="92" t="str">
        <f t="shared" si="26"/>
        <v/>
      </c>
      <c r="BC58" s="93" t="str">
        <f>IF($B58="","",IF(FinalSem2!#REF!="","",FinalSem2!#REF!*0.1))</f>
        <v/>
      </c>
      <c r="BD58" s="92" t="str">
        <f t="shared" si="27"/>
        <v/>
      </c>
      <c r="BE58" s="94" t="str">
        <f t="shared" si="28"/>
        <v/>
      </c>
      <c r="BF58" s="95" t="str">
        <f t="shared" si="29"/>
        <v/>
      </c>
      <c r="BG58" s="96" t="str">
        <f t="shared" si="30"/>
        <v/>
      </c>
      <c r="BH58" s="95" t="str">
        <f>IF(ISERR(IF(B58="","",AVERAGE('Q3'!CX64,'Q4'!CX64)*0.1)),"",IF(B58="","",AVERAGE('Q3'!CX64,'Q4'!CX64)*0.1))</f>
        <v/>
      </c>
      <c r="BI58" s="102" t="str">
        <f t="shared" si="31"/>
        <v/>
      </c>
      <c r="BJ58" s="97" t="str">
        <f t="shared" si="32"/>
        <v/>
      </c>
      <c r="BK58" s="98" t="str">
        <f t="shared" si="33"/>
        <v/>
      </c>
      <c r="BL58" s="99" t="str">
        <f t="shared" si="34"/>
        <v/>
      </c>
      <c r="BM58" s="100" t="str">
        <f t="shared" si="35"/>
        <v/>
      </c>
      <c r="BN58" s="99" t="str">
        <f t="shared" si="36"/>
        <v/>
      </c>
      <c r="BO58" s="100" t="str">
        <f t="shared" si="37"/>
        <v/>
      </c>
      <c r="BP58" s="99" t="str">
        <f t="shared" si="38"/>
        <v/>
      </c>
      <c r="BQ58" s="100" t="str">
        <f t="shared" si="39"/>
        <v/>
      </c>
      <c r="BR58" s="99" t="str">
        <f t="shared" si="40"/>
        <v/>
      </c>
      <c r="BS58" s="100" t="str">
        <f t="shared" si="41"/>
        <v/>
      </c>
      <c r="BT58" s="99" t="str">
        <f t="shared" si="42"/>
        <v/>
      </c>
      <c r="BU58" s="100" t="str">
        <f t="shared" si="43"/>
        <v/>
      </c>
      <c r="BV58" s="99" t="str">
        <f t="shared" si="44"/>
        <v/>
      </c>
      <c r="BW58" s="100" t="str">
        <f t="shared" si="45"/>
        <v/>
      </c>
      <c r="BX58" s="99" t="str">
        <f t="shared" si="46"/>
        <v/>
      </c>
      <c r="BY58" s="100" t="str">
        <f t="shared" si="47"/>
        <v/>
      </c>
      <c r="BZ58" s="99" t="str">
        <f t="shared" si="48"/>
        <v/>
      </c>
      <c r="CA58" s="128" t="str">
        <f t="shared" si="0"/>
        <v/>
      </c>
    </row>
    <row r="59" spans="1:79" ht="15.5" x14ac:dyDescent="0.35">
      <c r="A59" s="90" t="str">
        <f>IF('Q4'!A65="","",'Q4'!A65)</f>
        <v/>
      </c>
      <c r="B59" s="90" t="str">
        <f>IF('Q3'!B65="","",'Q3'!B65)</f>
        <v/>
      </c>
      <c r="C59" s="90" t="str">
        <f>IF('Q3'!C65="","",'Q3'!C65)</f>
        <v/>
      </c>
      <c r="D59" s="90" t="str">
        <f>IF('Q3'!D65="","",'Q3'!D65)</f>
        <v/>
      </c>
      <c r="E59" s="90" t="str">
        <f>IF('Q3'!E65="","",'Q3'!E65)</f>
        <v/>
      </c>
      <c r="F59" s="90" t="str">
        <f>IF('Q3'!F65="","",'Q3'!F65)</f>
        <v/>
      </c>
      <c r="G59" s="91" t="str">
        <f>IF($B59="","",IF(FinalSem1!#REF!="","",FinalSem1!#REF!*0.1))</f>
        <v/>
      </c>
      <c r="H59" s="92" t="str">
        <f t="shared" si="1"/>
        <v/>
      </c>
      <c r="I59" s="91" t="str">
        <f>IF($B59="","",IF(FinalSem1!#REF!="","",FinalSem1!#REF!*0.1))</f>
        <v/>
      </c>
      <c r="J59" s="92" t="str">
        <f t="shared" si="2"/>
        <v/>
      </c>
      <c r="K59" s="93" t="str">
        <f>IF($B59="","",IF(FinalSem1!#REF!="","",FinalSem1!#REF!*0.1))</f>
        <v/>
      </c>
      <c r="L59" s="92" t="str">
        <f t="shared" si="3"/>
        <v/>
      </c>
      <c r="M59" s="93" t="str">
        <f>IF($B59="","",IF(FinalSem1!#REF!="","",FinalSem1!#REF!*0.1))</f>
        <v/>
      </c>
      <c r="N59" s="92" t="str">
        <f t="shared" si="4"/>
        <v/>
      </c>
      <c r="O59" s="93" t="str">
        <f>IF($B59="","",IF(FinalSem1!#REF!="","",FinalSem1!#REF!*0.1))</f>
        <v/>
      </c>
      <c r="P59" s="92" t="str">
        <f t="shared" si="5"/>
        <v/>
      </c>
      <c r="Q59" s="93" t="str">
        <f>IF($B59="","",IF(FinalSem1!#REF!="","",FinalSem1!#REF!*0.1))</f>
        <v/>
      </c>
      <c r="R59" s="92" t="str">
        <f t="shared" si="6"/>
        <v/>
      </c>
      <c r="S59" s="93" t="str">
        <f>IF($B59="","",IF(FinalSem1!#REF!="","",FinalSem1!#REF!*0.1))</f>
        <v/>
      </c>
      <c r="T59" s="92" t="str">
        <f t="shared" si="7"/>
        <v/>
      </c>
      <c r="U59" s="93" t="str">
        <f>IF($B59="","",IF(FinalSem1!#REF!="","",FinalSem1!#REF!*0.1))</f>
        <v/>
      </c>
      <c r="V59" s="92" t="str">
        <f t="shared" si="8"/>
        <v/>
      </c>
      <c r="W59" s="93" t="str">
        <f>IF($B59="","",IF(FinalSem1!#REF!="","",FinalSem1!#REF!*0.1))</f>
        <v/>
      </c>
      <c r="X59" s="92" t="str">
        <f t="shared" si="9"/>
        <v/>
      </c>
      <c r="Y59" s="93" t="str">
        <f>IF($B59="","",IF(FinalSem1!#REF!="","",FinalSem1!#REF!*0.1))</f>
        <v/>
      </c>
      <c r="Z59" s="92" t="str">
        <f t="shared" si="10"/>
        <v/>
      </c>
      <c r="AA59" s="93" t="str">
        <f>IF(ISERR(IF(B59="","",IF(F59="III",AVERAGE('[1]FINAL SEM1'!Y60:AA60)*0.1,IF(OR(F59="I",F59="II",F59="M",F59="A"),AVERAGE('[1]FINAL SEM1'!Y60:AA60)*0.1)))),"",IF(B59="","",IF(F59="III",AVERAGE('[1]FINAL SEM1'!Y60:AA60)*0.1,IF(OR(F59="I",F59="II",F59="M",F59="A"),AVERAGE('[1]FINAL SEM1'!Y60:AA60)*0.1))))</f>
        <v/>
      </c>
      <c r="AB59" s="92" t="str">
        <f t="shared" si="11"/>
        <v/>
      </c>
      <c r="AC59" s="94" t="str">
        <f t="shared" si="12"/>
        <v/>
      </c>
      <c r="AD59" s="95" t="str">
        <f t="shared" si="13"/>
        <v/>
      </c>
      <c r="AE59" s="96" t="str">
        <f t="shared" si="14"/>
        <v/>
      </c>
      <c r="AF59" s="95" t="str">
        <f>IF(ISERR(IF(B59="","",AVERAGE('Q1'!#REF!,'Q2'!CX49)*0.1)),"",IF(B59="","",AVERAGE('Q1'!#REF!,'Q2'!CX49)*0.1))</f>
        <v/>
      </c>
      <c r="AG59" s="102" t="str">
        <f t="shared" si="15"/>
        <v/>
      </c>
      <c r="AH59" s="97" t="str">
        <f t="shared" si="16"/>
        <v/>
      </c>
      <c r="AI59" s="91" t="str">
        <f>IF(ISERR(IF('[1]FINAL SEM2'!N60="","",'[1]FINAL SEM2'!N60*0.1)),"",IF($B59="","",IF('[1]FINAL SEM2'!N60="","",'[1]FINAL SEM2'!N60*0.1)))</f>
        <v/>
      </c>
      <c r="AJ59" s="92" t="str">
        <f t="shared" si="17"/>
        <v/>
      </c>
      <c r="AK59" s="93" t="str">
        <f>IF($B59="","",IF(FinalSem2!#REF!="","",FinalSem2!#REF!*0.1))</f>
        <v/>
      </c>
      <c r="AL59" s="92" t="str">
        <f t="shared" si="18"/>
        <v/>
      </c>
      <c r="AM59" s="93" t="str">
        <f>IF($B59="","",IF(FinalSem2!#REF!="","",FinalSem2!#REF!*0.1))</f>
        <v/>
      </c>
      <c r="AN59" s="92" t="str">
        <f t="shared" si="19"/>
        <v/>
      </c>
      <c r="AO59" s="93" t="str">
        <f>IF($B59="","",IF(FinalSem2!#REF!="","",FinalSem2!#REF!*0.1))</f>
        <v/>
      </c>
      <c r="AP59" s="92" t="str">
        <f t="shared" si="20"/>
        <v/>
      </c>
      <c r="AQ59" s="93" t="str">
        <f>IF($B59="","",IF(FinalSem2!#REF!="","",FinalSem2!#REF!*0.1))</f>
        <v/>
      </c>
      <c r="AR59" s="92" t="str">
        <f t="shared" si="21"/>
        <v/>
      </c>
      <c r="AS59" s="93" t="str">
        <f>IF($B59="","",IF(FinalSem2!#REF!="","",FinalSem2!#REF!*0.1))</f>
        <v/>
      </c>
      <c r="AT59" s="92" t="str">
        <f t="shared" si="22"/>
        <v/>
      </c>
      <c r="AU59" s="93" t="str">
        <f>IF($B59="","",IF(FinalSem2!#REF!="","",FinalSem2!#REF!*0.1))</f>
        <v/>
      </c>
      <c r="AV59" s="92" t="str">
        <f t="shared" si="23"/>
        <v/>
      </c>
      <c r="AW59" s="93" t="str">
        <f>IF($B59="","",IF(FinalSem2!#REF!="","",FinalSem2!#REF!*0.1))</f>
        <v/>
      </c>
      <c r="AX59" s="92" t="str">
        <f t="shared" si="24"/>
        <v/>
      </c>
      <c r="AY59" s="93" t="str">
        <f>IF($B59="","",IF(FinalSem2!#REF!="","",FinalSem2!#REF!*0.1))</f>
        <v/>
      </c>
      <c r="AZ59" s="92" t="str">
        <f t="shared" si="25"/>
        <v/>
      </c>
      <c r="BA59" s="93" t="str">
        <f>IF($B59="","",IF(FinalSem2!#REF!="","",FinalSem2!#REF!*0.1))</f>
        <v/>
      </c>
      <c r="BB59" s="92" t="str">
        <f t="shared" si="26"/>
        <v/>
      </c>
      <c r="BC59" s="93" t="str">
        <f>IF($B59="","",IF(FinalSem2!#REF!="","",FinalSem2!#REF!*0.1))</f>
        <v/>
      </c>
      <c r="BD59" s="92" t="str">
        <f t="shared" si="27"/>
        <v/>
      </c>
      <c r="BE59" s="94" t="str">
        <f t="shared" si="28"/>
        <v/>
      </c>
      <c r="BF59" s="95" t="str">
        <f t="shared" si="29"/>
        <v/>
      </c>
      <c r="BG59" s="96" t="str">
        <f t="shared" si="30"/>
        <v/>
      </c>
      <c r="BH59" s="95" t="str">
        <f>IF(ISERR(IF(B59="","",AVERAGE('Q3'!CX65,'Q4'!CX65)*0.1)),"",IF(B59="","",AVERAGE('Q3'!CX65,'Q4'!CX65)*0.1))</f>
        <v/>
      </c>
      <c r="BI59" s="102" t="str">
        <f t="shared" si="31"/>
        <v/>
      </c>
      <c r="BJ59" s="97" t="str">
        <f t="shared" si="32"/>
        <v/>
      </c>
      <c r="BK59" s="98" t="str">
        <f t="shared" si="33"/>
        <v/>
      </c>
      <c r="BL59" s="99" t="str">
        <f t="shared" si="34"/>
        <v/>
      </c>
      <c r="BM59" s="100" t="str">
        <f t="shared" si="35"/>
        <v/>
      </c>
      <c r="BN59" s="99" t="str">
        <f t="shared" si="36"/>
        <v/>
      </c>
      <c r="BO59" s="100" t="str">
        <f t="shared" si="37"/>
        <v/>
      </c>
      <c r="BP59" s="99" t="str">
        <f t="shared" si="38"/>
        <v/>
      </c>
      <c r="BQ59" s="100" t="str">
        <f t="shared" si="39"/>
        <v/>
      </c>
      <c r="BR59" s="99" t="str">
        <f t="shared" si="40"/>
        <v/>
      </c>
      <c r="BS59" s="100" t="str">
        <f t="shared" si="41"/>
        <v/>
      </c>
      <c r="BT59" s="99" t="str">
        <f t="shared" si="42"/>
        <v/>
      </c>
      <c r="BU59" s="100" t="str">
        <f t="shared" si="43"/>
        <v/>
      </c>
      <c r="BV59" s="99" t="str">
        <f t="shared" si="44"/>
        <v/>
      </c>
      <c r="BW59" s="100" t="str">
        <f t="shared" si="45"/>
        <v/>
      </c>
      <c r="BX59" s="99" t="str">
        <f t="shared" si="46"/>
        <v/>
      </c>
      <c r="BY59" s="100" t="str">
        <f t="shared" si="47"/>
        <v/>
      </c>
      <c r="BZ59" s="99" t="str">
        <f t="shared" si="48"/>
        <v/>
      </c>
      <c r="CA59" s="128" t="str">
        <f t="shared" si="0"/>
        <v/>
      </c>
    </row>
    <row r="60" spans="1:79" ht="15.5" x14ac:dyDescent="0.35">
      <c r="A60" s="90" t="str">
        <f>IF('Q4'!A66="","",'Q4'!A66)</f>
        <v/>
      </c>
      <c r="B60" s="90" t="str">
        <f>IF('Q3'!B66="","",'Q3'!B66)</f>
        <v/>
      </c>
      <c r="C60" s="90" t="str">
        <f>IF('Q3'!C66="","",'Q3'!C66)</f>
        <v/>
      </c>
      <c r="D60" s="90" t="str">
        <f>IF('Q3'!D66="","",'Q3'!D66)</f>
        <v/>
      </c>
      <c r="E60" s="90" t="str">
        <f>IF('Q3'!E66="","",'Q3'!E66)</f>
        <v/>
      </c>
      <c r="F60" s="90" t="str">
        <f>IF('Q3'!F66="","",'Q3'!F66)</f>
        <v/>
      </c>
      <c r="G60" s="91" t="str">
        <f>IF($B60="","",IF(FinalSem1!#REF!="","",FinalSem1!#REF!*0.1))</f>
        <v/>
      </c>
      <c r="H60" s="92" t="str">
        <f t="shared" si="1"/>
        <v/>
      </c>
      <c r="I60" s="91" t="str">
        <f>IF($B60="","",IF(FinalSem1!#REF!="","",FinalSem1!#REF!*0.1))</f>
        <v/>
      </c>
      <c r="J60" s="92" t="str">
        <f t="shared" si="2"/>
        <v/>
      </c>
      <c r="K60" s="93" t="str">
        <f>IF($B60="","",IF(FinalSem1!#REF!="","",FinalSem1!#REF!*0.1))</f>
        <v/>
      </c>
      <c r="L60" s="92" t="str">
        <f t="shared" si="3"/>
        <v/>
      </c>
      <c r="M60" s="93" t="str">
        <f>IF($B60="","",IF(FinalSem1!#REF!="","",FinalSem1!#REF!*0.1))</f>
        <v/>
      </c>
      <c r="N60" s="92" t="str">
        <f t="shared" si="4"/>
        <v/>
      </c>
      <c r="O60" s="93" t="str">
        <f>IF($B60="","",IF(FinalSem1!#REF!="","",FinalSem1!#REF!*0.1))</f>
        <v/>
      </c>
      <c r="P60" s="92" t="str">
        <f t="shared" si="5"/>
        <v/>
      </c>
      <c r="Q60" s="93" t="str">
        <f>IF($B60="","",IF(FinalSem1!#REF!="","",FinalSem1!#REF!*0.1))</f>
        <v/>
      </c>
      <c r="R60" s="92" t="str">
        <f t="shared" si="6"/>
        <v/>
      </c>
      <c r="S60" s="93" t="str">
        <f>IF($B60="","",IF(FinalSem1!#REF!="","",FinalSem1!#REF!*0.1))</f>
        <v/>
      </c>
      <c r="T60" s="92" t="str">
        <f t="shared" si="7"/>
        <v/>
      </c>
      <c r="U60" s="93" t="str">
        <f>IF($B60="","",IF(FinalSem1!#REF!="","",FinalSem1!#REF!*0.1))</f>
        <v/>
      </c>
      <c r="V60" s="92" t="str">
        <f t="shared" si="8"/>
        <v/>
      </c>
      <c r="W60" s="93" t="str">
        <f>IF($B60="","",IF(FinalSem1!#REF!="","",FinalSem1!#REF!*0.1))</f>
        <v/>
      </c>
      <c r="X60" s="92" t="str">
        <f t="shared" si="9"/>
        <v/>
      </c>
      <c r="Y60" s="93" t="str">
        <f>IF($B60="","",IF(FinalSem1!#REF!="","",FinalSem1!#REF!*0.1))</f>
        <v/>
      </c>
      <c r="Z60" s="92" t="str">
        <f t="shared" si="10"/>
        <v/>
      </c>
      <c r="AA60" s="93" t="str">
        <f>IF(ISERR(IF(B60="","",IF(F60="III",AVERAGE('[1]FINAL SEM1'!Y61:AA61)*0.1,IF(OR(F60="I",F60="II",F60="M",F60="A"),AVERAGE('[1]FINAL SEM1'!Y61:AA61)*0.1)))),"",IF(B60="","",IF(F60="III",AVERAGE('[1]FINAL SEM1'!Y61:AA61)*0.1,IF(OR(F60="I",F60="II",F60="M",F60="A"),AVERAGE('[1]FINAL SEM1'!Y61:AA61)*0.1))))</f>
        <v/>
      </c>
      <c r="AB60" s="92" t="str">
        <f t="shared" si="11"/>
        <v/>
      </c>
      <c r="AC60" s="94" t="str">
        <f t="shared" si="12"/>
        <v/>
      </c>
      <c r="AD60" s="95" t="str">
        <f t="shared" si="13"/>
        <v/>
      </c>
      <c r="AE60" s="96" t="str">
        <f t="shared" si="14"/>
        <v/>
      </c>
      <c r="AF60" s="95" t="str">
        <f>IF(ISERR(IF(B60="","",AVERAGE('Q1'!#REF!,'Q2'!CX50)*0.1)),"",IF(B60="","",AVERAGE('Q1'!#REF!,'Q2'!CX50)*0.1))</f>
        <v/>
      </c>
      <c r="AG60" s="102" t="str">
        <f t="shared" si="15"/>
        <v/>
      </c>
      <c r="AH60" s="97" t="str">
        <f t="shared" si="16"/>
        <v/>
      </c>
      <c r="AI60" s="91" t="str">
        <f>IF(ISERR(IF('[1]FINAL SEM2'!N61="","",'[1]FINAL SEM2'!N61*0.1)),"",IF($B60="","",IF('[1]FINAL SEM2'!N61="","",'[1]FINAL SEM2'!N61*0.1)))</f>
        <v/>
      </c>
      <c r="AJ60" s="92" t="str">
        <f t="shared" si="17"/>
        <v/>
      </c>
      <c r="AK60" s="93" t="str">
        <f>IF($B60="","",IF(FinalSem2!#REF!="","",FinalSem2!#REF!*0.1))</f>
        <v/>
      </c>
      <c r="AL60" s="92" t="str">
        <f t="shared" si="18"/>
        <v/>
      </c>
      <c r="AM60" s="93" t="str">
        <f>IF($B60="","",IF(FinalSem2!#REF!="","",FinalSem2!#REF!*0.1))</f>
        <v/>
      </c>
      <c r="AN60" s="92" t="str">
        <f t="shared" si="19"/>
        <v/>
      </c>
      <c r="AO60" s="93" t="str">
        <f>IF($B60="","",IF(FinalSem2!#REF!="","",FinalSem2!#REF!*0.1))</f>
        <v/>
      </c>
      <c r="AP60" s="92" t="str">
        <f t="shared" si="20"/>
        <v/>
      </c>
      <c r="AQ60" s="93" t="str">
        <f>IF($B60="","",IF(FinalSem2!#REF!="","",FinalSem2!#REF!*0.1))</f>
        <v/>
      </c>
      <c r="AR60" s="92" t="str">
        <f t="shared" si="21"/>
        <v/>
      </c>
      <c r="AS60" s="93" t="str">
        <f>IF($B60="","",IF(FinalSem2!#REF!="","",FinalSem2!#REF!*0.1))</f>
        <v/>
      </c>
      <c r="AT60" s="92" t="str">
        <f t="shared" si="22"/>
        <v/>
      </c>
      <c r="AU60" s="93" t="str">
        <f>IF($B60="","",IF(FinalSem2!#REF!="","",FinalSem2!#REF!*0.1))</f>
        <v/>
      </c>
      <c r="AV60" s="92" t="str">
        <f t="shared" si="23"/>
        <v/>
      </c>
      <c r="AW60" s="93" t="str">
        <f>IF($B60="","",IF(FinalSem2!#REF!="","",FinalSem2!#REF!*0.1))</f>
        <v/>
      </c>
      <c r="AX60" s="92" t="str">
        <f t="shared" si="24"/>
        <v/>
      </c>
      <c r="AY60" s="93" t="str">
        <f>IF($B60="","",IF(FinalSem2!#REF!="","",FinalSem2!#REF!*0.1))</f>
        <v/>
      </c>
      <c r="AZ60" s="92" t="str">
        <f t="shared" si="25"/>
        <v/>
      </c>
      <c r="BA60" s="93" t="str">
        <f>IF($B60="","",IF(FinalSem2!#REF!="","",FinalSem2!#REF!*0.1))</f>
        <v/>
      </c>
      <c r="BB60" s="92" t="str">
        <f t="shared" si="26"/>
        <v/>
      </c>
      <c r="BC60" s="93" t="str">
        <f>IF($B60="","",IF(FinalSem2!#REF!="","",FinalSem2!#REF!*0.1))</f>
        <v/>
      </c>
      <c r="BD60" s="92" t="str">
        <f t="shared" si="27"/>
        <v/>
      </c>
      <c r="BE60" s="94" t="str">
        <f t="shared" si="28"/>
        <v/>
      </c>
      <c r="BF60" s="95" t="str">
        <f t="shared" si="29"/>
        <v/>
      </c>
      <c r="BG60" s="96" t="str">
        <f t="shared" si="30"/>
        <v/>
      </c>
      <c r="BH60" s="95" t="str">
        <f>IF(ISERR(IF(B60="","",AVERAGE('Q3'!CX66,'Q4'!CX66)*0.1)),"",IF(B60="","",AVERAGE('Q3'!CX66,'Q4'!CX66)*0.1))</f>
        <v/>
      </c>
      <c r="BI60" s="102" t="str">
        <f t="shared" si="31"/>
        <v/>
      </c>
      <c r="BJ60" s="97" t="str">
        <f t="shared" si="32"/>
        <v/>
      </c>
      <c r="BK60" s="98" t="str">
        <f t="shared" si="33"/>
        <v/>
      </c>
      <c r="BL60" s="99" t="str">
        <f t="shared" si="34"/>
        <v/>
      </c>
      <c r="BM60" s="100" t="str">
        <f t="shared" si="35"/>
        <v/>
      </c>
      <c r="BN60" s="99" t="str">
        <f t="shared" si="36"/>
        <v/>
      </c>
      <c r="BO60" s="100" t="str">
        <f t="shared" si="37"/>
        <v/>
      </c>
      <c r="BP60" s="99" t="str">
        <f t="shared" si="38"/>
        <v/>
      </c>
      <c r="BQ60" s="100" t="str">
        <f t="shared" si="39"/>
        <v/>
      </c>
      <c r="BR60" s="99" t="str">
        <f t="shared" si="40"/>
        <v/>
      </c>
      <c r="BS60" s="100" t="str">
        <f t="shared" si="41"/>
        <v/>
      </c>
      <c r="BT60" s="99" t="str">
        <f t="shared" si="42"/>
        <v/>
      </c>
      <c r="BU60" s="100" t="str">
        <f t="shared" si="43"/>
        <v/>
      </c>
      <c r="BV60" s="99" t="str">
        <f t="shared" si="44"/>
        <v/>
      </c>
      <c r="BW60" s="100" t="str">
        <f t="shared" si="45"/>
        <v/>
      </c>
      <c r="BX60" s="99" t="str">
        <f t="shared" si="46"/>
        <v/>
      </c>
      <c r="BY60" s="100" t="str">
        <f t="shared" si="47"/>
        <v/>
      </c>
      <c r="BZ60" s="99" t="str">
        <f t="shared" si="48"/>
        <v/>
      </c>
      <c r="CA60" s="128" t="str">
        <f t="shared" si="0"/>
        <v/>
      </c>
    </row>
    <row r="61" spans="1:79" ht="15.5" x14ac:dyDescent="0.35">
      <c r="A61" s="90" t="str">
        <f>IF('Q4'!A67="","",'Q4'!A67)</f>
        <v/>
      </c>
      <c r="B61" s="90" t="str">
        <f>IF('Q3'!B67="","",'Q3'!B67)</f>
        <v/>
      </c>
      <c r="C61" s="90" t="str">
        <f>IF('Q3'!C67="","",'Q3'!C67)</f>
        <v/>
      </c>
      <c r="D61" s="90" t="str">
        <f>IF('Q3'!D67="","",'Q3'!D67)</f>
        <v/>
      </c>
      <c r="E61" s="90" t="str">
        <f>IF('Q3'!E67="","",'Q3'!E67)</f>
        <v/>
      </c>
      <c r="F61" s="90" t="str">
        <f>IF('Q3'!F67="","",'Q3'!F67)</f>
        <v/>
      </c>
      <c r="G61" s="91" t="str">
        <f>IF($B61="","",IF(FinalSem1!#REF!="","",FinalSem1!#REF!*0.1))</f>
        <v/>
      </c>
      <c r="H61" s="92" t="str">
        <f t="shared" si="1"/>
        <v/>
      </c>
      <c r="I61" s="91" t="str">
        <f>IF($B61="","",IF(FinalSem1!#REF!="","",FinalSem1!#REF!*0.1))</f>
        <v/>
      </c>
      <c r="J61" s="92" t="str">
        <f t="shared" si="2"/>
        <v/>
      </c>
      <c r="K61" s="93" t="str">
        <f>IF($B61="","",IF(FinalSem1!#REF!="","",FinalSem1!#REF!*0.1))</f>
        <v/>
      </c>
      <c r="L61" s="92" t="str">
        <f t="shared" si="3"/>
        <v/>
      </c>
      <c r="M61" s="93" t="str">
        <f>IF($B61="","",IF(FinalSem1!#REF!="","",FinalSem1!#REF!*0.1))</f>
        <v/>
      </c>
      <c r="N61" s="92" t="str">
        <f t="shared" si="4"/>
        <v/>
      </c>
      <c r="O61" s="93" t="str">
        <f>IF($B61="","",IF(FinalSem1!#REF!="","",FinalSem1!#REF!*0.1))</f>
        <v/>
      </c>
      <c r="P61" s="92" t="str">
        <f t="shared" si="5"/>
        <v/>
      </c>
      <c r="Q61" s="93" t="str">
        <f>IF($B61="","",IF(FinalSem1!#REF!="","",FinalSem1!#REF!*0.1))</f>
        <v/>
      </c>
      <c r="R61" s="92" t="str">
        <f t="shared" si="6"/>
        <v/>
      </c>
      <c r="S61" s="93" t="str">
        <f>IF($B61="","",IF(FinalSem1!#REF!="","",FinalSem1!#REF!*0.1))</f>
        <v/>
      </c>
      <c r="T61" s="92" t="str">
        <f t="shared" si="7"/>
        <v/>
      </c>
      <c r="U61" s="93" t="str">
        <f>IF($B61="","",IF(FinalSem1!#REF!="","",FinalSem1!#REF!*0.1))</f>
        <v/>
      </c>
      <c r="V61" s="92" t="str">
        <f t="shared" si="8"/>
        <v/>
      </c>
      <c r="W61" s="93" t="str">
        <f>IF($B61="","",IF(FinalSem1!#REF!="","",FinalSem1!#REF!*0.1))</f>
        <v/>
      </c>
      <c r="X61" s="92" t="str">
        <f t="shared" si="9"/>
        <v/>
      </c>
      <c r="Y61" s="93" t="str">
        <f>IF($B61="","",IF(FinalSem1!#REF!="","",FinalSem1!#REF!*0.1))</f>
        <v/>
      </c>
      <c r="Z61" s="92" t="str">
        <f t="shared" si="10"/>
        <v/>
      </c>
      <c r="AA61" s="93" t="str">
        <f>IF(ISERR(IF(B61="","",IF(F61="III",AVERAGE('[1]FINAL SEM1'!Y62:AA62)*0.1,IF(OR(F61="I",F61="II",F61="M",F61="A"),AVERAGE('[1]FINAL SEM1'!Y62:AA62)*0.1)))),"",IF(B61="","",IF(F61="III",AVERAGE('[1]FINAL SEM1'!Y62:AA62)*0.1,IF(OR(F61="I",F61="II",F61="M",F61="A"),AVERAGE('[1]FINAL SEM1'!Y62:AA62)*0.1))))</f>
        <v/>
      </c>
      <c r="AB61" s="92" t="str">
        <f t="shared" si="11"/>
        <v/>
      </c>
      <c r="AC61" s="94" t="str">
        <f t="shared" si="12"/>
        <v/>
      </c>
      <c r="AD61" s="95" t="str">
        <f t="shared" si="13"/>
        <v/>
      </c>
      <c r="AE61" s="96" t="str">
        <f t="shared" si="14"/>
        <v/>
      </c>
      <c r="AF61" s="95" t="str">
        <f>IF(ISERR(IF(B61="","",AVERAGE('Q1'!#REF!,'Q2'!CX51)*0.1)),"",IF(B61="","",AVERAGE('Q1'!#REF!,'Q2'!CX51)*0.1))</f>
        <v/>
      </c>
      <c r="AG61" s="102" t="str">
        <f t="shared" si="15"/>
        <v/>
      </c>
      <c r="AH61" s="97" t="str">
        <f t="shared" si="16"/>
        <v/>
      </c>
      <c r="AI61" s="91" t="str">
        <f>IF(ISERR(IF('[1]FINAL SEM2'!N62="","",'[1]FINAL SEM2'!N62*0.1)),"",IF($B61="","",IF('[1]FINAL SEM2'!N62="","",'[1]FINAL SEM2'!N62*0.1)))</f>
        <v/>
      </c>
      <c r="AJ61" s="92" t="str">
        <f t="shared" si="17"/>
        <v/>
      </c>
      <c r="AK61" s="93" t="str">
        <f>IF($B61="","",IF(FinalSem2!#REF!="","",FinalSem2!#REF!*0.1))</f>
        <v/>
      </c>
      <c r="AL61" s="92" t="str">
        <f t="shared" si="18"/>
        <v/>
      </c>
      <c r="AM61" s="93" t="str">
        <f>IF($B61="","",IF(FinalSem2!#REF!="","",FinalSem2!#REF!*0.1))</f>
        <v/>
      </c>
      <c r="AN61" s="92" t="str">
        <f t="shared" si="19"/>
        <v/>
      </c>
      <c r="AO61" s="93" t="str">
        <f>IF($B61="","",IF(FinalSem2!#REF!="","",FinalSem2!#REF!*0.1))</f>
        <v/>
      </c>
      <c r="AP61" s="92" t="str">
        <f t="shared" si="20"/>
        <v/>
      </c>
      <c r="AQ61" s="93" t="str">
        <f>IF($B61="","",IF(FinalSem2!#REF!="","",FinalSem2!#REF!*0.1))</f>
        <v/>
      </c>
      <c r="AR61" s="92" t="str">
        <f t="shared" si="21"/>
        <v/>
      </c>
      <c r="AS61" s="93" t="str">
        <f>IF($B61="","",IF(FinalSem2!#REF!="","",FinalSem2!#REF!*0.1))</f>
        <v/>
      </c>
      <c r="AT61" s="92" t="str">
        <f t="shared" si="22"/>
        <v/>
      </c>
      <c r="AU61" s="93" t="str">
        <f>IF($B61="","",IF(FinalSem2!#REF!="","",FinalSem2!#REF!*0.1))</f>
        <v/>
      </c>
      <c r="AV61" s="92" t="str">
        <f t="shared" si="23"/>
        <v/>
      </c>
      <c r="AW61" s="93" t="str">
        <f>IF($B61="","",IF(FinalSem2!#REF!="","",FinalSem2!#REF!*0.1))</f>
        <v/>
      </c>
      <c r="AX61" s="92" t="str">
        <f t="shared" si="24"/>
        <v/>
      </c>
      <c r="AY61" s="93" t="str">
        <f>IF($B61="","",IF(FinalSem2!#REF!="","",FinalSem2!#REF!*0.1))</f>
        <v/>
      </c>
      <c r="AZ61" s="92" t="str">
        <f t="shared" si="25"/>
        <v/>
      </c>
      <c r="BA61" s="93" t="str">
        <f>IF($B61="","",IF(FinalSem2!#REF!="","",FinalSem2!#REF!*0.1))</f>
        <v/>
      </c>
      <c r="BB61" s="92" t="str">
        <f t="shared" si="26"/>
        <v/>
      </c>
      <c r="BC61" s="93" t="str">
        <f>IF($B61="","",IF(FinalSem2!#REF!="","",FinalSem2!#REF!*0.1))</f>
        <v/>
      </c>
      <c r="BD61" s="92" t="str">
        <f t="shared" si="27"/>
        <v/>
      </c>
      <c r="BE61" s="94" t="str">
        <f t="shared" si="28"/>
        <v/>
      </c>
      <c r="BF61" s="95" t="str">
        <f t="shared" si="29"/>
        <v/>
      </c>
      <c r="BG61" s="96" t="str">
        <f t="shared" si="30"/>
        <v/>
      </c>
      <c r="BH61" s="95" t="str">
        <f>IF(ISERR(IF(B61="","",AVERAGE('Q3'!CX67,'Q4'!CX67)*0.1)),"",IF(B61="","",AVERAGE('Q3'!CX67,'Q4'!CX67)*0.1))</f>
        <v/>
      </c>
      <c r="BI61" s="102" t="str">
        <f t="shared" si="31"/>
        <v/>
      </c>
      <c r="BJ61" s="97" t="str">
        <f t="shared" si="32"/>
        <v/>
      </c>
      <c r="BK61" s="98" t="str">
        <f t="shared" si="33"/>
        <v/>
      </c>
      <c r="BL61" s="99" t="str">
        <f t="shared" si="34"/>
        <v/>
      </c>
      <c r="BM61" s="100" t="str">
        <f t="shared" si="35"/>
        <v/>
      </c>
      <c r="BN61" s="99" t="str">
        <f t="shared" si="36"/>
        <v/>
      </c>
      <c r="BO61" s="100" t="str">
        <f t="shared" si="37"/>
        <v/>
      </c>
      <c r="BP61" s="99" t="str">
        <f t="shared" si="38"/>
        <v/>
      </c>
      <c r="BQ61" s="100" t="str">
        <f t="shared" si="39"/>
        <v/>
      </c>
      <c r="BR61" s="99" t="str">
        <f t="shared" si="40"/>
        <v/>
      </c>
      <c r="BS61" s="100" t="str">
        <f t="shared" si="41"/>
        <v/>
      </c>
      <c r="BT61" s="99" t="str">
        <f t="shared" si="42"/>
        <v/>
      </c>
      <c r="BU61" s="100" t="str">
        <f t="shared" si="43"/>
        <v/>
      </c>
      <c r="BV61" s="99" t="str">
        <f t="shared" si="44"/>
        <v/>
      </c>
      <c r="BW61" s="100" t="str">
        <f t="shared" si="45"/>
        <v/>
      </c>
      <c r="BX61" s="99" t="str">
        <f t="shared" si="46"/>
        <v/>
      </c>
      <c r="BY61" s="100" t="str">
        <f t="shared" si="47"/>
        <v/>
      </c>
      <c r="BZ61" s="99" t="str">
        <f t="shared" si="48"/>
        <v/>
      </c>
      <c r="CA61" s="101" t="str">
        <f>IF(B61="","",SUM(#REF!))</f>
        <v/>
      </c>
    </row>
    <row r="62" spans="1:79" ht="15.5" x14ac:dyDescent="0.35">
      <c r="A62" s="90" t="str">
        <f>IF('Q4'!A68="","",'Q4'!A68)</f>
        <v/>
      </c>
      <c r="B62" s="90" t="str">
        <f>IF('Q3'!B68="","",'Q3'!B68)</f>
        <v/>
      </c>
      <c r="C62" s="90" t="str">
        <f>IF('Q3'!C68="","",'Q3'!C68)</f>
        <v/>
      </c>
      <c r="D62" s="90" t="str">
        <f>IF('Q3'!D68="","",'Q3'!D68)</f>
        <v/>
      </c>
      <c r="E62" s="90" t="str">
        <f>IF('Q3'!E68="","",'Q3'!E68)</f>
        <v/>
      </c>
      <c r="F62" s="90" t="str">
        <f>IF('Q3'!F68="","",'Q3'!F68)</f>
        <v/>
      </c>
      <c r="G62" s="91" t="str">
        <f>IF($B62="","",IF(FinalSem1!#REF!="","",FinalSem1!#REF!*0.1))</f>
        <v/>
      </c>
      <c r="H62" s="92" t="str">
        <f t="shared" si="1"/>
        <v/>
      </c>
      <c r="I62" s="91" t="str">
        <f>IF($B62="","",IF(FinalSem1!#REF!="","",FinalSem1!#REF!*0.1))</f>
        <v/>
      </c>
      <c r="J62" s="92" t="str">
        <f t="shared" si="2"/>
        <v/>
      </c>
      <c r="K62" s="93" t="str">
        <f>IF($B62="","",IF(FinalSem1!#REF!="","",FinalSem1!#REF!*0.1))</f>
        <v/>
      </c>
      <c r="L62" s="92" t="str">
        <f t="shared" si="3"/>
        <v/>
      </c>
      <c r="M62" s="93" t="str">
        <f>IF($B62="","",IF(FinalSem1!#REF!="","",FinalSem1!#REF!*0.1))</f>
        <v/>
      </c>
      <c r="N62" s="92" t="str">
        <f t="shared" si="4"/>
        <v/>
      </c>
      <c r="O62" s="93" t="str">
        <f>IF($B62="","",IF(FinalSem1!#REF!="","",FinalSem1!#REF!*0.1))</f>
        <v/>
      </c>
      <c r="P62" s="92" t="str">
        <f t="shared" si="5"/>
        <v/>
      </c>
      <c r="Q62" s="93" t="str">
        <f>IF($B62="","",IF(FinalSem1!#REF!="","",FinalSem1!#REF!*0.1))</f>
        <v/>
      </c>
      <c r="R62" s="92" t="str">
        <f t="shared" si="6"/>
        <v/>
      </c>
      <c r="S62" s="93" t="str">
        <f>IF($B62="","",IF(FinalSem1!#REF!="","",FinalSem1!#REF!*0.1))</f>
        <v/>
      </c>
      <c r="T62" s="92" t="str">
        <f t="shared" si="7"/>
        <v/>
      </c>
      <c r="U62" s="93" t="str">
        <f>IF($B62="","",IF(FinalSem1!#REF!="","",FinalSem1!#REF!*0.1))</f>
        <v/>
      </c>
      <c r="V62" s="92" t="str">
        <f t="shared" si="8"/>
        <v/>
      </c>
      <c r="W62" s="93" t="str">
        <f>IF($B62="","",IF(FinalSem1!#REF!="","",FinalSem1!#REF!*0.1))</f>
        <v/>
      </c>
      <c r="X62" s="92" t="str">
        <f t="shared" si="9"/>
        <v/>
      </c>
      <c r="Y62" s="93" t="str">
        <f>IF($B62="","",IF(FinalSem1!#REF!="","",FinalSem1!#REF!*0.1))</f>
        <v/>
      </c>
      <c r="Z62" s="92" t="str">
        <f t="shared" si="10"/>
        <v/>
      </c>
      <c r="AA62" s="93" t="str">
        <f>IF(ISERR(IF(B62="","",IF(F62="III",AVERAGE('[1]FINAL SEM1'!Y63:AA63)*0.1,IF(OR(F62="I",F62="II",F62="M",F62="A"),AVERAGE('[1]FINAL SEM1'!Y63:AA63)*0.1)))),"",IF(B62="","",IF(F62="III",AVERAGE('[1]FINAL SEM1'!Y63:AA63)*0.1,IF(OR(F62="I",F62="II",F62="M",F62="A"),AVERAGE('[1]FINAL SEM1'!Y63:AA63)*0.1))))</f>
        <v/>
      </c>
      <c r="AB62" s="92" t="str">
        <f t="shared" si="11"/>
        <v/>
      </c>
      <c r="AC62" s="94" t="str">
        <f t="shared" si="12"/>
        <v/>
      </c>
      <c r="AD62" s="95" t="str">
        <f t="shared" si="13"/>
        <v/>
      </c>
      <c r="AE62" s="96" t="str">
        <f t="shared" si="14"/>
        <v/>
      </c>
      <c r="AF62" s="95" t="str">
        <f>IF(ISERR(IF(B62="","",AVERAGE('Q1'!#REF!,'Q2'!CX52)*0.1)),"",IF(B62="","",AVERAGE('Q1'!#REF!,'Q2'!CX52)*0.1))</f>
        <v/>
      </c>
      <c r="AG62" s="102" t="str">
        <f t="shared" si="15"/>
        <v/>
      </c>
      <c r="AH62" s="97" t="str">
        <f t="shared" si="16"/>
        <v/>
      </c>
      <c r="AI62" s="91" t="str">
        <f>IF(ISERR(IF('[1]FINAL SEM2'!N63="","",'[1]FINAL SEM2'!N63*0.1)),"",IF($B62="","",IF('[1]FINAL SEM2'!N63="","",'[1]FINAL SEM2'!N63*0.1)))</f>
        <v/>
      </c>
      <c r="AJ62" s="92" t="str">
        <f t="shared" si="17"/>
        <v/>
      </c>
      <c r="AK62" s="93" t="str">
        <f>IF($B62="","",IF(FinalSem2!#REF!="","",FinalSem2!#REF!*0.1))</f>
        <v/>
      </c>
      <c r="AL62" s="92" t="str">
        <f t="shared" si="18"/>
        <v/>
      </c>
      <c r="AM62" s="93" t="str">
        <f>IF($B62="","",IF(FinalSem2!#REF!="","",FinalSem2!#REF!*0.1))</f>
        <v/>
      </c>
      <c r="AN62" s="92" t="str">
        <f t="shared" si="19"/>
        <v/>
      </c>
      <c r="AO62" s="93" t="str">
        <f>IF($B62="","",IF(FinalSem2!#REF!="","",FinalSem2!#REF!*0.1))</f>
        <v/>
      </c>
      <c r="AP62" s="92" t="str">
        <f t="shared" si="20"/>
        <v/>
      </c>
      <c r="AQ62" s="93" t="str">
        <f>IF($B62="","",IF(FinalSem2!#REF!="","",FinalSem2!#REF!*0.1))</f>
        <v/>
      </c>
      <c r="AR62" s="92" t="str">
        <f t="shared" si="21"/>
        <v/>
      </c>
      <c r="AS62" s="93" t="str">
        <f>IF($B62="","",IF(FinalSem2!#REF!="","",FinalSem2!#REF!*0.1))</f>
        <v/>
      </c>
      <c r="AT62" s="92" t="str">
        <f t="shared" si="22"/>
        <v/>
      </c>
      <c r="AU62" s="93" t="str">
        <f>IF($B62="","",IF(FinalSem2!#REF!="","",FinalSem2!#REF!*0.1))</f>
        <v/>
      </c>
      <c r="AV62" s="92" t="str">
        <f t="shared" si="23"/>
        <v/>
      </c>
      <c r="AW62" s="93" t="str">
        <f>IF($B62="","",IF(FinalSem2!#REF!="","",FinalSem2!#REF!*0.1))</f>
        <v/>
      </c>
      <c r="AX62" s="92" t="str">
        <f t="shared" si="24"/>
        <v/>
      </c>
      <c r="AY62" s="93" t="str">
        <f>IF($B62="","",IF(FinalSem2!#REF!="","",FinalSem2!#REF!*0.1))</f>
        <v/>
      </c>
      <c r="AZ62" s="92" t="str">
        <f t="shared" si="25"/>
        <v/>
      </c>
      <c r="BA62" s="93" t="str">
        <f>IF($B62="","",IF(FinalSem2!#REF!="","",FinalSem2!#REF!*0.1))</f>
        <v/>
      </c>
      <c r="BB62" s="92" t="str">
        <f t="shared" si="26"/>
        <v/>
      </c>
      <c r="BC62" s="93" t="str">
        <f>IF($B62="","",IF(FinalSem2!#REF!="","",FinalSem2!#REF!*0.1))</f>
        <v/>
      </c>
      <c r="BD62" s="92" t="str">
        <f t="shared" si="27"/>
        <v/>
      </c>
      <c r="BE62" s="94" t="str">
        <f t="shared" si="28"/>
        <v/>
      </c>
      <c r="BF62" s="95" t="str">
        <f t="shared" si="29"/>
        <v/>
      </c>
      <c r="BG62" s="96" t="str">
        <f t="shared" si="30"/>
        <v/>
      </c>
      <c r="BH62" s="95" t="str">
        <f>IF(ISERR(IF(B62="","",AVERAGE('Q3'!CX68,'Q4'!CX68)*0.1)),"",IF(B62="","",AVERAGE('Q3'!CX68,'Q4'!CX68)*0.1))</f>
        <v/>
      </c>
      <c r="BI62" s="102" t="str">
        <f t="shared" si="31"/>
        <v/>
      </c>
      <c r="BJ62" s="97" t="str">
        <f t="shared" si="32"/>
        <v/>
      </c>
      <c r="BK62" s="98" t="str">
        <f t="shared" si="33"/>
        <v/>
      </c>
      <c r="BL62" s="99" t="str">
        <f t="shared" si="34"/>
        <v/>
      </c>
      <c r="BM62" s="100" t="str">
        <f t="shared" si="35"/>
        <v/>
      </c>
      <c r="BN62" s="99" t="str">
        <f t="shared" si="36"/>
        <v/>
      </c>
      <c r="BO62" s="100" t="str">
        <f t="shared" si="37"/>
        <v/>
      </c>
      <c r="BP62" s="99" t="str">
        <f t="shared" si="38"/>
        <v/>
      </c>
      <c r="BQ62" s="100" t="str">
        <f t="shared" si="39"/>
        <v/>
      </c>
      <c r="BR62" s="99" t="str">
        <f t="shared" si="40"/>
        <v/>
      </c>
      <c r="BS62" s="100" t="str">
        <f t="shared" si="41"/>
        <v/>
      </c>
      <c r="BT62" s="99" t="str">
        <f t="shared" si="42"/>
        <v/>
      </c>
      <c r="BU62" s="100" t="str">
        <f t="shared" si="43"/>
        <v/>
      </c>
      <c r="BV62" s="99" t="str">
        <f t="shared" si="44"/>
        <v/>
      </c>
      <c r="BW62" s="100" t="str">
        <f t="shared" si="45"/>
        <v/>
      </c>
      <c r="BX62" s="99" t="str">
        <f t="shared" si="46"/>
        <v/>
      </c>
      <c r="BY62" s="100" t="str">
        <f t="shared" si="47"/>
        <v/>
      </c>
      <c r="BZ62" s="99" t="str">
        <f t="shared" si="48"/>
        <v/>
      </c>
      <c r="CA62" s="101" t="str">
        <f>IF(B62="","",SUM(#REF!))</f>
        <v/>
      </c>
    </row>
    <row r="63" spans="1:79" ht="15.5" x14ac:dyDescent="0.35">
      <c r="A63" s="90" t="str">
        <f>IF('Q4'!A69="","",'Q4'!A69)</f>
        <v/>
      </c>
      <c r="B63" s="90" t="str">
        <f>IF('Q3'!B69="","",'Q3'!B69)</f>
        <v/>
      </c>
      <c r="C63" s="90" t="str">
        <f>IF('Q3'!C69="","",'Q3'!C69)</f>
        <v/>
      </c>
      <c r="D63" s="90" t="str">
        <f>IF('Q3'!D69="","",'Q3'!D69)</f>
        <v/>
      </c>
      <c r="E63" s="90" t="str">
        <f>IF('Q3'!E69="","",'Q3'!E69)</f>
        <v/>
      </c>
      <c r="F63" s="90" t="str">
        <f>IF('Q3'!F69="","",'Q3'!F69)</f>
        <v/>
      </c>
      <c r="G63" s="91" t="str">
        <f>IF($B63="","",IF(FinalSem1!#REF!="","",FinalSem1!#REF!*0.1))</f>
        <v/>
      </c>
      <c r="H63" s="92" t="str">
        <f t="shared" si="1"/>
        <v/>
      </c>
      <c r="I63" s="91" t="str">
        <f>IF($B63="","",IF(FinalSem1!#REF!="","",FinalSem1!#REF!*0.1))</f>
        <v/>
      </c>
      <c r="J63" s="92" t="str">
        <f t="shared" si="2"/>
        <v/>
      </c>
      <c r="K63" s="93" t="str">
        <f>IF($B63="","",IF(FinalSem1!#REF!="","",FinalSem1!#REF!*0.1))</f>
        <v/>
      </c>
      <c r="L63" s="92" t="str">
        <f t="shared" si="3"/>
        <v/>
      </c>
      <c r="M63" s="93" t="str">
        <f>IF($B63="","",IF(FinalSem1!#REF!="","",FinalSem1!#REF!*0.1))</f>
        <v/>
      </c>
      <c r="N63" s="92" t="str">
        <f t="shared" si="4"/>
        <v/>
      </c>
      <c r="O63" s="93" t="str">
        <f>IF($B63="","",IF(FinalSem1!#REF!="","",FinalSem1!#REF!*0.1))</f>
        <v/>
      </c>
      <c r="P63" s="92" t="str">
        <f t="shared" si="5"/>
        <v/>
      </c>
      <c r="Q63" s="93" t="str">
        <f>IF($B63="","",IF(FinalSem1!#REF!="","",FinalSem1!#REF!*0.1))</f>
        <v/>
      </c>
      <c r="R63" s="92" t="str">
        <f t="shared" si="6"/>
        <v/>
      </c>
      <c r="S63" s="93" t="str">
        <f>IF($B63="","",IF(FinalSem1!#REF!="","",FinalSem1!#REF!*0.1))</f>
        <v/>
      </c>
      <c r="T63" s="92" t="str">
        <f t="shared" si="7"/>
        <v/>
      </c>
      <c r="U63" s="93" t="str">
        <f>IF($B63="","",IF(FinalSem1!#REF!="","",FinalSem1!#REF!*0.1))</f>
        <v/>
      </c>
      <c r="V63" s="92" t="str">
        <f t="shared" si="8"/>
        <v/>
      </c>
      <c r="W63" s="93" t="str">
        <f>IF($B63="","",IF(FinalSem1!#REF!="","",FinalSem1!#REF!*0.1))</f>
        <v/>
      </c>
      <c r="X63" s="92" t="str">
        <f t="shared" si="9"/>
        <v/>
      </c>
      <c r="Y63" s="93" t="str">
        <f>IF($B63="","",IF(FinalSem1!#REF!="","",FinalSem1!#REF!*0.1))</f>
        <v/>
      </c>
      <c r="Z63" s="92" t="str">
        <f t="shared" si="10"/>
        <v/>
      </c>
      <c r="AA63" s="93" t="str">
        <f>IF(ISERR(IF(B63="","",IF(F63="III",AVERAGE('[1]FINAL SEM1'!Y64:AA64)*0.1,IF(OR(F63="I",F63="II",F63="M",F63="A"),AVERAGE('[1]FINAL SEM1'!Y64:AA64)*0.1)))),"",IF(B63="","",IF(F63="III",AVERAGE('[1]FINAL SEM1'!Y64:AA64)*0.1,IF(OR(F63="I",F63="II",F63="M",F63="A"),AVERAGE('[1]FINAL SEM1'!Y64:AA64)*0.1))))</f>
        <v/>
      </c>
      <c r="AB63" s="92" t="str">
        <f t="shared" si="11"/>
        <v/>
      </c>
      <c r="AC63" s="94" t="str">
        <f t="shared" si="12"/>
        <v/>
      </c>
      <c r="AD63" s="95" t="str">
        <f t="shared" si="13"/>
        <v/>
      </c>
      <c r="AE63" s="96" t="str">
        <f t="shared" si="14"/>
        <v/>
      </c>
      <c r="AF63" s="95" t="str">
        <f>IF(ISERR(IF(B63="","",AVERAGE('Q1'!#REF!,'Q2'!CX53)*0.1)),"",IF(B63="","",AVERAGE('Q1'!#REF!,'Q2'!CX53)*0.1))</f>
        <v/>
      </c>
      <c r="AG63" s="102" t="str">
        <f t="shared" si="15"/>
        <v/>
      </c>
      <c r="AH63" s="97" t="str">
        <f t="shared" si="16"/>
        <v/>
      </c>
      <c r="AI63" s="91" t="str">
        <f>IF(ISERR(IF('[1]FINAL SEM2'!N64="","",'[1]FINAL SEM2'!N64*0.1)),"",IF($B63="","",IF('[1]FINAL SEM2'!N64="","",'[1]FINAL SEM2'!N64*0.1)))</f>
        <v/>
      </c>
      <c r="AJ63" s="92" t="str">
        <f t="shared" si="17"/>
        <v/>
      </c>
      <c r="AK63" s="93" t="str">
        <f>IF($B63="","",IF(FinalSem2!#REF!="","",FinalSem2!#REF!*0.1))</f>
        <v/>
      </c>
      <c r="AL63" s="92" t="str">
        <f t="shared" si="18"/>
        <v/>
      </c>
      <c r="AM63" s="93" t="str">
        <f>IF($B63="","",IF(FinalSem2!#REF!="","",FinalSem2!#REF!*0.1))</f>
        <v/>
      </c>
      <c r="AN63" s="92" t="str">
        <f t="shared" si="19"/>
        <v/>
      </c>
      <c r="AO63" s="93" t="str">
        <f>IF($B63="","",IF(FinalSem2!#REF!="","",FinalSem2!#REF!*0.1))</f>
        <v/>
      </c>
      <c r="AP63" s="92" t="str">
        <f t="shared" si="20"/>
        <v/>
      </c>
      <c r="AQ63" s="93" t="str">
        <f>IF($B63="","",IF(FinalSem2!#REF!="","",FinalSem2!#REF!*0.1))</f>
        <v/>
      </c>
      <c r="AR63" s="92" t="str">
        <f t="shared" si="21"/>
        <v/>
      </c>
      <c r="AS63" s="93" t="str">
        <f>IF($B63="","",IF(FinalSem2!#REF!="","",FinalSem2!#REF!*0.1))</f>
        <v/>
      </c>
      <c r="AT63" s="92" t="str">
        <f t="shared" si="22"/>
        <v/>
      </c>
      <c r="AU63" s="93" t="str">
        <f>IF($B63="","",IF(FinalSem2!#REF!="","",FinalSem2!#REF!*0.1))</f>
        <v/>
      </c>
      <c r="AV63" s="92" t="str">
        <f t="shared" si="23"/>
        <v/>
      </c>
      <c r="AW63" s="93" t="str">
        <f>IF($B63="","",IF(FinalSem2!#REF!="","",FinalSem2!#REF!*0.1))</f>
        <v/>
      </c>
      <c r="AX63" s="92" t="str">
        <f t="shared" si="24"/>
        <v/>
      </c>
      <c r="AY63" s="93" t="str">
        <f>IF($B63="","",IF(FinalSem2!#REF!="","",FinalSem2!#REF!*0.1))</f>
        <v/>
      </c>
      <c r="AZ63" s="92" t="str">
        <f t="shared" si="25"/>
        <v/>
      </c>
      <c r="BA63" s="93" t="str">
        <f>IF($B63="","",IF(FinalSem2!#REF!="","",FinalSem2!#REF!*0.1))</f>
        <v/>
      </c>
      <c r="BB63" s="92" t="str">
        <f t="shared" si="26"/>
        <v/>
      </c>
      <c r="BC63" s="93" t="str">
        <f>IF($B63="","",IF(FinalSem2!#REF!="","",FinalSem2!#REF!*0.1))</f>
        <v/>
      </c>
      <c r="BD63" s="92" t="str">
        <f t="shared" si="27"/>
        <v/>
      </c>
      <c r="BE63" s="94" t="str">
        <f t="shared" si="28"/>
        <v/>
      </c>
      <c r="BF63" s="95" t="str">
        <f t="shared" si="29"/>
        <v/>
      </c>
      <c r="BG63" s="96" t="str">
        <f t="shared" si="30"/>
        <v/>
      </c>
      <c r="BH63" s="95" t="str">
        <f>IF(ISERR(IF(B63="","",AVERAGE('Q3'!CX69,'Q4'!CX69)*0.1)),"",IF(B63="","",AVERAGE('Q3'!CX69,'Q4'!CX69)*0.1))</f>
        <v/>
      </c>
      <c r="BI63" s="102" t="str">
        <f t="shared" si="31"/>
        <v/>
      </c>
      <c r="BJ63" s="97" t="str">
        <f t="shared" si="32"/>
        <v/>
      </c>
      <c r="BK63" s="98" t="str">
        <f t="shared" si="33"/>
        <v/>
      </c>
      <c r="BL63" s="99" t="str">
        <f t="shared" si="34"/>
        <v/>
      </c>
      <c r="BM63" s="100" t="str">
        <f t="shared" si="35"/>
        <v/>
      </c>
      <c r="BN63" s="99" t="str">
        <f t="shared" si="36"/>
        <v/>
      </c>
      <c r="BO63" s="100" t="str">
        <f t="shared" si="37"/>
        <v/>
      </c>
      <c r="BP63" s="99" t="str">
        <f t="shared" si="38"/>
        <v/>
      </c>
      <c r="BQ63" s="100" t="str">
        <f t="shared" si="39"/>
        <v/>
      </c>
      <c r="BR63" s="99" t="str">
        <f t="shared" si="40"/>
        <v/>
      </c>
      <c r="BS63" s="100" t="str">
        <f t="shared" si="41"/>
        <v/>
      </c>
      <c r="BT63" s="99" t="str">
        <f t="shared" si="42"/>
        <v/>
      </c>
      <c r="BU63" s="100" t="str">
        <f t="shared" si="43"/>
        <v/>
      </c>
      <c r="BV63" s="99" t="str">
        <f t="shared" si="44"/>
        <v/>
      </c>
      <c r="BW63" s="100" t="str">
        <f t="shared" si="45"/>
        <v/>
      </c>
      <c r="BX63" s="99" t="str">
        <f t="shared" si="46"/>
        <v/>
      </c>
      <c r="BY63" s="100" t="str">
        <f t="shared" si="47"/>
        <v/>
      </c>
      <c r="BZ63" s="99" t="str">
        <f t="shared" si="48"/>
        <v/>
      </c>
      <c r="CA63" s="101" t="str">
        <f>IF(B63="","",SUM(#REF!))</f>
        <v/>
      </c>
    </row>
    <row r="64" spans="1:79" ht="15.5" x14ac:dyDescent="0.35">
      <c r="A64" s="90" t="str">
        <f>IF('Q4'!A70="","",'Q4'!A70)</f>
        <v/>
      </c>
      <c r="B64" s="90" t="str">
        <f>IF('Q3'!B70="","",'Q3'!B70)</f>
        <v/>
      </c>
      <c r="C64" s="90" t="str">
        <f>IF('Q3'!C70="","",'Q3'!C70)</f>
        <v/>
      </c>
      <c r="D64" s="90" t="str">
        <f>IF('Q3'!D70="","",'Q3'!D70)</f>
        <v/>
      </c>
      <c r="E64" s="90" t="str">
        <f>IF('Q3'!E70="","",'Q3'!E70)</f>
        <v/>
      </c>
      <c r="F64" s="90" t="str">
        <f>IF('Q3'!F70="","",'Q3'!F70)</f>
        <v/>
      </c>
      <c r="G64" s="91" t="str">
        <f>IF($B64="","",IF(FinalSem1!#REF!="","",FinalSem1!#REF!*0.1))</f>
        <v/>
      </c>
      <c r="H64" s="92" t="str">
        <f t="shared" si="1"/>
        <v/>
      </c>
      <c r="I64" s="91" t="str">
        <f>IF($B64="","",IF(FinalSem1!#REF!="","",FinalSem1!#REF!*0.1))</f>
        <v/>
      </c>
      <c r="J64" s="92" t="str">
        <f t="shared" si="2"/>
        <v/>
      </c>
      <c r="K64" s="93" t="str">
        <f>IF($B64="","",IF(FinalSem1!#REF!="","",FinalSem1!#REF!*0.1))</f>
        <v/>
      </c>
      <c r="L64" s="92" t="str">
        <f t="shared" si="3"/>
        <v/>
      </c>
      <c r="M64" s="93" t="str">
        <f>IF($B64="","",IF(FinalSem1!#REF!="","",FinalSem1!#REF!*0.1))</f>
        <v/>
      </c>
      <c r="N64" s="92" t="str">
        <f t="shared" si="4"/>
        <v/>
      </c>
      <c r="O64" s="93" t="str">
        <f>IF($B64="","",IF(FinalSem1!#REF!="","",FinalSem1!#REF!*0.1))</f>
        <v/>
      </c>
      <c r="P64" s="92" t="str">
        <f t="shared" si="5"/>
        <v/>
      </c>
      <c r="Q64" s="93" t="str">
        <f>IF($B64="","",IF(FinalSem1!#REF!="","",FinalSem1!#REF!*0.1))</f>
        <v/>
      </c>
      <c r="R64" s="92" t="str">
        <f t="shared" si="6"/>
        <v/>
      </c>
      <c r="S64" s="93" t="str">
        <f>IF($B64="","",IF(FinalSem1!#REF!="","",FinalSem1!#REF!*0.1))</f>
        <v/>
      </c>
      <c r="T64" s="92" t="str">
        <f t="shared" si="7"/>
        <v/>
      </c>
      <c r="U64" s="93" t="str">
        <f>IF($B64="","",IF(FinalSem1!#REF!="","",FinalSem1!#REF!*0.1))</f>
        <v/>
      </c>
      <c r="V64" s="92" t="str">
        <f t="shared" si="8"/>
        <v/>
      </c>
      <c r="W64" s="93" t="str">
        <f>IF($B64="","",IF(FinalSem1!#REF!="","",FinalSem1!#REF!*0.1))</f>
        <v/>
      </c>
      <c r="X64" s="92" t="str">
        <f t="shared" si="9"/>
        <v/>
      </c>
      <c r="Y64" s="93" t="str">
        <f>IF($B64="","",IF(FinalSem1!#REF!="","",FinalSem1!#REF!*0.1))</f>
        <v/>
      </c>
      <c r="Z64" s="92" t="str">
        <f t="shared" si="10"/>
        <v/>
      </c>
      <c r="AA64" s="93" t="str">
        <f>IF(ISERR(IF(B64="","",IF(F64="III",AVERAGE('[1]FINAL SEM1'!Y65:AA65)*0.1,IF(OR(F64="I",F64="II",F64="M",F64="A"),AVERAGE('[1]FINAL SEM1'!Y65:AA65)*0.1)))),"",IF(B64="","",IF(F64="III",AVERAGE('[1]FINAL SEM1'!Y65:AA65)*0.1,IF(OR(F64="I",F64="II",F64="M",F64="A"),AVERAGE('[1]FINAL SEM1'!Y65:AA65)*0.1))))</f>
        <v/>
      </c>
      <c r="AB64" s="92" t="str">
        <f t="shared" si="11"/>
        <v/>
      </c>
      <c r="AC64" s="94" t="str">
        <f t="shared" si="12"/>
        <v/>
      </c>
      <c r="AD64" s="95" t="str">
        <f t="shared" si="13"/>
        <v/>
      </c>
      <c r="AE64" s="96" t="str">
        <f t="shared" si="14"/>
        <v/>
      </c>
      <c r="AF64" s="95" t="str">
        <f>IF(ISERR(IF(B64="","",AVERAGE('Q1'!#REF!,'Q2'!CX54)*0.1)),"",IF(B64="","",AVERAGE('Q1'!#REF!,'Q2'!CX54)*0.1))</f>
        <v/>
      </c>
      <c r="AG64" s="102" t="str">
        <f t="shared" si="15"/>
        <v/>
      </c>
      <c r="AH64" s="97" t="str">
        <f t="shared" si="16"/>
        <v/>
      </c>
      <c r="AI64" s="91" t="str">
        <f>IF(ISERR(IF('[1]FINAL SEM2'!N65="","",'[1]FINAL SEM2'!N65*0.1)),"",IF($B64="","",IF('[1]FINAL SEM2'!N65="","",'[1]FINAL SEM2'!N65*0.1)))</f>
        <v/>
      </c>
      <c r="AJ64" s="92" t="str">
        <f t="shared" si="17"/>
        <v/>
      </c>
      <c r="AK64" s="93" t="str">
        <f>IF($B64="","",IF(FinalSem2!#REF!="","",FinalSem2!#REF!*0.1))</f>
        <v/>
      </c>
      <c r="AL64" s="92" t="str">
        <f t="shared" si="18"/>
        <v/>
      </c>
      <c r="AM64" s="93" t="str">
        <f>IF($B64="","",IF(FinalSem2!#REF!="","",FinalSem2!#REF!*0.1))</f>
        <v/>
      </c>
      <c r="AN64" s="92" t="str">
        <f t="shared" si="19"/>
        <v/>
      </c>
      <c r="AO64" s="93" t="str">
        <f>IF($B64="","",IF(FinalSem2!#REF!="","",FinalSem2!#REF!*0.1))</f>
        <v/>
      </c>
      <c r="AP64" s="92" t="str">
        <f t="shared" si="20"/>
        <v/>
      </c>
      <c r="AQ64" s="93" t="str">
        <f>IF($B64="","",IF(FinalSem2!#REF!="","",FinalSem2!#REF!*0.1))</f>
        <v/>
      </c>
      <c r="AR64" s="92" t="str">
        <f t="shared" si="21"/>
        <v/>
      </c>
      <c r="AS64" s="93" t="str">
        <f>IF($B64="","",IF(FinalSem2!#REF!="","",FinalSem2!#REF!*0.1))</f>
        <v/>
      </c>
      <c r="AT64" s="92" t="str">
        <f t="shared" si="22"/>
        <v/>
      </c>
      <c r="AU64" s="93" t="str">
        <f>IF($B64="","",IF(FinalSem2!#REF!="","",FinalSem2!#REF!*0.1))</f>
        <v/>
      </c>
      <c r="AV64" s="92" t="str">
        <f t="shared" si="23"/>
        <v/>
      </c>
      <c r="AW64" s="93" t="str">
        <f>IF($B64="","",IF(FinalSem2!#REF!="","",FinalSem2!#REF!*0.1))</f>
        <v/>
      </c>
      <c r="AX64" s="92" t="str">
        <f t="shared" si="24"/>
        <v/>
      </c>
      <c r="AY64" s="93" t="str">
        <f>IF($B64="","",IF(FinalSem2!#REF!="","",FinalSem2!#REF!*0.1))</f>
        <v/>
      </c>
      <c r="AZ64" s="92" t="str">
        <f t="shared" si="25"/>
        <v/>
      </c>
      <c r="BA64" s="93" t="str">
        <f>IF($B64="","",IF(FinalSem2!#REF!="","",FinalSem2!#REF!*0.1))</f>
        <v/>
      </c>
      <c r="BB64" s="92" t="str">
        <f t="shared" si="26"/>
        <v/>
      </c>
      <c r="BC64" s="93" t="str">
        <f>IF($B64="","",IF(FinalSem2!#REF!="","",FinalSem2!#REF!*0.1))</f>
        <v/>
      </c>
      <c r="BD64" s="92" t="str">
        <f t="shared" si="27"/>
        <v/>
      </c>
      <c r="BE64" s="94" t="str">
        <f t="shared" si="28"/>
        <v/>
      </c>
      <c r="BF64" s="95" t="str">
        <f t="shared" si="29"/>
        <v/>
      </c>
      <c r="BG64" s="96" t="str">
        <f t="shared" si="30"/>
        <v/>
      </c>
      <c r="BH64" s="95" t="str">
        <f>IF(ISERR(IF(B64="","",AVERAGE('Q3'!CX70,'Q4'!CX70)*0.1)),"",IF(B64="","",AVERAGE('Q3'!CX70,'Q4'!CX70)*0.1))</f>
        <v/>
      </c>
      <c r="BI64" s="102" t="str">
        <f t="shared" si="31"/>
        <v/>
      </c>
      <c r="BJ64" s="97" t="str">
        <f t="shared" si="32"/>
        <v/>
      </c>
      <c r="BK64" s="98" t="str">
        <f t="shared" si="33"/>
        <v/>
      </c>
      <c r="BL64" s="99" t="str">
        <f t="shared" si="34"/>
        <v/>
      </c>
      <c r="BM64" s="100" t="str">
        <f t="shared" si="35"/>
        <v/>
      </c>
      <c r="BN64" s="99" t="str">
        <f t="shared" si="36"/>
        <v/>
      </c>
      <c r="BO64" s="100" t="str">
        <f t="shared" si="37"/>
        <v/>
      </c>
      <c r="BP64" s="99" t="str">
        <f t="shared" si="38"/>
        <v/>
      </c>
      <c r="BQ64" s="100" t="str">
        <f t="shared" si="39"/>
        <v/>
      </c>
      <c r="BR64" s="99" t="str">
        <f t="shared" si="40"/>
        <v/>
      </c>
      <c r="BS64" s="100" t="str">
        <f t="shared" si="41"/>
        <v/>
      </c>
      <c r="BT64" s="99" t="str">
        <f t="shared" si="42"/>
        <v/>
      </c>
      <c r="BU64" s="100" t="str">
        <f t="shared" si="43"/>
        <v/>
      </c>
      <c r="BV64" s="99" t="str">
        <f t="shared" si="44"/>
        <v/>
      </c>
      <c r="BW64" s="100" t="str">
        <f t="shared" si="45"/>
        <v/>
      </c>
      <c r="BX64" s="99" t="str">
        <f t="shared" si="46"/>
        <v/>
      </c>
      <c r="BY64" s="100" t="str">
        <f t="shared" si="47"/>
        <v/>
      </c>
      <c r="BZ64" s="99" t="str">
        <f t="shared" si="48"/>
        <v/>
      </c>
      <c r="CA64" s="101" t="str">
        <f>IF(B64="","",SUM(#REF!))</f>
        <v/>
      </c>
    </row>
    <row r="65" spans="1:79" ht="15.5" x14ac:dyDescent="0.35">
      <c r="A65" s="90" t="str">
        <f>IF('Q4'!A71="","",'Q4'!A71)</f>
        <v/>
      </c>
      <c r="B65" s="90" t="str">
        <f>IF('Q3'!B71="","",'Q3'!B71)</f>
        <v/>
      </c>
      <c r="C65" s="90" t="str">
        <f>IF('Q3'!C71="","",'Q3'!C71)</f>
        <v/>
      </c>
      <c r="D65" s="90" t="str">
        <f>IF('Q3'!D71="","",'Q3'!D71)</f>
        <v/>
      </c>
      <c r="E65" s="90" t="str">
        <f>IF('Q3'!E71="","",'Q3'!E71)</f>
        <v/>
      </c>
      <c r="F65" s="90" t="str">
        <f>IF('Q3'!F71="","",'Q3'!F71)</f>
        <v/>
      </c>
      <c r="G65" s="91" t="str">
        <f>IF($B65="","",IF(FinalSem1!#REF!="","",FinalSem1!#REF!*0.1))</f>
        <v/>
      </c>
      <c r="H65" s="92" t="str">
        <f t="shared" si="1"/>
        <v/>
      </c>
      <c r="I65" s="91" t="str">
        <f>IF($B65="","",IF(FinalSem1!#REF!="","",FinalSem1!#REF!*0.1))</f>
        <v/>
      </c>
      <c r="J65" s="92" t="str">
        <f t="shared" si="2"/>
        <v/>
      </c>
      <c r="K65" s="93" t="str">
        <f>IF($B65="","",IF(FinalSem1!#REF!="","",FinalSem1!#REF!*0.1))</f>
        <v/>
      </c>
      <c r="L65" s="92" t="str">
        <f t="shared" si="3"/>
        <v/>
      </c>
      <c r="M65" s="93" t="str">
        <f>IF($B65="","",IF(FinalSem1!#REF!="","",FinalSem1!#REF!*0.1))</f>
        <v/>
      </c>
      <c r="N65" s="92" t="str">
        <f t="shared" si="4"/>
        <v/>
      </c>
      <c r="O65" s="93" t="str">
        <f>IF($B65="","",IF(FinalSem1!#REF!="","",FinalSem1!#REF!*0.1))</f>
        <v/>
      </c>
      <c r="P65" s="92" t="str">
        <f t="shared" si="5"/>
        <v/>
      </c>
      <c r="Q65" s="93" t="str">
        <f>IF($B65="","",IF(FinalSem1!#REF!="","",FinalSem1!#REF!*0.1))</f>
        <v/>
      </c>
      <c r="R65" s="92" t="str">
        <f t="shared" si="6"/>
        <v/>
      </c>
      <c r="S65" s="93" t="str">
        <f>IF($B65="","",IF(FinalSem1!#REF!="","",FinalSem1!#REF!*0.1))</f>
        <v/>
      </c>
      <c r="T65" s="92" t="str">
        <f t="shared" si="7"/>
        <v/>
      </c>
      <c r="U65" s="93" t="str">
        <f>IF($B65="","",IF(FinalSem1!#REF!="","",FinalSem1!#REF!*0.1))</f>
        <v/>
      </c>
      <c r="V65" s="92" t="str">
        <f t="shared" si="8"/>
        <v/>
      </c>
      <c r="W65" s="93" t="str">
        <f>IF($B65="","",IF(FinalSem1!#REF!="","",FinalSem1!#REF!*0.1))</f>
        <v/>
      </c>
      <c r="X65" s="92" t="str">
        <f t="shared" si="9"/>
        <v/>
      </c>
      <c r="Y65" s="93" t="str">
        <f>IF($B65="","",IF(FinalSem1!#REF!="","",FinalSem1!#REF!*0.1))</f>
        <v/>
      </c>
      <c r="Z65" s="92" t="str">
        <f t="shared" si="10"/>
        <v/>
      </c>
      <c r="AA65" s="93" t="str">
        <f>IF(ISERR(IF(B65="","",IF(F65="III",AVERAGE('[1]FINAL SEM1'!Y66:AA66)*0.1,IF(OR(F65="I",F65="II",F65="M",F65="A"),AVERAGE('[1]FINAL SEM1'!Y66:AA66)*0.1)))),"",IF(B65="","",IF(F65="III",AVERAGE('[1]FINAL SEM1'!Y66:AA66)*0.1,IF(OR(F65="I",F65="II",F65="M",F65="A"),AVERAGE('[1]FINAL SEM1'!Y66:AA66)*0.1))))</f>
        <v/>
      </c>
      <c r="AB65" s="92" t="str">
        <f t="shared" si="11"/>
        <v/>
      </c>
      <c r="AC65" s="94" t="str">
        <f t="shared" si="12"/>
        <v/>
      </c>
      <c r="AD65" s="95" t="str">
        <f t="shared" si="13"/>
        <v/>
      </c>
      <c r="AE65" s="96" t="str">
        <f t="shared" si="14"/>
        <v/>
      </c>
      <c r="AF65" s="95" t="str">
        <f>IF(ISERR(IF(B65="","",AVERAGE('Q1'!#REF!,'Q2'!CX55)*0.1)),"",IF(B65="","",AVERAGE('Q1'!#REF!,'Q2'!CX55)*0.1))</f>
        <v/>
      </c>
      <c r="AG65" s="102" t="str">
        <f t="shared" si="15"/>
        <v/>
      </c>
      <c r="AH65" s="97" t="str">
        <f t="shared" si="16"/>
        <v/>
      </c>
      <c r="AI65" s="91" t="str">
        <f>IF(ISERR(IF('[1]FINAL SEM2'!N66="","",'[1]FINAL SEM2'!N66*0.1)),"",IF($B65="","",IF('[1]FINAL SEM2'!N66="","",'[1]FINAL SEM2'!N66*0.1)))</f>
        <v/>
      </c>
      <c r="AJ65" s="92" t="str">
        <f t="shared" si="17"/>
        <v/>
      </c>
      <c r="AK65" s="93" t="str">
        <f>IF($B65="","",IF(FinalSem2!#REF!="","",FinalSem2!#REF!*0.1))</f>
        <v/>
      </c>
      <c r="AL65" s="92" t="str">
        <f t="shared" si="18"/>
        <v/>
      </c>
      <c r="AM65" s="93" t="str">
        <f>IF($B65="","",IF(FinalSem2!#REF!="","",FinalSem2!#REF!*0.1))</f>
        <v/>
      </c>
      <c r="AN65" s="92" t="str">
        <f t="shared" si="19"/>
        <v/>
      </c>
      <c r="AO65" s="93" t="str">
        <f>IF($B65="","",IF(FinalSem2!#REF!="","",FinalSem2!#REF!*0.1))</f>
        <v/>
      </c>
      <c r="AP65" s="92" t="str">
        <f t="shared" si="20"/>
        <v/>
      </c>
      <c r="AQ65" s="93" t="str">
        <f>IF($B65="","",IF(FinalSem2!#REF!="","",FinalSem2!#REF!*0.1))</f>
        <v/>
      </c>
      <c r="AR65" s="92" t="str">
        <f t="shared" si="21"/>
        <v/>
      </c>
      <c r="AS65" s="93" t="str">
        <f>IF($B65="","",IF(FinalSem2!#REF!="","",FinalSem2!#REF!*0.1))</f>
        <v/>
      </c>
      <c r="AT65" s="92" t="str">
        <f t="shared" si="22"/>
        <v/>
      </c>
      <c r="AU65" s="93" t="str">
        <f>IF($B65="","",IF(FinalSem2!#REF!="","",FinalSem2!#REF!*0.1))</f>
        <v/>
      </c>
      <c r="AV65" s="92" t="str">
        <f t="shared" si="23"/>
        <v/>
      </c>
      <c r="AW65" s="93" t="str">
        <f>IF($B65="","",IF(FinalSem2!#REF!="","",FinalSem2!#REF!*0.1))</f>
        <v/>
      </c>
      <c r="AX65" s="92" t="str">
        <f t="shared" si="24"/>
        <v/>
      </c>
      <c r="AY65" s="93" t="str">
        <f>IF($B65="","",IF(FinalSem2!#REF!="","",FinalSem2!#REF!*0.1))</f>
        <v/>
      </c>
      <c r="AZ65" s="92" t="str">
        <f t="shared" si="25"/>
        <v/>
      </c>
      <c r="BA65" s="93" t="str">
        <f>IF($B65="","",IF(FinalSem2!#REF!="","",FinalSem2!#REF!*0.1))</f>
        <v/>
      </c>
      <c r="BB65" s="92" t="str">
        <f t="shared" si="26"/>
        <v/>
      </c>
      <c r="BC65" s="93" t="str">
        <f>IF($B65="","",IF(FinalSem2!#REF!="","",FinalSem2!#REF!*0.1))</f>
        <v/>
      </c>
      <c r="BD65" s="92" t="str">
        <f t="shared" si="27"/>
        <v/>
      </c>
      <c r="BE65" s="94" t="str">
        <f t="shared" si="28"/>
        <v/>
      </c>
      <c r="BF65" s="95" t="str">
        <f t="shared" si="29"/>
        <v/>
      </c>
      <c r="BG65" s="96" t="str">
        <f t="shared" si="30"/>
        <v/>
      </c>
      <c r="BH65" s="95" t="str">
        <f>IF(ISERR(IF(B65="","",AVERAGE('Q3'!CX71,'Q4'!CX71)*0.1)),"",IF(B65="","",AVERAGE('Q3'!CX71,'Q4'!CX71)*0.1))</f>
        <v/>
      </c>
      <c r="BI65" s="102" t="str">
        <f t="shared" si="31"/>
        <v/>
      </c>
      <c r="BJ65" s="97" t="str">
        <f t="shared" si="32"/>
        <v/>
      </c>
      <c r="BK65" s="98" t="str">
        <f t="shared" si="33"/>
        <v/>
      </c>
      <c r="BL65" s="99" t="str">
        <f t="shared" si="34"/>
        <v/>
      </c>
      <c r="BM65" s="100" t="str">
        <f t="shared" si="35"/>
        <v/>
      </c>
      <c r="BN65" s="99" t="str">
        <f t="shared" si="36"/>
        <v/>
      </c>
      <c r="BO65" s="100" t="str">
        <f t="shared" si="37"/>
        <v/>
      </c>
      <c r="BP65" s="99" t="str">
        <f t="shared" si="38"/>
        <v/>
      </c>
      <c r="BQ65" s="100" t="str">
        <f t="shared" si="39"/>
        <v/>
      </c>
      <c r="BR65" s="99" t="str">
        <f t="shared" si="40"/>
        <v/>
      </c>
      <c r="BS65" s="100" t="str">
        <f t="shared" si="41"/>
        <v/>
      </c>
      <c r="BT65" s="99" t="str">
        <f t="shared" si="42"/>
        <v/>
      </c>
      <c r="BU65" s="100" t="str">
        <f t="shared" si="43"/>
        <v/>
      </c>
      <c r="BV65" s="99" t="str">
        <f t="shared" si="44"/>
        <v/>
      </c>
      <c r="BW65" s="100" t="str">
        <f t="shared" si="45"/>
        <v/>
      </c>
      <c r="BX65" s="99" t="str">
        <f t="shared" si="46"/>
        <v/>
      </c>
      <c r="BY65" s="100" t="str">
        <f t="shared" si="47"/>
        <v/>
      </c>
      <c r="BZ65" s="99" t="str">
        <f t="shared" si="48"/>
        <v/>
      </c>
      <c r="CA65" s="101" t="str">
        <f>IF(B65="","",SUM(#REF!))</f>
        <v/>
      </c>
    </row>
    <row r="66" spans="1:79" ht="15.5" x14ac:dyDescent="0.35">
      <c r="A66" s="90" t="str">
        <f>IF('Q4'!A72="","",'Q4'!A72)</f>
        <v/>
      </c>
      <c r="B66" s="90" t="str">
        <f>IF('Q3'!B72="","",'Q3'!B72)</f>
        <v/>
      </c>
      <c r="C66" s="90" t="str">
        <f>IF('Q3'!C72="","",'Q3'!C72)</f>
        <v/>
      </c>
      <c r="D66" s="90" t="str">
        <f>IF('Q3'!D72="","",'Q3'!D72)</f>
        <v/>
      </c>
      <c r="E66" s="90" t="str">
        <f>IF('Q3'!E72="","",'Q3'!E72)</f>
        <v/>
      </c>
      <c r="F66" s="90" t="str">
        <f>IF('Q3'!F72="","",'Q3'!F72)</f>
        <v/>
      </c>
      <c r="G66" s="91" t="str">
        <f>IF($B66="","",IF(FinalSem1!#REF!="","",FinalSem1!#REF!*0.1))</f>
        <v/>
      </c>
      <c r="H66" s="92" t="str">
        <f t="shared" si="1"/>
        <v/>
      </c>
      <c r="I66" s="91" t="str">
        <f>IF($B66="","",IF(FinalSem1!#REF!="","",FinalSem1!#REF!*0.1))</f>
        <v/>
      </c>
      <c r="J66" s="92" t="str">
        <f t="shared" si="2"/>
        <v/>
      </c>
      <c r="K66" s="93" t="str">
        <f>IF($B66="","",IF(FinalSem1!#REF!="","",FinalSem1!#REF!*0.1))</f>
        <v/>
      </c>
      <c r="L66" s="92" t="str">
        <f t="shared" si="3"/>
        <v/>
      </c>
      <c r="M66" s="93" t="str">
        <f>IF($B66="","",IF(FinalSem1!#REF!="","",FinalSem1!#REF!*0.1))</f>
        <v/>
      </c>
      <c r="N66" s="92" t="str">
        <f t="shared" si="4"/>
        <v/>
      </c>
      <c r="O66" s="93" t="str">
        <f>IF($B66="","",IF(FinalSem1!#REF!="","",FinalSem1!#REF!*0.1))</f>
        <v/>
      </c>
      <c r="P66" s="92" t="str">
        <f t="shared" si="5"/>
        <v/>
      </c>
      <c r="Q66" s="93" t="str">
        <f>IF($B66="","",IF(FinalSem1!#REF!="","",FinalSem1!#REF!*0.1))</f>
        <v/>
      </c>
      <c r="R66" s="92" t="str">
        <f t="shared" si="6"/>
        <v/>
      </c>
      <c r="S66" s="93" t="str">
        <f>IF($B66="","",IF(FinalSem1!#REF!="","",FinalSem1!#REF!*0.1))</f>
        <v/>
      </c>
      <c r="T66" s="92" t="str">
        <f t="shared" si="7"/>
        <v/>
      </c>
      <c r="U66" s="93" t="str">
        <f>IF($B66="","",IF(FinalSem1!#REF!="","",FinalSem1!#REF!*0.1))</f>
        <v/>
      </c>
      <c r="V66" s="92" t="str">
        <f t="shared" si="8"/>
        <v/>
      </c>
      <c r="W66" s="93" t="str">
        <f>IF($B66="","",IF(FinalSem1!#REF!="","",FinalSem1!#REF!*0.1))</f>
        <v/>
      </c>
      <c r="X66" s="92" t="str">
        <f t="shared" si="9"/>
        <v/>
      </c>
      <c r="Y66" s="93" t="str">
        <f>IF($B66="","",IF(FinalSem1!#REF!="","",FinalSem1!#REF!*0.1))</f>
        <v/>
      </c>
      <c r="Z66" s="92" t="str">
        <f t="shared" si="10"/>
        <v/>
      </c>
      <c r="AA66" s="93" t="str">
        <f>IF(ISERR(IF(B66="","",IF(F66="III",AVERAGE('[1]FINAL SEM1'!Y67:AA67)*0.1,IF(OR(F66="I",F66="II",F66="M",F66="A"),AVERAGE('[1]FINAL SEM1'!Y67:AA67)*0.1)))),"",IF(B66="","",IF(F66="III",AVERAGE('[1]FINAL SEM1'!Y67:AA67)*0.1,IF(OR(F66="I",F66="II",F66="M",F66="A"),AVERAGE('[1]FINAL SEM1'!Y67:AA67)*0.1))))</f>
        <v/>
      </c>
      <c r="AB66" s="92" t="str">
        <f t="shared" si="11"/>
        <v/>
      </c>
      <c r="AC66" s="94" t="str">
        <f t="shared" si="12"/>
        <v/>
      </c>
      <c r="AD66" s="95" t="str">
        <f t="shared" si="13"/>
        <v/>
      </c>
      <c r="AE66" s="96" t="str">
        <f t="shared" si="14"/>
        <v/>
      </c>
      <c r="AF66" s="95" t="str">
        <f>IF(ISERR(IF(B66="","",AVERAGE('Q1'!#REF!,'Q2'!CX56)*0.1)),"",IF(B66="","",AVERAGE('Q1'!#REF!,'Q2'!CX56)*0.1))</f>
        <v/>
      </c>
      <c r="AG66" s="102" t="str">
        <f t="shared" si="15"/>
        <v/>
      </c>
      <c r="AH66" s="97" t="str">
        <f t="shared" si="16"/>
        <v/>
      </c>
      <c r="AI66" s="91" t="str">
        <f>IF(ISERR(IF('[1]FINAL SEM2'!N67="","",'[1]FINAL SEM2'!N67*0.1)),"",IF($B66="","",IF('[1]FINAL SEM2'!N67="","",'[1]FINAL SEM2'!N67*0.1)))</f>
        <v/>
      </c>
      <c r="AJ66" s="92" t="str">
        <f t="shared" si="17"/>
        <v/>
      </c>
      <c r="AK66" s="93" t="str">
        <f>IF($B66="","",IF(FinalSem2!#REF!="","",FinalSem2!#REF!*0.1))</f>
        <v/>
      </c>
      <c r="AL66" s="92" t="str">
        <f t="shared" si="18"/>
        <v/>
      </c>
      <c r="AM66" s="93" t="str">
        <f>IF($B66="","",IF(FinalSem2!#REF!="","",FinalSem2!#REF!*0.1))</f>
        <v/>
      </c>
      <c r="AN66" s="92" t="str">
        <f t="shared" si="19"/>
        <v/>
      </c>
      <c r="AO66" s="93" t="str">
        <f>IF($B66="","",IF(FinalSem2!#REF!="","",FinalSem2!#REF!*0.1))</f>
        <v/>
      </c>
      <c r="AP66" s="92" t="str">
        <f t="shared" si="20"/>
        <v/>
      </c>
      <c r="AQ66" s="93" t="str">
        <f>IF($B66="","",IF(FinalSem2!#REF!="","",FinalSem2!#REF!*0.1))</f>
        <v/>
      </c>
      <c r="AR66" s="92" t="str">
        <f t="shared" si="21"/>
        <v/>
      </c>
      <c r="AS66" s="93" t="str">
        <f>IF($B66="","",IF(FinalSem2!#REF!="","",FinalSem2!#REF!*0.1))</f>
        <v/>
      </c>
      <c r="AT66" s="92" t="str">
        <f t="shared" si="22"/>
        <v/>
      </c>
      <c r="AU66" s="93" t="str">
        <f>IF($B66="","",IF(FinalSem2!#REF!="","",FinalSem2!#REF!*0.1))</f>
        <v/>
      </c>
      <c r="AV66" s="92" t="str">
        <f t="shared" si="23"/>
        <v/>
      </c>
      <c r="AW66" s="93" t="str">
        <f>IF($B66="","",IF(FinalSem2!#REF!="","",FinalSem2!#REF!*0.1))</f>
        <v/>
      </c>
      <c r="AX66" s="92" t="str">
        <f t="shared" si="24"/>
        <v/>
      </c>
      <c r="AY66" s="93" t="str">
        <f>IF($B66="","",IF(FinalSem2!#REF!="","",FinalSem2!#REF!*0.1))</f>
        <v/>
      </c>
      <c r="AZ66" s="92" t="str">
        <f t="shared" si="25"/>
        <v/>
      </c>
      <c r="BA66" s="93" t="str">
        <f>IF($B66="","",IF(FinalSem2!#REF!="","",FinalSem2!#REF!*0.1))</f>
        <v/>
      </c>
      <c r="BB66" s="92" t="str">
        <f t="shared" si="26"/>
        <v/>
      </c>
      <c r="BC66" s="93" t="str">
        <f>IF($B66="","",IF(FinalSem2!#REF!="","",FinalSem2!#REF!*0.1))</f>
        <v/>
      </c>
      <c r="BD66" s="92" t="str">
        <f t="shared" si="27"/>
        <v/>
      </c>
      <c r="BE66" s="94" t="str">
        <f t="shared" si="28"/>
        <v/>
      </c>
      <c r="BF66" s="95" t="str">
        <f t="shared" si="29"/>
        <v/>
      </c>
      <c r="BG66" s="96" t="str">
        <f t="shared" si="30"/>
        <v/>
      </c>
      <c r="BH66" s="95" t="str">
        <f>IF(ISERR(IF(B66="","",AVERAGE('Q3'!CX72,'Q4'!CX72)*0.1)),"",IF(B66="","",AVERAGE('Q3'!CX72,'Q4'!CX72)*0.1))</f>
        <v/>
      </c>
      <c r="BI66" s="102" t="str">
        <f t="shared" si="31"/>
        <v/>
      </c>
      <c r="BJ66" s="97" t="str">
        <f t="shared" si="32"/>
        <v/>
      </c>
      <c r="BK66" s="98" t="str">
        <f t="shared" si="33"/>
        <v/>
      </c>
      <c r="BL66" s="99" t="str">
        <f t="shared" si="34"/>
        <v/>
      </c>
      <c r="BM66" s="100" t="str">
        <f t="shared" si="35"/>
        <v/>
      </c>
      <c r="BN66" s="99" t="str">
        <f t="shared" si="36"/>
        <v/>
      </c>
      <c r="BO66" s="100" t="str">
        <f t="shared" si="37"/>
        <v/>
      </c>
      <c r="BP66" s="99" t="str">
        <f t="shared" si="38"/>
        <v/>
      </c>
      <c r="BQ66" s="100" t="str">
        <f t="shared" si="39"/>
        <v/>
      </c>
      <c r="BR66" s="99" t="str">
        <f t="shared" si="40"/>
        <v/>
      </c>
      <c r="BS66" s="100" t="str">
        <f t="shared" si="41"/>
        <v/>
      </c>
      <c r="BT66" s="99" t="str">
        <f t="shared" si="42"/>
        <v/>
      </c>
      <c r="BU66" s="100" t="str">
        <f t="shared" si="43"/>
        <v/>
      </c>
      <c r="BV66" s="99" t="str">
        <f t="shared" si="44"/>
        <v/>
      </c>
      <c r="BW66" s="100" t="str">
        <f t="shared" si="45"/>
        <v/>
      </c>
      <c r="BX66" s="99" t="str">
        <f t="shared" si="46"/>
        <v/>
      </c>
      <c r="BY66" s="100" t="str">
        <f t="shared" si="47"/>
        <v/>
      </c>
      <c r="BZ66" s="99" t="str">
        <f t="shared" si="48"/>
        <v/>
      </c>
      <c r="CA66" s="101" t="str">
        <f>IF(B66="","",SUM(#REF!))</f>
        <v/>
      </c>
    </row>
    <row r="67" spans="1:79" ht="15.5" x14ac:dyDescent="0.35">
      <c r="A67" s="90" t="str">
        <f>IF('Q4'!A73="","",'Q4'!A73)</f>
        <v/>
      </c>
      <c r="B67" s="90" t="str">
        <f>IF('Q3'!B73="","",'Q3'!B73)</f>
        <v/>
      </c>
      <c r="C67" s="90" t="str">
        <f>IF('Q3'!C73="","",'Q3'!C73)</f>
        <v/>
      </c>
      <c r="D67" s="90" t="str">
        <f>IF('Q3'!D73="","",'Q3'!D73)</f>
        <v/>
      </c>
      <c r="E67" s="90" t="str">
        <f>IF('Q3'!E73="","",'Q3'!E73)</f>
        <v/>
      </c>
      <c r="F67" s="90" t="str">
        <f>IF('Q3'!F73="","",'Q3'!F73)</f>
        <v/>
      </c>
      <c r="G67" s="91" t="str">
        <f>IF($B67="","",IF(FinalSem1!#REF!="","",FinalSem1!#REF!*0.1))</f>
        <v/>
      </c>
      <c r="H67" s="92" t="str">
        <f t="shared" si="1"/>
        <v/>
      </c>
      <c r="I67" s="91" t="str">
        <f>IF($B67="","",IF(FinalSem1!#REF!="","",FinalSem1!#REF!*0.1))</f>
        <v/>
      </c>
      <c r="J67" s="92" t="str">
        <f t="shared" si="2"/>
        <v/>
      </c>
      <c r="K67" s="93" t="str">
        <f>IF($B67="","",IF(FinalSem1!#REF!="","",FinalSem1!#REF!*0.1))</f>
        <v/>
      </c>
      <c r="L67" s="92" t="str">
        <f t="shared" si="3"/>
        <v/>
      </c>
      <c r="M67" s="93" t="str">
        <f>IF($B67="","",IF(FinalSem1!#REF!="","",FinalSem1!#REF!*0.1))</f>
        <v/>
      </c>
      <c r="N67" s="92" t="str">
        <f t="shared" si="4"/>
        <v/>
      </c>
      <c r="O67" s="93" t="str">
        <f>IF($B67="","",IF(FinalSem1!#REF!="","",FinalSem1!#REF!*0.1))</f>
        <v/>
      </c>
      <c r="P67" s="92" t="str">
        <f t="shared" si="5"/>
        <v/>
      </c>
      <c r="Q67" s="93" t="str">
        <f>IF($B67="","",IF(FinalSem1!#REF!="","",FinalSem1!#REF!*0.1))</f>
        <v/>
      </c>
      <c r="R67" s="92" t="str">
        <f t="shared" si="6"/>
        <v/>
      </c>
      <c r="S67" s="93" t="str">
        <f>IF($B67="","",IF(FinalSem1!#REF!="","",FinalSem1!#REF!*0.1))</f>
        <v/>
      </c>
      <c r="T67" s="92" t="str">
        <f t="shared" si="7"/>
        <v/>
      </c>
      <c r="U67" s="93" t="str">
        <f>IF($B67="","",IF(FinalSem1!#REF!="","",FinalSem1!#REF!*0.1))</f>
        <v/>
      </c>
      <c r="V67" s="92" t="str">
        <f t="shared" si="8"/>
        <v/>
      </c>
      <c r="W67" s="93" t="str">
        <f>IF($B67="","",IF(FinalSem1!#REF!="","",FinalSem1!#REF!*0.1))</f>
        <v/>
      </c>
      <c r="X67" s="92" t="str">
        <f t="shared" si="9"/>
        <v/>
      </c>
      <c r="Y67" s="93" t="str">
        <f>IF($B67="","",IF(FinalSem1!#REF!="","",FinalSem1!#REF!*0.1))</f>
        <v/>
      </c>
      <c r="Z67" s="92" t="str">
        <f t="shared" si="10"/>
        <v/>
      </c>
      <c r="AA67" s="93" t="str">
        <f>IF(ISERR(IF(B67="","",IF(F67="III",AVERAGE('[1]FINAL SEM1'!Y68:AA68)*0.1,IF(OR(F67="I",F67="II",F67="M",F67="A"),AVERAGE('[1]FINAL SEM1'!Y68:AA68)*0.1)))),"",IF(B67="","",IF(F67="III",AVERAGE('[1]FINAL SEM1'!Y68:AA68)*0.1,IF(OR(F67="I",F67="II",F67="M",F67="A"),AVERAGE('[1]FINAL SEM1'!Y68:AA68)*0.1))))</f>
        <v/>
      </c>
      <c r="AB67" s="92" t="str">
        <f t="shared" si="11"/>
        <v/>
      </c>
      <c r="AC67" s="94" t="str">
        <f t="shared" si="12"/>
        <v/>
      </c>
      <c r="AD67" s="95" t="str">
        <f t="shared" si="13"/>
        <v/>
      </c>
      <c r="AE67" s="96" t="str">
        <f t="shared" si="14"/>
        <v/>
      </c>
      <c r="AF67" s="95" t="str">
        <f>IF(ISERR(IF(B67="","",AVERAGE('Q1'!#REF!,'Q2'!CX57)*0.1)),"",IF(B67="","",AVERAGE('Q1'!#REF!,'Q2'!CX57)*0.1))</f>
        <v/>
      </c>
      <c r="AG67" s="102" t="str">
        <f t="shared" si="15"/>
        <v/>
      </c>
      <c r="AH67" s="97" t="str">
        <f t="shared" si="16"/>
        <v/>
      </c>
      <c r="AI67" s="91" t="str">
        <f>IF(ISERR(IF('[1]FINAL SEM2'!N68="","",'[1]FINAL SEM2'!N68*0.1)),"",IF($B67="","",IF('[1]FINAL SEM2'!N68="","",'[1]FINAL SEM2'!N68*0.1)))</f>
        <v/>
      </c>
      <c r="AJ67" s="92" t="str">
        <f t="shared" si="17"/>
        <v/>
      </c>
      <c r="AK67" s="93" t="str">
        <f>IF($B67="","",IF(FinalSem2!#REF!="","",FinalSem2!#REF!*0.1))</f>
        <v/>
      </c>
      <c r="AL67" s="92" t="str">
        <f t="shared" si="18"/>
        <v/>
      </c>
      <c r="AM67" s="93" t="str">
        <f>IF($B67="","",IF(FinalSem2!#REF!="","",FinalSem2!#REF!*0.1))</f>
        <v/>
      </c>
      <c r="AN67" s="92" t="str">
        <f t="shared" si="19"/>
        <v/>
      </c>
      <c r="AO67" s="93" t="str">
        <f>IF($B67="","",IF(FinalSem2!#REF!="","",FinalSem2!#REF!*0.1))</f>
        <v/>
      </c>
      <c r="AP67" s="92" t="str">
        <f t="shared" si="20"/>
        <v/>
      </c>
      <c r="AQ67" s="93" t="str">
        <f>IF($B67="","",IF(FinalSem2!#REF!="","",FinalSem2!#REF!*0.1))</f>
        <v/>
      </c>
      <c r="AR67" s="92" t="str">
        <f t="shared" si="21"/>
        <v/>
      </c>
      <c r="AS67" s="93" t="str">
        <f>IF($B67="","",IF(FinalSem2!#REF!="","",FinalSem2!#REF!*0.1))</f>
        <v/>
      </c>
      <c r="AT67" s="92" t="str">
        <f t="shared" si="22"/>
        <v/>
      </c>
      <c r="AU67" s="93" t="str">
        <f>IF($B67="","",IF(FinalSem2!#REF!="","",FinalSem2!#REF!*0.1))</f>
        <v/>
      </c>
      <c r="AV67" s="92" t="str">
        <f t="shared" si="23"/>
        <v/>
      </c>
      <c r="AW67" s="93" t="str">
        <f>IF($B67="","",IF(FinalSem2!#REF!="","",FinalSem2!#REF!*0.1))</f>
        <v/>
      </c>
      <c r="AX67" s="92" t="str">
        <f t="shared" si="24"/>
        <v/>
      </c>
      <c r="AY67" s="93" t="str">
        <f>IF($B67="","",IF(FinalSem2!#REF!="","",FinalSem2!#REF!*0.1))</f>
        <v/>
      </c>
      <c r="AZ67" s="92" t="str">
        <f t="shared" si="25"/>
        <v/>
      </c>
      <c r="BA67" s="93" t="str">
        <f>IF($B67="","",IF(FinalSem2!#REF!="","",FinalSem2!#REF!*0.1))</f>
        <v/>
      </c>
      <c r="BB67" s="92" t="str">
        <f t="shared" si="26"/>
        <v/>
      </c>
      <c r="BC67" s="93" t="str">
        <f>IF($B67="","",IF(FinalSem2!#REF!="","",FinalSem2!#REF!*0.1))</f>
        <v/>
      </c>
      <c r="BD67" s="92" t="str">
        <f t="shared" si="27"/>
        <v/>
      </c>
      <c r="BE67" s="94" t="str">
        <f t="shared" si="28"/>
        <v/>
      </c>
      <c r="BF67" s="95" t="str">
        <f t="shared" si="29"/>
        <v/>
      </c>
      <c r="BG67" s="96" t="str">
        <f t="shared" si="30"/>
        <v/>
      </c>
      <c r="BH67" s="95" t="str">
        <f>IF(ISERR(IF(B67="","",AVERAGE('Q3'!CX73,'Q4'!CX73)*0.1)),"",IF(B67="","",AVERAGE('Q3'!CX73,'Q4'!CX73)*0.1))</f>
        <v/>
      </c>
      <c r="BI67" s="102" t="str">
        <f t="shared" si="31"/>
        <v/>
      </c>
      <c r="BJ67" s="97" t="str">
        <f t="shared" si="32"/>
        <v/>
      </c>
      <c r="BK67" s="98" t="str">
        <f t="shared" si="33"/>
        <v/>
      </c>
      <c r="BL67" s="99" t="str">
        <f t="shared" si="34"/>
        <v/>
      </c>
      <c r="BM67" s="100" t="str">
        <f t="shared" si="35"/>
        <v/>
      </c>
      <c r="BN67" s="99" t="str">
        <f t="shared" si="36"/>
        <v/>
      </c>
      <c r="BO67" s="100" t="str">
        <f t="shared" si="37"/>
        <v/>
      </c>
      <c r="BP67" s="99" t="str">
        <f t="shared" si="38"/>
        <v/>
      </c>
      <c r="BQ67" s="100" t="str">
        <f t="shared" si="39"/>
        <v/>
      </c>
      <c r="BR67" s="99" t="str">
        <f t="shared" si="40"/>
        <v/>
      </c>
      <c r="BS67" s="100" t="str">
        <f t="shared" si="41"/>
        <v/>
      </c>
      <c r="BT67" s="99" t="str">
        <f t="shared" si="42"/>
        <v/>
      </c>
      <c r="BU67" s="100" t="str">
        <f t="shared" si="43"/>
        <v/>
      </c>
      <c r="BV67" s="99" t="str">
        <f t="shared" si="44"/>
        <v/>
      </c>
      <c r="BW67" s="100" t="str">
        <f t="shared" si="45"/>
        <v/>
      </c>
      <c r="BX67" s="99" t="str">
        <f t="shared" si="46"/>
        <v/>
      </c>
      <c r="BY67" s="100" t="str">
        <f t="shared" si="47"/>
        <v/>
      </c>
      <c r="BZ67" s="99" t="str">
        <f t="shared" si="48"/>
        <v/>
      </c>
      <c r="CA67" s="101" t="str">
        <f>IF(B67="","",SUM(#REF!))</f>
        <v/>
      </c>
    </row>
  </sheetData>
  <mergeCells count="33">
    <mergeCell ref="CA7:CA8"/>
    <mergeCell ref="G8:J8"/>
    <mergeCell ref="K8:N8"/>
    <mergeCell ref="O8:R8"/>
    <mergeCell ref="S8:V8"/>
    <mergeCell ref="W8:Z8"/>
    <mergeCell ref="AA8:AD8"/>
    <mergeCell ref="BW8:BZ8"/>
    <mergeCell ref="AE8:AH8"/>
    <mergeCell ref="AI8:AL8"/>
    <mergeCell ref="AM8:AP8"/>
    <mergeCell ref="AQ8:AT8"/>
    <mergeCell ref="AQ6:BZ6"/>
    <mergeCell ref="B6:B8"/>
    <mergeCell ref="C6:C8"/>
    <mergeCell ref="D6:D8"/>
    <mergeCell ref="E6:E8"/>
    <mergeCell ref="A6:A8"/>
    <mergeCell ref="AU8:AX8"/>
    <mergeCell ref="BS8:BV8"/>
    <mergeCell ref="A2:B2"/>
    <mergeCell ref="C2:D2"/>
    <mergeCell ref="A3:B3"/>
    <mergeCell ref="C3:D3"/>
    <mergeCell ref="A4:B4"/>
    <mergeCell ref="C4:D4"/>
    <mergeCell ref="AY8:BB8"/>
    <mergeCell ref="BC8:BF8"/>
    <mergeCell ref="BG8:BJ8"/>
    <mergeCell ref="BK8:BM8"/>
    <mergeCell ref="BO8:BR8"/>
    <mergeCell ref="F6:F8"/>
    <mergeCell ref="G6:AP6"/>
  </mergeCells>
  <conditionalFormatting sqref="AI9:AI67 BK22:BK67 BY22:BY67 G9:G67 BM22:BM67 BO22:BO67 BQ22:BQ67 BS22:BS67 BU22:BU67 BW22:BW67">
    <cfRule type="cellIs" dxfId="12" priority="2" stopIfTrue="1" operator="between">
      <formula>0.1</formula>
      <formula>4.99</formula>
    </cfRule>
  </conditionalFormatting>
  <conditionalFormatting sqref="AC9:AC67 BE22:BE67">
    <cfRule type="cellIs" dxfId="11" priority="3" stopIfTrue="1" operator="between">
      <formula>0.1</formula>
      <formula>49.99</formula>
    </cfRule>
  </conditionalFormatting>
  <conditionalFormatting sqref="I9:I67">
    <cfRule type="cellIs" dxfId="10" priority="1" stopIfTrue="1" operator="between">
      <formula>0.1</formula>
      <formula>4.99</formula>
    </cfRule>
  </conditionalFormatting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00B0F0"/>
  </sheetPr>
  <dimension ref="A1:DQ100"/>
  <sheetViews>
    <sheetView topLeftCell="A9" zoomScaleNormal="100" workbookViewId="0">
      <pane xSplit="3" ySplit="6" topLeftCell="D22" activePane="bottomRight" state="frozen"/>
      <selection activeCell="A9" sqref="A9"/>
      <selection pane="topRight" activeCell="D9" sqref="D9"/>
      <selection pane="bottomLeft" activeCell="A15" sqref="A15"/>
      <selection pane="bottomRight" activeCell="E15" sqref="E15:E27"/>
    </sheetView>
  </sheetViews>
  <sheetFormatPr defaultRowHeight="14.5" x14ac:dyDescent="0.35"/>
  <cols>
    <col min="2" max="2" width="23.81640625" customWidth="1"/>
    <col min="3" max="3" width="28.453125" customWidth="1"/>
    <col min="114" max="114" width="10.1796875" bestFit="1" customWidth="1"/>
    <col min="115" max="115" width="25.81640625" customWidth="1"/>
  </cols>
  <sheetData>
    <row r="1" spans="1:121" s="4" customFormat="1" x14ac:dyDescent="0.35"/>
    <row r="2" spans="1:121" s="4" customFormat="1" x14ac:dyDescent="0.35"/>
    <row r="3" spans="1:121" s="4" customFormat="1" x14ac:dyDescent="0.35"/>
    <row r="4" spans="1:121" s="4" customFormat="1" x14ac:dyDescent="0.35"/>
    <row r="5" spans="1:121" s="4" customFormat="1" x14ac:dyDescent="0.35"/>
    <row r="6" spans="1:121" s="4" customFormat="1" x14ac:dyDescent="0.35"/>
    <row r="7" spans="1:121" s="4" customFormat="1" x14ac:dyDescent="0.35"/>
    <row r="8" spans="1:121" s="4" customFormat="1" ht="20" x14ac:dyDescent="0.35">
      <c r="A8" s="281" t="s">
        <v>23</v>
      </c>
      <c r="B8" s="281"/>
      <c r="C8" s="15">
        <v>50</v>
      </c>
    </row>
    <row r="9" spans="1:121" s="4" customFormat="1" ht="20" x14ac:dyDescent="0.35">
      <c r="A9" s="281" t="s">
        <v>32</v>
      </c>
      <c r="B9" s="281"/>
      <c r="C9" s="15"/>
      <c r="D9" s="5"/>
    </row>
    <row r="10" spans="1:121" s="4" customFormat="1" ht="20" x14ac:dyDescent="0.35">
      <c r="A10" s="283" t="s">
        <v>47</v>
      </c>
      <c r="B10" s="284"/>
      <c r="C10" s="15"/>
      <c r="D10" s="5"/>
    </row>
    <row r="11" spans="1:121" s="4" customFormat="1" ht="20.25" customHeight="1" thickBot="1" x14ac:dyDescent="0.4">
      <c r="A11" s="241" t="s">
        <v>46</v>
      </c>
      <c r="B11" s="242"/>
      <c r="C11" s="16" t="s">
        <v>53</v>
      </c>
      <c r="D11" s="6"/>
      <c r="BL11" s="282"/>
      <c r="BM11" s="282"/>
      <c r="BN11" s="282"/>
      <c r="BO11" s="282"/>
      <c r="BP11" s="282"/>
      <c r="BQ11" s="282"/>
      <c r="BR11" s="282"/>
      <c r="BS11" s="31"/>
      <c r="BT11" s="31"/>
      <c r="BU11" s="31"/>
      <c r="BV11" s="31"/>
      <c r="BW11" s="31"/>
      <c r="BX11" s="31"/>
      <c r="BY11" s="31"/>
      <c r="BZ11" s="31"/>
      <c r="CA11" s="31"/>
    </row>
    <row r="12" spans="1:121" ht="18" customHeight="1" thickBot="1" x14ac:dyDescent="0.4">
      <c r="A12" s="237"/>
      <c r="B12" s="237"/>
      <c r="C12" s="237"/>
      <c r="D12" s="237"/>
      <c r="E12" s="237"/>
      <c r="F12" s="237"/>
      <c r="G12" s="245" t="s">
        <v>57</v>
      </c>
      <c r="H12" s="245"/>
      <c r="I12" s="245"/>
      <c r="J12" s="245"/>
      <c r="K12" s="245"/>
      <c r="L12" s="245"/>
      <c r="M12" s="245"/>
      <c r="N12" s="245"/>
      <c r="O12" s="246"/>
      <c r="P12" s="186" t="s">
        <v>12</v>
      </c>
      <c r="Q12" s="186"/>
      <c r="R12" s="186"/>
      <c r="S12" s="186"/>
      <c r="T12" s="186"/>
      <c r="U12" s="186"/>
      <c r="V12" s="186"/>
      <c r="W12" s="293" t="s">
        <v>67</v>
      </c>
      <c r="X12" s="293"/>
      <c r="Y12" s="293"/>
      <c r="Z12" s="293"/>
      <c r="AA12" s="293"/>
      <c r="AB12" s="293"/>
      <c r="AC12" s="293"/>
      <c r="AD12" s="293"/>
      <c r="AE12" s="294"/>
      <c r="AF12" s="211" t="s">
        <v>68</v>
      </c>
      <c r="AG12" s="211"/>
      <c r="AH12" s="211"/>
      <c r="AI12" s="211"/>
      <c r="AJ12" s="211"/>
      <c r="AK12" s="211"/>
      <c r="AL12" s="211"/>
      <c r="AM12" s="172" t="s">
        <v>69</v>
      </c>
      <c r="AN12" s="172"/>
      <c r="AO12" s="172"/>
      <c r="AP12" s="172"/>
      <c r="AQ12" s="172"/>
      <c r="AR12" s="172"/>
      <c r="AS12" s="172"/>
      <c r="AT12" s="172"/>
      <c r="AU12" s="173"/>
      <c r="AV12" s="186" t="s">
        <v>70</v>
      </c>
      <c r="AW12" s="186"/>
      <c r="AX12" s="186"/>
      <c r="AY12" s="186"/>
      <c r="AZ12" s="186"/>
      <c r="BA12" s="186"/>
      <c r="BB12" s="186"/>
      <c r="BC12" s="176" t="s">
        <v>71</v>
      </c>
      <c r="BD12" s="177"/>
      <c r="BE12" s="177"/>
      <c r="BF12" s="177"/>
      <c r="BG12" s="177"/>
      <c r="BH12" s="177"/>
      <c r="BI12" s="177"/>
      <c r="BJ12" s="177"/>
      <c r="BK12" s="178"/>
      <c r="BL12" s="186" t="s">
        <v>78</v>
      </c>
      <c r="BM12" s="186"/>
      <c r="BN12" s="186"/>
      <c r="BO12" s="186"/>
      <c r="BP12" s="186"/>
      <c r="BQ12" s="186"/>
      <c r="BR12" s="186"/>
      <c r="BS12" s="221" t="s">
        <v>73</v>
      </c>
      <c r="BT12" s="221"/>
      <c r="BU12" s="221"/>
      <c r="BV12" s="221"/>
      <c r="BW12" s="221"/>
      <c r="BX12" s="221"/>
      <c r="BY12" s="221"/>
      <c r="BZ12" s="221"/>
      <c r="CA12" s="221"/>
      <c r="CB12" s="204" t="s">
        <v>79</v>
      </c>
      <c r="CC12" s="204"/>
      <c r="CD12" s="204"/>
      <c r="CE12" s="204"/>
      <c r="CF12" s="204"/>
      <c r="CG12" s="204"/>
      <c r="CH12" s="204"/>
      <c r="CI12" s="200" t="s">
        <v>75</v>
      </c>
      <c r="CJ12" s="201"/>
      <c r="CK12" s="201"/>
      <c r="CL12" s="201"/>
      <c r="CM12" s="201"/>
      <c r="CN12" s="202"/>
      <c r="CO12" s="298" t="s">
        <v>76</v>
      </c>
      <c r="CP12" s="298"/>
      <c r="CQ12" s="298"/>
      <c r="CR12" s="298"/>
      <c r="CS12" s="298"/>
      <c r="CT12" s="298"/>
      <c r="CU12" s="187" t="s">
        <v>30</v>
      </c>
      <c r="CV12" s="188"/>
      <c r="CW12" s="188"/>
      <c r="CX12" s="188"/>
      <c r="CY12" s="188"/>
      <c r="CZ12" s="188"/>
      <c r="DA12" s="188"/>
      <c r="DB12" s="188"/>
      <c r="DC12" s="188"/>
      <c r="DD12" s="189"/>
      <c r="DE12" s="263" t="s">
        <v>24</v>
      </c>
      <c r="DF12" s="263"/>
      <c r="DG12" s="263"/>
      <c r="DH12" s="263"/>
      <c r="DI12" s="263"/>
      <c r="DK12" s="247" t="s">
        <v>111</v>
      </c>
      <c r="DL12" s="247"/>
      <c r="DM12" s="247"/>
      <c r="DN12" s="247"/>
      <c r="DO12" s="247"/>
      <c r="DP12" s="247"/>
      <c r="DQ12" s="260" t="s">
        <v>112</v>
      </c>
    </row>
    <row r="13" spans="1:121" ht="126.75" customHeight="1" thickBot="1" x14ac:dyDescent="0.4">
      <c r="A13" s="238" t="s">
        <v>0</v>
      </c>
      <c r="B13" s="238" t="s">
        <v>1</v>
      </c>
      <c r="C13" s="238" t="s">
        <v>2</v>
      </c>
      <c r="D13" s="238" t="s">
        <v>3</v>
      </c>
      <c r="E13" s="238" t="s">
        <v>4</v>
      </c>
      <c r="F13" s="238" t="s">
        <v>5</v>
      </c>
      <c r="G13" s="213" t="s">
        <v>59</v>
      </c>
      <c r="H13" s="213" t="s">
        <v>66</v>
      </c>
      <c r="I13" s="213" t="s">
        <v>60</v>
      </c>
      <c r="J13" s="213" t="s">
        <v>114</v>
      </c>
      <c r="K13" s="215" t="s">
        <v>61</v>
      </c>
      <c r="L13" s="205" t="s">
        <v>102</v>
      </c>
      <c r="M13" s="207" t="s">
        <v>62</v>
      </c>
      <c r="N13" s="209" t="s">
        <v>63</v>
      </c>
      <c r="O13" s="209" t="s">
        <v>64</v>
      </c>
      <c r="P13" s="240" t="s">
        <v>6</v>
      </c>
      <c r="Q13" s="231" t="s">
        <v>50</v>
      </c>
      <c r="R13" s="231" t="s">
        <v>52</v>
      </c>
      <c r="S13" s="231" t="s">
        <v>54</v>
      </c>
      <c r="T13" s="231" t="s">
        <v>31</v>
      </c>
      <c r="U13" s="231" t="s">
        <v>51</v>
      </c>
      <c r="V13" s="235" t="s">
        <v>7</v>
      </c>
      <c r="W13" s="295" t="s">
        <v>59</v>
      </c>
      <c r="X13" s="295" t="s">
        <v>66</v>
      </c>
      <c r="Y13" s="295" t="s">
        <v>60</v>
      </c>
      <c r="Z13" s="213" t="s">
        <v>114</v>
      </c>
      <c r="AA13" s="297" t="s">
        <v>61</v>
      </c>
      <c r="AB13" s="287" t="s">
        <v>102</v>
      </c>
      <c r="AC13" s="289" t="s">
        <v>62</v>
      </c>
      <c r="AD13" s="291" t="s">
        <v>63</v>
      </c>
      <c r="AE13" s="291" t="s">
        <v>64</v>
      </c>
      <c r="AF13" s="339" t="s">
        <v>6</v>
      </c>
      <c r="AG13" s="197" t="s">
        <v>50</v>
      </c>
      <c r="AH13" s="197" t="s">
        <v>52</v>
      </c>
      <c r="AI13" s="197" t="s">
        <v>54</v>
      </c>
      <c r="AJ13" s="197" t="s">
        <v>31</v>
      </c>
      <c r="AK13" s="195" t="s">
        <v>51</v>
      </c>
      <c r="AL13" s="195" t="s">
        <v>7</v>
      </c>
      <c r="AM13" s="46" t="s">
        <v>59</v>
      </c>
      <c r="AN13" s="46" t="s">
        <v>66</v>
      </c>
      <c r="AO13" s="46" t="s">
        <v>60</v>
      </c>
      <c r="AP13" s="46" t="s">
        <v>118</v>
      </c>
      <c r="AQ13" s="46" t="s">
        <v>61</v>
      </c>
      <c r="AR13" s="46" t="s">
        <v>102</v>
      </c>
      <c r="AS13" s="46" t="s">
        <v>62</v>
      </c>
      <c r="AT13" s="46" t="s">
        <v>63</v>
      </c>
      <c r="AU13" s="46" t="s">
        <v>64</v>
      </c>
      <c r="AV13" s="11" t="s">
        <v>6</v>
      </c>
      <c r="AW13" s="12" t="s">
        <v>50</v>
      </c>
      <c r="AX13" s="12" t="s">
        <v>52</v>
      </c>
      <c r="AY13" s="12" t="s">
        <v>54</v>
      </c>
      <c r="AZ13" s="12" t="s">
        <v>31</v>
      </c>
      <c r="BA13" s="12" t="s">
        <v>51</v>
      </c>
      <c r="BB13" s="12" t="s">
        <v>7</v>
      </c>
      <c r="BC13" s="174" t="s">
        <v>59</v>
      </c>
      <c r="BD13" s="174" t="s">
        <v>66</v>
      </c>
      <c r="BE13" s="174" t="s">
        <v>60</v>
      </c>
      <c r="BF13" s="174" t="s">
        <v>118</v>
      </c>
      <c r="BG13" s="179" t="s">
        <v>61</v>
      </c>
      <c r="BH13" s="180" t="s">
        <v>102</v>
      </c>
      <c r="BI13" s="182" t="s">
        <v>62</v>
      </c>
      <c r="BJ13" s="184" t="s">
        <v>63</v>
      </c>
      <c r="BK13" s="184" t="s">
        <v>64</v>
      </c>
      <c r="BL13" s="220" t="s">
        <v>6</v>
      </c>
      <c r="BM13" s="193" t="s">
        <v>50</v>
      </c>
      <c r="BN13" s="193" t="s">
        <v>52</v>
      </c>
      <c r="BO13" s="193" t="s">
        <v>54</v>
      </c>
      <c r="BP13" s="193" t="s">
        <v>31</v>
      </c>
      <c r="BQ13" s="285" t="s">
        <v>51</v>
      </c>
      <c r="BR13" s="285" t="s">
        <v>7</v>
      </c>
      <c r="BS13" s="222" t="s">
        <v>59</v>
      </c>
      <c r="BT13" s="222" t="s">
        <v>66</v>
      </c>
      <c r="BU13" s="222" t="s">
        <v>60</v>
      </c>
      <c r="BV13" s="222" t="s">
        <v>118</v>
      </c>
      <c r="BW13" s="224" t="s">
        <v>61</v>
      </c>
      <c r="BX13" s="225" t="s">
        <v>102</v>
      </c>
      <c r="BY13" s="227" t="s">
        <v>62</v>
      </c>
      <c r="BZ13" s="229" t="s">
        <v>63</v>
      </c>
      <c r="CA13" s="229" t="s">
        <v>64</v>
      </c>
      <c r="CB13" s="240" t="s">
        <v>6</v>
      </c>
      <c r="CC13" s="231" t="s">
        <v>50</v>
      </c>
      <c r="CD13" s="231" t="s">
        <v>52</v>
      </c>
      <c r="CE13" s="231" t="s">
        <v>54</v>
      </c>
      <c r="CF13" s="231" t="s">
        <v>31</v>
      </c>
      <c r="CG13" s="231" t="s">
        <v>51</v>
      </c>
      <c r="CH13" s="235" t="s">
        <v>7</v>
      </c>
      <c r="CI13" s="170" t="s">
        <v>14</v>
      </c>
      <c r="CJ13" s="171" t="s">
        <v>15</v>
      </c>
      <c r="CK13" s="170" t="s">
        <v>16</v>
      </c>
      <c r="CL13" s="170" t="s">
        <v>49</v>
      </c>
      <c r="CM13" s="170" t="s">
        <v>48</v>
      </c>
      <c r="CN13" s="170" t="s">
        <v>19</v>
      </c>
      <c r="CO13" s="232" t="s">
        <v>14</v>
      </c>
      <c r="CP13" s="233" t="s">
        <v>15</v>
      </c>
      <c r="CQ13" s="232" t="s">
        <v>16</v>
      </c>
      <c r="CR13" s="232" t="s">
        <v>17</v>
      </c>
      <c r="CS13" s="232" t="s">
        <v>18</v>
      </c>
      <c r="CT13" s="232" t="s">
        <v>19</v>
      </c>
      <c r="CU13" s="55" t="s">
        <v>14</v>
      </c>
      <c r="CV13" s="51" t="s">
        <v>15</v>
      </c>
      <c r="CW13" s="51" t="s">
        <v>16</v>
      </c>
      <c r="CX13" s="51" t="s">
        <v>49</v>
      </c>
      <c r="CY13" s="51" t="s">
        <v>48</v>
      </c>
      <c r="CZ13" s="51" t="s">
        <v>19</v>
      </c>
      <c r="DA13" s="190" t="s">
        <v>20</v>
      </c>
      <c r="DB13" s="190" t="s">
        <v>21</v>
      </c>
      <c r="DC13" s="262" t="s">
        <v>22</v>
      </c>
      <c r="DD13" s="262" t="s">
        <v>23</v>
      </c>
      <c r="DE13" s="264" t="s">
        <v>25</v>
      </c>
      <c r="DF13" s="264" t="s">
        <v>26</v>
      </c>
      <c r="DG13" s="264" t="s">
        <v>27</v>
      </c>
      <c r="DH13" s="265" t="s">
        <v>28</v>
      </c>
      <c r="DI13" s="264" t="s">
        <v>29</v>
      </c>
      <c r="DK13" s="248" t="s">
        <v>1</v>
      </c>
      <c r="DL13" s="250" t="s">
        <v>113</v>
      </c>
      <c r="DM13" s="252" t="s">
        <v>8</v>
      </c>
      <c r="DN13" s="254" t="s">
        <v>9</v>
      </c>
      <c r="DO13" s="256" t="s">
        <v>10</v>
      </c>
      <c r="DP13" s="258" t="s">
        <v>11</v>
      </c>
      <c r="DQ13" s="260"/>
    </row>
    <row r="14" spans="1:121" ht="39.75" customHeight="1" x14ac:dyDescent="0.35">
      <c r="A14" s="238"/>
      <c r="B14" s="238"/>
      <c r="C14" s="238"/>
      <c r="D14" s="238"/>
      <c r="E14" s="238"/>
      <c r="F14" s="238"/>
      <c r="G14" s="214"/>
      <c r="H14" s="214"/>
      <c r="I14" s="214"/>
      <c r="J14" s="214"/>
      <c r="K14" s="215"/>
      <c r="L14" s="206"/>
      <c r="M14" s="208"/>
      <c r="N14" s="210"/>
      <c r="O14" s="210"/>
      <c r="P14" s="240"/>
      <c r="Q14" s="231"/>
      <c r="R14" s="231"/>
      <c r="S14" s="231"/>
      <c r="T14" s="231"/>
      <c r="U14" s="231"/>
      <c r="V14" s="286"/>
      <c r="W14" s="296"/>
      <c r="X14" s="296"/>
      <c r="Y14" s="296"/>
      <c r="Z14" s="214"/>
      <c r="AA14" s="297"/>
      <c r="AB14" s="288"/>
      <c r="AC14" s="290"/>
      <c r="AD14" s="292"/>
      <c r="AE14" s="292"/>
      <c r="AF14" s="340"/>
      <c r="AG14" s="198"/>
      <c r="AH14" s="198"/>
      <c r="AI14" s="198"/>
      <c r="AJ14" s="198"/>
      <c r="AK14" s="195"/>
      <c r="AL14" s="195"/>
      <c r="AM14" s="47">
        <v>2</v>
      </c>
      <c r="AN14" s="47">
        <v>2</v>
      </c>
      <c r="AO14" s="47">
        <v>3</v>
      </c>
      <c r="AP14" s="47">
        <v>1</v>
      </c>
      <c r="AQ14" s="47">
        <v>5</v>
      </c>
      <c r="AR14" s="47">
        <v>3</v>
      </c>
      <c r="AS14" s="47">
        <v>2</v>
      </c>
      <c r="AT14" s="47">
        <v>1</v>
      </c>
      <c r="AU14" s="47">
        <v>1</v>
      </c>
      <c r="AV14" s="2">
        <v>5</v>
      </c>
      <c r="AW14" s="2">
        <v>1</v>
      </c>
      <c r="AX14" s="2">
        <v>5</v>
      </c>
      <c r="AY14" s="2">
        <v>3</v>
      </c>
      <c r="AZ14" s="2">
        <v>2</v>
      </c>
      <c r="BA14" s="2">
        <v>2</v>
      </c>
      <c r="BB14" s="2">
        <v>2</v>
      </c>
      <c r="BC14" s="175"/>
      <c r="BD14" s="175"/>
      <c r="BE14" s="175"/>
      <c r="BF14" s="175"/>
      <c r="BG14" s="179"/>
      <c r="BH14" s="181"/>
      <c r="BI14" s="183"/>
      <c r="BJ14" s="185"/>
      <c r="BK14" s="185"/>
      <c r="BL14" s="220"/>
      <c r="BM14" s="193"/>
      <c r="BN14" s="193"/>
      <c r="BO14" s="193"/>
      <c r="BP14" s="193"/>
      <c r="BQ14" s="192"/>
      <c r="BR14" s="192"/>
      <c r="BS14" s="223"/>
      <c r="BT14" s="223"/>
      <c r="BU14" s="223"/>
      <c r="BV14" s="223"/>
      <c r="BW14" s="224"/>
      <c r="BX14" s="226"/>
      <c r="BY14" s="228"/>
      <c r="BZ14" s="230"/>
      <c r="CA14" s="230"/>
      <c r="CB14" s="240"/>
      <c r="CC14" s="231"/>
      <c r="CD14" s="231"/>
      <c r="CE14" s="231"/>
      <c r="CF14" s="231"/>
      <c r="CG14" s="231"/>
      <c r="CH14" s="286"/>
      <c r="CI14" s="170"/>
      <c r="CJ14" s="171"/>
      <c r="CK14" s="170"/>
      <c r="CL14" s="170"/>
      <c r="CM14" s="170"/>
      <c r="CN14" s="170"/>
      <c r="CO14" s="232"/>
      <c r="CP14" s="233"/>
      <c r="CQ14" s="232"/>
      <c r="CR14" s="232"/>
      <c r="CS14" s="232"/>
      <c r="CT14" s="232"/>
      <c r="CU14" s="169" t="s">
        <v>30</v>
      </c>
      <c r="CV14" s="169"/>
      <c r="CW14" s="169"/>
      <c r="CX14" s="169"/>
      <c r="CY14" s="169"/>
      <c r="CZ14" s="169"/>
      <c r="DA14" s="191"/>
      <c r="DB14" s="191"/>
      <c r="DC14" s="262"/>
      <c r="DD14" s="262"/>
      <c r="DE14" s="264"/>
      <c r="DF14" s="264"/>
      <c r="DG14" s="264"/>
      <c r="DH14" s="265"/>
      <c r="DI14" s="264"/>
      <c r="DK14" s="249"/>
      <c r="DL14" s="251"/>
      <c r="DM14" s="253"/>
      <c r="DN14" s="255"/>
      <c r="DO14" s="257"/>
      <c r="DP14" s="259"/>
      <c r="DQ14" s="261"/>
    </row>
    <row r="15" spans="1:121" ht="27" customHeight="1" x14ac:dyDescent="1.25">
      <c r="A15" s="24">
        <f>IF(B15="","",1)</f>
        <v>1</v>
      </c>
      <c r="B15" s="66" t="s">
        <v>212</v>
      </c>
      <c r="C15" s="67" t="s">
        <v>211</v>
      </c>
      <c r="D15" s="68" t="s">
        <v>125</v>
      </c>
      <c r="E15" s="154">
        <v>691</v>
      </c>
      <c r="F15" s="68" t="s">
        <v>237</v>
      </c>
      <c r="G15" s="7">
        <v>89</v>
      </c>
      <c r="H15" s="7">
        <v>89.6</v>
      </c>
      <c r="I15" s="7">
        <v>77.099999999999994</v>
      </c>
      <c r="J15" s="7">
        <v>83.666666666666671</v>
      </c>
      <c r="K15" s="7">
        <v>89.1</v>
      </c>
      <c r="L15" s="7">
        <v>86.2</v>
      </c>
      <c r="M15" s="7">
        <v>88.133333333333326</v>
      </c>
      <c r="N15" s="7">
        <v>97</v>
      </c>
      <c r="O15" s="7">
        <v>97</v>
      </c>
      <c r="P15" s="7">
        <v>79.773333333333341</v>
      </c>
      <c r="Q15" s="7">
        <v>79.773333333333341</v>
      </c>
      <c r="R15" s="7">
        <v>68.466666666666598</v>
      </c>
      <c r="S15" s="7">
        <v>55.53</v>
      </c>
      <c r="T15" s="7">
        <v>85.5</v>
      </c>
      <c r="U15" s="7">
        <v>99.666666666666671</v>
      </c>
      <c r="V15" s="7">
        <v>99.166666666666671</v>
      </c>
      <c r="W15" s="3" t="str">
        <f t="shared" ref="W15:W46" si="0">IF(G15="","",IF(G15&gt;=90,"A",IF(G15&gt;=80,"B",IF(G15&gt;=70,"C",IF(G15&gt;=60,"D",IF(G15&gt;=50,"E",IF(G15&gt;=0,"F","")))))))</f>
        <v>B</v>
      </c>
      <c r="X15" s="3" t="str">
        <f t="shared" ref="X15:X46" si="1">IF(H15="","",IF(H15&gt;=90,"A",IF(H15&gt;=80,"B",IF(H15&gt;=70,"C",IF(H15&gt;=60,"D",IF(H15&gt;=50,"E",IF(H15&gt;=0,"F","")))))))</f>
        <v>B</v>
      </c>
      <c r="Y15" s="3" t="str">
        <f t="shared" ref="Y15:Y46" si="2">IF(I15="","",IF(I15&gt;=90,"A",IF(I15&gt;=80,"B",IF(I15&gt;=70,"C",IF(I15&gt;=60,"D",IF(I15&gt;=50,"E",IF(I15&gt;=0,"F","")))))))</f>
        <v>C</v>
      </c>
      <c r="Z15" s="3" t="str">
        <f t="shared" ref="Z15:Z46" si="3">IF(J15="","",IF(J15&gt;=90,"A",IF(J15&gt;=80,"B",IF(J15&gt;=70,"C",IF(J15&gt;=60,"D",IF(J15&gt;=50,"E",IF(J15&gt;=0,"F","")))))))</f>
        <v>B</v>
      </c>
      <c r="AA15" s="3" t="str">
        <f t="shared" ref="AA15:AA46" si="4">IF(K15="","",IF(K15&gt;=90,"A",IF(K15&gt;=80,"B",IF(K15&gt;=70,"C",IF(K15&gt;=60,"D",IF(K15&gt;=50,"E",IF(K15&gt;=0,"F","")))))))</f>
        <v>B</v>
      </c>
      <c r="AB15" s="3" t="str">
        <f t="shared" ref="AB15:AB46" si="5">IF(L15="","",IF(L15&gt;=90,"A",IF(L15&gt;=80,"B",IF(L15&gt;=70,"C",IF(L15&gt;=60,"D",IF(L15&gt;=50,"E",IF(L15&gt;=0,"F","")))))))</f>
        <v>B</v>
      </c>
      <c r="AC15" s="3" t="str">
        <f t="shared" ref="AC15:AC46" si="6">IF(M15="","",IF(M15&gt;=90,"A",IF(M15&gt;=80,"B",IF(M15&gt;=70,"C",IF(M15&gt;=60,"D",IF(M15&gt;=50,"E",IF(M15&gt;=0,"F","")))))))</f>
        <v>B</v>
      </c>
      <c r="AD15" s="3" t="str">
        <f t="shared" ref="AD15:AD46" si="7">IF(N15="","",IF(N15&gt;=90,"A",IF(N15&gt;=80,"B",IF(N15&gt;=70,"C",IF(N15&gt;=60,"D",IF(N15&gt;=50,"E",IF(N15&gt;=0,"F","")))))))</f>
        <v>A</v>
      </c>
      <c r="AE15" s="3" t="str">
        <f t="shared" ref="AE15:AE46" si="8">IF(O15="","",IF(O15&gt;=90,"A",IF(O15&gt;=80,"B",IF(O15&gt;=70,"C",IF(O15&gt;=60,"D",IF(O15&gt;=50,"E",IF(O15&gt;=0,"F","")))))))</f>
        <v>A</v>
      </c>
      <c r="AF15" s="24" t="str">
        <f t="shared" ref="AF15:AF46" si="9">IF(P15="","",IF(P15&gt;=90,"A",IF(P15&gt;=80,"B",IF(P15&gt;=70,"C",IF(P15&gt;=60,"D",IF(P15&gt;=50,"E",IF(P15&gt;=0,"F","")))))))</f>
        <v>C</v>
      </c>
      <c r="AG15" s="24" t="str">
        <f t="shared" ref="AG15:AG46" si="10">IF(Q15="","",IF(Q15&gt;=90,"A",IF(Q15&gt;=80,"B",IF(Q15&gt;=70,"C",IF(Q15&gt;=60,"D",IF(Q15&gt;=50,"E",IF(Q15&gt;=0,"F","")))))))</f>
        <v>C</v>
      </c>
      <c r="AH15" s="24" t="str">
        <f t="shared" ref="AH15:AH46" si="11">IF(R15="","",IF(R15&gt;=90,"A",IF(R15&gt;=80,"B",IF(R15&gt;=70,"C",IF(R15&gt;=60,"D",IF(R15&gt;=50,"E",IF(R15&gt;=0,"F","")))))))</f>
        <v>D</v>
      </c>
      <c r="AI15" s="24" t="str">
        <f t="shared" ref="AI15:AI46" si="12">IF(S15="","",IF(S15&gt;=90,"A",IF(S15&gt;=80,"B",IF(S15&gt;=70,"C",IF(S15&gt;=60,"D",IF(S15&gt;=50,"E",IF(S15&gt;=0,"F","")))))))</f>
        <v>E</v>
      </c>
      <c r="AJ15" s="24" t="str">
        <f t="shared" ref="AJ15:AJ46" si="13">IF(T15="","",IF(T15&gt;=90,"A",IF(T15&gt;=80,"B",IF(T15&gt;=70,"C",IF(T15&gt;=60,"D",IF(T15&gt;=50,"E",IF(T15&gt;=0,"F","")))))))</f>
        <v>B</v>
      </c>
      <c r="AK15" s="24" t="str">
        <f t="shared" ref="AK15:AK46" si="14">IF(U15="","",IF(U15&gt;=90,"A",IF(U15&gt;=80,"B",IF(U15&gt;=70,"C",IF(U15&gt;=60,"D",IF(U15&gt;=50,"E",IF(U15&gt;=0,"F","")))))))</f>
        <v>A</v>
      </c>
      <c r="AL15" s="24" t="str">
        <f t="shared" ref="AL15:AL46" si="15">IF(V15="","",IF(V15&gt;=90,"A",IF(V15&gt;=80,"B",IF(V15&gt;=70,"C",IF(V15&gt;=60,"D",IF(V15&gt;=50,"E",IF(V15&gt;=0,"F","")))))))</f>
        <v>A</v>
      </c>
      <c r="AM15" s="24">
        <f t="shared" ref="AM15:AM46" si="16">IF(G15="","",$AM$14)</f>
        <v>2</v>
      </c>
      <c r="AN15" s="24">
        <f t="shared" ref="AN15:AN46" si="17">IF(H15="","",$AN$14)</f>
        <v>2</v>
      </c>
      <c r="AO15" s="24">
        <f t="shared" ref="AO15:AO46" si="18">IF(I15="","",$AO$14)</f>
        <v>3</v>
      </c>
      <c r="AP15" s="24">
        <f t="shared" ref="AP15:AP46" si="19">IF(J15="","",$AP$14)</f>
        <v>1</v>
      </c>
      <c r="AQ15" s="24">
        <f t="shared" ref="AQ15:AQ46" si="20">IF(K15="","",$AQ$14)</f>
        <v>5</v>
      </c>
      <c r="AR15" s="24">
        <f t="shared" ref="AR15:AR46" si="21">IF(L15="","",$AR$14)</f>
        <v>3</v>
      </c>
      <c r="AS15" s="24">
        <f t="shared" ref="AS15:AS46" si="22">IF(M15="","",$AS$14)</f>
        <v>2</v>
      </c>
      <c r="AT15" s="24">
        <f t="shared" ref="AT15:AT46" si="23">IF(N15="","",$AT$14)</f>
        <v>1</v>
      </c>
      <c r="AU15" s="24">
        <f t="shared" ref="AU15:AU46" si="24">IF(O15="","",$AU$14)</f>
        <v>1</v>
      </c>
      <c r="AV15" s="24">
        <f t="shared" ref="AV15:AV46" si="25">IF(P15="","",$AV$14)</f>
        <v>5</v>
      </c>
      <c r="AW15" s="24">
        <f t="shared" ref="AW15:AW46" si="26">IF(Q15="","",$AW$14)</f>
        <v>1</v>
      </c>
      <c r="AX15" s="24">
        <f t="shared" ref="AX15:AX46" si="27">IF(R15="","",$AX$14)</f>
        <v>5</v>
      </c>
      <c r="AY15" s="24">
        <f t="shared" ref="AY15:AY46" si="28">IF(S15="","",$AY$14)</f>
        <v>3</v>
      </c>
      <c r="AZ15" s="24">
        <f t="shared" ref="AZ15:AZ46" si="29">IF(T15="","",$AZ$14)</f>
        <v>2</v>
      </c>
      <c r="BA15" s="24">
        <f t="shared" ref="BA15:BA46" si="30">IF(U15="","",$BA$14)</f>
        <v>2</v>
      </c>
      <c r="BB15" s="24">
        <f t="shared" ref="BB15:BB46" si="31">IF(V15="","",$BB$14)</f>
        <v>2</v>
      </c>
      <c r="BC15" s="26">
        <f t="shared" ref="BC15:BC46" si="32">IF(OR(G15="",AM15=""),"",PRODUCT(G15,AM15))</f>
        <v>178</v>
      </c>
      <c r="BD15" s="26">
        <f t="shared" ref="BD15:BD46" si="33">IF(OR(H15="",AN15=""),"",PRODUCT(H15,AN15))</f>
        <v>179.2</v>
      </c>
      <c r="BE15" s="26">
        <f t="shared" ref="BE15:BE46" si="34">IF(OR(I15="",AO15=""),"",PRODUCT(I15,AO15))</f>
        <v>231.29999999999998</v>
      </c>
      <c r="BF15" s="26">
        <f t="shared" ref="BF15:BF46" si="35">IF(OR(J15="",AP15=""),"",PRODUCT(J15,AP15))</f>
        <v>83.666666666666671</v>
      </c>
      <c r="BG15" s="26">
        <f t="shared" ref="BG15:BG46" si="36">IF(OR(K15="",AQ15=""),"",PRODUCT(K15,AQ15))</f>
        <v>445.5</v>
      </c>
      <c r="BH15" s="26">
        <f t="shared" ref="BH15:BH46" si="37">IF(OR(L15="",AR15=""),"",PRODUCT(L15,AR15))</f>
        <v>258.60000000000002</v>
      </c>
      <c r="BI15" s="26">
        <f t="shared" ref="BI15:BI46" si="38">IF(OR(M15="",AS15=""),"",PRODUCT(M15,AS15))</f>
        <v>176.26666666666665</v>
      </c>
      <c r="BJ15" s="26">
        <f t="shared" ref="BJ15:BJ46" si="39">IF(OR(N15="",AT15=""),"",PRODUCT(N15,AT15))</f>
        <v>97</v>
      </c>
      <c r="BK15" s="26">
        <f t="shared" ref="BK15:BK46" si="40">IF(OR(O15="",AU15=""),"",PRODUCT(O15,AU15))</f>
        <v>97</v>
      </c>
      <c r="BL15" s="26">
        <f t="shared" ref="BL15:BL46" si="41">IF(OR(P15="",AV15=""),"",PRODUCT(P15,AV15))</f>
        <v>398.86666666666667</v>
      </c>
      <c r="BM15" s="26">
        <f t="shared" ref="BM15:BM46" si="42">IF(OR(Q15="",AW15=""),"",PRODUCT(Q15,AW15))</f>
        <v>79.773333333333341</v>
      </c>
      <c r="BN15" s="26">
        <f t="shared" ref="BN15:BN46" si="43">IF(OR(R15="",AX15=""),"",PRODUCT(R15,AX15))</f>
        <v>342.33333333333297</v>
      </c>
      <c r="BO15" s="26">
        <f t="shared" ref="BO15:BO46" si="44">IF(OR(S15="",AY15=""),"",PRODUCT(S15,AY15))</f>
        <v>166.59</v>
      </c>
      <c r="BP15" s="26">
        <f t="shared" ref="BP15:BP46" si="45">IF(OR(T15="",AZ15=""),"",PRODUCT(T15,AZ15))</f>
        <v>171</v>
      </c>
      <c r="BQ15" s="26">
        <f t="shared" ref="BQ15:BQ46" si="46">IF(OR(U15="",BA15=""),"",PRODUCT(U15,BA15))</f>
        <v>199.33333333333334</v>
      </c>
      <c r="BR15" s="26">
        <f t="shared" ref="BR15:BR46" si="47">IF(OR(V15="",BB15=""),"",PRODUCT(V15,BB15))</f>
        <v>198.33333333333334</v>
      </c>
      <c r="BS15" s="24">
        <f t="shared" ref="BS15:BS46" si="48">IF(OR(AM15="",W15=""),"",AM15*(IF(OR(W15="A",W15="a"),4,(IF(OR(W521="B",W15="b"),3,(IF(OR(W15="C",W15="c"),2,(IF(OR(W15="D",W15="d"),1.5,(IF(OR(W15="E",W15="e"),1,(IF(OR(W15="F",W15="f"),0)))))))))))))</f>
        <v>6</v>
      </c>
      <c r="BT15" s="24">
        <f t="shared" ref="BT15:BT46" si="49">IF(OR(AN15="",X15=""),"",AN15*(IF(OR(X15="A",X15="a"),4,(IF(OR(X521="B",X15="b"),3,(IF(OR(X15="C",X15="c"),2,(IF(OR(X15="D",X15="d"),1.5,(IF(OR(X15="E",X15="e"),1,(IF(OR(X15="F",X15="f"),0)))))))))))))</f>
        <v>6</v>
      </c>
      <c r="BU15" s="24">
        <f t="shared" ref="BU15:BU46" si="50">IF(OR(AO15="",Y15=""),"",AO15*(IF(OR(Y15="A",Y15="a"),4,(IF(OR(Y521="B",Y15="b"),3,(IF(OR(Y15="C",Y15="c"),2,(IF(OR(Y15="D",Y15="d"),1.5,(IF(OR(Y15="E",Y15="e"),1,(IF(OR(Y15="F",Y15="f"),0)))))))))))))</f>
        <v>6</v>
      </c>
      <c r="BV15" s="24">
        <f t="shared" ref="BV15:BV46" si="51">IF(OR(AP15="",Z15=""),"",AP15*(IF(OR(Z15="A",Z15="a"),4,(IF(OR(Z521="B",Z15="b"),3,(IF(OR(Z15="C",Z15="c"),2,(IF(OR(Z15="D",Z15="d"),1.5,(IF(OR(Z15="E",Z15="e"),1,(IF(OR(Z15="F",Z15="f"),0)))))))))))))</f>
        <v>3</v>
      </c>
      <c r="BW15" s="24">
        <f t="shared" ref="BW15:BW46" si="52">IF(OR(AQ15="",AA15=""),"",AQ15*(IF(OR(AA15="A",AA15="a"),4,(IF(OR(AA521="B",AA15="b"),3,(IF(OR(AA15="C",AA15="c"),2,(IF(OR(AA15="D",AA15="d"),1.5,(IF(OR(AA15="E",AA15="e"),1,(IF(OR(AA15="F",AA15="f"),0)))))))))))))</f>
        <v>15</v>
      </c>
      <c r="BX15" s="24">
        <f t="shared" ref="BX15:BX46" si="53">IF(OR(AR15="",AB15=""),"",AR15*(IF(OR(AB15="A",AB15="a"),4,(IF(OR(AE521="B",AB15="b"),3,(IF(OR(AB15="C",AB15="c"),2,(IF(OR(AB15="D",AB15="d"),1.5,(IF(OR(AB15="E",AB15="e"),1,(IF(OR(AB15="F",AB15="f"),0)))))))))))))</f>
        <v>9</v>
      </c>
      <c r="BY15" s="24">
        <f t="shared" ref="BY15:BY46" si="54">IF(OR(AS15="",AC15=""),"",AS15*(IF(OR(AC15="A",AC15="a"),4,(IF(OR(AM521="B",AC15="b"),3,(IF(OR(AC15="C",AC15="c"),2,(IF(OR(AC15="D",AC15="d"),1.5,(IF(OR(AC15="E",AC15="e"),1,(IF(OR(AC15="F",AC15="f"),0)))))))))))))</f>
        <v>6</v>
      </c>
      <c r="BZ15" s="24">
        <f t="shared" ref="BZ15:BZ46" si="55">IF(OR(AT15="",AD15=""),"",AT15*(IF(OR(AD15="A",AD15="a"),4,(IF(OR(AN521="B",AD15="b"),3,(IF(OR(AD15="C",AD15="c"),2,(IF(OR(AD15="D",AD15="d"),1.5,(IF(OR(AD15="E",AD15="e"),1,(IF(OR(AD15="F",AD15="f"),0)))))))))))))</f>
        <v>4</v>
      </c>
      <c r="CA15" s="24">
        <f t="shared" ref="CA15:CA46" si="56">IF(OR(AU15="",AE15=""),"",AU15*(IF(OR(AE15="A",AE15="a"),4,(IF(OR(AE521="B",AE15="b"),3,(IF(OR(AE15="C",AE15="c"),2,(IF(OR(AE15="D",AE15="d"),1.5,(IF(OR(AE15="E",AE15="e"),1,(IF(OR(AE15="F",AE15="f"),0)))))))))))))</f>
        <v>4</v>
      </c>
      <c r="CB15" s="24">
        <f t="shared" ref="CB15:CB46" si="57">IF(OR(AV15="",AF15=""),"",AV15*(IF(OR(AF15="A",AF15="a"),4,(IF(OR(AF524="B",AF15="b"),3,(IF(OR(AF15="C",AF15="c"),2,(IF(OR(AF15="D",AF15="d"),1.5,(IF(OR(AF15="E",AF15="e"),1,(IF(OR(AF15="F",AF15="f"),0)))))))))))))</f>
        <v>10</v>
      </c>
      <c r="CC15" s="24">
        <f t="shared" ref="CC15:CC46" si="58">IF(OR(AW15="",AG15=""),"",AW15*(IF(OR(AG15="A",AG15="a"),4,(IF(OR(AG524="B",AG15="b"),3,(IF(OR(AG15="C",AG15="c"),2,(IF(OR(AG15="D",AG15="d"),1.5,(IF(OR(AG15="E",AG15="e"),1,(IF(OR(AG15="F",AG15="f"),0)))))))))))))</f>
        <v>2</v>
      </c>
      <c r="CD15" s="24">
        <f t="shared" ref="CD15:CD46" si="59">IF(OR(AX15="",AH15=""),"",AX15*(IF(OR(AH15="A",AH15="a"),4,(IF(OR(AH524="B",AH15="b"),3,(IF(OR(AH15="C",AH15="c"),2,(IF(OR(AH15="D",AH15="d"),1.5,(IF(OR(AH15="E",AH15="e"),1,(IF(OR(AH15="F",AH15="f"),0)))))))))))))</f>
        <v>7.5</v>
      </c>
      <c r="CE15" s="24">
        <f t="shared" ref="CE15:CE46" si="60">IF(OR(AY15="",AI15=""),"",AY15*(IF(OR(AI15="A",AI15="a"),4,(IF(OR(AI524="B",AI15="b"),3,(IF(OR(AI15="C",AI15="c"),2,(IF(OR(AI15="D",AI15="d"),1.5,(IF(OR(AI15="E",AI15="e"),1,(IF(OR(AI15="F",AI15="f"),0)))))))))))))</f>
        <v>3</v>
      </c>
      <c r="CF15" s="24">
        <f t="shared" ref="CF15:CF46" si="61">IF(OR(AZ15="",AJ15=""),"",AZ15*(IF(OR(AJ15="A",AJ15="a"),4,(IF(OR(AJ524="B",AJ15="b"),3,(IF(OR(AJ15="C",AJ15="c"),2,(IF(OR(AJ15="D",AJ15="d"),1.5,(IF(OR(AJ15="E",AJ15="e"),1,(IF(OR(AJ15="F",AJ15="f"),0)))))))))))))</f>
        <v>6</v>
      </c>
      <c r="CG15" s="24">
        <f t="shared" ref="CG15:CG46" si="62">IF(OR(BA15="",AK15=""),"",BA15*(IF(OR(AK15="A",AK15="a"),4,(IF(OR(AK524="B",AK15="b"),3,(IF(OR(AK15="C",AK15="c"),2,(IF(OR(AK15="D",AK15="d"),1.5,(IF(OR(AK15="E",AK15="e"),1,(IF(OR(AK15="F",AK15="f"),0)))))))))))))</f>
        <v>8</v>
      </c>
      <c r="CH15" s="24">
        <f t="shared" ref="CH15:CH46" si="63">IF(OR(BB15="",AL15=""),"",BB15*(IF(OR(AL15="A",AL15="a"),4,(IF(OR(AL524="B",AL15="b"),3,(IF(OR(AL15="C",AL15="c"),2,(IF(OR(AL15="D",AL15="d"),1.5,(IF(OR(AL15="E",AL15="e"),1,(IF(OR(AL15="F",AL15="f"),0)))))))))))))</f>
        <v>8</v>
      </c>
      <c r="CI15" s="24">
        <f t="shared" ref="CI15:CI46" si="64">IF(B15="","",SUM(AM15:AU15))</f>
        <v>20</v>
      </c>
      <c r="CJ15" s="26" t="str">
        <f t="shared" ref="CJ15:CJ46" si="65">IF(OR(B15="",F15="I",F15="II",F15="M",F15="A"),"",IF(OR(B15="",G15=""),"",SUM(BC15:BK15)))</f>
        <v/>
      </c>
      <c r="CK15" s="26">
        <f t="shared" ref="CK15:CK46" si="66">IF(B15="","",SUM(BS15:CA15))</f>
        <v>59</v>
      </c>
      <c r="CL15" s="26" t="str">
        <f>IF(OR(CI15="",CJ15=""),"",CJ15/CI15)</f>
        <v/>
      </c>
      <c r="CM15" s="24" t="str">
        <f>IF(CL15="","",IF(CL15&gt;=90,"A",IF(CL15&gt;=80,"B",IF(CL15&gt;=70,"C",IF(CL15&gt;=60,"D",IF(CL15&gt;=50,"E",IF(CL15&gt;=0,"F","")))))))</f>
        <v/>
      </c>
      <c r="CN15" s="26">
        <f t="shared" ref="CN15:CN46" si="67">IF(B15="","",CK15/CI15)</f>
        <v>2.95</v>
      </c>
      <c r="CO15" s="24">
        <f t="shared" ref="CO15:CO46" si="68">IF(B15="","",SUM(AV15:BB15))</f>
        <v>20</v>
      </c>
      <c r="CP15" s="26">
        <f t="shared" ref="CP15:CP46" si="69">IF(B15="","",SUM(BL15:BR15))</f>
        <v>1556.2299999999996</v>
      </c>
      <c r="CQ15" s="26">
        <f t="shared" ref="CQ15:CQ46" si="70">IF(B15="","",SUM(CB15:CH15))</f>
        <v>44.5</v>
      </c>
      <c r="CR15" s="26">
        <f>IF(OR(CO15="",CP15=""),"",CP15/CO15)</f>
        <v>77.811499999999981</v>
      </c>
      <c r="CS15" s="24" t="str">
        <f>IF(CR15="","",IF(CR15&gt;=90,"A",IF(CR15&gt;=80,"B",IF(CR15&gt;=70,"C",IF(CR15&gt;=60,"D",IF(CR15&gt;=50,"E",IF(CR15&gt;=0,"F","")))))))</f>
        <v>C</v>
      </c>
      <c r="CT15" s="27">
        <f t="shared" ref="CT15:CT46" si="71">IF(B15="","",CQ15/CO15)</f>
        <v>2.2250000000000001</v>
      </c>
      <c r="CU15" s="24">
        <f t="shared" ref="CU15:CU46" si="72">IF(SUM(AM15:BB15)=0,"",IF(OR(B15="",F15="I",F15="II",F15="M",F15="A"),(SUM(AM15:BB15)),IF(OR(B15="",F15="III"),(SUM(CI15,CO15)))))</f>
        <v>40</v>
      </c>
      <c r="CV15" s="26">
        <f t="shared" ref="CV15:CV46" si="73">IF(SUM(AM15:BB15)=0,"",IF(OR(B15="",F15="I",F15="II",F15="M",F15="A"),(SUM(BC15:BR15)),IF(OR(B15="",F15="III"),(SUM(CJ15,CP15)))))</f>
        <v>3302.7633333333333</v>
      </c>
      <c r="CW15" s="26">
        <f t="shared" ref="CW15:CW46" si="74">IF(SUM(AM15:BB15)=0,"",IF(OR(B15="",F15="I",F15="II",F15="M",F15="A"),(SUM(BS15:CH15)),IF(OR(B15="",F15="III"),(SUM(CQ15,CK15)))))</f>
        <v>103.5</v>
      </c>
      <c r="CX15" s="26">
        <f>IF(OR(CU15=0,CV15=0),0,IF(OR(CU15="",CV15=""),"",CV15/CU15))</f>
        <v>82.569083333333339</v>
      </c>
      <c r="CY15" s="27" t="str">
        <f>IF(CX15="","",IF(CX15&gt;=90,"A",IF(CX15&gt;=80,"B",IF(CX15&gt;=70,"C",IF(CX15&gt;=60,"D",IF(CX15&gt;=50,"E",IF(CX15&gt;=0,"F","")))))))</f>
        <v>B</v>
      </c>
      <c r="CZ15" s="26">
        <f t="shared" ref="CZ15:CZ46" si="75">IF(B15="","",CW15/CU15)</f>
        <v>2.5874999999999999</v>
      </c>
      <c r="DA15" s="24">
        <f t="shared" ref="DA15:DA46" si="76">IF(OR(B15="",CX15=""),"",RANK(CX15,$CX$15:$CX$97))</f>
        <v>5</v>
      </c>
      <c r="DB15" s="24">
        <f t="shared" ref="DB15:DB46" si="77">IF(B15="","",$C$9)</f>
        <v>0</v>
      </c>
      <c r="DC15" s="24">
        <f t="shared" ref="DC15:DC46" si="78">IF(B15="","",COUNTA($B$15:$B$100))</f>
        <v>13</v>
      </c>
      <c r="DD15" s="24">
        <f t="shared" ref="DD15:DD46" si="79">IF(B15="","",$C$8)</f>
        <v>50</v>
      </c>
      <c r="DE15" s="1">
        <v>0</v>
      </c>
      <c r="DF15" s="1">
        <v>0</v>
      </c>
      <c r="DG15" s="1">
        <v>0</v>
      </c>
      <c r="DH15" s="24">
        <f t="shared" ref="DH15:DH46" si="80">IF(B15="","",DF15+DG15)</f>
        <v>0</v>
      </c>
      <c r="DI15" s="25">
        <f t="shared" ref="DI15:DI46" si="81">IF(B15="","",(DD15-DH15)/DD15)</f>
        <v>1</v>
      </c>
      <c r="DK15" s="135"/>
      <c r="DL15" s="9"/>
      <c r="DM15" s="9"/>
      <c r="DN15" s="9"/>
      <c r="DO15" s="9"/>
      <c r="DP15" s="9"/>
      <c r="DQ15" s="136" t="b">
        <f t="shared" ref="DQ15:DQ46" si="82">EXACT(B15,DK15)</f>
        <v>0</v>
      </c>
    </row>
    <row r="16" spans="1:121" ht="27" customHeight="1" x14ac:dyDescent="1.25">
      <c r="A16" s="24">
        <f>IF(B16="","",A15+1)</f>
        <v>2</v>
      </c>
      <c r="B16" s="66" t="s">
        <v>127</v>
      </c>
      <c r="C16" s="67" t="s">
        <v>128</v>
      </c>
      <c r="D16" s="68" t="s">
        <v>124</v>
      </c>
      <c r="E16" s="154">
        <v>689</v>
      </c>
      <c r="F16" s="68" t="s">
        <v>237</v>
      </c>
      <c r="G16" s="7">
        <v>86.666666666666671</v>
      </c>
      <c r="H16" s="7">
        <v>87.833333333333343</v>
      </c>
      <c r="I16" s="7">
        <v>88.933333333333337</v>
      </c>
      <c r="J16" s="7">
        <v>84</v>
      </c>
      <c r="K16" s="7">
        <v>89.333333333333343</v>
      </c>
      <c r="L16" s="7">
        <v>86.733333333333348</v>
      </c>
      <c r="M16" s="7">
        <v>88.466666666666683</v>
      </c>
      <c r="N16" s="7">
        <v>96</v>
      </c>
      <c r="O16" s="7">
        <v>96</v>
      </c>
      <c r="P16" s="7">
        <v>71.293333333333337</v>
      </c>
      <c r="Q16" s="7">
        <v>71.293333333333337</v>
      </c>
      <c r="R16" s="7">
        <v>67.146666666666604</v>
      </c>
      <c r="S16" s="7">
        <v>68.23</v>
      </c>
      <c r="T16" s="7">
        <v>98.5</v>
      </c>
      <c r="U16" s="7">
        <v>95</v>
      </c>
      <c r="V16" s="7">
        <v>92</v>
      </c>
      <c r="W16" s="3" t="str">
        <f t="shared" si="0"/>
        <v>B</v>
      </c>
      <c r="X16" s="3" t="str">
        <f t="shared" si="1"/>
        <v>B</v>
      </c>
      <c r="Y16" s="3" t="str">
        <f t="shared" si="2"/>
        <v>B</v>
      </c>
      <c r="Z16" s="3" t="str">
        <f t="shared" si="3"/>
        <v>B</v>
      </c>
      <c r="AA16" s="3" t="str">
        <f t="shared" si="4"/>
        <v>B</v>
      </c>
      <c r="AB16" s="3" t="str">
        <f t="shared" si="5"/>
        <v>B</v>
      </c>
      <c r="AC16" s="3" t="str">
        <f t="shared" si="6"/>
        <v>B</v>
      </c>
      <c r="AD16" s="3" t="str">
        <f t="shared" si="7"/>
        <v>A</v>
      </c>
      <c r="AE16" s="3" t="str">
        <f t="shared" si="8"/>
        <v>A</v>
      </c>
      <c r="AF16" s="24" t="str">
        <f t="shared" si="9"/>
        <v>C</v>
      </c>
      <c r="AG16" s="24" t="str">
        <f t="shared" si="10"/>
        <v>C</v>
      </c>
      <c r="AH16" s="24" t="str">
        <f t="shared" si="11"/>
        <v>D</v>
      </c>
      <c r="AI16" s="24" t="str">
        <f t="shared" si="12"/>
        <v>D</v>
      </c>
      <c r="AJ16" s="24" t="str">
        <f t="shared" si="13"/>
        <v>A</v>
      </c>
      <c r="AK16" s="24" t="str">
        <f t="shared" si="14"/>
        <v>A</v>
      </c>
      <c r="AL16" s="24" t="str">
        <f t="shared" si="15"/>
        <v>A</v>
      </c>
      <c r="AM16" s="24">
        <f t="shared" si="16"/>
        <v>2</v>
      </c>
      <c r="AN16" s="24">
        <f t="shared" si="17"/>
        <v>2</v>
      </c>
      <c r="AO16" s="24">
        <f t="shared" si="18"/>
        <v>3</v>
      </c>
      <c r="AP16" s="24">
        <f t="shared" si="19"/>
        <v>1</v>
      </c>
      <c r="AQ16" s="24">
        <f t="shared" si="20"/>
        <v>5</v>
      </c>
      <c r="AR16" s="24">
        <f t="shared" si="21"/>
        <v>3</v>
      </c>
      <c r="AS16" s="24">
        <f t="shared" si="22"/>
        <v>2</v>
      </c>
      <c r="AT16" s="24">
        <f t="shared" si="23"/>
        <v>1</v>
      </c>
      <c r="AU16" s="24">
        <f t="shared" si="24"/>
        <v>1</v>
      </c>
      <c r="AV16" s="24">
        <f t="shared" si="25"/>
        <v>5</v>
      </c>
      <c r="AW16" s="24">
        <f t="shared" si="26"/>
        <v>1</v>
      </c>
      <c r="AX16" s="24">
        <f t="shared" si="27"/>
        <v>5</v>
      </c>
      <c r="AY16" s="24">
        <f t="shared" si="28"/>
        <v>3</v>
      </c>
      <c r="AZ16" s="24">
        <f t="shared" si="29"/>
        <v>2</v>
      </c>
      <c r="BA16" s="24">
        <f t="shared" si="30"/>
        <v>2</v>
      </c>
      <c r="BB16" s="24">
        <f t="shared" si="31"/>
        <v>2</v>
      </c>
      <c r="BC16" s="26">
        <f t="shared" si="32"/>
        <v>173.33333333333334</v>
      </c>
      <c r="BD16" s="26">
        <f t="shared" si="33"/>
        <v>175.66666666666669</v>
      </c>
      <c r="BE16" s="26">
        <f t="shared" si="34"/>
        <v>266.8</v>
      </c>
      <c r="BF16" s="26">
        <f t="shared" si="35"/>
        <v>84</v>
      </c>
      <c r="BG16" s="26">
        <f t="shared" si="36"/>
        <v>446.66666666666674</v>
      </c>
      <c r="BH16" s="26">
        <f t="shared" si="37"/>
        <v>260.20000000000005</v>
      </c>
      <c r="BI16" s="26">
        <f t="shared" si="38"/>
        <v>176.93333333333337</v>
      </c>
      <c r="BJ16" s="26">
        <f t="shared" si="39"/>
        <v>96</v>
      </c>
      <c r="BK16" s="26">
        <f t="shared" si="40"/>
        <v>96</v>
      </c>
      <c r="BL16" s="26">
        <f t="shared" si="41"/>
        <v>356.4666666666667</v>
      </c>
      <c r="BM16" s="26">
        <f t="shared" si="42"/>
        <v>71.293333333333337</v>
      </c>
      <c r="BN16" s="26">
        <f t="shared" si="43"/>
        <v>335.73333333333301</v>
      </c>
      <c r="BO16" s="26">
        <f t="shared" si="44"/>
        <v>204.69</v>
      </c>
      <c r="BP16" s="26">
        <f t="shared" si="45"/>
        <v>197</v>
      </c>
      <c r="BQ16" s="26">
        <f t="shared" si="46"/>
        <v>190</v>
      </c>
      <c r="BR16" s="26">
        <f t="shared" si="47"/>
        <v>184</v>
      </c>
      <c r="BS16" s="24">
        <f t="shared" si="48"/>
        <v>6</v>
      </c>
      <c r="BT16" s="24">
        <f t="shared" si="49"/>
        <v>6</v>
      </c>
      <c r="BU16" s="24">
        <f t="shared" si="50"/>
        <v>9</v>
      </c>
      <c r="BV16" s="24">
        <f t="shared" si="51"/>
        <v>3</v>
      </c>
      <c r="BW16" s="24">
        <f t="shared" si="52"/>
        <v>15</v>
      </c>
      <c r="BX16" s="24">
        <f t="shared" si="53"/>
        <v>9</v>
      </c>
      <c r="BY16" s="24">
        <f t="shared" si="54"/>
        <v>6</v>
      </c>
      <c r="BZ16" s="24">
        <f t="shared" si="55"/>
        <v>4</v>
      </c>
      <c r="CA16" s="24">
        <f t="shared" si="56"/>
        <v>4</v>
      </c>
      <c r="CB16" s="24">
        <f t="shared" si="57"/>
        <v>10</v>
      </c>
      <c r="CC16" s="24">
        <f t="shared" si="58"/>
        <v>2</v>
      </c>
      <c r="CD16" s="24">
        <f t="shared" si="59"/>
        <v>7.5</v>
      </c>
      <c r="CE16" s="24">
        <f t="shared" si="60"/>
        <v>4.5</v>
      </c>
      <c r="CF16" s="24">
        <f t="shared" si="61"/>
        <v>8</v>
      </c>
      <c r="CG16" s="24">
        <f t="shared" si="62"/>
        <v>8</v>
      </c>
      <c r="CH16" s="24">
        <f t="shared" si="63"/>
        <v>8</v>
      </c>
      <c r="CI16" s="24">
        <f t="shared" si="64"/>
        <v>20</v>
      </c>
      <c r="CJ16" s="26" t="str">
        <f t="shared" si="65"/>
        <v/>
      </c>
      <c r="CK16" s="26">
        <f t="shared" si="66"/>
        <v>62</v>
      </c>
      <c r="CL16" s="26" t="str">
        <f t="shared" ref="CL16:CL79" si="83">IF(OR(CI16="",CJ16=""),"",CJ16/CI16)</f>
        <v/>
      </c>
      <c r="CM16" s="24" t="str">
        <f t="shared" ref="CM16:CM79" si="84">IF(CL16="","",IF(CL16&gt;=90,"A",IF(CL16&gt;=80,"B",IF(CL16&gt;=70,"C",IF(CL16&gt;=60,"D",IF(CL16&gt;=50,"E",IF(CL16&gt;=0,"F","")))))))</f>
        <v/>
      </c>
      <c r="CN16" s="26">
        <f t="shared" si="67"/>
        <v>3.1</v>
      </c>
      <c r="CO16" s="24">
        <f t="shared" si="68"/>
        <v>20</v>
      </c>
      <c r="CP16" s="26">
        <f t="shared" si="69"/>
        <v>1539.1833333333332</v>
      </c>
      <c r="CQ16" s="26">
        <f t="shared" si="70"/>
        <v>48</v>
      </c>
      <c r="CR16" s="26">
        <f t="shared" ref="CR16:CR79" si="85">IF(OR(CO16="",CP16=""),"",CP16/CO16)</f>
        <v>76.959166666666661</v>
      </c>
      <c r="CS16" s="24" t="str">
        <f t="shared" ref="CS16:CS79" si="86">IF(CR16="","",IF(CR16&gt;=90,"A",IF(CR16&gt;=80,"B",IF(CR16&gt;=70,"C",IF(CR16&gt;=60,"D",IF(CR16&gt;=50,"E",IF(CR16&gt;=0,"F","")))))))</f>
        <v>C</v>
      </c>
      <c r="CT16" s="27">
        <f t="shared" si="71"/>
        <v>2.4</v>
      </c>
      <c r="CU16" s="24">
        <f t="shared" si="72"/>
        <v>40</v>
      </c>
      <c r="CV16" s="26">
        <f t="shared" si="73"/>
        <v>3314.7833333333333</v>
      </c>
      <c r="CW16" s="26">
        <f t="shared" si="74"/>
        <v>110</v>
      </c>
      <c r="CX16" s="26">
        <f t="shared" ref="CX16:CX79" si="87">IF(OR(CU16=0,CV16=0),0,IF(OR(CU16="",CV16=""),"",CV16/CU16))</f>
        <v>82.869583333333338</v>
      </c>
      <c r="CY16" s="27" t="str">
        <f t="shared" ref="CY16:CY79" si="88">IF(CX16="","",IF(CX16&gt;=90,"A",IF(CX16&gt;=80,"B",IF(CX16&gt;=70,"C",IF(CX16&gt;=60,"D",IF(CX16&gt;=50,"E",IF(CX16&gt;=0,"F","")))))))</f>
        <v>B</v>
      </c>
      <c r="CZ16" s="26">
        <f t="shared" si="75"/>
        <v>2.75</v>
      </c>
      <c r="DA16" s="24">
        <f t="shared" si="76"/>
        <v>4</v>
      </c>
      <c r="DB16" s="24">
        <f t="shared" si="77"/>
        <v>0</v>
      </c>
      <c r="DC16" s="24">
        <f t="shared" si="78"/>
        <v>13</v>
      </c>
      <c r="DD16" s="24">
        <f t="shared" si="79"/>
        <v>50</v>
      </c>
      <c r="DE16" s="1">
        <v>0</v>
      </c>
      <c r="DF16" s="1">
        <v>0</v>
      </c>
      <c r="DG16" s="1">
        <v>0</v>
      </c>
      <c r="DH16" s="24">
        <f t="shared" si="80"/>
        <v>0</v>
      </c>
      <c r="DI16" s="25">
        <f t="shared" si="81"/>
        <v>1</v>
      </c>
      <c r="DK16" s="9"/>
      <c r="DL16" s="9"/>
      <c r="DM16" s="9"/>
      <c r="DN16" s="9"/>
      <c r="DO16" s="9"/>
      <c r="DP16" s="9"/>
      <c r="DQ16" s="136" t="b">
        <f t="shared" si="82"/>
        <v>0</v>
      </c>
    </row>
    <row r="17" spans="1:121" ht="27" customHeight="1" x14ac:dyDescent="1.25">
      <c r="A17" s="24">
        <f t="shared" ref="A17:A80" si="89">IF(B17="","",A16+1)</f>
        <v>3</v>
      </c>
      <c r="B17" s="66" t="s">
        <v>129</v>
      </c>
      <c r="C17" s="67" t="s">
        <v>130</v>
      </c>
      <c r="D17" s="68" t="s">
        <v>124</v>
      </c>
      <c r="E17" s="154">
        <v>688</v>
      </c>
      <c r="F17" s="68" t="s">
        <v>237</v>
      </c>
      <c r="G17" s="7">
        <v>85.333333333333343</v>
      </c>
      <c r="H17" s="7">
        <v>88.166666666666686</v>
      </c>
      <c r="I17" s="7">
        <v>89.066666666666663</v>
      </c>
      <c r="J17" s="7">
        <v>88</v>
      </c>
      <c r="K17" s="7">
        <v>90.9</v>
      </c>
      <c r="L17" s="7">
        <v>88.366666666666674</v>
      </c>
      <c r="M17" s="7">
        <v>89.166666666666686</v>
      </c>
      <c r="N17" s="7">
        <v>96</v>
      </c>
      <c r="O17" s="7">
        <v>96</v>
      </c>
      <c r="P17" s="7">
        <v>61.266666666666673</v>
      </c>
      <c r="Q17" s="7">
        <v>61.266666666666673</v>
      </c>
      <c r="R17" s="7">
        <v>80.746666666666599</v>
      </c>
      <c r="S17" s="7">
        <v>52.18</v>
      </c>
      <c r="T17" s="7">
        <v>85.5</v>
      </c>
      <c r="U17" s="7">
        <v>89.833333333333343</v>
      </c>
      <c r="V17" s="7">
        <v>88.333333333333343</v>
      </c>
      <c r="W17" s="3" t="str">
        <f t="shared" si="0"/>
        <v>B</v>
      </c>
      <c r="X17" s="3" t="str">
        <f t="shared" si="1"/>
        <v>B</v>
      </c>
      <c r="Y17" s="3" t="str">
        <f t="shared" si="2"/>
        <v>B</v>
      </c>
      <c r="Z17" s="3" t="str">
        <f t="shared" si="3"/>
        <v>B</v>
      </c>
      <c r="AA17" s="3" t="str">
        <f t="shared" si="4"/>
        <v>A</v>
      </c>
      <c r="AB17" s="3" t="str">
        <f t="shared" si="5"/>
        <v>B</v>
      </c>
      <c r="AC17" s="3" t="str">
        <f t="shared" si="6"/>
        <v>B</v>
      </c>
      <c r="AD17" s="3" t="str">
        <f t="shared" si="7"/>
        <v>A</v>
      </c>
      <c r="AE17" s="3" t="str">
        <f t="shared" si="8"/>
        <v>A</v>
      </c>
      <c r="AF17" s="24" t="str">
        <f t="shared" si="9"/>
        <v>D</v>
      </c>
      <c r="AG17" s="24" t="str">
        <f t="shared" si="10"/>
        <v>D</v>
      </c>
      <c r="AH17" s="24" t="str">
        <f t="shared" si="11"/>
        <v>B</v>
      </c>
      <c r="AI17" s="24" t="str">
        <f t="shared" si="12"/>
        <v>E</v>
      </c>
      <c r="AJ17" s="24" t="str">
        <f t="shared" si="13"/>
        <v>B</v>
      </c>
      <c r="AK17" s="24" t="str">
        <f t="shared" si="14"/>
        <v>B</v>
      </c>
      <c r="AL17" s="24" t="str">
        <f t="shared" si="15"/>
        <v>B</v>
      </c>
      <c r="AM17" s="24">
        <f t="shared" si="16"/>
        <v>2</v>
      </c>
      <c r="AN17" s="24">
        <f t="shared" si="17"/>
        <v>2</v>
      </c>
      <c r="AO17" s="24">
        <f t="shared" si="18"/>
        <v>3</v>
      </c>
      <c r="AP17" s="24">
        <f t="shared" si="19"/>
        <v>1</v>
      </c>
      <c r="AQ17" s="24">
        <f t="shared" si="20"/>
        <v>5</v>
      </c>
      <c r="AR17" s="24">
        <f t="shared" si="21"/>
        <v>3</v>
      </c>
      <c r="AS17" s="24">
        <f t="shared" si="22"/>
        <v>2</v>
      </c>
      <c r="AT17" s="24">
        <f t="shared" si="23"/>
        <v>1</v>
      </c>
      <c r="AU17" s="24">
        <f t="shared" si="24"/>
        <v>1</v>
      </c>
      <c r="AV17" s="24">
        <f t="shared" si="25"/>
        <v>5</v>
      </c>
      <c r="AW17" s="24">
        <f t="shared" si="26"/>
        <v>1</v>
      </c>
      <c r="AX17" s="24">
        <f t="shared" si="27"/>
        <v>5</v>
      </c>
      <c r="AY17" s="24">
        <f t="shared" si="28"/>
        <v>3</v>
      </c>
      <c r="AZ17" s="24">
        <f t="shared" si="29"/>
        <v>2</v>
      </c>
      <c r="BA17" s="24">
        <f t="shared" si="30"/>
        <v>2</v>
      </c>
      <c r="BB17" s="24">
        <f t="shared" si="31"/>
        <v>2</v>
      </c>
      <c r="BC17" s="26">
        <f t="shared" si="32"/>
        <v>170.66666666666669</v>
      </c>
      <c r="BD17" s="26">
        <f t="shared" si="33"/>
        <v>176.33333333333337</v>
      </c>
      <c r="BE17" s="26">
        <f t="shared" si="34"/>
        <v>267.2</v>
      </c>
      <c r="BF17" s="26">
        <f t="shared" si="35"/>
        <v>88</v>
      </c>
      <c r="BG17" s="26">
        <f t="shared" si="36"/>
        <v>454.5</v>
      </c>
      <c r="BH17" s="26">
        <f t="shared" si="37"/>
        <v>265.10000000000002</v>
      </c>
      <c r="BI17" s="26">
        <f t="shared" si="38"/>
        <v>178.33333333333337</v>
      </c>
      <c r="BJ17" s="26">
        <f t="shared" si="39"/>
        <v>96</v>
      </c>
      <c r="BK17" s="26">
        <f t="shared" si="40"/>
        <v>96</v>
      </c>
      <c r="BL17" s="26">
        <f t="shared" si="41"/>
        <v>306.33333333333337</v>
      </c>
      <c r="BM17" s="26">
        <f t="shared" si="42"/>
        <v>61.266666666666673</v>
      </c>
      <c r="BN17" s="26">
        <f t="shared" si="43"/>
        <v>403.73333333333301</v>
      </c>
      <c r="BO17" s="26">
        <f t="shared" si="44"/>
        <v>156.54</v>
      </c>
      <c r="BP17" s="26">
        <f t="shared" si="45"/>
        <v>171</v>
      </c>
      <c r="BQ17" s="26">
        <f t="shared" si="46"/>
        <v>179.66666666666669</v>
      </c>
      <c r="BR17" s="26">
        <f t="shared" si="47"/>
        <v>176.66666666666669</v>
      </c>
      <c r="BS17" s="24">
        <f t="shared" si="48"/>
        <v>6</v>
      </c>
      <c r="BT17" s="24">
        <f t="shared" si="49"/>
        <v>6</v>
      </c>
      <c r="BU17" s="24">
        <f t="shared" si="50"/>
        <v>9</v>
      </c>
      <c r="BV17" s="24">
        <f t="shared" si="51"/>
        <v>3</v>
      </c>
      <c r="BW17" s="24">
        <f t="shared" si="52"/>
        <v>20</v>
      </c>
      <c r="BX17" s="24">
        <f t="shared" si="53"/>
        <v>9</v>
      </c>
      <c r="BY17" s="24">
        <f t="shared" si="54"/>
        <v>6</v>
      </c>
      <c r="BZ17" s="24">
        <f t="shared" si="55"/>
        <v>4</v>
      </c>
      <c r="CA17" s="24">
        <f t="shared" si="56"/>
        <v>4</v>
      </c>
      <c r="CB17" s="24">
        <f t="shared" si="57"/>
        <v>7.5</v>
      </c>
      <c r="CC17" s="24">
        <f t="shared" si="58"/>
        <v>1.5</v>
      </c>
      <c r="CD17" s="24">
        <f t="shared" si="59"/>
        <v>15</v>
      </c>
      <c r="CE17" s="24">
        <f t="shared" si="60"/>
        <v>3</v>
      </c>
      <c r="CF17" s="24">
        <f t="shared" si="61"/>
        <v>6</v>
      </c>
      <c r="CG17" s="24">
        <f t="shared" si="62"/>
        <v>6</v>
      </c>
      <c r="CH17" s="24">
        <f t="shared" si="63"/>
        <v>6</v>
      </c>
      <c r="CI17" s="24">
        <f t="shared" si="64"/>
        <v>20</v>
      </c>
      <c r="CJ17" s="26" t="str">
        <f t="shared" si="65"/>
        <v/>
      </c>
      <c r="CK17" s="26">
        <f t="shared" si="66"/>
        <v>67</v>
      </c>
      <c r="CL17" s="26" t="str">
        <f t="shared" si="83"/>
        <v/>
      </c>
      <c r="CM17" s="24" t="str">
        <f t="shared" si="84"/>
        <v/>
      </c>
      <c r="CN17" s="26">
        <f t="shared" si="67"/>
        <v>3.35</v>
      </c>
      <c r="CO17" s="24">
        <f t="shared" si="68"/>
        <v>20</v>
      </c>
      <c r="CP17" s="26">
        <f t="shared" si="69"/>
        <v>1455.2066666666665</v>
      </c>
      <c r="CQ17" s="26">
        <f t="shared" si="70"/>
        <v>45</v>
      </c>
      <c r="CR17" s="26">
        <f t="shared" si="85"/>
        <v>72.760333333333321</v>
      </c>
      <c r="CS17" s="24" t="str">
        <f t="shared" si="86"/>
        <v>C</v>
      </c>
      <c r="CT17" s="27">
        <f t="shared" si="71"/>
        <v>2.25</v>
      </c>
      <c r="CU17" s="24">
        <f t="shared" si="72"/>
        <v>40</v>
      </c>
      <c r="CV17" s="26">
        <f t="shared" si="73"/>
        <v>3247.34</v>
      </c>
      <c r="CW17" s="26">
        <f t="shared" si="74"/>
        <v>112</v>
      </c>
      <c r="CX17" s="26">
        <f t="shared" si="87"/>
        <v>81.183500000000009</v>
      </c>
      <c r="CY17" s="27" t="str">
        <f t="shared" si="88"/>
        <v>B</v>
      </c>
      <c r="CZ17" s="26">
        <f t="shared" si="75"/>
        <v>2.8</v>
      </c>
      <c r="DA17" s="24">
        <f t="shared" si="76"/>
        <v>6</v>
      </c>
      <c r="DB17" s="24">
        <f t="shared" si="77"/>
        <v>0</v>
      </c>
      <c r="DC17" s="24">
        <f t="shared" si="78"/>
        <v>13</v>
      </c>
      <c r="DD17" s="24">
        <f t="shared" si="79"/>
        <v>50</v>
      </c>
      <c r="DE17" s="1">
        <v>0</v>
      </c>
      <c r="DF17" s="1">
        <v>0</v>
      </c>
      <c r="DG17" s="1">
        <v>0</v>
      </c>
      <c r="DH17" s="24">
        <f t="shared" si="80"/>
        <v>0</v>
      </c>
      <c r="DI17" s="25">
        <f t="shared" si="81"/>
        <v>1</v>
      </c>
      <c r="DK17" s="9"/>
      <c r="DL17" s="9"/>
      <c r="DM17" s="9"/>
      <c r="DN17" s="9"/>
      <c r="DO17" s="9"/>
      <c r="DP17" s="9"/>
      <c r="DQ17" s="136" t="b">
        <f t="shared" si="82"/>
        <v>0</v>
      </c>
    </row>
    <row r="18" spans="1:121" ht="27" customHeight="1" x14ac:dyDescent="1.25">
      <c r="A18" s="24">
        <f t="shared" si="89"/>
        <v>4</v>
      </c>
      <c r="B18" s="66" t="s">
        <v>131</v>
      </c>
      <c r="C18" s="67" t="s">
        <v>132</v>
      </c>
      <c r="D18" s="68" t="s">
        <v>124</v>
      </c>
      <c r="E18" s="154">
        <v>693</v>
      </c>
      <c r="F18" s="68" t="s">
        <v>237</v>
      </c>
      <c r="G18" s="7">
        <v>91.333333333333343</v>
      </c>
      <c r="H18" s="7">
        <v>92.266666666666666</v>
      </c>
      <c r="I18" s="7">
        <v>91.966666666666669</v>
      </c>
      <c r="J18" s="7">
        <v>90</v>
      </c>
      <c r="K18" s="7">
        <v>92.63333333333334</v>
      </c>
      <c r="L18" s="7">
        <v>92.233333333333348</v>
      </c>
      <c r="M18" s="7">
        <v>92.233333333333348</v>
      </c>
      <c r="N18" s="7">
        <v>98</v>
      </c>
      <c r="O18" s="7">
        <v>98</v>
      </c>
      <c r="P18" s="7">
        <v>79.406666666666666</v>
      </c>
      <c r="Q18" s="7">
        <v>79.406666666666666</v>
      </c>
      <c r="R18" s="7">
        <v>93.706666666666607</v>
      </c>
      <c r="S18" s="7">
        <v>63.77</v>
      </c>
      <c r="T18" s="7">
        <v>85.5</v>
      </c>
      <c r="U18" s="7">
        <v>96.833333333333343</v>
      </c>
      <c r="V18" s="7">
        <v>94.666666666666671</v>
      </c>
      <c r="W18" s="3" t="str">
        <f t="shared" si="0"/>
        <v>A</v>
      </c>
      <c r="X18" s="3" t="str">
        <f t="shared" si="1"/>
        <v>A</v>
      </c>
      <c r="Y18" s="3" t="str">
        <f t="shared" si="2"/>
        <v>A</v>
      </c>
      <c r="Z18" s="3" t="str">
        <f t="shared" si="3"/>
        <v>A</v>
      </c>
      <c r="AA18" s="3" t="str">
        <f t="shared" si="4"/>
        <v>A</v>
      </c>
      <c r="AB18" s="3" t="str">
        <f t="shared" si="5"/>
        <v>A</v>
      </c>
      <c r="AC18" s="3" t="str">
        <f t="shared" si="6"/>
        <v>A</v>
      </c>
      <c r="AD18" s="3" t="str">
        <f t="shared" si="7"/>
        <v>A</v>
      </c>
      <c r="AE18" s="3" t="str">
        <f t="shared" si="8"/>
        <v>A</v>
      </c>
      <c r="AF18" s="24" t="str">
        <f t="shared" si="9"/>
        <v>C</v>
      </c>
      <c r="AG18" s="24" t="str">
        <f t="shared" si="10"/>
        <v>C</v>
      </c>
      <c r="AH18" s="24" t="str">
        <f t="shared" si="11"/>
        <v>A</v>
      </c>
      <c r="AI18" s="24" t="str">
        <f t="shared" si="12"/>
        <v>D</v>
      </c>
      <c r="AJ18" s="24" t="str">
        <f t="shared" si="13"/>
        <v>B</v>
      </c>
      <c r="AK18" s="24" t="str">
        <f t="shared" si="14"/>
        <v>A</v>
      </c>
      <c r="AL18" s="24" t="str">
        <f t="shared" si="15"/>
        <v>A</v>
      </c>
      <c r="AM18" s="24">
        <f t="shared" si="16"/>
        <v>2</v>
      </c>
      <c r="AN18" s="24">
        <f t="shared" si="17"/>
        <v>2</v>
      </c>
      <c r="AO18" s="24">
        <f t="shared" si="18"/>
        <v>3</v>
      </c>
      <c r="AP18" s="24">
        <f t="shared" si="19"/>
        <v>1</v>
      </c>
      <c r="AQ18" s="24">
        <f t="shared" si="20"/>
        <v>5</v>
      </c>
      <c r="AR18" s="24">
        <f t="shared" si="21"/>
        <v>3</v>
      </c>
      <c r="AS18" s="24">
        <f t="shared" si="22"/>
        <v>2</v>
      </c>
      <c r="AT18" s="24">
        <f t="shared" si="23"/>
        <v>1</v>
      </c>
      <c r="AU18" s="24">
        <f t="shared" si="24"/>
        <v>1</v>
      </c>
      <c r="AV18" s="24">
        <f t="shared" si="25"/>
        <v>5</v>
      </c>
      <c r="AW18" s="24">
        <f t="shared" si="26"/>
        <v>1</v>
      </c>
      <c r="AX18" s="24">
        <f t="shared" si="27"/>
        <v>5</v>
      </c>
      <c r="AY18" s="24">
        <f t="shared" si="28"/>
        <v>3</v>
      </c>
      <c r="AZ18" s="24">
        <f t="shared" si="29"/>
        <v>2</v>
      </c>
      <c r="BA18" s="24">
        <f t="shared" si="30"/>
        <v>2</v>
      </c>
      <c r="BB18" s="24">
        <f t="shared" si="31"/>
        <v>2</v>
      </c>
      <c r="BC18" s="26">
        <f t="shared" si="32"/>
        <v>182.66666666666669</v>
      </c>
      <c r="BD18" s="26">
        <f t="shared" si="33"/>
        <v>184.53333333333333</v>
      </c>
      <c r="BE18" s="26">
        <f t="shared" si="34"/>
        <v>275.89999999999998</v>
      </c>
      <c r="BF18" s="26">
        <f t="shared" si="35"/>
        <v>90</v>
      </c>
      <c r="BG18" s="26">
        <f t="shared" si="36"/>
        <v>463.16666666666669</v>
      </c>
      <c r="BH18" s="26">
        <f t="shared" si="37"/>
        <v>276.70000000000005</v>
      </c>
      <c r="BI18" s="26">
        <f t="shared" si="38"/>
        <v>184.4666666666667</v>
      </c>
      <c r="BJ18" s="26">
        <f t="shared" si="39"/>
        <v>98</v>
      </c>
      <c r="BK18" s="26">
        <f t="shared" si="40"/>
        <v>98</v>
      </c>
      <c r="BL18" s="26">
        <f t="shared" si="41"/>
        <v>397.0333333333333</v>
      </c>
      <c r="BM18" s="26">
        <f t="shared" si="42"/>
        <v>79.406666666666666</v>
      </c>
      <c r="BN18" s="26">
        <f t="shared" si="43"/>
        <v>468.53333333333302</v>
      </c>
      <c r="BO18" s="26">
        <f t="shared" si="44"/>
        <v>191.31</v>
      </c>
      <c r="BP18" s="26">
        <f t="shared" si="45"/>
        <v>171</v>
      </c>
      <c r="BQ18" s="26">
        <f t="shared" si="46"/>
        <v>193.66666666666669</v>
      </c>
      <c r="BR18" s="26">
        <f t="shared" si="47"/>
        <v>189.33333333333334</v>
      </c>
      <c r="BS18" s="24">
        <f t="shared" si="48"/>
        <v>8</v>
      </c>
      <c r="BT18" s="24">
        <f t="shared" si="49"/>
        <v>8</v>
      </c>
      <c r="BU18" s="24">
        <f t="shared" si="50"/>
        <v>12</v>
      </c>
      <c r="BV18" s="24">
        <f t="shared" si="51"/>
        <v>4</v>
      </c>
      <c r="BW18" s="24">
        <f t="shared" si="52"/>
        <v>20</v>
      </c>
      <c r="BX18" s="24">
        <f t="shared" si="53"/>
        <v>12</v>
      </c>
      <c r="BY18" s="24">
        <f t="shared" si="54"/>
        <v>8</v>
      </c>
      <c r="BZ18" s="24">
        <f t="shared" si="55"/>
        <v>4</v>
      </c>
      <c r="CA18" s="24">
        <f t="shared" si="56"/>
        <v>4</v>
      </c>
      <c r="CB18" s="24">
        <f t="shared" si="57"/>
        <v>10</v>
      </c>
      <c r="CC18" s="24">
        <f t="shared" si="58"/>
        <v>2</v>
      </c>
      <c r="CD18" s="24">
        <f t="shared" si="59"/>
        <v>20</v>
      </c>
      <c r="CE18" s="24">
        <f t="shared" si="60"/>
        <v>4.5</v>
      </c>
      <c r="CF18" s="24">
        <f t="shared" si="61"/>
        <v>6</v>
      </c>
      <c r="CG18" s="24">
        <f t="shared" si="62"/>
        <v>8</v>
      </c>
      <c r="CH18" s="24">
        <f t="shared" si="63"/>
        <v>8</v>
      </c>
      <c r="CI18" s="24">
        <f t="shared" si="64"/>
        <v>20</v>
      </c>
      <c r="CJ18" s="26" t="str">
        <f t="shared" si="65"/>
        <v/>
      </c>
      <c r="CK18" s="26">
        <f t="shared" si="66"/>
        <v>80</v>
      </c>
      <c r="CL18" s="26" t="str">
        <f t="shared" si="83"/>
        <v/>
      </c>
      <c r="CM18" s="24" t="str">
        <f t="shared" si="84"/>
        <v/>
      </c>
      <c r="CN18" s="26">
        <f t="shared" si="67"/>
        <v>4</v>
      </c>
      <c r="CO18" s="24">
        <f t="shared" si="68"/>
        <v>20</v>
      </c>
      <c r="CP18" s="26">
        <f t="shared" si="69"/>
        <v>1690.2833333333328</v>
      </c>
      <c r="CQ18" s="26">
        <f t="shared" si="70"/>
        <v>58.5</v>
      </c>
      <c r="CR18" s="26">
        <f t="shared" si="85"/>
        <v>84.51416666666664</v>
      </c>
      <c r="CS18" s="24" t="str">
        <f t="shared" si="86"/>
        <v>B</v>
      </c>
      <c r="CT18" s="27">
        <f t="shared" si="71"/>
        <v>2.9249999999999998</v>
      </c>
      <c r="CU18" s="24">
        <f t="shared" si="72"/>
        <v>40</v>
      </c>
      <c r="CV18" s="26">
        <f t="shared" si="73"/>
        <v>3543.7166666666662</v>
      </c>
      <c r="CW18" s="26">
        <f t="shared" si="74"/>
        <v>138.5</v>
      </c>
      <c r="CX18" s="26">
        <f t="shared" si="87"/>
        <v>88.592916666666653</v>
      </c>
      <c r="CY18" s="27" t="str">
        <f t="shared" si="88"/>
        <v>B</v>
      </c>
      <c r="CZ18" s="26">
        <f t="shared" si="75"/>
        <v>3.4624999999999999</v>
      </c>
      <c r="DA18" s="24">
        <f t="shared" si="76"/>
        <v>1</v>
      </c>
      <c r="DB18" s="24">
        <f t="shared" si="77"/>
        <v>0</v>
      </c>
      <c r="DC18" s="24">
        <f t="shared" si="78"/>
        <v>13</v>
      </c>
      <c r="DD18" s="24">
        <f t="shared" si="79"/>
        <v>50</v>
      </c>
      <c r="DE18" s="1">
        <v>0</v>
      </c>
      <c r="DF18" s="1">
        <v>0</v>
      </c>
      <c r="DG18" s="1">
        <v>0</v>
      </c>
      <c r="DH18" s="24">
        <f t="shared" si="80"/>
        <v>0</v>
      </c>
      <c r="DI18" s="25">
        <f t="shared" si="81"/>
        <v>1</v>
      </c>
      <c r="DK18" s="9"/>
      <c r="DL18" s="9"/>
      <c r="DM18" s="9"/>
      <c r="DN18" s="9"/>
      <c r="DO18" s="9"/>
      <c r="DP18" s="9"/>
      <c r="DQ18" s="136" t="b">
        <f t="shared" si="82"/>
        <v>0</v>
      </c>
    </row>
    <row r="19" spans="1:121" ht="27" customHeight="1" x14ac:dyDescent="1.25">
      <c r="A19" s="24">
        <f t="shared" si="89"/>
        <v>5</v>
      </c>
      <c r="B19" s="66" t="s">
        <v>133</v>
      </c>
      <c r="C19" s="67" t="s">
        <v>134</v>
      </c>
      <c r="D19" s="68" t="s">
        <v>124</v>
      </c>
      <c r="E19" s="154">
        <v>694</v>
      </c>
      <c r="F19" s="68" t="s">
        <v>237</v>
      </c>
      <c r="G19" s="7">
        <v>73.333333333333343</v>
      </c>
      <c r="H19" s="7">
        <v>77.166666666666671</v>
      </c>
      <c r="I19" s="7">
        <v>79.733333333333334</v>
      </c>
      <c r="J19" s="7">
        <v>69.333333333333343</v>
      </c>
      <c r="K19" s="7">
        <v>81.5</v>
      </c>
      <c r="L19" s="7">
        <v>81.466666666666669</v>
      </c>
      <c r="M19" s="7">
        <v>77.900000000000006</v>
      </c>
      <c r="N19" s="7">
        <v>96</v>
      </c>
      <c r="O19" s="7">
        <v>96</v>
      </c>
      <c r="P19" s="7">
        <v>59.9</v>
      </c>
      <c r="Q19" s="7">
        <v>59.9</v>
      </c>
      <c r="R19" s="7">
        <v>54.12</v>
      </c>
      <c r="S19" s="7">
        <v>64.3</v>
      </c>
      <c r="T19" s="7">
        <v>78.5</v>
      </c>
      <c r="U19" s="7">
        <v>78.166666666666671</v>
      </c>
      <c r="V19" s="7">
        <v>79.166666666666657</v>
      </c>
      <c r="W19" s="3" t="str">
        <f t="shared" si="0"/>
        <v>C</v>
      </c>
      <c r="X19" s="3" t="str">
        <f t="shared" si="1"/>
        <v>C</v>
      </c>
      <c r="Y19" s="3" t="str">
        <f t="shared" si="2"/>
        <v>C</v>
      </c>
      <c r="Z19" s="3" t="str">
        <f t="shared" si="3"/>
        <v>D</v>
      </c>
      <c r="AA19" s="3" t="str">
        <f t="shared" si="4"/>
        <v>B</v>
      </c>
      <c r="AB19" s="3" t="str">
        <f t="shared" si="5"/>
        <v>B</v>
      </c>
      <c r="AC19" s="3" t="str">
        <f t="shared" si="6"/>
        <v>C</v>
      </c>
      <c r="AD19" s="3" t="str">
        <f t="shared" si="7"/>
        <v>A</v>
      </c>
      <c r="AE19" s="3" t="str">
        <f t="shared" si="8"/>
        <v>A</v>
      </c>
      <c r="AF19" s="24" t="str">
        <f t="shared" si="9"/>
        <v>E</v>
      </c>
      <c r="AG19" s="24" t="str">
        <f t="shared" si="10"/>
        <v>E</v>
      </c>
      <c r="AH19" s="24" t="str">
        <f t="shared" si="11"/>
        <v>E</v>
      </c>
      <c r="AI19" s="24" t="str">
        <f t="shared" si="12"/>
        <v>D</v>
      </c>
      <c r="AJ19" s="24" t="str">
        <f t="shared" si="13"/>
        <v>C</v>
      </c>
      <c r="AK19" s="24" t="str">
        <f t="shared" si="14"/>
        <v>C</v>
      </c>
      <c r="AL19" s="24" t="str">
        <f t="shared" si="15"/>
        <v>C</v>
      </c>
      <c r="AM19" s="24">
        <f t="shared" si="16"/>
        <v>2</v>
      </c>
      <c r="AN19" s="24">
        <f t="shared" si="17"/>
        <v>2</v>
      </c>
      <c r="AO19" s="24">
        <f t="shared" si="18"/>
        <v>3</v>
      </c>
      <c r="AP19" s="24">
        <f t="shared" si="19"/>
        <v>1</v>
      </c>
      <c r="AQ19" s="24">
        <f t="shared" si="20"/>
        <v>5</v>
      </c>
      <c r="AR19" s="24">
        <f t="shared" si="21"/>
        <v>3</v>
      </c>
      <c r="AS19" s="24">
        <f t="shared" si="22"/>
        <v>2</v>
      </c>
      <c r="AT19" s="24">
        <f t="shared" si="23"/>
        <v>1</v>
      </c>
      <c r="AU19" s="24">
        <f t="shared" si="24"/>
        <v>1</v>
      </c>
      <c r="AV19" s="24">
        <f t="shared" si="25"/>
        <v>5</v>
      </c>
      <c r="AW19" s="24">
        <f t="shared" si="26"/>
        <v>1</v>
      </c>
      <c r="AX19" s="24">
        <f t="shared" si="27"/>
        <v>5</v>
      </c>
      <c r="AY19" s="24">
        <f t="shared" si="28"/>
        <v>3</v>
      </c>
      <c r="AZ19" s="24">
        <f t="shared" si="29"/>
        <v>2</v>
      </c>
      <c r="BA19" s="24">
        <f t="shared" si="30"/>
        <v>2</v>
      </c>
      <c r="BB19" s="24">
        <f t="shared" si="31"/>
        <v>2</v>
      </c>
      <c r="BC19" s="26">
        <f t="shared" si="32"/>
        <v>146.66666666666669</v>
      </c>
      <c r="BD19" s="26">
        <f t="shared" si="33"/>
        <v>154.33333333333334</v>
      </c>
      <c r="BE19" s="26">
        <f t="shared" si="34"/>
        <v>239.2</v>
      </c>
      <c r="BF19" s="26">
        <f t="shared" si="35"/>
        <v>69.333333333333343</v>
      </c>
      <c r="BG19" s="26">
        <f t="shared" si="36"/>
        <v>407.5</v>
      </c>
      <c r="BH19" s="26">
        <f t="shared" si="37"/>
        <v>244.4</v>
      </c>
      <c r="BI19" s="26">
        <f t="shared" si="38"/>
        <v>155.80000000000001</v>
      </c>
      <c r="BJ19" s="26">
        <f t="shared" si="39"/>
        <v>96</v>
      </c>
      <c r="BK19" s="26">
        <f t="shared" si="40"/>
        <v>96</v>
      </c>
      <c r="BL19" s="26">
        <f t="shared" si="41"/>
        <v>299.5</v>
      </c>
      <c r="BM19" s="26">
        <f t="shared" si="42"/>
        <v>59.9</v>
      </c>
      <c r="BN19" s="26">
        <f t="shared" si="43"/>
        <v>270.59999999999997</v>
      </c>
      <c r="BO19" s="26">
        <f t="shared" si="44"/>
        <v>192.89999999999998</v>
      </c>
      <c r="BP19" s="26">
        <f t="shared" si="45"/>
        <v>157</v>
      </c>
      <c r="BQ19" s="26">
        <f t="shared" si="46"/>
        <v>156.33333333333334</v>
      </c>
      <c r="BR19" s="26">
        <f t="shared" si="47"/>
        <v>158.33333333333331</v>
      </c>
      <c r="BS19" s="24">
        <f t="shared" si="48"/>
        <v>4</v>
      </c>
      <c r="BT19" s="24">
        <f t="shared" si="49"/>
        <v>4</v>
      </c>
      <c r="BU19" s="24">
        <f t="shared" si="50"/>
        <v>6</v>
      </c>
      <c r="BV19" s="24">
        <f t="shared" si="51"/>
        <v>1.5</v>
      </c>
      <c r="BW19" s="24">
        <f t="shared" si="52"/>
        <v>15</v>
      </c>
      <c r="BX19" s="24">
        <f t="shared" si="53"/>
        <v>9</v>
      </c>
      <c r="BY19" s="24">
        <f t="shared" si="54"/>
        <v>4</v>
      </c>
      <c r="BZ19" s="24">
        <f t="shared" si="55"/>
        <v>4</v>
      </c>
      <c r="CA19" s="24">
        <f t="shared" si="56"/>
        <v>4</v>
      </c>
      <c r="CB19" s="24">
        <f t="shared" si="57"/>
        <v>5</v>
      </c>
      <c r="CC19" s="24">
        <f t="shared" si="58"/>
        <v>1</v>
      </c>
      <c r="CD19" s="24">
        <f t="shared" si="59"/>
        <v>5</v>
      </c>
      <c r="CE19" s="24">
        <f t="shared" si="60"/>
        <v>4.5</v>
      </c>
      <c r="CF19" s="24">
        <f t="shared" si="61"/>
        <v>4</v>
      </c>
      <c r="CG19" s="24">
        <f t="shared" si="62"/>
        <v>4</v>
      </c>
      <c r="CH19" s="24">
        <f t="shared" si="63"/>
        <v>4</v>
      </c>
      <c r="CI19" s="24">
        <f t="shared" si="64"/>
        <v>20</v>
      </c>
      <c r="CJ19" s="26" t="str">
        <f t="shared" si="65"/>
        <v/>
      </c>
      <c r="CK19" s="26">
        <f t="shared" si="66"/>
        <v>51.5</v>
      </c>
      <c r="CL19" s="26" t="str">
        <f t="shared" si="83"/>
        <v/>
      </c>
      <c r="CM19" s="24" t="str">
        <f t="shared" si="84"/>
        <v/>
      </c>
      <c r="CN19" s="26">
        <f t="shared" si="67"/>
        <v>2.5750000000000002</v>
      </c>
      <c r="CO19" s="24">
        <f t="shared" si="68"/>
        <v>20</v>
      </c>
      <c r="CP19" s="26">
        <f t="shared" si="69"/>
        <v>1294.5666666666666</v>
      </c>
      <c r="CQ19" s="26">
        <f t="shared" si="70"/>
        <v>27.5</v>
      </c>
      <c r="CR19" s="26">
        <f t="shared" si="85"/>
        <v>64.728333333333325</v>
      </c>
      <c r="CS19" s="24" t="str">
        <f t="shared" si="86"/>
        <v>D</v>
      </c>
      <c r="CT19" s="27">
        <f t="shared" si="71"/>
        <v>1.375</v>
      </c>
      <c r="CU19" s="24">
        <f t="shared" si="72"/>
        <v>40</v>
      </c>
      <c r="CV19" s="26">
        <f t="shared" si="73"/>
        <v>2903.8000000000006</v>
      </c>
      <c r="CW19" s="26">
        <f t="shared" si="74"/>
        <v>79</v>
      </c>
      <c r="CX19" s="26">
        <f t="shared" si="87"/>
        <v>72.595000000000013</v>
      </c>
      <c r="CY19" s="27" t="str">
        <f t="shared" si="88"/>
        <v>C</v>
      </c>
      <c r="CZ19" s="26">
        <f t="shared" si="75"/>
        <v>1.9750000000000001</v>
      </c>
      <c r="DA19" s="24">
        <f t="shared" si="76"/>
        <v>10</v>
      </c>
      <c r="DB19" s="24">
        <f t="shared" si="77"/>
        <v>0</v>
      </c>
      <c r="DC19" s="24">
        <f t="shared" si="78"/>
        <v>13</v>
      </c>
      <c r="DD19" s="24">
        <f t="shared" si="79"/>
        <v>50</v>
      </c>
      <c r="DE19" s="1">
        <v>0</v>
      </c>
      <c r="DF19" s="1">
        <v>0</v>
      </c>
      <c r="DG19" s="1">
        <v>0</v>
      </c>
      <c r="DH19" s="24">
        <f t="shared" si="80"/>
        <v>0</v>
      </c>
      <c r="DI19" s="25">
        <f t="shared" si="81"/>
        <v>1</v>
      </c>
      <c r="DK19" s="9"/>
      <c r="DL19" s="9"/>
      <c r="DM19" s="9"/>
      <c r="DN19" s="9"/>
      <c r="DO19" s="9"/>
      <c r="DP19" s="9"/>
      <c r="DQ19" s="136" t="b">
        <f t="shared" si="82"/>
        <v>0</v>
      </c>
    </row>
    <row r="20" spans="1:121" ht="27" customHeight="1" x14ac:dyDescent="1.25">
      <c r="A20" s="24">
        <f t="shared" si="89"/>
        <v>6</v>
      </c>
      <c r="B20" s="66" t="s">
        <v>135</v>
      </c>
      <c r="C20" s="67" t="s">
        <v>136</v>
      </c>
      <c r="D20" s="68" t="s">
        <v>125</v>
      </c>
      <c r="E20" s="154">
        <v>720</v>
      </c>
      <c r="F20" s="68" t="s">
        <v>237</v>
      </c>
      <c r="G20" s="7">
        <v>90</v>
      </c>
      <c r="H20" s="7">
        <v>91.6</v>
      </c>
      <c r="I20" s="7">
        <v>90.066666666666677</v>
      </c>
      <c r="J20" s="7">
        <v>91.333333333333343</v>
      </c>
      <c r="K20" s="7">
        <v>93.466666666666683</v>
      </c>
      <c r="L20" s="7">
        <v>92.033333333333331</v>
      </c>
      <c r="M20" s="7">
        <v>91.166666666666671</v>
      </c>
      <c r="N20" s="7">
        <v>98</v>
      </c>
      <c r="O20" s="7">
        <v>98</v>
      </c>
      <c r="P20" s="7">
        <v>65.599999999999994</v>
      </c>
      <c r="Q20" s="7">
        <v>65.599999999999994</v>
      </c>
      <c r="R20" s="7">
        <v>72.56</v>
      </c>
      <c r="S20" s="7">
        <v>62.57</v>
      </c>
      <c r="T20" s="7">
        <v>87.5</v>
      </c>
      <c r="U20" s="7">
        <v>97</v>
      </c>
      <c r="V20" s="7">
        <v>92.333333333333343</v>
      </c>
      <c r="W20" s="3" t="str">
        <f t="shared" si="0"/>
        <v>A</v>
      </c>
      <c r="X20" s="3" t="str">
        <f t="shared" si="1"/>
        <v>A</v>
      </c>
      <c r="Y20" s="3" t="str">
        <f t="shared" si="2"/>
        <v>A</v>
      </c>
      <c r="Z20" s="3" t="str">
        <f t="shared" si="3"/>
        <v>A</v>
      </c>
      <c r="AA20" s="3" t="str">
        <f t="shared" si="4"/>
        <v>A</v>
      </c>
      <c r="AB20" s="3" t="str">
        <f t="shared" si="5"/>
        <v>A</v>
      </c>
      <c r="AC20" s="3" t="str">
        <f t="shared" si="6"/>
        <v>A</v>
      </c>
      <c r="AD20" s="3" t="str">
        <f t="shared" si="7"/>
        <v>A</v>
      </c>
      <c r="AE20" s="3" t="str">
        <f t="shared" si="8"/>
        <v>A</v>
      </c>
      <c r="AF20" s="24" t="str">
        <f t="shared" si="9"/>
        <v>D</v>
      </c>
      <c r="AG20" s="24" t="str">
        <f t="shared" si="10"/>
        <v>D</v>
      </c>
      <c r="AH20" s="24" t="str">
        <f t="shared" si="11"/>
        <v>C</v>
      </c>
      <c r="AI20" s="24" t="str">
        <f t="shared" si="12"/>
        <v>D</v>
      </c>
      <c r="AJ20" s="24" t="str">
        <f t="shared" si="13"/>
        <v>B</v>
      </c>
      <c r="AK20" s="24" t="str">
        <f t="shared" si="14"/>
        <v>A</v>
      </c>
      <c r="AL20" s="24" t="str">
        <f t="shared" si="15"/>
        <v>A</v>
      </c>
      <c r="AM20" s="24">
        <f t="shared" si="16"/>
        <v>2</v>
      </c>
      <c r="AN20" s="24">
        <f t="shared" si="17"/>
        <v>2</v>
      </c>
      <c r="AO20" s="24">
        <f t="shared" si="18"/>
        <v>3</v>
      </c>
      <c r="AP20" s="24">
        <f t="shared" si="19"/>
        <v>1</v>
      </c>
      <c r="AQ20" s="24">
        <f t="shared" si="20"/>
        <v>5</v>
      </c>
      <c r="AR20" s="24">
        <f t="shared" si="21"/>
        <v>3</v>
      </c>
      <c r="AS20" s="24">
        <f t="shared" si="22"/>
        <v>2</v>
      </c>
      <c r="AT20" s="24">
        <f t="shared" si="23"/>
        <v>1</v>
      </c>
      <c r="AU20" s="24">
        <f t="shared" si="24"/>
        <v>1</v>
      </c>
      <c r="AV20" s="24">
        <f t="shared" si="25"/>
        <v>5</v>
      </c>
      <c r="AW20" s="24">
        <f t="shared" si="26"/>
        <v>1</v>
      </c>
      <c r="AX20" s="24">
        <f t="shared" si="27"/>
        <v>5</v>
      </c>
      <c r="AY20" s="24">
        <f t="shared" si="28"/>
        <v>3</v>
      </c>
      <c r="AZ20" s="24">
        <f t="shared" si="29"/>
        <v>2</v>
      </c>
      <c r="BA20" s="24">
        <f t="shared" si="30"/>
        <v>2</v>
      </c>
      <c r="BB20" s="24">
        <f t="shared" si="31"/>
        <v>2</v>
      </c>
      <c r="BC20" s="26">
        <f t="shared" si="32"/>
        <v>180</v>
      </c>
      <c r="BD20" s="26">
        <f t="shared" si="33"/>
        <v>183.2</v>
      </c>
      <c r="BE20" s="26">
        <f t="shared" si="34"/>
        <v>270.20000000000005</v>
      </c>
      <c r="BF20" s="26">
        <f t="shared" si="35"/>
        <v>91.333333333333343</v>
      </c>
      <c r="BG20" s="26">
        <f t="shared" si="36"/>
        <v>467.33333333333343</v>
      </c>
      <c r="BH20" s="26">
        <f t="shared" si="37"/>
        <v>276.10000000000002</v>
      </c>
      <c r="BI20" s="26">
        <f t="shared" si="38"/>
        <v>182.33333333333334</v>
      </c>
      <c r="BJ20" s="26">
        <f t="shared" si="39"/>
        <v>98</v>
      </c>
      <c r="BK20" s="26">
        <f t="shared" si="40"/>
        <v>98</v>
      </c>
      <c r="BL20" s="26">
        <f t="shared" si="41"/>
        <v>328</v>
      </c>
      <c r="BM20" s="26">
        <f t="shared" si="42"/>
        <v>65.599999999999994</v>
      </c>
      <c r="BN20" s="26">
        <f t="shared" si="43"/>
        <v>362.8</v>
      </c>
      <c r="BO20" s="26">
        <f t="shared" si="44"/>
        <v>187.71</v>
      </c>
      <c r="BP20" s="26">
        <f t="shared" si="45"/>
        <v>175</v>
      </c>
      <c r="BQ20" s="26">
        <f t="shared" si="46"/>
        <v>194</v>
      </c>
      <c r="BR20" s="26">
        <f t="shared" si="47"/>
        <v>184.66666666666669</v>
      </c>
      <c r="BS20" s="24">
        <f t="shared" si="48"/>
        <v>8</v>
      </c>
      <c r="BT20" s="24">
        <f t="shared" si="49"/>
        <v>8</v>
      </c>
      <c r="BU20" s="24">
        <f t="shared" si="50"/>
        <v>12</v>
      </c>
      <c r="BV20" s="24">
        <f t="shared" si="51"/>
        <v>4</v>
      </c>
      <c r="BW20" s="24">
        <f t="shared" si="52"/>
        <v>20</v>
      </c>
      <c r="BX20" s="24">
        <f t="shared" si="53"/>
        <v>12</v>
      </c>
      <c r="BY20" s="24">
        <f t="shared" si="54"/>
        <v>8</v>
      </c>
      <c r="BZ20" s="24">
        <f t="shared" si="55"/>
        <v>4</v>
      </c>
      <c r="CA20" s="24">
        <f t="shared" si="56"/>
        <v>4</v>
      </c>
      <c r="CB20" s="24">
        <f t="shared" si="57"/>
        <v>7.5</v>
      </c>
      <c r="CC20" s="24">
        <f t="shared" si="58"/>
        <v>1.5</v>
      </c>
      <c r="CD20" s="24">
        <f t="shared" si="59"/>
        <v>10</v>
      </c>
      <c r="CE20" s="24">
        <f t="shared" si="60"/>
        <v>4.5</v>
      </c>
      <c r="CF20" s="24">
        <f t="shared" si="61"/>
        <v>6</v>
      </c>
      <c r="CG20" s="24">
        <f t="shared" si="62"/>
        <v>8</v>
      </c>
      <c r="CH20" s="24">
        <f t="shared" si="63"/>
        <v>8</v>
      </c>
      <c r="CI20" s="24">
        <f t="shared" si="64"/>
        <v>20</v>
      </c>
      <c r="CJ20" s="26" t="str">
        <f t="shared" si="65"/>
        <v/>
      </c>
      <c r="CK20" s="26">
        <f t="shared" si="66"/>
        <v>80</v>
      </c>
      <c r="CL20" s="26" t="str">
        <f t="shared" si="83"/>
        <v/>
      </c>
      <c r="CM20" s="24" t="str">
        <f t="shared" si="84"/>
        <v/>
      </c>
      <c r="CN20" s="26">
        <f t="shared" si="67"/>
        <v>4</v>
      </c>
      <c r="CO20" s="24">
        <f t="shared" si="68"/>
        <v>20</v>
      </c>
      <c r="CP20" s="26">
        <f t="shared" si="69"/>
        <v>1497.7766666666669</v>
      </c>
      <c r="CQ20" s="26">
        <f t="shared" si="70"/>
        <v>45.5</v>
      </c>
      <c r="CR20" s="26">
        <f t="shared" si="85"/>
        <v>74.888833333333338</v>
      </c>
      <c r="CS20" s="24" t="str">
        <f t="shared" si="86"/>
        <v>C</v>
      </c>
      <c r="CT20" s="27">
        <f t="shared" si="71"/>
        <v>2.2749999999999999</v>
      </c>
      <c r="CU20" s="24">
        <f t="shared" si="72"/>
        <v>40</v>
      </c>
      <c r="CV20" s="26">
        <f t="shared" si="73"/>
        <v>3344.2766666666666</v>
      </c>
      <c r="CW20" s="26">
        <f t="shared" si="74"/>
        <v>125.5</v>
      </c>
      <c r="CX20" s="26">
        <f t="shared" si="87"/>
        <v>83.606916666666663</v>
      </c>
      <c r="CY20" s="27" t="str">
        <f t="shared" si="88"/>
        <v>B</v>
      </c>
      <c r="CZ20" s="26">
        <f t="shared" si="75"/>
        <v>3.1375000000000002</v>
      </c>
      <c r="DA20" s="24">
        <f t="shared" si="76"/>
        <v>3</v>
      </c>
      <c r="DB20" s="24">
        <f t="shared" si="77"/>
        <v>0</v>
      </c>
      <c r="DC20" s="24">
        <f t="shared" si="78"/>
        <v>13</v>
      </c>
      <c r="DD20" s="24">
        <f t="shared" si="79"/>
        <v>50</v>
      </c>
      <c r="DE20" s="1">
        <v>0</v>
      </c>
      <c r="DF20" s="1">
        <v>0</v>
      </c>
      <c r="DG20" s="1">
        <v>0</v>
      </c>
      <c r="DH20" s="24">
        <f t="shared" si="80"/>
        <v>0</v>
      </c>
      <c r="DI20" s="25">
        <f t="shared" si="81"/>
        <v>1</v>
      </c>
      <c r="DK20" s="9"/>
      <c r="DL20" s="9"/>
      <c r="DM20" s="9"/>
      <c r="DN20" s="9"/>
      <c r="DO20" s="9"/>
      <c r="DP20" s="9"/>
      <c r="DQ20" s="136" t="b">
        <f t="shared" si="82"/>
        <v>0</v>
      </c>
    </row>
    <row r="21" spans="1:121" ht="27" customHeight="1" x14ac:dyDescent="1.25">
      <c r="A21" s="24">
        <f t="shared" si="89"/>
        <v>7</v>
      </c>
      <c r="B21" s="66" t="s">
        <v>137</v>
      </c>
      <c r="C21" s="67" t="s">
        <v>138</v>
      </c>
      <c r="D21" s="68" t="s">
        <v>124</v>
      </c>
      <c r="E21" s="154">
        <v>690</v>
      </c>
      <c r="F21" s="68" t="s">
        <v>237</v>
      </c>
      <c r="G21" s="7">
        <v>82</v>
      </c>
      <c r="H21" s="7">
        <v>83.9</v>
      </c>
      <c r="I21" s="7">
        <v>86.4</v>
      </c>
      <c r="J21" s="7">
        <v>80.666666666666657</v>
      </c>
      <c r="K21" s="7">
        <v>86.066666666666663</v>
      </c>
      <c r="L21" s="7">
        <v>85.4</v>
      </c>
      <c r="M21" s="7">
        <v>84.7</v>
      </c>
      <c r="N21" s="7">
        <v>98</v>
      </c>
      <c r="O21" s="7">
        <v>98</v>
      </c>
      <c r="P21" s="7">
        <v>59.753333333333337</v>
      </c>
      <c r="Q21" s="7">
        <v>59.753333333333337</v>
      </c>
      <c r="R21" s="7">
        <v>72.066666666666606</v>
      </c>
      <c r="S21" s="7">
        <v>74.48</v>
      </c>
      <c r="T21" s="7">
        <v>77.5</v>
      </c>
      <c r="U21" s="7">
        <v>97.8</v>
      </c>
      <c r="V21" s="7">
        <v>98</v>
      </c>
      <c r="W21" s="3" t="str">
        <f t="shared" si="0"/>
        <v>B</v>
      </c>
      <c r="X21" s="3" t="str">
        <f t="shared" si="1"/>
        <v>B</v>
      </c>
      <c r="Y21" s="3" t="str">
        <f t="shared" si="2"/>
        <v>B</v>
      </c>
      <c r="Z21" s="3" t="str">
        <f t="shared" si="3"/>
        <v>B</v>
      </c>
      <c r="AA21" s="3" t="str">
        <f t="shared" si="4"/>
        <v>B</v>
      </c>
      <c r="AB21" s="3" t="str">
        <f t="shared" si="5"/>
        <v>B</v>
      </c>
      <c r="AC21" s="3" t="str">
        <f t="shared" si="6"/>
        <v>B</v>
      </c>
      <c r="AD21" s="3" t="str">
        <f t="shared" si="7"/>
        <v>A</v>
      </c>
      <c r="AE21" s="3" t="str">
        <f t="shared" si="8"/>
        <v>A</v>
      </c>
      <c r="AF21" s="24" t="str">
        <f t="shared" si="9"/>
        <v>E</v>
      </c>
      <c r="AG21" s="24" t="str">
        <f t="shared" si="10"/>
        <v>E</v>
      </c>
      <c r="AH21" s="24" t="str">
        <f t="shared" si="11"/>
        <v>C</v>
      </c>
      <c r="AI21" s="24" t="str">
        <f t="shared" si="12"/>
        <v>C</v>
      </c>
      <c r="AJ21" s="24" t="str">
        <f t="shared" si="13"/>
        <v>C</v>
      </c>
      <c r="AK21" s="24" t="str">
        <f t="shared" si="14"/>
        <v>A</v>
      </c>
      <c r="AL21" s="24" t="str">
        <f t="shared" si="15"/>
        <v>A</v>
      </c>
      <c r="AM21" s="24">
        <f t="shared" si="16"/>
        <v>2</v>
      </c>
      <c r="AN21" s="24">
        <f t="shared" si="17"/>
        <v>2</v>
      </c>
      <c r="AO21" s="24">
        <f t="shared" si="18"/>
        <v>3</v>
      </c>
      <c r="AP21" s="24">
        <f t="shared" si="19"/>
        <v>1</v>
      </c>
      <c r="AQ21" s="24">
        <f t="shared" si="20"/>
        <v>5</v>
      </c>
      <c r="AR21" s="24">
        <f t="shared" si="21"/>
        <v>3</v>
      </c>
      <c r="AS21" s="24">
        <f t="shared" si="22"/>
        <v>2</v>
      </c>
      <c r="AT21" s="24">
        <f t="shared" si="23"/>
        <v>1</v>
      </c>
      <c r="AU21" s="24">
        <f t="shared" si="24"/>
        <v>1</v>
      </c>
      <c r="AV21" s="24">
        <f t="shared" si="25"/>
        <v>5</v>
      </c>
      <c r="AW21" s="24">
        <f t="shared" si="26"/>
        <v>1</v>
      </c>
      <c r="AX21" s="24">
        <f t="shared" si="27"/>
        <v>5</v>
      </c>
      <c r="AY21" s="24">
        <f t="shared" si="28"/>
        <v>3</v>
      </c>
      <c r="AZ21" s="24">
        <f t="shared" si="29"/>
        <v>2</v>
      </c>
      <c r="BA21" s="24">
        <f t="shared" si="30"/>
        <v>2</v>
      </c>
      <c r="BB21" s="24">
        <f t="shared" si="31"/>
        <v>2</v>
      </c>
      <c r="BC21" s="26">
        <f t="shared" si="32"/>
        <v>164</v>
      </c>
      <c r="BD21" s="26">
        <f t="shared" si="33"/>
        <v>167.8</v>
      </c>
      <c r="BE21" s="26">
        <f t="shared" si="34"/>
        <v>259.20000000000005</v>
      </c>
      <c r="BF21" s="26">
        <f t="shared" si="35"/>
        <v>80.666666666666657</v>
      </c>
      <c r="BG21" s="26">
        <f t="shared" si="36"/>
        <v>430.33333333333331</v>
      </c>
      <c r="BH21" s="26">
        <f t="shared" si="37"/>
        <v>256.20000000000005</v>
      </c>
      <c r="BI21" s="26">
        <f t="shared" si="38"/>
        <v>169.4</v>
      </c>
      <c r="BJ21" s="26">
        <f t="shared" si="39"/>
        <v>98</v>
      </c>
      <c r="BK21" s="26">
        <f t="shared" si="40"/>
        <v>98</v>
      </c>
      <c r="BL21" s="26">
        <f t="shared" si="41"/>
        <v>298.76666666666671</v>
      </c>
      <c r="BM21" s="26">
        <f t="shared" si="42"/>
        <v>59.753333333333337</v>
      </c>
      <c r="BN21" s="26">
        <f t="shared" si="43"/>
        <v>360.33333333333303</v>
      </c>
      <c r="BO21" s="26">
        <f t="shared" si="44"/>
        <v>223.44</v>
      </c>
      <c r="BP21" s="26">
        <f t="shared" si="45"/>
        <v>155</v>
      </c>
      <c r="BQ21" s="26">
        <f t="shared" si="46"/>
        <v>195.6</v>
      </c>
      <c r="BR21" s="26">
        <f t="shared" si="47"/>
        <v>196</v>
      </c>
      <c r="BS21" s="24">
        <f t="shared" si="48"/>
        <v>6</v>
      </c>
      <c r="BT21" s="24">
        <f t="shared" si="49"/>
        <v>6</v>
      </c>
      <c r="BU21" s="24">
        <f t="shared" si="50"/>
        <v>9</v>
      </c>
      <c r="BV21" s="24">
        <f t="shared" si="51"/>
        <v>3</v>
      </c>
      <c r="BW21" s="24">
        <f t="shared" si="52"/>
        <v>15</v>
      </c>
      <c r="BX21" s="24">
        <f t="shared" si="53"/>
        <v>9</v>
      </c>
      <c r="BY21" s="24">
        <f t="shared" si="54"/>
        <v>6</v>
      </c>
      <c r="BZ21" s="24">
        <f t="shared" si="55"/>
        <v>4</v>
      </c>
      <c r="CA21" s="24">
        <f t="shared" si="56"/>
        <v>4</v>
      </c>
      <c r="CB21" s="24">
        <f t="shared" si="57"/>
        <v>5</v>
      </c>
      <c r="CC21" s="24">
        <f t="shared" si="58"/>
        <v>1</v>
      </c>
      <c r="CD21" s="24">
        <f t="shared" si="59"/>
        <v>10</v>
      </c>
      <c r="CE21" s="24">
        <f t="shared" si="60"/>
        <v>6</v>
      </c>
      <c r="CF21" s="24">
        <f t="shared" si="61"/>
        <v>4</v>
      </c>
      <c r="CG21" s="24">
        <f t="shared" si="62"/>
        <v>8</v>
      </c>
      <c r="CH21" s="24">
        <f t="shared" si="63"/>
        <v>8</v>
      </c>
      <c r="CI21" s="24">
        <f t="shared" si="64"/>
        <v>20</v>
      </c>
      <c r="CJ21" s="26" t="str">
        <f t="shared" si="65"/>
        <v/>
      </c>
      <c r="CK21" s="26">
        <f t="shared" si="66"/>
        <v>62</v>
      </c>
      <c r="CL21" s="26" t="str">
        <f t="shared" si="83"/>
        <v/>
      </c>
      <c r="CM21" s="24" t="str">
        <f t="shared" si="84"/>
        <v/>
      </c>
      <c r="CN21" s="26">
        <f t="shared" si="67"/>
        <v>3.1</v>
      </c>
      <c r="CO21" s="24">
        <f t="shared" si="68"/>
        <v>20</v>
      </c>
      <c r="CP21" s="26">
        <f t="shared" si="69"/>
        <v>1488.893333333333</v>
      </c>
      <c r="CQ21" s="26">
        <f t="shared" si="70"/>
        <v>42</v>
      </c>
      <c r="CR21" s="26">
        <f t="shared" si="85"/>
        <v>74.444666666666649</v>
      </c>
      <c r="CS21" s="24" t="str">
        <f t="shared" si="86"/>
        <v>C</v>
      </c>
      <c r="CT21" s="27">
        <f t="shared" si="71"/>
        <v>2.1</v>
      </c>
      <c r="CU21" s="24">
        <f t="shared" si="72"/>
        <v>40</v>
      </c>
      <c r="CV21" s="26">
        <f t="shared" si="73"/>
        <v>3212.4933333333333</v>
      </c>
      <c r="CW21" s="26">
        <f t="shared" si="74"/>
        <v>104</v>
      </c>
      <c r="CX21" s="26">
        <f t="shared" si="87"/>
        <v>80.312333333333328</v>
      </c>
      <c r="CY21" s="27" t="str">
        <f t="shared" si="88"/>
        <v>B</v>
      </c>
      <c r="CZ21" s="26">
        <f t="shared" si="75"/>
        <v>2.6</v>
      </c>
      <c r="DA21" s="24">
        <f t="shared" si="76"/>
        <v>8</v>
      </c>
      <c r="DB21" s="24">
        <f t="shared" si="77"/>
        <v>0</v>
      </c>
      <c r="DC21" s="24">
        <f t="shared" si="78"/>
        <v>13</v>
      </c>
      <c r="DD21" s="24">
        <f t="shared" si="79"/>
        <v>50</v>
      </c>
      <c r="DE21" s="1">
        <v>0</v>
      </c>
      <c r="DF21" s="1">
        <v>0</v>
      </c>
      <c r="DG21" s="1">
        <v>0</v>
      </c>
      <c r="DH21" s="24">
        <f t="shared" si="80"/>
        <v>0</v>
      </c>
      <c r="DI21" s="25">
        <f t="shared" si="81"/>
        <v>1</v>
      </c>
      <c r="DK21" s="9"/>
      <c r="DL21" s="9"/>
      <c r="DM21" s="9"/>
      <c r="DN21" s="9"/>
      <c r="DO21" s="9"/>
      <c r="DP21" s="9"/>
      <c r="DQ21" s="136" t="b">
        <f t="shared" si="82"/>
        <v>0</v>
      </c>
    </row>
    <row r="22" spans="1:121" ht="27" customHeight="1" x14ac:dyDescent="1.25">
      <c r="A22" s="24">
        <f t="shared" si="89"/>
        <v>8</v>
      </c>
      <c r="B22" s="66" t="s">
        <v>139</v>
      </c>
      <c r="C22" s="67" t="s">
        <v>140</v>
      </c>
      <c r="D22" s="68" t="s">
        <v>125</v>
      </c>
      <c r="E22" s="154">
        <v>687</v>
      </c>
      <c r="F22" s="68" t="s">
        <v>237</v>
      </c>
      <c r="G22" s="7">
        <v>88.666666666666671</v>
      </c>
      <c r="H22" s="7">
        <v>90.933333333333337</v>
      </c>
      <c r="I22" s="7">
        <v>89.300000000000011</v>
      </c>
      <c r="J22" s="7">
        <v>86</v>
      </c>
      <c r="K22" s="7">
        <v>93.26666666666668</v>
      </c>
      <c r="L22" s="7">
        <v>89.6</v>
      </c>
      <c r="M22" s="7">
        <v>90.1</v>
      </c>
      <c r="N22" s="7">
        <v>98</v>
      </c>
      <c r="O22" s="7">
        <v>98</v>
      </c>
      <c r="P22" s="7">
        <v>81.960000000000008</v>
      </c>
      <c r="Q22" s="7">
        <v>81.960000000000008</v>
      </c>
      <c r="R22" s="7">
        <v>79.48</v>
      </c>
      <c r="S22" s="7">
        <v>82.68</v>
      </c>
      <c r="T22" s="7">
        <v>86</v>
      </c>
      <c r="U22" s="7">
        <v>97.333333333333343</v>
      </c>
      <c r="V22" s="7">
        <v>97.666666666666671</v>
      </c>
      <c r="W22" s="3" t="str">
        <f t="shared" si="0"/>
        <v>B</v>
      </c>
      <c r="X22" s="3" t="str">
        <f t="shared" si="1"/>
        <v>A</v>
      </c>
      <c r="Y22" s="3" t="str">
        <f t="shared" si="2"/>
        <v>B</v>
      </c>
      <c r="Z22" s="3" t="str">
        <f t="shared" si="3"/>
        <v>B</v>
      </c>
      <c r="AA22" s="3" t="str">
        <f t="shared" si="4"/>
        <v>A</v>
      </c>
      <c r="AB22" s="3" t="str">
        <f t="shared" si="5"/>
        <v>B</v>
      </c>
      <c r="AC22" s="3" t="str">
        <f t="shared" si="6"/>
        <v>A</v>
      </c>
      <c r="AD22" s="3" t="str">
        <f t="shared" si="7"/>
        <v>A</v>
      </c>
      <c r="AE22" s="3" t="str">
        <f t="shared" si="8"/>
        <v>A</v>
      </c>
      <c r="AF22" s="24" t="str">
        <f t="shared" si="9"/>
        <v>B</v>
      </c>
      <c r="AG22" s="24" t="str">
        <f t="shared" si="10"/>
        <v>B</v>
      </c>
      <c r="AH22" s="24" t="str">
        <f t="shared" si="11"/>
        <v>C</v>
      </c>
      <c r="AI22" s="24" t="str">
        <f t="shared" si="12"/>
        <v>B</v>
      </c>
      <c r="AJ22" s="24" t="str">
        <f t="shared" si="13"/>
        <v>B</v>
      </c>
      <c r="AK22" s="24" t="str">
        <f t="shared" si="14"/>
        <v>A</v>
      </c>
      <c r="AL22" s="24" t="str">
        <f t="shared" si="15"/>
        <v>A</v>
      </c>
      <c r="AM22" s="24">
        <f t="shared" si="16"/>
        <v>2</v>
      </c>
      <c r="AN22" s="24">
        <f t="shared" si="17"/>
        <v>2</v>
      </c>
      <c r="AO22" s="24">
        <f t="shared" si="18"/>
        <v>3</v>
      </c>
      <c r="AP22" s="24">
        <f t="shared" si="19"/>
        <v>1</v>
      </c>
      <c r="AQ22" s="24">
        <f t="shared" si="20"/>
        <v>5</v>
      </c>
      <c r="AR22" s="24">
        <f t="shared" si="21"/>
        <v>3</v>
      </c>
      <c r="AS22" s="24">
        <f t="shared" si="22"/>
        <v>2</v>
      </c>
      <c r="AT22" s="24">
        <f t="shared" si="23"/>
        <v>1</v>
      </c>
      <c r="AU22" s="24">
        <f t="shared" si="24"/>
        <v>1</v>
      </c>
      <c r="AV22" s="24">
        <f t="shared" si="25"/>
        <v>5</v>
      </c>
      <c r="AW22" s="24">
        <f t="shared" si="26"/>
        <v>1</v>
      </c>
      <c r="AX22" s="24">
        <f t="shared" si="27"/>
        <v>5</v>
      </c>
      <c r="AY22" s="24">
        <f t="shared" si="28"/>
        <v>3</v>
      </c>
      <c r="AZ22" s="24">
        <f t="shared" si="29"/>
        <v>2</v>
      </c>
      <c r="BA22" s="24">
        <f t="shared" si="30"/>
        <v>2</v>
      </c>
      <c r="BB22" s="24">
        <f t="shared" si="31"/>
        <v>2</v>
      </c>
      <c r="BC22" s="26">
        <f t="shared" si="32"/>
        <v>177.33333333333334</v>
      </c>
      <c r="BD22" s="26">
        <f t="shared" si="33"/>
        <v>181.86666666666667</v>
      </c>
      <c r="BE22" s="26">
        <f t="shared" si="34"/>
        <v>267.90000000000003</v>
      </c>
      <c r="BF22" s="26">
        <f t="shared" si="35"/>
        <v>86</v>
      </c>
      <c r="BG22" s="26">
        <f t="shared" si="36"/>
        <v>466.33333333333337</v>
      </c>
      <c r="BH22" s="26">
        <f t="shared" si="37"/>
        <v>268.79999999999995</v>
      </c>
      <c r="BI22" s="26">
        <f t="shared" si="38"/>
        <v>180.2</v>
      </c>
      <c r="BJ22" s="26">
        <f t="shared" si="39"/>
        <v>98</v>
      </c>
      <c r="BK22" s="26">
        <f t="shared" si="40"/>
        <v>98</v>
      </c>
      <c r="BL22" s="26">
        <f t="shared" si="41"/>
        <v>409.80000000000007</v>
      </c>
      <c r="BM22" s="26">
        <f t="shared" si="42"/>
        <v>81.960000000000008</v>
      </c>
      <c r="BN22" s="26">
        <f t="shared" si="43"/>
        <v>397.40000000000003</v>
      </c>
      <c r="BO22" s="26">
        <f t="shared" si="44"/>
        <v>248.04000000000002</v>
      </c>
      <c r="BP22" s="26">
        <f t="shared" si="45"/>
        <v>172</v>
      </c>
      <c r="BQ22" s="26">
        <f t="shared" si="46"/>
        <v>194.66666666666669</v>
      </c>
      <c r="BR22" s="26">
        <f t="shared" si="47"/>
        <v>195.33333333333334</v>
      </c>
      <c r="BS22" s="24">
        <f t="shared" si="48"/>
        <v>6</v>
      </c>
      <c r="BT22" s="24">
        <f t="shared" si="49"/>
        <v>8</v>
      </c>
      <c r="BU22" s="24">
        <f t="shared" si="50"/>
        <v>9</v>
      </c>
      <c r="BV22" s="24">
        <f t="shared" si="51"/>
        <v>3</v>
      </c>
      <c r="BW22" s="24">
        <f t="shared" si="52"/>
        <v>20</v>
      </c>
      <c r="BX22" s="24">
        <f t="shared" si="53"/>
        <v>9</v>
      </c>
      <c r="BY22" s="24">
        <f t="shared" si="54"/>
        <v>8</v>
      </c>
      <c r="BZ22" s="24">
        <f t="shared" si="55"/>
        <v>4</v>
      </c>
      <c r="CA22" s="24">
        <f t="shared" si="56"/>
        <v>4</v>
      </c>
      <c r="CB22" s="24">
        <f t="shared" si="57"/>
        <v>15</v>
      </c>
      <c r="CC22" s="24">
        <f t="shared" si="58"/>
        <v>3</v>
      </c>
      <c r="CD22" s="24">
        <f t="shared" si="59"/>
        <v>10</v>
      </c>
      <c r="CE22" s="24">
        <f t="shared" si="60"/>
        <v>9</v>
      </c>
      <c r="CF22" s="24">
        <f t="shared" si="61"/>
        <v>6</v>
      </c>
      <c r="CG22" s="24">
        <f t="shared" si="62"/>
        <v>8</v>
      </c>
      <c r="CH22" s="24">
        <f t="shared" si="63"/>
        <v>8</v>
      </c>
      <c r="CI22" s="24">
        <f t="shared" si="64"/>
        <v>20</v>
      </c>
      <c r="CJ22" s="26" t="str">
        <f t="shared" si="65"/>
        <v/>
      </c>
      <c r="CK22" s="26">
        <f t="shared" si="66"/>
        <v>71</v>
      </c>
      <c r="CL22" s="26" t="str">
        <f t="shared" si="83"/>
        <v/>
      </c>
      <c r="CM22" s="24" t="str">
        <f t="shared" si="84"/>
        <v/>
      </c>
      <c r="CN22" s="26">
        <f t="shared" si="67"/>
        <v>3.55</v>
      </c>
      <c r="CO22" s="24">
        <f t="shared" si="68"/>
        <v>20</v>
      </c>
      <c r="CP22" s="26">
        <f t="shared" si="69"/>
        <v>1699.2</v>
      </c>
      <c r="CQ22" s="26">
        <f t="shared" si="70"/>
        <v>59</v>
      </c>
      <c r="CR22" s="26">
        <f t="shared" si="85"/>
        <v>84.960000000000008</v>
      </c>
      <c r="CS22" s="24" t="str">
        <f t="shared" si="86"/>
        <v>B</v>
      </c>
      <c r="CT22" s="27">
        <f t="shared" si="71"/>
        <v>2.95</v>
      </c>
      <c r="CU22" s="24">
        <f t="shared" si="72"/>
        <v>40</v>
      </c>
      <c r="CV22" s="26">
        <f t="shared" si="73"/>
        <v>3523.6333333333337</v>
      </c>
      <c r="CW22" s="26">
        <f t="shared" si="74"/>
        <v>130</v>
      </c>
      <c r="CX22" s="26">
        <f t="shared" si="87"/>
        <v>88.090833333333336</v>
      </c>
      <c r="CY22" s="27" t="str">
        <f t="shared" si="88"/>
        <v>B</v>
      </c>
      <c r="CZ22" s="26">
        <f t="shared" si="75"/>
        <v>3.25</v>
      </c>
      <c r="DA22" s="24">
        <f t="shared" si="76"/>
        <v>2</v>
      </c>
      <c r="DB22" s="24">
        <f t="shared" si="77"/>
        <v>0</v>
      </c>
      <c r="DC22" s="24">
        <f t="shared" si="78"/>
        <v>13</v>
      </c>
      <c r="DD22" s="24">
        <f t="shared" si="79"/>
        <v>50</v>
      </c>
      <c r="DE22" s="1">
        <v>0</v>
      </c>
      <c r="DF22" s="1">
        <v>0</v>
      </c>
      <c r="DG22" s="1">
        <v>0</v>
      </c>
      <c r="DH22" s="24">
        <f t="shared" si="80"/>
        <v>0</v>
      </c>
      <c r="DI22" s="25">
        <f t="shared" si="81"/>
        <v>1</v>
      </c>
      <c r="DK22" s="9"/>
      <c r="DL22" s="9"/>
      <c r="DM22" s="9"/>
      <c r="DN22" s="9"/>
      <c r="DO22" s="9"/>
      <c r="DP22" s="9"/>
      <c r="DQ22" s="136" t="b">
        <f t="shared" si="82"/>
        <v>0</v>
      </c>
    </row>
    <row r="23" spans="1:121" ht="27" customHeight="1" x14ac:dyDescent="1.25">
      <c r="A23" s="24">
        <f t="shared" si="89"/>
        <v>9</v>
      </c>
      <c r="B23" s="66" t="s">
        <v>141</v>
      </c>
      <c r="C23" s="69" t="s">
        <v>142</v>
      </c>
      <c r="D23" s="70" t="s">
        <v>124</v>
      </c>
      <c r="E23" s="155">
        <v>692</v>
      </c>
      <c r="F23" s="69" t="s">
        <v>237</v>
      </c>
      <c r="G23" s="22">
        <v>68</v>
      </c>
      <c r="H23" s="22">
        <v>74</v>
      </c>
      <c r="I23" s="22">
        <v>80.866666666666674</v>
      </c>
      <c r="J23" s="22">
        <v>70.666666666666657</v>
      </c>
      <c r="K23" s="22">
        <v>80.733333333333334</v>
      </c>
      <c r="L23" s="22">
        <v>79.7</v>
      </c>
      <c r="M23" s="22">
        <v>77.7</v>
      </c>
      <c r="N23" s="22">
        <v>96</v>
      </c>
      <c r="O23" s="22">
        <v>96</v>
      </c>
      <c r="P23" s="7">
        <v>52.806666666666672</v>
      </c>
      <c r="Q23" s="7">
        <v>52.806666666666672</v>
      </c>
      <c r="R23" s="7">
        <v>51.04</v>
      </c>
      <c r="S23" s="7">
        <v>43.38</v>
      </c>
      <c r="T23" s="7">
        <v>73.5</v>
      </c>
      <c r="U23" s="7">
        <v>78.166666666666671</v>
      </c>
      <c r="V23" s="7">
        <v>76.5</v>
      </c>
      <c r="W23" s="3" t="str">
        <f t="shared" si="0"/>
        <v>D</v>
      </c>
      <c r="X23" s="3" t="str">
        <f t="shared" si="1"/>
        <v>C</v>
      </c>
      <c r="Y23" s="3" t="str">
        <f t="shared" si="2"/>
        <v>B</v>
      </c>
      <c r="Z23" s="3" t="str">
        <f t="shared" si="3"/>
        <v>C</v>
      </c>
      <c r="AA23" s="3" t="str">
        <f t="shared" si="4"/>
        <v>B</v>
      </c>
      <c r="AB23" s="3" t="str">
        <f t="shared" si="5"/>
        <v>C</v>
      </c>
      <c r="AC23" s="3" t="str">
        <f t="shared" si="6"/>
        <v>C</v>
      </c>
      <c r="AD23" s="3" t="str">
        <f t="shared" si="7"/>
        <v>A</v>
      </c>
      <c r="AE23" s="3" t="str">
        <f t="shared" si="8"/>
        <v>A</v>
      </c>
      <c r="AF23" s="24" t="str">
        <f t="shared" si="9"/>
        <v>E</v>
      </c>
      <c r="AG23" s="24" t="str">
        <f t="shared" si="10"/>
        <v>E</v>
      </c>
      <c r="AH23" s="24" t="str">
        <f t="shared" si="11"/>
        <v>E</v>
      </c>
      <c r="AI23" s="24" t="str">
        <f t="shared" si="12"/>
        <v>F</v>
      </c>
      <c r="AJ23" s="24" t="str">
        <f t="shared" si="13"/>
        <v>C</v>
      </c>
      <c r="AK23" s="24" t="str">
        <f t="shared" si="14"/>
        <v>C</v>
      </c>
      <c r="AL23" s="24" t="str">
        <f t="shared" si="15"/>
        <v>C</v>
      </c>
      <c r="AM23" s="24">
        <f t="shared" si="16"/>
        <v>2</v>
      </c>
      <c r="AN23" s="24">
        <f t="shared" si="17"/>
        <v>2</v>
      </c>
      <c r="AO23" s="24">
        <f t="shared" si="18"/>
        <v>3</v>
      </c>
      <c r="AP23" s="24">
        <f t="shared" si="19"/>
        <v>1</v>
      </c>
      <c r="AQ23" s="24">
        <f t="shared" si="20"/>
        <v>5</v>
      </c>
      <c r="AR23" s="24">
        <f t="shared" si="21"/>
        <v>3</v>
      </c>
      <c r="AS23" s="24">
        <f t="shared" si="22"/>
        <v>2</v>
      </c>
      <c r="AT23" s="24">
        <f t="shared" si="23"/>
        <v>1</v>
      </c>
      <c r="AU23" s="24">
        <f t="shared" si="24"/>
        <v>1</v>
      </c>
      <c r="AV23" s="24">
        <f t="shared" si="25"/>
        <v>5</v>
      </c>
      <c r="AW23" s="24">
        <f t="shared" si="26"/>
        <v>1</v>
      </c>
      <c r="AX23" s="24">
        <f t="shared" si="27"/>
        <v>5</v>
      </c>
      <c r="AY23" s="24">
        <f t="shared" si="28"/>
        <v>3</v>
      </c>
      <c r="AZ23" s="24">
        <f t="shared" si="29"/>
        <v>2</v>
      </c>
      <c r="BA23" s="24">
        <f t="shared" si="30"/>
        <v>2</v>
      </c>
      <c r="BB23" s="24">
        <f t="shared" si="31"/>
        <v>2</v>
      </c>
      <c r="BC23" s="26">
        <f t="shared" si="32"/>
        <v>136</v>
      </c>
      <c r="BD23" s="26">
        <f t="shared" si="33"/>
        <v>148</v>
      </c>
      <c r="BE23" s="26">
        <f t="shared" si="34"/>
        <v>242.60000000000002</v>
      </c>
      <c r="BF23" s="26">
        <f t="shared" si="35"/>
        <v>70.666666666666657</v>
      </c>
      <c r="BG23" s="26">
        <f t="shared" si="36"/>
        <v>403.66666666666669</v>
      </c>
      <c r="BH23" s="26">
        <f t="shared" si="37"/>
        <v>239.10000000000002</v>
      </c>
      <c r="BI23" s="26">
        <f t="shared" si="38"/>
        <v>155.4</v>
      </c>
      <c r="BJ23" s="26">
        <f t="shared" si="39"/>
        <v>96</v>
      </c>
      <c r="BK23" s="26">
        <f t="shared" si="40"/>
        <v>96</v>
      </c>
      <c r="BL23" s="26">
        <f t="shared" si="41"/>
        <v>264.03333333333336</v>
      </c>
      <c r="BM23" s="26">
        <f t="shared" si="42"/>
        <v>52.806666666666672</v>
      </c>
      <c r="BN23" s="26">
        <f t="shared" si="43"/>
        <v>255.2</v>
      </c>
      <c r="BO23" s="26">
        <f t="shared" si="44"/>
        <v>130.14000000000001</v>
      </c>
      <c r="BP23" s="26">
        <f t="shared" si="45"/>
        <v>147</v>
      </c>
      <c r="BQ23" s="26">
        <f t="shared" si="46"/>
        <v>156.33333333333334</v>
      </c>
      <c r="BR23" s="26">
        <f t="shared" si="47"/>
        <v>153</v>
      </c>
      <c r="BS23" s="24">
        <f t="shared" si="48"/>
        <v>3</v>
      </c>
      <c r="BT23" s="24">
        <f t="shared" si="49"/>
        <v>4</v>
      </c>
      <c r="BU23" s="24">
        <f t="shared" si="50"/>
        <v>9</v>
      </c>
      <c r="BV23" s="24">
        <f t="shared" si="51"/>
        <v>2</v>
      </c>
      <c r="BW23" s="24">
        <f t="shared" si="52"/>
        <v>15</v>
      </c>
      <c r="BX23" s="24">
        <f t="shared" si="53"/>
        <v>6</v>
      </c>
      <c r="BY23" s="24">
        <f t="shared" si="54"/>
        <v>4</v>
      </c>
      <c r="BZ23" s="24">
        <f t="shared" si="55"/>
        <v>4</v>
      </c>
      <c r="CA23" s="24">
        <f t="shared" si="56"/>
        <v>4</v>
      </c>
      <c r="CB23" s="24">
        <f t="shared" si="57"/>
        <v>5</v>
      </c>
      <c r="CC23" s="24">
        <f t="shared" si="58"/>
        <v>1</v>
      </c>
      <c r="CD23" s="24">
        <f t="shared" si="59"/>
        <v>5</v>
      </c>
      <c r="CE23" s="24">
        <f t="shared" si="60"/>
        <v>0</v>
      </c>
      <c r="CF23" s="24">
        <f t="shared" si="61"/>
        <v>4</v>
      </c>
      <c r="CG23" s="24">
        <f t="shared" si="62"/>
        <v>4</v>
      </c>
      <c r="CH23" s="24">
        <f t="shared" si="63"/>
        <v>4</v>
      </c>
      <c r="CI23" s="24">
        <f t="shared" si="64"/>
        <v>20</v>
      </c>
      <c r="CJ23" s="26" t="str">
        <f t="shared" si="65"/>
        <v/>
      </c>
      <c r="CK23" s="26">
        <f t="shared" si="66"/>
        <v>51</v>
      </c>
      <c r="CL23" s="26" t="str">
        <f t="shared" si="83"/>
        <v/>
      </c>
      <c r="CM23" s="24" t="str">
        <f t="shared" si="84"/>
        <v/>
      </c>
      <c r="CN23" s="26">
        <f t="shared" si="67"/>
        <v>2.5499999999999998</v>
      </c>
      <c r="CO23" s="24">
        <f t="shared" si="68"/>
        <v>20</v>
      </c>
      <c r="CP23" s="26">
        <f t="shared" si="69"/>
        <v>1158.5133333333333</v>
      </c>
      <c r="CQ23" s="26">
        <f t="shared" si="70"/>
        <v>23</v>
      </c>
      <c r="CR23" s="26">
        <f t="shared" si="85"/>
        <v>57.925666666666665</v>
      </c>
      <c r="CS23" s="24" t="str">
        <f t="shared" si="86"/>
        <v>E</v>
      </c>
      <c r="CT23" s="27">
        <f t="shared" si="71"/>
        <v>1.1499999999999999</v>
      </c>
      <c r="CU23" s="24">
        <f t="shared" si="72"/>
        <v>40</v>
      </c>
      <c r="CV23" s="26">
        <f t="shared" si="73"/>
        <v>2745.9466666666667</v>
      </c>
      <c r="CW23" s="26">
        <f t="shared" si="74"/>
        <v>74</v>
      </c>
      <c r="CX23" s="26">
        <f t="shared" si="87"/>
        <v>68.648666666666671</v>
      </c>
      <c r="CY23" s="27" t="str">
        <f t="shared" si="88"/>
        <v>D</v>
      </c>
      <c r="CZ23" s="26">
        <f t="shared" si="75"/>
        <v>1.85</v>
      </c>
      <c r="DA23" s="24">
        <f t="shared" si="76"/>
        <v>12</v>
      </c>
      <c r="DB23" s="24">
        <f t="shared" si="77"/>
        <v>0</v>
      </c>
      <c r="DC23" s="24">
        <f t="shared" si="78"/>
        <v>13</v>
      </c>
      <c r="DD23" s="24">
        <f t="shared" si="79"/>
        <v>50</v>
      </c>
      <c r="DE23" s="1">
        <v>0</v>
      </c>
      <c r="DF23" s="1">
        <v>0</v>
      </c>
      <c r="DG23" s="1">
        <v>0</v>
      </c>
      <c r="DH23" s="24">
        <f t="shared" si="80"/>
        <v>0</v>
      </c>
      <c r="DI23" s="25">
        <f t="shared" si="81"/>
        <v>1</v>
      </c>
      <c r="DK23" s="9"/>
      <c r="DL23" s="9"/>
      <c r="DM23" s="9"/>
      <c r="DN23" s="9"/>
      <c r="DO23" s="9"/>
      <c r="DP23" s="9"/>
      <c r="DQ23" s="136" t="b">
        <f t="shared" si="82"/>
        <v>0</v>
      </c>
    </row>
    <row r="24" spans="1:121" ht="27" customHeight="1" x14ac:dyDescent="1.25">
      <c r="A24" s="24">
        <f t="shared" si="89"/>
        <v>10</v>
      </c>
      <c r="B24" s="66" t="s">
        <v>143</v>
      </c>
      <c r="C24" s="69" t="s">
        <v>144</v>
      </c>
      <c r="D24" s="70" t="s">
        <v>124</v>
      </c>
      <c r="E24" s="155">
        <v>686</v>
      </c>
      <c r="F24" s="69" t="s">
        <v>237</v>
      </c>
      <c r="G24" s="22">
        <v>66.400000000000006</v>
      </c>
      <c r="H24" s="22">
        <v>71.94</v>
      </c>
      <c r="I24" s="22">
        <v>77.240000000000009</v>
      </c>
      <c r="J24" s="22">
        <v>68</v>
      </c>
      <c r="K24" s="22">
        <v>78.75333333333333</v>
      </c>
      <c r="L24" s="22">
        <v>77.420000000000016</v>
      </c>
      <c r="M24" s="22">
        <v>75.153333333333336</v>
      </c>
      <c r="N24" s="22">
        <v>96</v>
      </c>
      <c r="O24" s="22">
        <v>96</v>
      </c>
      <c r="P24" s="7">
        <v>70.033333333333331</v>
      </c>
      <c r="Q24" s="7">
        <v>70.033333333333331</v>
      </c>
      <c r="R24" s="7">
        <v>55.546666666666603</v>
      </c>
      <c r="S24" s="7">
        <v>46.92</v>
      </c>
      <c r="T24" s="7">
        <v>78.5</v>
      </c>
      <c r="U24" s="7">
        <v>78</v>
      </c>
      <c r="V24" s="7">
        <v>75</v>
      </c>
      <c r="W24" s="3" t="str">
        <f t="shared" si="0"/>
        <v>D</v>
      </c>
      <c r="X24" s="3" t="str">
        <f t="shared" si="1"/>
        <v>C</v>
      </c>
      <c r="Y24" s="3" t="str">
        <f t="shared" si="2"/>
        <v>C</v>
      </c>
      <c r="Z24" s="3" t="str">
        <f t="shared" si="3"/>
        <v>D</v>
      </c>
      <c r="AA24" s="3" t="str">
        <f t="shared" si="4"/>
        <v>C</v>
      </c>
      <c r="AB24" s="3" t="str">
        <f t="shared" si="5"/>
        <v>C</v>
      </c>
      <c r="AC24" s="3" t="str">
        <f t="shared" si="6"/>
        <v>C</v>
      </c>
      <c r="AD24" s="3" t="str">
        <f t="shared" si="7"/>
        <v>A</v>
      </c>
      <c r="AE24" s="3" t="str">
        <f t="shared" si="8"/>
        <v>A</v>
      </c>
      <c r="AF24" s="24" t="str">
        <f t="shared" si="9"/>
        <v>C</v>
      </c>
      <c r="AG24" s="24" t="str">
        <f t="shared" si="10"/>
        <v>C</v>
      </c>
      <c r="AH24" s="24" t="str">
        <f t="shared" si="11"/>
        <v>E</v>
      </c>
      <c r="AI24" s="24" t="str">
        <f t="shared" si="12"/>
        <v>F</v>
      </c>
      <c r="AJ24" s="24" t="str">
        <f t="shared" si="13"/>
        <v>C</v>
      </c>
      <c r="AK24" s="24" t="str">
        <f t="shared" si="14"/>
        <v>C</v>
      </c>
      <c r="AL24" s="24" t="str">
        <f t="shared" si="15"/>
        <v>C</v>
      </c>
      <c r="AM24" s="24">
        <f t="shared" si="16"/>
        <v>2</v>
      </c>
      <c r="AN24" s="24">
        <f t="shared" si="17"/>
        <v>2</v>
      </c>
      <c r="AO24" s="24">
        <f t="shared" si="18"/>
        <v>3</v>
      </c>
      <c r="AP24" s="24">
        <f t="shared" si="19"/>
        <v>1</v>
      </c>
      <c r="AQ24" s="24">
        <f t="shared" si="20"/>
        <v>5</v>
      </c>
      <c r="AR24" s="24">
        <f t="shared" si="21"/>
        <v>3</v>
      </c>
      <c r="AS24" s="24">
        <f t="shared" si="22"/>
        <v>2</v>
      </c>
      <c r="AT24" s="24">
        <f t="shared" si="23"/>
        <v>1</v>
      </c>
      <c r="AU24" s="24">
        <f t="shared" si="24"/>
        <v>1</v>
      </c>
      <c r="AV24" s="24">
        <f t="shared" si="25"/>
        <v>5</v>
      </c>
      <c r="AW24" s="24">
        <f t="shared" si="26"/>
        <v>1</v>
      </c>
      <c r="AX24" s="24">
        <f t="shared" si="27"/>
        <v>5</v>
      </c>
      <c r="AY24" s="24">
        <f t="shared" si="28"/>
        <v>3</v>
      </c>
      <c r="AZ24" s="24">
        <f t="shared" si="29"/>
        <v>2</v>
      </c>
      <c r="BA24" s="24">
        <f t="shared" si="30"/>
        <v>2</v>
      </c>
      <c r="BB24" s="24">
        <f t="shared" si="31"/>
        <v>2</v>
      </c>
      <c r="BC24" s="26">
        <f t="shared" si="32"/>
        <v>132.80000000000001</v>
      </c>
      <c r="BD24" s="26">
        <f t="shared" si="33"/>
        <v>143.88</v>
      </c>
      <c r="BE24" s="26">
        <f t="shared" si="34"/>
        <v>231.72000000000003</v>
      </c>
      <c r="BF24" s="26">
        <f t="shared" si="35"/>
        <v>68</v>
      </c>
      <c r="BG24" s="26">
        <f t="shared" si="36"/>
        <v>393.76666666666665</v>
      </c>
      <c r="BH24" s="26">
        <f t="shared" si="37"/>
        <v>232.26000000000005</v>
      </c>
      <c r="BI24" s="26">
        <f t="shared" si="38"/>
        <v>150.30666666666667</v>
      </c>
      <c r="BJ24" s="26">
        <f t="shared" si="39"/>
        <v>96</v>
      </c>
      <c r="BK24" s="26">
        <f t="shared" si="40"/>
        <v>96</v>
      </c>
      <c r="BL24" s="26">
        <f t="shared" si="41"/>
        <v>350.16666666666663</v>
      </c>
      <c r="BM24" s="26">
        <f t="shared" si="42"/>
        <v>70.033333333333331</v>
      </c>
      <c r="BN24" s="26">
        <f t="shared" si="43"/>
        <v>277.73333333333301</v>
      </c>
      <c r="BO24" s="26">
        <f t="shared" si="44"/>
        <v>140.76</v>
      </c>
      <c r="BP24" s="26">
        <f t="shared" si="45"/>
        <v>157</v>
      </c>
      <c r="BQ24" s="26">
        <f t="shared" si="46"/>
        <v>156</v>
      </c>
      <c r="BR24" s="26">
        <f t="shared" si="47"/>
        <v>150</v>
      </c>
      <c r="BS24" s="24">
        <f t="shared" si="48"/>
        <v>3</v>
      </c>
      <c r="BT24" s="24">
        <f t="shared" si="49"/>
        <v>4</v>
      </c>
      <c r="BU24" s="24">
        <f t="shared" si="50"/>
        <v>6</v>
      </c>
      <c r="BV24" s="24">
        <f t="shared" si="51"/>
        <v>1.5</v>
      </c>
      <c r="BW24" s="24">
        <f t="shared" si="52"/>
        <v>10</v>
      </c>
      <c r="BX24" s="24">
        <f t="shared" si="53"/>
        <v>6</v>
      </c>
      <c r="BY24" s="24">
        <f t="shared" si="54"/>
        <v>4</v>
      </c>
      <c r="BZ24" s="24">
        <f t="shared" si="55"/>
        <v>4</v>
      </c>
      <c r="CA24" s="24">
        <f t="shared" si="56"/>
        <v>4</v>
      </c>
      <c r="CB24" s="24">
        <f t="shared" si="57"/>
        <v>10</v>
      </c>
      <c r="CC24" s="24">
        <f t="shared" si="58"/>
        <v>2</v>
      </c>
      <c r="CD24" s="24">
        <f t="shared" si="59"/>
        <v>5</v>
      </c>
      <c r="CE24" s="24">
        <f t="shared" si="60"/>
        <v>0</v>
      </c>
      <c r="CF24" s="24">
        <f t="shared" si="61"/>
        <v>4</v>
      </c>
      <c r="CG24" s="24">
        <f t="shared" si="62"/>
        <v>4</v>
      </c>
      <c r="CH24" s="24">
        <f t="shared" si="63"/>
        <v>4</v>
      </c>
      <c r="CI24" s="24">
        <f t="shared" si="64"/>
        <v>20</v>
      </c>
      <c r="CJ24" s="26" t="str">
        <f t="shared" si="65"/>
        <v/>
      </c>
      <c r="CK24" s="26">
        <f t="shared" si="66"/>
        <v>42.5</v>
      </c>
      <c r="CL24" s="26" t="str">
        <f t="shared" si="83"/>
        <v/>
      </c>
      <c r="CM24" s="24" t="str">
        <f t="shared" si="84"/>
        <v/>
      </c>
      <c r="CN24" s="26">
        <f t="shared" si="67"/>
        <v>2.125</v>
      </c>
      <c r="CO24" s="24">
        <f t="shared" si="68"/>
        <v>20</v>
      </c>
      <c r="CP24" s="26">
        <f t="shared" si="69"/>
        <v>1301.6933333333329</v>
      </c>
      <c r="CQ24" s="26">
        <f t="shared" si="70"/>
        <v>29</v>
      </c>
      <c r="CR24" s="26">
        <f t="shared" si="85"/>
        <v>65.084666666666649</v>
      </c>
      <c r="CS24" s="24" t="str">
        <f t="shared" si="86"/>
        <v>D</v>
      </c>
      <c r="CT24" s="27">
        <f t="shared" si="71"/>
        <v>1.45</v>
      </c>
      <c r="CU24" s="24">
        <f t="shared" si="72"/>
        <v>40</v>
      </c>
      <c r="CV24" s="26">
        <f t="shared" si="73"/>
        <v>2846.4266666666663</v>
      </c>
      <c r="CW24" s="26">
        <f t="shared" si="74"/>
        <v>71.5</v>
      </c>
      <c r="CX24" s="26">
        <f t="shared" si="87"/>
        <v>71.160666666666657</v>
      </c>
      <c r="CY24" s="27" t="str">
        <f t="shared" si="88"/>
        <v>C</v>
      </c>
      <c r="CZ24" s="26">
        <f t="shared" si="75"/>
        <v>1.7875000000000001</v>
      </c>
      <c r="DA24" s="24">
        <f t="shared" si="76"/>
        <v>11</v>
      </c>
      <c r="DB24" s="24">
        <f t="shared" si="77"/>
        <v>0</v>
      </c>
      <c r="DC24" s="24">
        <f t="shared" si="78"/>
        <v>13</v>
      </c>
      <c r="DD24" s="24">
        <f t="shared" si="79"/>
        <v>50</v>
      </c>
      <c r="DE24" s="1">
        <v>0</v>
      </c>
      <c r="DF24" s="1">
        <v>0</v>
      </c>
      <c r="DG24" s="1">
        <v>0</v>
      </c>
      <c r="DH24" s="24">
        <f t="shared" si="80"/>
        <v>0</v>
      </c>
      <c r="DI24" s="25">
        <f t="shared" si="81"/>
        <v>1</v>
      </c>
      <c r="DK24" s="9"/>
      <c r="DL24" s="9"/>
      <c r="DM24" s="9"/>
      <c r="DN24" s="9"/>
      <c r="DO24" s="9"/>
      <c r="DP24" s="9"/>
      <c r="DQ24" s="136" t="b">
        <f t="shared" si="82"/>
        <v>0</v>
      </c>
    </row>
    <row r="25" spans="1:121" ht="27" customHeight="1" x14ac:dyDescent="1.25">
      <c r="A25" s="24">
        <f t="shared" si="89"/>
        <v>11</v>
      </c>
      <c r="B25" s="66" t="s">
        <v>246</v>
      </c>
      <c r="C25" s="69" t="s">
        <v>247</v>
      </c>
      <c r="D25" s="70" t="s">
        <v>124</v>
      </c>
      <c r="E25" s="155">
        <v>789</v>
      </c>
      <c r="F25" s="69" t="s">
        <v>237</v>
      </c>
      <c r="G25" s="22">
        <v>72.666666666666657</v>
      </c>
      <c r="H25" s="22">
        <v>73.433333333333337</v>
      </c>
      <c r="I25" s="22">
        <v>72.946666666666673</v>
      </c>
      <c r="J25" s="22">
        <v>64.666666666666671</v>
      </c>
      <c r="K25" s="22">
        <v>73.400000000000006</v>
      </c>
      <c r="L25" s="22">
        <v>71.066666666666677</v>
      </c>
      <c r="M25" s="22">
        <v>71.566666666666677</v>
      </c>
      <c r="N25" s="22">
        <v>94</v>
      </c>
      <c r="O25" s="22">
        <v>94</v>
      </c>
      <c r="P25" s="7">
        <v>53.786666666666669</v>
      </c>
      <c r="Q25" s="7">
        <v>53.786666666666669</v>
      </c>
      <c r="R25" s="7">
        <v>46.6</v>
      </c>
      <c r="S25" s="7">
        <v>48.55</v>
      </c>
      <c r="T25" s="7">
        <v>71</v>
      </c>
      <c r="U25" s="7">
        <v>76.166666666666657</v>
      </c>
      <c r="V25" s="7">
        <v>72</v>
      </c>
      <c r="W25" s="3" t="str">
        <f t="shared" si="0"/>
        <v>C</v>
      </c>
      <c r="X25" s="3" t="str">
        <f t="shared" si="1"/>
        <v>C</v>
      </c>
      <c r="Y25" s="3" t="str">
        <f t="shared" si="2"/>
        <v>C</v>
      </c>
      <c r="Z25" s="3" t="str">
        <f t="shared" si="3"/>
        <v>D</v>
      </c>
      <c r="AA25" s="3" t="str">
        <f t="shared" si="4"/>
        <v>C</v>
      </c>
      <c r="AB25" s="3" t="str">
        <f t="shared" si="5"/>
        <v>C</v>
      </c>
      <c r="AC25" s="3" t="str">
        <f t="shared" si="6"/>
        <v>C</v>
      </c>
      <c r="AD25" s="3" t="str">
        <f t="shared" si="7"/>
        <v>A</v>
      </c>
      <c r="AE25" s="3" t="str">
        <f t="shared" si="8"/>
        <v>A</v>
      </c>
      <c r="AF25" s="24" t="str">
        <f t="shared" si="9"/>
        <v>E</v>
      </c>
      <c r="AG25" s="24" t="str">
        <f t="shared" si="10"/>
        <v>E</v>
      </c>
      <c r="AH25" s="24" t="str">
        <f t="shared" si="11"/>
        <v>F</v>
      </c>
      <c r="AI25" s="24" t="str">
        <f t="shared" si="12"/>
        <v>F</v>
      </c>
      <c r="AJ25" s="24" t="str">
        <f t="shared" si="13"/>
        <v>C</v>
      </c>
      <c r="AK25" s="24" t="str">
        <f t="shared" si="14"/>
        <v>C</v>
      </c>
      <c r="AL25" s="24" t="str">
        <f t="shared" si="15"/>
        <v>C</v>
      </c>
      <c r="AM25" s="24">
        <f t="shared" si="16"/>
        <v>2</v>
      </c>
      <c r="AN25" s="24">
        <f t="shared" si="17"/>
        <v>2</v>
      </c>
      <c r="AO25" s="24">
        <f t="shared" si="18"/>
        <v>3</v>
      </c>
      <c r="AP25" s="24">
        <f t="shared" si="19"/>
        <v>1</v>
      </c>
      <c r="AQ25" s="24">
        <f t="shared" si="20"/>
        <v>5</v>
      </c>
      <c r="AR25" s="24">
        <f t="shared" si="21"/>
        <v>3</v>
      </c>
      <c r="AS25" s="24">
        <f t="shared" si="22"/>
        <v>2</v>
      </c>
      <c r="AT25" s="24">
        <f t="shared" si="23"/>
        <v>1</v>
      </c>
      <c r="AU25" s="24">
        <f t="shared" si="24"/>
        <v>1</v>
      </c>
      <c r="AV25" s="24">
        <f t="shared" si="25"/>
        <v>5</v>
      </c>
      <c r="AW25" s="24">
        <f t="shared" si="26"/>
        <v>1</v>
      </c>
      <c r="AX25" s="24">
        <f t="shared" si="27"/>
        <v>5</v>
      </c>
      <c r="AY25" s="24">
        <f t="shared" si="28"/>
        <v>3</v>
      </c>
      <c r="AZ25" s="24">
        <f t="shared" si="29"/>
        <v>2</v>
      </c>
      <c r="BA25" s="24">
        <f t="shared" si="30"/>
        <v>2</v>
      </c>
      <c r="BB25" s="24">
        <f t="shared" si="31"/>
        <v>2</v>
      </c>
      <c r="BC25" s="26">
        <f t="shared" si="32"/>
        <v>145.33333333333331</v>
      </c>
      <c r="BD25" s="26">
        <f t="shared" si="33"/>
        <v>146.86666666666667</v>
      </c>
      <c r="BE25" s="26">
        <f t="shared" si="34"/>
        <v>218.84000000000003</v>
      </c>
      <c r="BF25" s="26">
        <f t="shared" si="35"/>
        <v>64.666666666666671</v>
      </c>
      <c r="BG25" s="26">
        <f t="shared" si="36"/>
        <v>367</v>
      </c>
      <c r="BH25" s="26">
        <f t="shared" si="37"/>
        <v>213.20000000000005</v>
      </c>
      <c r="BI25" s="26">
        <f t="shared" si="38"/>
        <v>143.13333333333335</v>
      </c>
      <c r="BJ25" s="26">
        <f t="shared" si="39"/>
        <v>94</v>
      </c>
      <c r="BK25" s="26">
        <f t="shared" si="40"/>
        <v>94</v>
      </c>
      <c r="BL25" s="26">
        <f t="shared" si="41"/>
        <v>268.93333333333334</v>
      </c>
      <c r="BM25" s="26">
        <f t="shared" si="42"/>
        <v>53.786666666666669</v>
      </c>
      <c r="BN25" s="26">
        <f t="shared" si="43"/>
        <v>233</v>
      </c>
      <c r="BO25" s="26">
        <f t="shared" si="44"/>
        <v>145.64999999999998</v>
      </c>
      <c r="BP25" s="26">
        <f t="shared" si="45"/>
        <v>142</v>
      </c>
      <c r="BQ25" s="26">
        <f t="shared" si="46"/>
        <v>152.33333333333331</v>
      </c>
      <c r="BR25" s="26">
        <f t="shared" si="47"/>
        <v>144</v>
      </c>
      <c r="BS25" s="24">
        <f t="shared" si="48"/>
        <v>4</v>
      </c>
      <c r="BT25" s="24">
        <f t="shared" si="49"/>
        <v>4</v>
      </c>
      <c r="BU25" s="24">
        <f t="shared" si="50"/>
        <v>6</v>
      </c>
      <c r="BV25" s="24">
        <f t="shared" si="51"/>
        <v>1.5</v>
      </c>
      <c r="BW25" s="24">
        <f t="shared" si="52"/>
        <v>10</v>
      </c>
      <c r="BX25" s="24">
        <f t="shared" si="53"/>
        <v>6</v>
      </c>
      <c r="BY25" s="24">
        <f t="shared" si="54"/>
        <v>4</v>
      </c>
      <c r="BZ25" s="24">
        <f t="shared" si="55"/>
        <v>4</v>
      </c>
      <c r="CA25" s="24">
        <f t="shared" si="56"/>
        <v>4</v>
      </c>
      <c r="CB25" s="24">
        <f t="shared" si="57"/>
        <v>5</v>
      </c>
      <c r="CC25" s="24">
        <f t="shared" si="58"/>
        <v>1</v>
      </c>
      <c r="CD25" s="24">
        <f t="shared" si="59"/>
        <v>0</v>
      </c>
      <c r="CE25" s="24">
        <f t="shared" si="60"/>
        <v>0</v>
      </c>
      <c r="CF25" s="24">
        <f t="shared" si="61"/>
        <v>4</v>
      </c>
      <c r="CG25" s="24">
        <f t="shared" si="62"/>
        <v>4</v>
      </c>
      <c r="CH25" s="24">
        <f t="shared" si="63"/>
        <v>4</v>
      </c>
      <c r="CI25" s="24">
        <f t="shared" si="64"/>
        <v>20</v>
      </c>
      <c r="CJ25" s="26" t="str">
        <f t="shared" si="65"/>
        <v/>
      </c>
      <c r="CK25" s="26">
        <f t="shared" si="66"/>
        <v>43.5</v>
      </c>
      <c r="CL25" s="26" t="str">
        <f t="shared" si="83"/>
        <v/>
      </c>
      <c r="CM25" s="24" t="str">
        <f t="shared" si="84"/>
        <v/>
      </c>
      <c r="CN25" s="26">
        <f t="shared" si="67"/>
        <v>2.1749999999999998</v>
      </c>
      <c r="CO25" s="24">
        <f t="shared" si="68"/>
        <v>20</v>
      </c>
      <c r="CP25" s="26">
        <f t="shared" si="69"/>
        <v>1139.7033333333334</v>
      </c>
      <c r="CQ25" s="26">
        <f t="shared" si="70"/>
        <v>18</v>
      </c>
      <c r="CR25" s="26">
        <f t="shared" si="85"/>
        <v>56.985166666666672</v>
      </c>
      <c r="CS25" s="24" t="str">
        <f t="shared" si="86"/>
        <v>E</v>
      </c>
      <c r="CT25" s="27">
        <f t="shared" si="71"/>
        <v>0.9</v>
      </c>
      <c r="CU25" s="24">
        <f t="shared" si="72"/>
        <v>40</v>
      </c>
      <c r="CV25" s="26">
        <f t="shared" si="73"/>
        <v>2626.7433333333338</v>
      </c>
      <c r="CW25" s="26">
        <f t="shared" si="74"/>
        <v>61.5</v>
      </c>
      <c r="CX25" s="26">
        <f t="shared" si="87"/>
        <v>65.668583333333345</v>
      </c>
      <c r="CY25" s="27" t="str">
        <f t="shared" si="88"/>
        <v>D</v>
      </c>
      <c r="CZ25" s="26">
        <f t="shared" si="75"/>
        <v>1.5375000000000001</v>
      </c>
      <c r="DA25" s="24">
        <f t="shared" si="76"/>
        <v>13</v>
      </c>
      <c r="DB25" s="24">
        <f t="shared" si="77"/>
        <v>0</v>
      </c>
      <c r="DC25" s="24">
        <f t="shared" si="78"/>
        <v>13</v>
      </c>
      <c r="DD25" s="24">
        <f t="shared" si="79"/>
        <v>50</v>
      </c>
      <c r="DE25" s="1">
        <v>0</v>
      </c>
      <c r="DF25" s="1">
        <v>0</v>
      </c>
      <c r="DG25" s="1">
        <v>0</v>
      </c>
      <c r="DH25" s="24">
        <f t="shared" si="80"/>
        <v>0</v>
      </c>
      <c r="DI25" s="25">
        <f t="shared" si="81"/>
        <v>1</v>
      </c>
      <c r="DK25" s="9"/>
      <c r="DL25" s="9"/>
      <c r="DM25" s="9"/>
      <c r="DN25" s="9"/>
      <c r="DO25" s="9"/>
      <c r="DP25" s="9"/>
      <c r="DQ25" s="136" t="b">
        <f t="shared" si="82"/>
        <v>0</v>
      </c>
    </row>
    <row r="26" spans="1:121" ht="27" customHeight="1" x14ac:dyDescent="1.25">
      <c r="A26" s="24">
        <f t="shared" si="89"/>
        <v>12</v>
      </c>
      <c r="B26" s="66" t="s">
        <v>248</v>
      </c>
      <c r="C26" s="69" t="s">
        <v>249</v>
      </c>
      <c r="D26" s="70" t="s">
        <v>124</v>
      </c>
      <c r="E26" s="155">
        <v>769</v>
      </c>
      <c r="F26" s="69" t="s">
        <v>237</v>
      </c>
      <c r="G26" s="22">
        <v>85</v>
      </c>
      <c r="H26" s="22">
        <v>87.5</v>
      </c>
      <c r="I26" s="22">
        <v>86.5</v>
      </c>
      <c r="J26" s="22">
        <v>91.666666666666671</v>
      </c>
      <c r="K26" s="22">
        <v>90.233333333333348</v>
      </c>
      <c r="L26" s="22">
        <v>88.2</v>
      </c>
      <c r="M26" s="22">
        <v>87.566666666666663</v>
      </c>
      <c r="N26" s="22">
        <v>97</v>
      </c>
      <c r="O26" s="22">
        <v>97</v>
      </c>
      <c r="P26" s="7">
        <v>60.086666666666673</v>
      </c>
      <c r="Q26" s="7">
        <v>60.086666666666673</v>
      </c>
      <c r="R26" s="7">
        <v>74.72</v>
      </c>
      <c r="S26" s="7">
        <v>66.87</v>
      </c>
      <c r="T26" s="7">
        <v>79.5</v>
      </c>
      <c r="U26" s="7">
        <v>85.333333333333343</v>
      </c>
      <c r="V26" s="7">
        <v>84</v>
      </c>
      <c r="W26" s="3" t="str">
        <f t="shared" si="0"/>
        <v>B</v>
      </c>
      <c r="X26" s="3" t="str">
        <f t="shared" si="1"/>
        <v>B</v>
      </c>
      <c r="Y26" s="3" t="str">
        <f t="shared" si="2"/>
        <v>B</v>
      </c>
      <c r="Z26" s="3" t="str">
        <f t="shared" si="3"/>
        <v>A</v>
      </c>
      <c r="AA26" s="3" t="str">
        <f t="shared" si="4"/>
        <v>A</v>
      </c>
      <c r="AB26" s="3" t="str">
        <f t="shared" si="5"/>
        <v>B</v>
      </c>
      <c r="AC26" s="3" t="str">
        <f t="shared" si="6"/>
        <v>B</v>
      </c>
      <c r="AD26" s="3" t="str">
        <f t="shared" si="7"/>
        <v>A</v>
      </c>
      <c r="AE26" s="3" t="str">
        <f t="shared" si="8"/>
        <v>A</v>
      </c>
      <c r="AF26" s="24" t="str">
        <f t="shared" si="9"/>
        <v>D</v>
      </c>
      <c r="AG26" s="24" t="str">
        <f t="shared" si="10"/>
        <v>D</v>
      </c>
      <c r="AH26" s="24" t="str">
        <f t="shared" si="11"/>
        <v>C</v>
      </c>
      <c r="AI26" s="24" t="str">
        <f t="shared" si="12"/>
        <v>D</v>
      </c>
      <c r="AJ26" s="24" t="str">
        <f t="shared" si="13"/>
        <v>C</v>
      </c>
      <c r="AK26" s="24" t="str">
        <f t="shared" si="14"/>
        <v>B</v>
      </c>
      <c r="AL26" s="24" t="str">
        <f t="shared" si="15"/>
        <v>B</v>
      </c>
      <c r="AM26" s="24">
        <f t="shared" si="16"/>
        <v>2</v>
      </c>
      <c r="AN26" s="24">
        <f t="shared" si="17"/>
        <v>2</v>
      </c>
      <c r="AO26" s="24">
        <f t="shared" si="18"/>
        <v>3</v>
      </c>
      <c r="AP26" s="24">
        <f t="shared" si="19"/>
        <v>1</v>
      </c>
      <c r="AQ26" s="24">
        <f t="shared" si="20"/>
        <v>5</v>
      </c>
      <c r="AR26" s="24">
        <f t="shared" si="21"/>
        <v>3</v>
      </c>
      <c r="AS26" s="24">
        <f t="shared" si="22"/>
        <v>2</v>
      </c>
      <c r="AT26" s="24">
        <f t="shared" si="23"/>
        <v>1</v>
      </c>
      <c r="AU26" s="24">
        <f t="shared" si="24"/>
        <v>1</v>
      </c>
      <c r="AV26" s="24">
        <f t="shared" si="25"/>
        <v>5</v>
      </c>
      <c r="AW26" s="24">
        <f t="shared" si="26"/>
        <v>1</v>
      </c>
      <c r="AX26" s="24">
        <f t="shared" si="27"/>
        <v>5</v>
      </c>
      <c r="AY26" s="24">
        <f t="shared" si="28"/>
        <v>3</v>
      </c>
      <c r="AZ26" s="24">
        <f t="shared" si="29"/>
        <v>2</v>
      </c>
      <c r="BA26" s="24">
        <f t="shared" si="30"/>
        <v>2</v>
      </c>
      <c r="BB26" s="24">
        <f t="shared" si="31"/>
        <v>2</v>
      </c>
      <c r="BC26" s="26">
        <f t="shared" si="32"/>
        <v>170</v>
      </c>
      <c r="BD26" s="26">
        <f t="shared" si="33"/>
        <v>175</v>
      </c>
      <c r="BE26" s="26">
        <f t="shared" si="34"/>
        <v>259.5</v>
      </c>
      <c r="BF26" s="26">
        <f t="shared" si="35"/>
        <v>91.666666666666671</v>
      </c>
      <c r="BG26" s="26">
        <f t="shared" si="36"/>
        <v>451.16666666666674</v>
      </c>
      <c r="BH26" s="26">
        <f t="shared" si="37"/>
        <v>264.60000000000002</v>
      </c>
      <c r="BI26" s="26">
        <f t="shared" si="38"/>
        <v>175.13333333333333</v>
      </c>
      <c r="BJ26" s="26">
        <f t="shared" si="39"/>
        <v>97</v>
      </c>
      <c r="BK26" s="26">
        <f t="shared" si="40"/>
        <v>97</v>
      </c>
      <c r="BL26" s="26">
        <f t="shared" si="41"/>
        <v>300.43333333333339</v>
      </c>
      <c r="BM26" s="26">
        <f t="shared" si="42"/>
        <v>60.086666666666673</v>
      </c>
      <c r="BN26" s="26">
        <f t="shared" si="43"/>
        <v>373.6</v>
      </c>
      <c r="BO26" s="26">
        <f t="shared" si="44"/>
        <v>200.61</v>
      </c>
      <c r="BP26" s="26">
        <f t="shared" si="45"/>
        <v>159</v>
      </c>
      <c r="BQ26" s="26">
        <f t="shared" si="46"/>
        <v>170.66666666666669</v>
      </c>
      <c r="BR26" s="26">
        <f t="shared" si="47"/>
        <v>168</v>
      </c>
      <c r="BS26" s="24">
        <f t="shared" si="48"/>
        <v>6</v>
      </c>
      <c r="BT26" s="24">
        <f t="shared" si="49"/>
        <v>6</v>
      </c>
      <c r="BU26" s="24">
        <f t="shared" si="50"/>
        <v>9</v>
      </c>
      <c r="BV26" s="24">
        <f t="shared" si="51"/>
        <v>4</v>
      </c>
      <c r="BW26" s="24">
        <f t="shared" si="52"/>
        <v>20</v>
      </c>
      <c r="BX26" s="24">
        <f t="shared" si="53"/>
        <v>9</v>
      </c>
      <c r="BY26" s="24">
        <f t="shared" si="54"/>
        <v>6</v>
      </c>
      <c r="BZ26" s="24">
        <f t="shared" si="55"/>
        <v>4</v>
      </c>
      <c r="CA26" s="24">
        <f t="shared" si="56"/>
        <v>4</v>
      </c>
      <c r="CB26" s="24">
        <f t="shared" si="57"/>
        <v>7.5</v>
      </c>
      <c r="CC26" s="24">
        <f t="shared" si="58"/>
        <v>1.5</v>
      </c>
      <c r="CD26" s="24">
        <f t="shared" si="59"/>
        <v>10</v>
      </c>
      <c r="CE26" s="24">
        <f t="shared" si="60"/>
        <v>4.5</v>
      </c>
      <c r="CF26" s="24">
        <f t="shared" si="61"/>
        <v>4</v>
      </c>
      <c r="CG26" s="24">
        <f t="shared" si="62"/>
        <v>6</v>
      </c>
      <c r="CH26" s="24">
        <f t="shared" si="63"/>
        <v>6</v>
      </c>
      <c r="CI26" s="24">
        <f t="shared" si="64"/>
        <v>20</v>
      </c>
      <c r="CJ26" s="26" t="str">
        <f t="shared" si="65"/>
        <v/>
      </c>
      <c r="CK26" s="26">
        <f t="shared" si="66"/>
        <v>68</v>
      </c>
      <c r="CL26" s="26" t="str">
        <f t="shared" si="83"/>
        <v/>
      </c>
      <c r="CM26" s="24" t="str">
        <f t="shared" si="84"/>
        <v/>
      </c>
      <c r="CN26" s="26">
        <f t="shared" si="67"/>
        <v>3.4</v>
      </c>
      <c r="CO26" s="24">
        <f t="shared" si="68"/>
        <v>20</v>
      </c>
      <c r="CP26" s="26">
        <f t="shared" si="69"/>
        <v>1432.3966666666668</v>
      </c>
      <c r="CQ26" s="26">
        <f t="shared" si="70"/>
        <v>39.5</v>
      </c>
      <c r="CR26" s="26">
        <f t="shared" si="85"/>
        <v>71.619833333333332</v>
      </c>
      <c r="CS26" s="24" t="str">
        <f t="shared" si="86"/>
        <v>C</v>
      </c>
      <c r="CT26" s="27">
        <f t="shared" si="71"/>
        <v>1.9750000000000001</v>
      </c>
      <c r="CU26" s="24">
        <f t="shared" si="72"/>
        <v>40</v>
      </c>
      <c r="CV26" s="26">
        <f t="shared" si="73"/>
        <v>3213.4633333333331</v>
      </c>
      <c r="CW26" s="26">
        <f t="shared" si="74"/>
        <v>107.5</v>
      </c>
      <c r="CX26" s="26">
        <f t="shared" si="87"/>
        <v>80.336583333333323</v>
      </c>
      <c r="CY26" s="27" t="str">
        <f t="shared" si="88"/>
        <v>B</v>
      </c>
      <c r="CZ26" s="26">
        <f t="shared" si="75"/>
        <v>2.6875</v>
      </c>
      <c r="DA26" s="24">
        <f t="shared" si="76"/>
        <v>7</v>
      </c>
      <c r="DB26" s="24">
        <f t="shared" si="77"/>
        <v>0</v>
      </c>
      <c r="DC26" s="24">
        <f t="shared" si="78"/>
        <v>13</v>
      </c>
      <c r="DD26" s="24">
        <f t="shared" si="79"/>
        <v>50</v>
      </c>
      <c r="DE26" s="1">
        <v>0</v>
      </c>
      <c r="DF26" s="1">
        <v>0</v>
      </c>
      <c r="DG26" s="1">
        <v>0</v>
      </c>
      <c r="DH26" s="24">
        <f t="shared" si="80"/>
        <v>0</v>
      </c>
      <c r="DI26" s="25">
        <f t="shared" si="81"/>
        <v>1</v>
      </c>
      <c r="DK26" s="9"/>
      <c r="DL26" s="9"/>
      <c r="DM26" s="9"/>
      <c r="DN26" s="9"/>
      <c r="DO26" s="9"/>
      <c r="DP26" s="9"/>
      <c r="DQ26" s="136" t="b">
        <f t="shared" si="82"/>
        <v>0</v>
      </c>
    </row>
    <row r="27" spans="1:121" ht="27" customHeight="1" x14ac:dyDescent="1.25">
      <c r="A27" s="24">
        <f t="shared" si="89"/>
        <v>13</v>
      </c>
      <c r="B27" s="66" t="s">
        <v>250</v>
      </c>
      <c r="C27" s="69" t="s">
        <v>251</v>
      </c>
      <c r="D27" s="70" t="s">
        <v>124</v>
      </c>
      <c r="E27" s="155">
        <v>773</v>
      </c>
      <c r="F27" s="69" t="s">
        <v>237</v>
      </c>
      <c r="G27" s="22">
        <v>78.666666666666657</v>
      </c>
      <c r="H27" s="22">
        <v>82.733333333333334</v>
      </c>
      <c r="I27" s="22">
        <v>84.7</v>
      </c>
      <c r="J27" s="22">
        <v>85.333333333333343</v>
      </c>
      <c r="K27" s="22">
        <v>86.6</v>
      </c>
      <c r="L27" s="22">
        <v>85.466666666666669</v>
      </c>
      <c r="M27" s="22">
        <v>84</v>
      </c>
      <c r="N27" s="22">
        <v>96</v>
      </c>
      <c r="O27" s="22">
        <v>96</v>
      </c>
      <c r="P27" s="7">
        <v>55.94</v>
      </c>
      <c r="Q27" s="7">
        <v>55.94</v>
      </c>
      <c r="R27" s="7">
        <v>58.6</v>
      </c>
      <c r="S27" s="7">
        <v>56.7</v>
      </c>
      <c r="T27" s="7">
        <v>82.5</v>
      </c>
      <c r="U27" s="7">
        <v>76.166666666666657</v>
      </c>
      <c r="V27" s="7">
        <v>71.333333333333343</v>
      </c>
      <c r="W27" s="3" t="str">
        <f t="shared" si="0"/>
        <v>C</v>
      </c>
      <c r="X27" s="3" t="str">
        <f t="shared" si="1"/>
        <v>B</v>
      </c>
      <c r="Y27" s="3" t="str">
        <f t="shared" si="2"/>
        <v>B</v>
      </c>
      <c r="Z27" s="3" t="str">
        <f t="shared" si="3"/>
        <v>B</v>
      </c>
      <c r="AA27" s="3" t="str">
        <f t="shared" si="4"/>
        <v>B</v>
      </c>
      <c r="AB27" s="3" t="str">
        <f t="shared" si="5"/>
        <v>B</v>
      </c>
      <c r="AC27" s="3" t="str">
        <f t="shared" si="6"/>
        <v>B</v>
      </c>
      <c r="AD27" s="3" t="str">
        <f t="shared" si="7"/>
        <v>A</v>
      </c>
      <c r="AE27" s="3" t="str">
        <f t="shared" si="8"/>
        <v>A</v>
      </c>
      <c r="AF27" s="24" t="str">
        <f t="shared" si="9"/>
        <v>E</v>
      </c>
      <c r="AG27" s="24" t="str">
        <f t="shared" si="10"/>
        <v>E</v>
      </c>
      <c r="AH27" s="24" t="str">
        <f t="shared" si="11"/>
        <v>E</v>
      </c>
      <c r="AI27" s="24" t="str">
        <f t="shared" si="12"/>
        <v>E</v>
      </c>
      <c r="AJ27" s="24" t="str">
        <f t="shared" si="13"/>
        <v>B</v>
      </c>
      <c r="AK27" s="24" t="str">
        <f t="shared" si="14"/>
        <v>C</v>
      </c>
      <c r="AL27" s="24" t="str">
        <f t="shared" si="15"/>
        <v>C</v>
      </c>
      <c r="AM27" s="24">
        <f t="shared" si="16"/>
        <v>2</v>
      </c>
      <c r="AN27" s="24">
        <f t="shared" si="17"/>
        <v>2</v>
      </c>
      <c r="AO27" s="24">
        <f t="shared" si="18"/>
        <v>3</v>
      </c>
      <c r="AP27" s="24">
        <f t="shared" si="19"/>
        <v>1</v>
      </c>
      <c r="AQ27" s="24">
        <f t="shared" si="20"/>
        <v>5</v>
      </c>
      <c r="AR27" s="24">
        <f t="shared" si="21"/>
        <v>3</v>
      </c>
      <c r="AS27" s="24">
        <f t="shared" si="22"/>
        <v>2</v>
      </c>
      <c r="AT27" s="24">
        <f t="shared" si="23"/>
        <v>1</v>
      </c>
      <c r="AU27" s="24">
        <f t="shared" si="24"/>
        <v>1</v>
      </c>
      <c r="AV27" s="24">
        <f t="shared" si="25"/>
        <v>5</v>
      </c>
      <c r="AW27" s="24">
        <f t="shared" si="26"/>
        <v>1</v>
      </c>
      <c r="AX27" s="24">
        <f t="shared" si="27"/>
        <v>5</v>
      </c>
      <c r="AY27" s="24">
        <f t="shared" si="28"/>
        <v>3</v>
      </c>
      <c r="AZ27" s="24">
        <f t="shared" si="29"/>
        <v>2</v>
      </c>
      <c r="BA27" s="24">
        <f t="shared" si="30"/>
        <v>2</v>
      </c>
      <c r="BB27" s="24">
        <f t="shared" si="31"/>
        <v>2</v>
      </c>
      <c r="BC27" s="26">
        <f t="shared" si="32"/>
        <v>157.33333333333331</v>
      </c>
      <c r="BD27" s="26">
        <f t="shared" si="33"/>
        <v>165.46666666666667</v>
      </c>
      <c r="BE27" s="26">
        <f t="shared" si="34"/>
        <v>254.10000000000002</v>
      </c>
      <c r="BF27" s="26">
        <f t="shared" si="35"/>
        <v>85.333333333333343</v>
      </c>
      <c r="BG27" s="26">
        <f t="shared" si="36"/>
        <v>433</v>
      </c>
      <c r="BH27" s="26">
        <f t="shared" si="37"/>
        <v>256.39999999999998</v>
      </c>
      <c r="BI27" s="26">
        <f t="shared" si="38"/>
        <v>168</v>
      </c>
      <c r="BJ27" s="26">
        <f t="shared" si="39"/>
        <v>96</v>
      </c>
      <c r="BK27" s="26">
        <f t="shared" si="40"/>
        <v>96</v>
      </c>
      <c r="BL27" s="26">
        <f t="shared" si="41"/>
        <v>279.7</v>
      </c>
      <c r="BM27" s="26">
        <f t="shared" si="42"/>
        <v>55.94</v>
      </c>
      <c r="BN27" s="26">
        <f t="shared" si="43"/>
        <v>293</v>
      </c>
      <c r="BO27" s="26">
        <f t="shared" si="44"/>
        <v>170.10000000000002</v>
      </c>
      <c r="BP27" s="26">
        <f t="shared" si="45"/>
        <v>165</v>
      </c>
      <c r="BQ27" s="26">
        <f t="shared" si="46"/>
        <v>152.33333333333331</v>
      </c>
      <c r="BR27" s="26">
        <f t="shared" si="47"/>
        <v>142.66666666666669</v>
      </c>
      <c r="BS27" s="24">
        <f t="shared" si="48"/>
        <v>4</v>
      </c>
      <c r="BT27" s="24">
        <f t="shared" si="49"/>
        <v>6</v>
      </c>
      <c r="BU27" s="24">
        <f t="shared" si="50"/>
        <v>9</v>
      </c>
      <c r="BV27" s="24">
        <f t="shared" si="51"/>
        <v>3</v>
      </c>
      <c r="BW27" s="24">
        <f t="shared" si="52"/>
        <v>15</v>
      </c>
      <c r="BX27" s="24">
        <f t="shared" si="53"/>
        <v>9</v>
      </c>
      <c r="BY27" s="24">
        <f t="shared" si="54"/>
        <v>6</v>
      </c>
      <c r="BZ27" s="24">
        <f t="shared" si="55"/>
        <v>4</v>
      </c>
      <c r="CA27" s="24">
        <f t="shared" si="56"/>
        <v>4</v>
      </c>
      <c r="CB27" s="24">
        <f t="shared" si="57"/>
        <v>5</v>
      </c>
      <c r="CC27" s="24">
        <f t="shared" si="58"/>
        <v>1</v>
      </c>
      <c r="CD27" s="24">
        <f t="shared" si="59"/>
        <v>5</v>
      </c>
      <c r="CE27" s="24">
        <f t="shared" si="60"/>
        <v>3</v>
      </c>
      <c r="CF27" s="24">
        <f t="shared" si="61"/>
        <v>6</v>
      </c>
      <c r="CG27" s="24">
        <f t="shared" si="62"/>
        <v>4</v>
      </c>
      <c r="CH27" s="24">
        <f t="shared" si="63"/>
        <v>4</v>
      </c>
      <c r="CI27" s="24">
        <f t="shared" si="64"/>
        <v>20</v>
      </c>
      <c r="CJ27" s="26" t="str">
        <f t="shared" si="65"/>
        <v/>
      </c>
      <c r="CK27" s="26">
        <f t="shared" si="66"/>
        <v>60</v>
      </c>
      <c r="CL27" s="26" t="str">
        <f t="shared" si="83"/>
        <v/>
      </c>
      <c r="CM27" s="24" t="str">
        <f t="shared" si="84"/>
        <v/>
      </c>
      <c r="CN27" s="26">
        <f t="shared" si="67"/>
        <v>3</v>
      </c>
      <c r="CO27" s="24">
        <f t="shared" si="68"/>
        <v>20</v>
      </c>
      <c r="CP27" s="26">
        <f t="shared" si="69"/>
        <v>1258.74</v>
      </c>
      <c r="CQ27" s="26">
        <f t="shared" si="70"/>
        <v>28</v>
      </c>
      <c r="CR27" s="26">
        <f t="shared" si="85"/>
        <v>62.936999999999998</v>
      </c>
      <c r="CS27" s="24" t="str">
        <f t="shared" si="86"/>
        <v>D</v>
      </c>
      <c r="CT27" s="27">
        <f t="shared" si="71"/>
        <v>1.4</v>
      </c>
      <c r="CU27" s="24">
        <f t="shared" si="72"/>
        <v>40</v>
      </c>
      <c r="CV27" s="26">
        <f t="shared" si="73"/>
        <v>2970.3733333333334</v>
      </c>
      <c r="CW27" s="26">
        <f t="shared" si="74"/>
        <v>88</v>
      </c>
      <c r="CX27" s="26">
        <f t="shared" si="87"/>
        <v>74.259333333333331</v>
      </c>
      <c r="CY27" s="27" t="str">
        <f t="shared" si="88"/>
        <v>C</v>
      </c>
      <c r="CZ27" s="26">
        <f t="shared" si="75"/>
        <v>2.2000000000000002</v>
      </c>
      <c r="DA27" s="24">
        <f t="shared" si="76"/>
        <v>9</v>
      </c>
      <c r="DB27" s="24">
        <f t="shared" si="77"/>
        <v>0</v>
      </c>
      <c r="DC27" s="24">
        <f t="shared" si="78"/>
        <v>13</v>
      </c>
      <c r="DD27" s="24">
        <f t="shared" si="79"/>
        <v>50</v>
      </c>
      <c r="DE27" s="1">
        <v>0</v>
      </c>
      <c r="DF27" s="1">
        <v>0</v>
      </c>
      <c r="DG27" s="1">
        <v>0</v>
      </c>
      <c r="DH27" s="24">
        <f t="shared" si="80"/>
        <v>0</v>
      </c>
      <c r="DI27" s="25">
        <f t="shared" si="81"/>
        <v>1</v>
      </c>
      <c r="DK27" s="9"/>
      <c r="DL27" s="9"/>
      <c r="DM27" s="9"/>
      <c r="DN27" s="9"/>
      <c r="DO27" s="9"/>
      <c r="DP27" s="9"/>
      <c r="DQ27" s="136" t="b">
        <f t="shared" si="82"/>
        <v>0</v>
      </c>
    </row>
    <row r="28" spans="1:121" ht="27" customHeight="1" x14ac:dyDescent="1.25">
      <c r="A28" s="24" t="str">
        <f t="shared" si="89"/>
        <v/>
      </c>
      <c r="B28" s="66"/>
      <c r="C28" s="69"/>
      <c r="D28" s="70"/>
      <c r="E28" s="70"/>
      <c r="F28" s="69"/>
      <c r="G28" s="22"/>
      <c r="H28" s="22"/>
      <c r="I28" s="22"/>
      <c r="J28" s="22"/>
      <c r="K28" s="22"/>
      <c r="L28" s="22"/>
      <c r="M28" s="22"/>
      <c r="N28" s="22"/>
      <c r="O28" s="22"/>
      <c r="P28" s="7"/>
      <c r="Q28" s="7"/>
      <c r="R28" s="7"/>
      <c r="S28" s="7"/>
      <c r="T28" s="7"/>
      <c r="U28" s="7"/>
      <c r="V28" s="7"/>
      <c r="W28" s="3" t="str">
        <f t="shared" si="0"/>
        <v/>
      </c>
      <c r="X28" s="3" t="str">
        <f t="shared" si="1"/>
        <v/>
      </c>
      <c r="Y28" s="3" t="str">
        <f t="shared" si="2"/>
        <v/>
      </c>
      <c r="Z28" s="3" t="str">
        <f t="shared" si="3"/>
        <v/>
      </c>
      <c r="AA28" s="3" t="str">
        <f t="shared" si="4"/>
        <v/>
      </c>
      <c r="AB28" s="3" t="str">
        <f t="shared" si="5"/>
        <v/>
      </c>
      <c r="AC28" s="3" t="str">
        <f t="shared" si="6"/>
        <v/>
      </c>
      <c r="AD28" s="3" t="str">
        <f t="shared" si="7"/>
        <v/>
      </c>
      <c r="AE28" s="3" t="str">
        <f t="shared" si="8"/>
        <v/>
      </c>
      <c r="AF28" s="24" t="str">
        <f t="shared" si="9"/>
        <v/>
      </c>
      <c r="AG28" s="24" t="str">
        <f t="shared" si="10"/>
        <v/>
      </c>
      <c r="AH28" s="24" t="str">
        <f t="shared" si="11"/>
        <v/>
      </c>
      <c r="AI28" s="24" t="str">
        <f t="shared" si="12"/>
        <v/>
      </c>
      <c r="AJ28" s="24" t="str">
        <f t="shared" si="13"/>
        <v/>
      </c>
      <c r="AK28" s="24" t="str">
        <f t="shared" si="14"/>
        <v/>
      </c>
      <c r="AL28" s="24" t="str">
        <f t="shared" si="15"/>
        <v/>
      </c>
      <c r="AM28" s="24" t="str">
        <f t="shared" si="16"/>
        <v/>
      </c>
      <c r="AN28" s="24" t="str">
        <f t="shared" si="17"/>
        <v/>
      </c>
      <c r="AO28" s="24" t="str">
        <f t="shared" si="18"/>
        <v/>
      </c>
      <c r="AP28" s="24" t="str">
        <f t="shared" si="19"/>
        <v/>
      </c>
      <c r="AQ28" s="24" t="str">
        <f t="shared" si="20"/>
        <v/>
      </c>
      <c r="AR28" s="24" t="str">
        <f t="shared" si="21"/>
        <v/>
      </c>
      <c r="AS28" s="24" t="str">
        <f t="shared" si="22"/>
        <v/>
      </c>
      <c r="AT28" s="24" t="str">
        <f t="shared" si="23"/>
        <v/>
      </c>
      <c r="AU28" s="24" t="str">
        <f t="shared" si="24"/>
        <v/>
      </c>
      <c r="AV28" s="24" t="str">
        <f t="shared" si="25"/>
        <v/>
      </c>
      <c r="AW28" s="24" t="str">
        <f t="shared" si="26"/>
        <v/>
      </c>
      <c r="AX28" s="24" t="str">
        <f t="shared" si="27"/>
        <v/>
      </c>
      <c r="AY28" s="24" t="str">
        <f t="shared" si="28"/>
        <v/>
      </c>
      <c r="AZ28" s="24" t="str">
        <f t="shared" si="29"/>
        <v/>
      </c>
      <c r="BA28" s="24" t="str">
        <f t="shared" si="30"/>
        <v/>
      </c>
      <c r="BB28" s="24" t="str">
        <f t="shared" si="31"/>
        <v/>
      </c>
      <c r="BC28" s="26" t="str">
        <f t="shared" si="32"/>
        <v/>
      </c>
      <c r="BD28" s="26" t="str">
        <f t="shared" si="33"/>
        <v/>
      </c>
      <c r="BE28" s="26" t="str">
        <f t="shared" si="34"/>
        <v/>
      </c>
      <c r="BF28" s="26" t="str">
        <f t="shared" si="35"/>
        <v/>
      </c>
      <c r="BG28" s="26" t="str">
        <f t="shared" si="36"/>
        <v/>
      </c>
      <c r="BH28" s="26" t="str">
        <f t="shared" si="37"/>
        <v/>
      </c>
      <c r="BI28" s="26" t="str">
        <f t="shared" si="38"/>
        <v/>
      </c>
      <c r="BJ28" s="26" t="str">
        <f t="shared" si="39"/>
        <v/>
      </c>
      <c r="BK28" s="26" t="str">
        <f t="shared" si="40"/>
        <v/>
      </c>
      <c r="BL28" s="26" t="str">
        <f t="shared" si="41"/>
        <v/>
      </c>
      <c r="BM28" s="26" t="str">
        <f t="shared" si="42"/>
        <v/>
      </c>
      <c r="BN28" s="26" t="str">
        <f t="shared" si="43"/>
        <v/>
      </c>
      <c r="BO28" s="26" t="str">
        <f t="shared" si="44"/>
        <v/>
      </c>
      <c r="BP28" s="26" t="str">
        <f t="shared" si="45"/>
        <v/>
      </c>
      <c r="BQ28" s="26" t="str">
        <f t="shared" si="46"/>
        <v/>
      </c>
      <c r="BR28" s="26" t="str">
        <f t="shared" si="47"/>
        <v/>
      </c>
      <c r="BS28" s="24" t="str">
        <f t="shared" si="48"/>
        <v/>
      </c>
      <c r="BT28" s="24" t="str">
        <f t="shared" si="49"/>
        <v/>
      </c>
      <c r="BU28" s="24" t="str">
        <f t="shared" si="50"/>
        <v/>
      </c>
      <c r="BV28" s="24" t="str">
        <f t="shared" si="51"/>
        <v/>
      </c>
      <c r="BW28" s="24" t="str">
        <f t="shared" si="52"/>
        <v/>
      </c>
      <c r="BX28" s="24" t="str">
        <f t="shared" si="53"/>
        <v/>
      </c>
      <c r="BY28" s="24" t="str">
        <f t="shared" si="54"/>
        <v/>
      </c>
      <c r="BZ28" s="24" t="str">
        <f t="shared" si="55"/>
        <v/>
      </c>
      <c r="CA28" s="24" t="str">
        <f t="shared" si="56"/>
        <v/>
      </c>
      <c r="CB28" s="24" t="str">
        <f t="shared" si="57"/>
        <v/>
      </c>
      <c r="CC28" s="24" t="str">
        <f t="shared" si="58"/>
        <v/>
      </c>
      <c r="CD28" s="24" t="str">
        <f t="shared" si="59"/>
        <v/>
      </c>
      <c r="CE28" s="24" t="str">
        <f t="shared" si="60"/>
        <v/>
      </c>
      <c r="CF28" s="24" t="str">
        <f t="shared" si="61"/>
        <v/>
      </c>
      <c r="CG28" s="24" t="str">
        <f t="shared" si="62"/>
        <v/>
      </c>
      <c r="CH28" s="24" t="str">
        <f t="shared" si="63"/>
        <v/>
      </c>
      <c r="CI28" s="24" t="str">
        <f t="shared" si="64"/>
        <v/>
      </c>
      <c r="CJ28" s="26" t="str">
        <f t="shared" si="65"/>
        <v/>
      </c>
      <c r="CK28" s="26" t="str">
        <f t="shared" si="66"/>
        <v/>
      </c>
      <c r="CL28" s="26" t="str">
        <f t="shared" si="83"/>
        <v/>
      </c>
      <c r="CM28" s="24" t="str">
        <f t="shared" si="84"/>
        <v/>
      </c>
      <c r="CN28" s="26" t="str">
        <f t="shared" si="67"/>
        <v/>
      </c>
      <c r="CO28" s="24" t="str">
        <f t="shared" si="68"/>
        <v/>
      </c>
      <c r="CP28" s="26" t="str">
        <f t="shared" si="69"/>
        <v/>
      </c>
      <c r="CQ28" s="26" t="str">
        <f t="shared" si="70"/>
        <v/>
      </c>
      <c r="CR28" s="26" t="str">
        <f t="shared" si="85"/>
        <v/>
      </c>
      <c r="CS28" s="24" t="str">
        <f t="shared" si="86"/>
        <v/>
      </c>
      <c r="CT28" s="27" t="str">
        <f t="shared" si="71"/>
        <v/>
      </c>
      <c r="CU28" s="24" t="str">
        <f t="shared" si="72"/>
        <v/>
      </c>
      <c r="CV28" s="26" t="str">
        <f t="shared" si="73"/>
        <v/>
      </c>
      <c r="CW28" s="26" t="str">
        <f t="shared" si="74"/>
        <v/>
      </c>
      <c r="CX28" s="26" t="str">
        <f t="shared" si="87"/>
        <v/>
      </c>
      <c r="CY28" s="27" t="str">
        <f t="shared" si="88"/>
        <v/>
      </c>
      <c r="CZ28" s="26" t="str">
        <f t="shared" si="75"/>
        <v/>
      </c>
      <c r="DA28" s="24" t="str">
        <f t="shared" si="76"/>
        <v/>
      </c>
      <c r="DB28" s="24" t="str">
        <f t="shared" si="77"/>
        <v/>
      </c>
      <c r="DC28" s="24" t="str">
        <f t="shared" si="78"/>
        <v/>
      </c>
      <c r="DD28" s="24" t="str">
        <f t="shared" si="79"/>
        <v/>
      </c>
      <c r="DE28" s="1">
        <v>0</v>
      </c>
      <c r="DF28" s="1">
        <v>0</v>
      </c>
      <c r="DG28" s="1">
        <v>0</v>
      </c>
      <c r="DH28" s="24" t="str">
        <f t="shared" si="80"/>
        <v/>
      </c>
      <c r="DI28" s="25" t="str">
        <f t="shared" si="81"/>
        <v/>
      </c>
      <c r="DK28" s="9"/>
      <c r="DL28" s="9"/>
      <c r="DM28" s="9"/>
      <c r="DN28" s="9"/>
      <c r="DO28" s="9"/>
      <c r="DP28" s="9"/>
      <c r="DQ28" s="136" t="b">
        <f t="shared" si="82"/>
        <v>1</v>
      </c>
    </row>
    <row r="29" spans="1:121" ht="27" customHeight="1" x14ac:dyDescent="1.25">
      <c r="A29" s="24" t="str">
        <f t="shared" si="89"/>
        <v/>
      </c>
      <c r="B29" s="69"/>
      <c r="C29" s="69"/>
      <c r="D29" s="70"/>
      <c r="E29" s="70"/>
      <c r="F29" s="69"/>
      <c r="G29" s="22"/>
      <c r="H29" s="22"/>
      <c r="I29" s="22"/>
      <c r="J29" s="22"/>
      <c r="K29" s="22"/>
      <c r="L29" s="22"/>
      <c r="M29" s="22"/>
      <c r="N29" s="22"/>
      <c r="O29" s="22"/>
      <c r="P29" s="7"/>
      <c r="Q29" s="7"/>
      <c r="R29" s="7"/>
      <c r="S29" s="7"/>
      <c r="T29" s="7"/>
      <c r="U29" s="7"/>
      <c r="V29" s="7"/>
      <c r="W29" s="3" t="str">
        <f t="shared" si="0"/>
        <v/>
      </c>
      <c r="X29" s="3" t="str">
        <f t="shared" si="1"/>
        <v/>
      </c>
      <c r="Y29" s="3" t="str">
        <f t="shared" si="2"/>
        <v/>
      </c>
      <c r="Z29" s="3" t="str">
        <f t="shared" si="3"/>
        <v/>
      </c>
      <c r="AA29" s="3" t="str">
        <f t="shared" si="4"/>
        <v/>
      </c>
      <c r="AB29" s="3" t="str">
        <f t="shared" si="5"/>
        <v/>
      </c>
      <c r="AC29" s="3" t="str">
        <f t="shared" si="6"/>
        <v/>
      </c>
      <c r="AD29" s="3" t="str">
        <f t="shared" si="7"/>
        <v/>
      </c>
      <c r="AE29" s="3" t="str">
        <f t="shared" si="8"/>
        <v/>
      </c>
      <c r="AF29" s="24" t="str">
        <f t="shared" si="9"/>
        <v/>
      </c>
      <c r="AG29" s="24" t="str">
        <f t="shared" si="10"/>
        <v/>
      </c>
      <c r="AH29" s="24" t="str">
        <f t="shared" si="11"/>
        <v/>
      </c>
      <c r="AI29" s="24" t="str">
        <f t="shared" si="12"/>
        <v/>
      </c>
      <c r="AJ29" s="24" t="str">
        <f t="shared" si="13"/>
        <v/>
      </c>
      <c r="AK29" s="24" t="str">
        <f t="shared" si="14"/>
        <v/>
      </c>
      <c r="AL29" s="24" t="str">
        <f t="shared" si="15"/>
        <v/>
      </c>
      <c r="AM29" s="24" t="str">
        <f t="shared" si="16"/>
        <v/>
      </c>
      <c r="AN29" s="24" t="str">
        <f t="shared" si="17"/>
        <v/>
      </c>
      <c r="AO29" s="24" t="str">
        <f t="shared" si="18"/>
        <v/>
      </c>
      <c r="AP29" s="24" t="str">
        <f t="shared" si="19"/>
        <v/>
      </c>
      <c r="AQ29" s="24" t="str">
        <f t="shared" si="20"/>
        <v/>
      </c>
      <c r="AR29" s="24" t="str">
        <f t="shared" si="21"/>
        <v/>
      </c>
      <c r="AS29" s="24" t="str">
        <f t="shared" si="22"/>
        <v/>
      </c>
      <c r="AT29" s="24" t="str">
        <f t="shared" si="23"/>
        <v/>
      </c>
      <c r="AU29" s="24" t="str">
        <f t="shared" si="24"/>
        <v/>
      </c>
      <c r="AV29" s="24" t="str">
        <f t="shared" si="25"/>
        <v/>
      </c>
      <c r="AW29" s="24" t="str">
        <f t="shared" si="26"/>
        <v/>
      </c>
      <c r="AX29" s="24" t="str">
        <f t="shared" si="27"/>
        <v/>
      </c>
      <c r="AY29" s="24" t="str">
        <f t="shared" si="28"/>
        <v/>
      </c>
      <c r="AZ29" s="24" t="str">
        <f t="shared" si="29"/>
        <v/>
      </c>
      <c r="BA29" s="24" t="str">
        <f t="shared" si="30"/>
        <v/>
      </c>
      <c r="BB29" s="24" t="str">
        <f t="shared" si="31"/>
        <v/>
      </c>
      <c r="BC29" s="26" t="str">
        <f t="shared" si="32"/>
        <v/>
      </c>
      <c r="BD29" s="26" t="str">
        <f t="shared" si="33"/>
        <v/>
      </c>
      <c r="BE29" s="26" t="str">
        <f t="shared" si="34"/>
        <v/>
      </c>
      <c r="BF29" s="26" t="str">
        <f t="shared" si="35"/>
        <v/>
      </c>
      <c r="BG29" s="26" t="str">
        <f t="shared" si="36"/>
        <v/>
      </c>
      <c r="BH29" s="26" t="str">
        <f t="shared" si="37"/>
        <v/>
      </c>
      <c r="BI29" s="26" t="str">
        <f t="shared" si="38"/>
        <v/>
      </c>
      <c r="BJ29" s="26" t="str">
        <f t="shared" si="39"/>
        <v/>
      </c>
      <c r="BK29" s="26" t="str">
        <f t="shared" si="40"/>
        <v/>
      </c>
      <c r="BL29" s="26" t="str">
        <f t="shared" si="41"/>
        <v/>
      </c>
      <c r="BM29" s="26" t="str">
        <f t="shared" si="42"/>
        <v/>
      </c>
      <c r="BN29" s="26" t="str">
        <f t="shared" si="43"/>
        <v/>
      </c>
      <c r="BO29" s="26" t="str">
        <f t="shared" si="44"/>
        <v/>
      </c>
      <c r="BP29" s="26" t="str">
        <f t="shared" si="45"/>
        <v/>
      </c>
      <c r="BQ29" s="26" t="str">
        <f t="shared" si="46"/>
        <v/>
      </c>
      <c r="BR29" s="26" t="str">
        <f t="shared" si="47"/>
        <v/>
      </c>
      <c r="BS29" s="24" t="str">
        <f t="shared" si="48"/>
        <v/>
      </c>
      <c r="BT29" s="24" t="str">
        <f t="shared" si="49"/>
        <v/>
      </c>
      <c r="BU29" s="24" t="str">
        <f t="shared" si="50"/>
        <v/>
      </c>
      <c r="BV29" s="24" t="str">
        <f t="shared" si="51"/>
        <v/>
      </c>
      <c r="BW29" s="24" t="str">
        <f t="shared" si="52"/>
        <v/>
      </c>
      <c r="BX29" s="24" t="str">
        <f t="shared" si="53"/>
        <v/>
      </c>
      <c r="BY29" s="24" t="str">
        <f t="shared" si="54"/>
        <v/>
      </c>
      <c r="BZ29" s="24" t="str">
        <f t="shared" si="55"/>
        <v/>
      </c>
      <c r="CA29" s="24" t="str">
        <f t="shared" si="56"/>
        <v/>
      </c>
      <c r="CB29" s="24" t="str">
        <f t="shared" si="57"/>
        <v/>
      </c>
      <c r="CC29" s="24" t="str">
        <f t="shared" si="58"/>
        <v/>
      </c>
      <c r="CD29" s="24" t="str">
        <f t="shared" si="59"/>
        <v/>
      </c>
      <c r="CE29" s="24" t="str">
        <f t="shared" si="60"/>
        <v/>
      </c>
      <c r="CF29" s="24" t="str">
        <f t="shared" si="61"/>
        <v/>
      </c>
      <c r="CG29" s="24" t="str">
        <f t="shared" si="62"/>
        <v/>
      </c>
      <c r="CH29" s="24" t="str">
        <f t="shared" si="63"/>
        <v/>
      </c>
      <c r="CI29" s="24" t="str">
        <f t="shared" si="64"/>
        <v/>
      </c>
      <c r="CJ29" s="26" t="str">
        <f t="shared" si="65"/>
        <v/>
      </c>
      <c r="CK29" s="26" t="str">
        <f t="shared" si="66"/>
        <v/>
      </c>
      <c r="CL29" s="26" t="str">
        <f t="shared" si="83"/>
        <v/>
      </c>
      <c r="CM29" s="24" t="str">
        <f t="shared" si="84"/>
        <v/>
      </c>
      <c r="CN29" s="26" t="str">
        <f t="shared" si="67"/>
        <v/>
      </c>
      <c r="CO29" s="24" t="str">
        <f t="shared" si="68"/>
        <v/>
      </c>
      <c r="CP29" s="26" t="str">
        <f t="shared" si="69"/>
        <v/>
      </c>
      <c r="CQ29" s="26" t="str">
        <f t="shared" si="70"/>
        <v/>
      </c>
      <c r="CR29" s="26" t="str">
        <f t="shared" si="85"/>
        <v/>
      </c>
      <c r="CS29" s="24" t="str">
        <f t="shared" si="86"/>
        <v/>
      </c>
      <c r="CT29" s="27" t="str">
        <f t="shared" si="71"/>
        <v/>
      </c>
      <c r="CU29" s="24" t="str">
        <f t="shared" si="72"/>
        <v/>
      </c>
      <c r="CV29" s="26" t="str">
        <f t="shared" si="73"/>
        <v/>
      </c>
      <c r="CW29" s="26" t="str">
        <f t="shared" si="74"/>
        <v/>
      </c>
      <c r="CX29" s="26" t="str">
        <f t="shared" si="87"/>
        <v/>
      </c>
      <c r="CY29" s="27" t="str">
        <f t="shared" si="88"/>
        <v/>
      </c>
      <c r="CZ29" s="26" t="str">
        <f t="shared" si="75"/>
        <v/>
      </c>
      <c r="DA29" s="24" t="str">
        <f t="shared" si="76"/>
        <v/>
      </c>
      <c r="DB29" s="24" t="str">
        <f t="shared" si="77"/>
        <v/>
      </c>
      <c r="DC29" s="24" t="str">
        <f t="shared" si="78"/>
        <v/>
      </c>
      <c r="DD29" s="24" t="str">
        <f t="shared" si="79"/>
        <v/>
      </c>
      <c r="DE29" s="1">
        <v>0</v>
      </c>
      <c r="DF29" s="1">
        <v>0</v>
      </c>
      <c r="DG29" s="1">
        <v>0</v>
      </c>
      <c r="DH29" s="24" t="str">
        <f t="shared" si="80"/>
        <v/>
      </c>
      <c r="DI29" s="25" t="str">
        <f t="shared" si="81"/>
        <v/>
      </c>
      <c r="DK29" s="9"/>
      <c r="DL29" s="9"/>
      <c r="DM29" s="9"/>
      <c r="DN29" s="9"/>
      <c r="DO29" s="9"/>
      <c r="DP29" s="9"/>
      <c r="DQ29" s="136" t="b">
        <f t="shared" si="82"/>
        <v>1</v>
      </c>
    </row>
    <row r="30" spans="1:121" ht="27" customHeight="1" x14ac:dyDescent="1.25">
      <c r="A30" s="24" t="str">
        <f t="shared" si="89"/>
        <v/>
      </c>
      <c r="B30" s="69"/>
      <c r="C30" s="69"/>
      <c r="D30" s="70"/>
      <c r="E30" s="70"/>
      <c r="F30" s="69"/>
      <c r="G30" s="22"/>
      <c r="H30" s="22"/>
      <c r="I30" s="22"/>
      <c r="J30" s="22"/>
      <c r="K30" s="22"/>
      <c r="L30" s="22"/>
      <c r="M30" s="22"/>
      <c r="N30" s="22"/>
      <c r="O30" s="22"/>
      <c r="P30" s="7"/>
      <c r="Q30" s="7"/>
      <c r="R30" s="7"/>
      <c r="S30" s="7"/>
      <c r="T30" s="7"/>
      <c r="U30" s="7"/>
      <c r="V30" s="7"/>
      <c r="W30" s="3" t="str">
        <f t="shared" si="0"/>
        <v/>
      </c>
      <c r="X30" s="3" t="str">
        <f t="shared" si="1"/>
        <v/>
      </c>
      <c r="Y30" s="3" t="str">
        <f t="shared" si="2"/>
        <v/>
      </c>
      <c r="Z30" s="3" t="str">
        <f t="shared" si="3"/>
        <v/>
      </c>
      <c r="AA30" s="3" t="str">
        <f t="shared" si="4"/>
        <v/>
      </c>
      <c r="AB30" s="3" t="str">
        <f t="shared" si="5"/>
        <v/>
      </c>
      <c r="AC30" s="3" t="str">
        <f t="shared" si="6"/>
        <v/>
      </c>
      <c r="AD30" s="3" t="str">
        <f t="shared" si="7"/>
        <v/>
      </c>
      <c r="AE30" s="3" t="str">
        <f t="shared" si="8"/>
        <v/>
      </c>
      <c r="AF30" s="24" t="str">
        <f t="shared" si="9"/>
        <v/>
      </c>
      <c r="AG30" s="24" t="str">
        <f t="shared" si="10"/>
        <v/>
      </c>
      <c r="AH30" s="24" t="str">
        <f t="shared" si="11"/>
        <v/>
      </c>
      <c r="AI30" s="24" t="str">
        <f t="shared" si="12"/>
        <v/>
      </c>
      <c r="AJ30" s="24" t="str">
        <f t="shared" si="13"/>
        <v/>
      </c>
      <c r="AK30" s="24" t="str">
        <f t="shared" si="14"/>
        <v/>
      </c>
      <c r="AL30" s="24" t="str">
        <f t="shared" si="15"/>
        <v/>
      </c>
      <c r="AM30" s="24" t="str">
        <f t="shared" si="16"/>
        <v/>
      </c>
      <c r="AN30" s="24" t="str">
        <f t="shared" si="17"/>
        <v/>
      </c>
      <c r="AO30" s="24" t="str">
        <f t="shared" si="18"/>
        <v/>
      </c>
      <c r="AP30" s="24" t="str">
        <f t="shared" si="19"/>
        <v/>
      </c>
      <c r="AQ30" s="24" t="str">
        <f t="shared" si="20"/>
        <v/>
      </c>
      <c r="AR30" s="24" t="str">
        <f t="shared" si="21"/>
        <v/>
      </c>
      <c r="AS30" s="24" t="str">
        <f t="shared" si="22"/>
        <v/>
      </c>
      <c r="AT30" s="24" t="str">
        <f t="shared" si="23"/>
        <v/>
      </c>
      <c r="AU30" s="24" t="str">
        <f t="shared" si="24"/>
        <v/>
      </c>
      <c r="AV30" s="24" t="str">
        <f t="shared" si="25"/>
        <v/>
      </c>
      <c r="AW30" s="24" t="str">
        <f t="shared" si="26"/>
        <v/>
      </c>
      <c r="AX30" s="24" t="str">
        <f t="shared" si="27"/>
        <v/>
      </c>
      <c r="AY30" s="24" t="str">
        <f t="shared" si="28"/>
        <v/>
      </c>
      <c r="AZ30" s="24" t="str">
        <f t="shared" si="29"/>
        <v/>
      </c>
      <c r="BA30" s="24" t="str">
        <f t="shared" si="30"/>
        <v/>
      </c>
      <c r="BB30" s="24" t="str">
        <f t="shared" si="31"/>
        <v/>
      </c>
      <c r="BC30" s="26" t="str">
        <f t="shared" si="32"/>
        <v/>
      </c>
      <c r="BD30" s="26" t="str">
        <f t="shared" si="33"/>
        <v/>
      </c>
      <c r="BE30" s="26" t="str">
        <f t="shared" si="34"/>
        <v/>
      </c>
      <c r="BF30" s="26" t="str">
        <f t="shared" si="35"/>
        <v/>
      </c>
      <c r="BG30" s="26" t="str">
        <f t="shared" si="36"/>
        <v/>
      </c>
      <c r="BH30" s="26" t="str">
        <f t="shared" si="37"/>
        <v/>
      </c>
      <c r="BI30" s="26" t="str">
        <f t="shared" si="38"/>
        <v/>
      </c>
      <c r="BJ30" s="26" t="str">
        <f t="shared" si="39"/>
        <v/>
      </c>
      <c r="BK30" s="26" t="str">
        <f t="shared" si="40"/>
        <v/>
      </c>
      <c r="BL30" s="26" t="str">
        <f t="shared" si="41"/>
        <v/>
      </c>
      <c r="BM30" s="26" t="str">
        <f t="shared" si="42"/>
        <v/>
      </c>
      <c r="BN30" s="26" t="str">
        <f t="shared" si="43"/>
        <v/>
      </c>
      <c r="BO30" s="26" t="str">
        <f t="shared" si="44"/>
        <v/>
      </c>
      <c r="BP30" s="26" t="str">
        <f t="shared" si="45"/>
        <v/>
      </c>
      <c r="BQ30" s="26" t="str">
        <f t="shared" si="46"/>
        <v/>
      </c>
      <c r="BR30" s="26" t="str">
        <f t="shared" si="47"/>
        <v/>
      </c>
      <c r="BS30" s="24" t="str">
        <f t="shared" si="48"/>
        <v/>
      </c>
      <c r="BT30" s="24" t="str">
        <f t="shared" si="49"/>
        <v/>
      </c>
      <c r="BU30" s="24" t="str">
        <f t="shared" si="50"/>
        <v/>
      </c>
      <c r="BV30" s="24" t="str">
        <f t="shared" si="51"/>
        <v/>
      </c>
      <c r="BW30" s="24" t="str">
        <f t="shared" si="52"/>
        <v/>
      </c>
      <c r="BX30" s="24" t="str">
        <f t="shared" si="53"/>
        <v/>
      </c>
      <c r="BY30" s="24" t="str">
        <f t="shared" si="54"/>
        <v/>
      </c>
      <c r="BZ30" s="24" t="str">
        <f t="shared" si="55"/>
        <v/>
      </c>
      <c r="CA30" s="24" t="str">
        <f t="shared" si="56"/>
        <v/>
      </c>
      <c r="CB30" s="24" t="str">
        <f t="shared" si="57"/>
        <v/>
      </c>
      <c r="CC30" s="24" t="str">
        <f t="shared" si="58"/>
        <v/>
      </c>
      <c r="CD30" s="24" t="str">
        <f t="shared" si="59"/>
        <v/>
      </c>
      <c r="CE30" s="24" t="str">
        <f t="shared" si="60"/>
        <v/>
      </c>
      <c r="CF30" s="24" t="str">
        <f t="shared" si="61"/>
        <v/>
      </c>
      <c r="CG30" s="24" t="str">
        <f t="shared" si="62"/>
        <v/>
      </c>
      <c r="CH30" s="24" t="str">
        <f t="shared" si="63"/>
        <v/>
      </c>
      <c r="CI30" s="24" t="str">
        <f t="shared" si="64"/>
        <v/>
      </c>
      <c r="CJ30" s="26" t="str">
        <f t="shared" si="65"/>
        <v/>
      </c>
      <c r="CK30" s="26" t="str">
        <f t="shared" si="66"/>
        <v/>
      </c>
      <c r="CL30" s="26" t="str">
        <f t="shared" si="83"/>
        <v/>
      </c>
      <c r="CM30" s="24" t="str">
        <f t="shared" si="84"/>
        <v/>
      </c>
      <c r="CN30" s="26" t="str">
        <f t="shared" si="67"/>
        <v/>
      </c>
      <c r="CO30" s="24" t="str">
        <f t="shared" si="68"/>
        <v/>
      </c>
      <c r="CP30" s="26" t="str">
        <f t="shared" si="69"/>
        <v/>
      </c>
      <c r="CQ30" s="26" t="str">
        <f t="shared" si="70"/>
        <v/>
      </c>
      <c r="CR30" s="26" t="str">
        <f t="shared" si="85"/>
        <v/>
      </c>
      <c r="CS30" s="24" t="str">
        <f t="shared" si="86"/>
        <v/>
      </c>
      <c r="CT30" s="27" t="str">
        <f t="shared" si="71"/>
        <v/>
      </c>
      <c r="CU30" s="24" t="str">
        <f t="shared" si="72"/>
        <v/>
      </c>
      <c r="CV30" s="26" t="str">
        <f t="shared" si="73"/>
        <v/>
      </c>
      <c r="CW30" s="26" t="str">
        <f t="shared" si="74"/>
        <v/>
      </c>
      <c r="CX30" s="26" t="str">
        <f t="shared" si="87"/>
        <v/>
      </c>
      <c r="CY30" s="27" t="str">
        <f t="shared" si="88"/>
        <v/>
      </c>
      <c r="CZ30" s="26" t="str">
        <f t="shared" si="75"/>
        <v/>
      </c>
      <c r="DA30" s="24" t="str">
        <f t="shared" si="76"/>
        <v/>
      </c>
      <c r="DB30" s="24" t="str">
        <f t="shared" si="77"/>
        <v/>
      </c>
      <c r="DC30" s="24" t="str">
        <f t="shared" si="78"/>
        <v/>
      </c>
      <c r="DD30" s="24" t="str">
        <f t="shared" si="79"/>
        <v/>
      </c>
      <c r="DE30" s="1">
        <v>0</v>
      </c>
      <c r="DF30" s="1">
        <v>0</v>
      </c>
      <c r="DG30" s="1">
        <v>0</v>
      </c>
      <c r="DH30" s="24" t="str">
        <f t="shared" si="80"/>
        <v/>
      </c>
      <c r="DI30" s="25" t="str">
        <f t="shared" si="81"/>
        <v/>
      </c>
      <c r="DK30" s="9"/>
      <c r="DL30" s="9"/>
      <c r="DM30" s="9"/>
      <c r="DN30" s="9"/>
      <c r="DO30" s="9"/>
      <c r="DP30" s="9"/>
      <c r="DQ30" s="136" t="b">
        <f t="shared" si="82"/>
        <v>1</v>
      </c>
    </row>
    <row r="31" spans="1:121" ht="27" customHeight="1" x14ac:dyDescent="1.25">
      <c r="A31" s="24" t="str">
        <f t="shared" si="89"/>
        <v/>
      </c>
      <c r="B31" s="69"/>
      <c r="C31" s="69"/>
      <c r="D31" s="70"/>
      <c r="E31" s="70"/>
      <c r="F31" s="69"/>
      <c r="G31" s="22"/>
      <c r="H31" s="22"/>
      <c r="I31" s="22"/>
      <c r="J31" s="22"/>
      <c r="K31" s="22"/>
      <c r="L31" s="22"/>
      <c r="M31" s="22"/>
      <c r="N31" s="22"/>
      <c r="O31" s="22"/>
      <c r="P31" s="7"/>
      <c r="Q31" s="7"/>
      <c r="R31" s="7"/>
      <c r="S31" s="7"/>
      <c r="T31" s="7"/>
      <c r="U31" s="7"/>
      <c r="V31" s="7"/>
      <c r="W31" s="3" t="str">
        <f t="shared" si="0"/>
        <v/>
      </c>
      <c r="X31" s="3" t="str">
        <f t="shared" si="1"/>
        <v/>
      </c>
      <c r="Y31" s="3" t="str">
        <f t="shared" si="2"/>
        <v/>
      </c>
      <c r="Z31" s="3" t="str">
        <f t="shared" si="3"/>
        <v/>
      </c>
      <c r="AA31" s="3" t="str">
        <f t="shared" si="4"/>
        <v/>
      </c>
      <c r="AB31" s="3" t="str">
        <f t="shared" si="5"/>
        <v/>
      </c>
      <c r="AC31" s="3" t="str">
        <f t="shared" si="6"/>
        <v/>
      </c>
      <c r="AD31" s="3" t="str">
        <f t="shared" si="7"/>
        <v/>
      </c>
      <c r="AE31" s="3" t="str">
        <f t="shared" si="8"/>
        <v/>
      </c>
      <c r="AF31" s="24" t="str">
        <f t="shared" si="9"/>
        <v/>
      </c>
      <c r="AG31" s="24" t="str">
        <f t="shared" si="10"/>
        <v/>
      </c>
      <c r="AH31" s="24" t="str">
        <f t="shared" si="11"/>
        <v/>
      </c>
      <c r="AI31" s="24" t="str">
        <f t="shared" si="12"/>
        <v/>
      </c>
      <c r="AJ31" s="24" t="str">
        <f t="shared" si="13"/>
        <v/>
      </c>
      <c r="AK31" s="24" t="str">
        <f t="shared" si="14"/>
        <v/>
      </c>
      <c r="AL31" s="24" t="str">
        <f t="shared" si="15"/>
        <v/>
      </c>
      <c r="AM31" s="24" t="str">
        <f t="shared" si="16"/>
        <v/>
      </c>
      <c r="AN31" s="24" t="str">
        <f t="shared" si="17"/>
        <v/>
      </c>
      <c r="AO31" s="24" t="str">
        <f t="shared" si="18"/>
        <v/>
      </c>
      <c r="AP31" s="24" t="str">
        <f t="shared" si="19"/>
        <v/>
      </c>
      <c r="AQ31" s="24" t="str">
        <f t="shared" si="20"/>
        <v/>
      </c>
      <c r="AR31" s="24" t="str">
        <f t="shared" si="21"/>
        <v/>
      </c>
      <c r="AS31" s="24" t="str">
        <f t="shared" si="22"/>
        <v/>
      </c>
      <c r="AT31" s="24" t="str">
        <f t="shared" si="23"/>
        <v/>
      </c>
      <c r="AU31" s="24" t="str">
        <f t="shared" si="24"/>
        <v/>
      </c>
      <c r="AV31" s="24" t="str">
        <f t="shared" si="25"/>
        <v/>
      </c>
      <c r="AW31" s="24" t="str">
        <f t="shared" si="26"/>
        <v/>
      </c>
      <c r="AX31" s="24" t="str">
        <f t="shared" si="27"/>
        <v/>
      </c>
      <c r="AY31" s="24" t="str">
        <f t="shared" si="28"/>
        <v/>
      </c>
      <c r="AZ31" s="24" t="str">
        <f t="shared" si="29"/>
        <v/>
      </c>
      <c r="BA31" s="24" t="str">
        <f t="shared" si="30"/>
        <v/>
      </c>
      <c r="BB31" s="24" t="str">
        <f t="shared" si="31"/>
        <v/>
      </c>
      <c r="BC31" s="26" t="str">
        <f t="shared" si="32"/>
        <v/>
      </c>
      <c r="BD31" s="26" t="str">
        <f t="shared" si="33"/>
        <v/>
      </c>
      <c r="BE31" s="26" t="str">
        <f t="shared" si="34"/>
        <v/>
      </c>
      <c r="BF31" s="26" t="str">
        <f t="shared" si="35"/>
        <v/>
      </c>
      <c r="BG31" s="26" t="str">
        <f t="shared" si="36"/>
        <v/>
      </c>
      <c r="BH31" s="26" t="str">
        <f t="shared" si="37"/>
        <v/>
      </c>
      <c r="BI31" s="26" t="str">
        <f t="shared" si="38"/>
        <v/>
      </c>
      <c r="BJ31" s="26" t="str">
        <f t="shared" si="39"/>
        <v/>
      </c>
      <c r="BK31" s="26" t="str">
        <f t="shared" si="40"/>
        <v/>
      </c>
      <c r="BL31" s="26" t="str">
        <f t="shared" si="41"/>
        <v/>
      </c>
      <c r="BM31" s="26" t="str">
        <f t="shared" si="42"/>
        <v/>
      </c>
      <c r="BN31" s="26" t="str">
        <f t="shared" si="43"/>
        <v/>
      </c>
      <c r="BO31" s="26" t="str">
        <f t="shared" si="44"/>
        <v/>
      </c>
      <c r="BP31" s="26" t="str">
        <f t="shared" si="45"/>
        <v/>
      </c>
      <c r="BQ31" s="26" t="str">
        <f t="shared" si="46"/>
        <v/>
      </c>
      <c r="BR31" s="26" t="str">
        <f t="shared" si="47"/>
        <v/>
      </c>
      <c r="BS31" s="24" t="str">
        <f t="shared" si="48"/>
        <v/>
      </c>
      <c r="BT31" s="24" t="str">
        <f t="shared" si="49"/>
        <v/>
      </c>
      <c r="BU31" s="24" t="str">
        <f t="shared" si="50"/>
        <v/>
      </c>
      <c r="BV31" s="24" t="str">
        <f t="shared" si="51"/>
        <v/>
      </c>
      <c r="BW31" s="24" t="str">
        <f t="shared" si="52"/>
        <v/>
      </c>
      <c r="BX31" s="24" t="str">
        <f t="shared" si="53"/>
        <v/>
      </c>
      <c r="BY31" s="24" t="str">
        <f t="shared" si="54"/>
        <v/>
      </c>
      <c r="BZ31" s="24" t="str">
        <f t="shared" si="55"/>
        <v/>
      </c>
      <c r="CA31" s="24" t="str">
        <f t="shared" si="56"/>
        <v/>
      </c>
      <c r="CB31" s="24" t="str">
        <f t="shared" si="57"/>
        <v/>
      </c>
      <c r="CC31" s="24" t="str">
        <f t="shared" si="58"/>
        <v/>
      </c>
      <c r="CD31" s="24" t="str">
        <f t="shared" si="59"/>
        <v/>
      </c>
      <c r="CE31" s="24" t="str">
        <f t="shared" si="60"/>
        <v/>
      </c>
      <c r="CF31" s="24" t="str">
        <f t="shared" si="61"/>
        <v/>
      </c>
      <c r="CG31" s="24" t="str">
        <f t="shared" si="62"/>
        <v/>
      </c>
      <c r="CH31" s="24" t="str">
        <f t="shared" si="63"/>
        <v/>
      </c>
      <c r="CI31" s="24" t="str">
        <f t="shared" si="64"/>
        <v/>
      </c>
      <c r="CJ31" s="26" t="str">
        <f t="shared" si="65"/>
        <v/>
      </c>
      <c r="CK31" s="26" t="str">
        <f t="shared" si="66"/>
        <v/>
      </c>
      <c r="CL31" s="26" t="str">
        <f t="shared" si="83"/>
        <v/>
      </c>
      <c r="CM31" s="24" t="str">
        <f t="shared" si="84"/>
        <v/>
      </c>
      <c r="CN31" s="26" t="str">
        <f t="shared" si="67"/>
        <v/>
      </c>
      <c r="CO31" s="24" t="str">
        <f t="shared" si="68"/>
        <v/>
      </c>
      <c r="CP31" s="26" t="str">
        <f t="shared" si="69"/>
        <v/>
      </c>
      <c r="CQ31" s="26" t="str">
        <f t="shared" si="70"/>
        <v/>
      </c>
      <c r="CR31" s="26" t="str">
        <f t="shared" si="85"/>
        <v/>
      </c>
      <c r="CS31" s="24" t="str">
        <f t="shared" si="86"/>
        <v/>
      </c>
      <c r="CT31" s="27" t="str">
        <f t="shared" si="71"/>
        <v/>
      </c>
      <c r="CU31" s="24" t="str">
        <f t="shared" si="72"/>
        <v/>
      </c>
      <c r="CV31" s="26" t="str">
        <f t="shared" si="73"/>
        <v/>
      </c>
      <c r="CW31" s="26" t="str">
        <f t="shared" si="74"/>
        <v/>
      </c>
      <c r="CX31" s="26" t="str">
        <f t="shared" si="87"/>
        <v/>
      </c>
      <c r="CY31" s="27" t="str">
        <f t="shared" si="88"/>
        <v/>
      </c>
      <c r="CZ31" s="26" t="str">
        <f t="shared" si="75"/>
        <v/>
      </c>
      <c r="DA31" s="24" t="str">
        <f t="shared" si="76"/>
        <v/>
      </c>
      <c r="DB31" s="24" t="str">
        <f t="shared" si="77"/>
        <v/>
      </c>
      <c r="DC31" s="24" t="str">
        <f t="shared" si="78"/>
        <v/>
      </c>
      <c r="DD31" s="24" t="str">
        <f t="shared" si="79"/>
        <v/>
      </c>
      <c r="DE31" s="1">
        <v>0</v>
      </c>
      <c r="DF31" s="1">
        <v>0</v>
      </c>
      <c r="DG31" s="1">
        <v>0</v>
      </c>
      <c r="DH31" s="24" t="str">
        <f t="shared" si="80"/>
        <v/>
      </c>
      <c r="DI31" s="25" t="str">
        <f t="shared" si="81"/>
        <v/>
      </c>
      <c r="DK31" s="9"/>
      <c r="DL31" s="9"/>
      <c r="DM31" s="9"/>
      <c r="DN31" s="9"/>
      <c r="DO31" s="9"/>
      <c r="DP31" s="9"/>
      <c r="DQ31" s="136" t="b">
        <f t="shared" si="82"/>
        <v>1</v>
      </c>
    </row>
    <row r="32" spans="1:121" ht="27" customHeight="1" x14ac:dyDescent="1.25">
      <c r="A32" s="24" t="str">
        <f t="shared" si="89"/>
        <v/>
      </c>
      <c r="B32" s="69"/>
      <c r="C32" s="69"/>
      <c r="D32" s="70"/>
      <c r="E32" s="70"/>
      <c r="F32" s="69"/>
      <c r="G32" s="22"/>
      <c r="H32" s="22"/>
      <c r="I32" s="22"/>
      <c r="J32" s="22"/>
      <c r="K32" s="22"/>
      <c r="L32" s="22"/>
      <c r="M32" s="22"/>
      <c r="N32" s="22"/>
      <c r="O32" s="22"/>
      <c r="P32" s="7"/>
      <c r="Q32" s="7"/>
      <c r="R32" s="7"/>
      <c r="S32" s="7"/>
      <c r="T32" s="7"/>
      <c r="U32" s="7"/>
      <c r="V32" s="7"/>
      <c r="W32" s="3" t="str">
        <f t="shared" si="0"/>
        <v/>
      </c>
      <c r="X32" s="3" t="str">
        <f t="shared" si="1"/>
        <v/>
      </c>
      <c r="Y32" s="3" t="str">
        <f t="shared" si="2"/>
        <v/>
      </c>
      <c r="Z32" s="3" t="str">
        <f t="shared" si="3"/>
        <v/>
      </c>
      <c r="AA32" s="3" t="str">
        <f t="shared" si="4"/>
        <v/>
      </c>
      <c r="AB32" s="3" t="str">
        <f t="shared" si="5"/>
        <v/>
      </c>
      <c r="AC32" s="3" t="str">
        <f t="shared" si="6"/>
        <v/>
      </c>
      <c r="AD32" s="3" t="str">
        <f t="shared" si="7"/>
        <v/>
      </c>
      <c r="AE32" s="3" t="str">
        <f t="shared" si="8"/>
        <v/>
      </c>
      <c r="AF32" s="24" t="str">
        <f t="shared" si="9"/>
        <v/>
      </c>
      <c r="AG32" s="24" t="str">
        <f t="shared" si="10"/>
        <v/>
      </c>
      <c r="AH32" s="24" t="str">
        <f t="shared" si="11"/>
        <v/>
      </c>
      <c r="AI32" s="24" t="str">
        <f t="shared" si="12"/>
        <v/>
      </c>
      <c r="AJ32" s="24" t="str">
        <f t="shared" si="13"/>
        <v/>
      </c>
      <c r="AK32" s="24" t="str">
        <f t="shared" si="14"/>
        <v/>
      </c>
      <c r="AL32" s="24" t="str">
        <f t="shared" si="15"/>
        <v/>
      </c>
      <c r="AM32" s="24" t="str">
        <f t="shared" si="16"/>
        <v/>
      </c>
      <c r="AN32" s="24" t="str">
        <f t="shared" si="17"/>
        <v/>
      </c>
      <c r="AO32" s="24" t="str">
        <f t="shared" si="18"/>
        <v/>
      </c>
      <c r="AP32" s="24" t="str">
        <f t="shared" si="19"/>
        <v/>
      </c>
      <c r="AQ32" s="24" t="str">
        <f t="shared" si="20"/>
        <v/>
      </c>
      <c r="AR32" s="24" t="str">
        <f t="shared" si="21"/>
        <v/>
      </c>
      <c r="AS32" s="24" t="str">
        <f t="shared" si="22"/>
        <v/>
      </c>
      <c r="AT32" s="24" t="str">
        <f t="shared" si="23"/>
        <v/>
      </c>
      <c r="AU32" s="24" t="str">
        <f t="shared" si="24"/>
        <v/>
      </c>
      <c r="AV32" s="24" t="str">
        <f t="shared" si="25"/>
        <v/>
      </c>
      <c r="AW32" s="24" t="str">
        <f t="shared" si="26"/>
        <v/>
      </c>
      <c r="AX32" s="24" t="str">
        <f t="shared" si="27"/>
        <v/>
      </c>
      <c r="AY32" s="24" t="str">
        <f t="shared" si="28"/>
        <v/>
      </c>
      <c r="AZ32" s="24" t="str">
        <f t="shared" si="29"/>
        <v/>
      </c>
      <c r="BA32" s="24" t="str">
        <f t="shared" si="30"/>
        <v/>
      </c>
      <c r="BB32" s="24" t="str">
        <f t="shared" si="31"/>
        <v/>
      </c>
      <c r="BC32" s="26" t="str">
        <f t="shared" si="32"/>
        <v/>
      </c>
      <c r="BD32" s="26" t="str">
        <f t="shared" si="33"/>
        <v/>
      </c>
      <c r="BE32" s="26" t="str">
        <f t="shared" si="34"/>
        <v/>
      </c>
      <c r="BF32" s="26" t="str">
        <f t="shared" si="35"/>
        <v/>
      </c>
      <c r="BG32" s="26" t="str">
        <f t="shared" si="36"/>
        <v/>
      </c>
      <c r="BH32" s="26" t="str">
        <f t="shared" si="37"/>
        <v/>
      </c>
      <c r="BI32" s="26" t="str">
        <f t="shared" si="38"/>
        <v/>
      </c>
      <c r="BJ32" s="26" t="str">
        <f t="shared" si="39"/>
        <v/>
      </c>
      <c r="BK32" s="26" t="str">
        <f t="shared" si="40"/>
        <v/>
      </c>
      <c r="BL32" s="26" t="str">
        <f t="shared" si="41"/>
        <v/>
      </c>
      <c r="BM32" s="26" t="str">
        <f t="shared" si="42"/>
        <v/>
      </c>
      <c r="BN32" s="26" t="str">
        <f t="shared" si="43"/>
        <v/>
      </c>
      <c r="BO32" s="26" t="str">
        <f t="shared" si="44"/>
        <v/>
      </c>
      <c r="BP32" s="26" t="str">
        <f t="shared" si="45"/>
        <v/>
      </c>
      <c r="BQ32" s="26" t="str">
        <f t="shared" si="46"/>
        <v/>
      </c>
      <c r="BR32" s="26" t="str">
        <f t="shared" si="47"/>
        <v/>
      </c>
      <c r="BS32" s="24" t="str">
        <f t="shared" si="48"/>
        <v/>
      </c>
      <c r="BT32" s="24" t="str">
        <f t="shared" si="49"/>
        <v/>
      </c>
      <c r="BU32" s="24" t="str">
        <f t="shared" si="50"/>
        <v/>
      </c>
      <c r="BV32" s="24" t="str">
        <f t="shared" si="51"/>
        <v/>
      </c>
      <c r="BW32" s="24" t="str">
        <f t="shared" si="52"/>
        <v/>
      </c>
      <c r="BX32" s="24" t="str">
        <f t="shared" si="53"/>
        <v/>
      </c>
      <c r="BY32" s="24" t="str">
        <f t="shared" si="54"/>
        <v/>
      </c>
      <c r="BZ32" s="24" t="str">
        <f t="shared" si="55"/>
        <v/>
      </c>
      <c r="CA32" s="24" t="str">
        <f t="shared" si="56"/>
        <v/>
      </c>
      <c r="CB32" s="24" t="str">
        <f t="shared" si="57"/>
        <v/>
      </c>
      <c r="CC32" s="24" t="str">
        <f t="shared" si="58"/>
        <v/>
      </c>
      <c r="CD32" s="24" t="str">
        <f t="shared" si="59"/>
        <v/>
      </c>
      <c r="CE32" s="24" t="str">
        <f t="shared" si="60"/>
        <v/>
      </c>
      <c r="CF32" s="24" t="str">
        <f t="shared" si="61"/>
        <v/>
      </c>
      <c r="CG32" s="24" t="str">
        <f t="shared" si="62"/>
        <v/>
      </c>
      <c r="CH32" s="24" t="str">
        <f t="shared" si="63"/>
        <v/>
      </c>
      <c r="CI32" s="24" t="str">
        <f t="shared" si="64"/>
        <v/>
      </c>
      <c r="CJ32" s="26" t="str">
        <f t="shared" si="65"/>
        <v/>
      </c>
      <c r="CK32" s="26" t="str">
        <f t="shared" si="66"/>
        <v/>
      </c>
      <c r="CL32" s="26" t="str">
        <f t="shared" si="83"/>
        <v/>
      </c>
      <c r="CM32" s="24" t="str">
        <f t="shared" si="84"/>
        <v/>
      </c>
      <c r="CN32" s="26" t="str">
        <f t="shared" si="67"/>
        <v/>
      </c>
      <c r="CO32" s="24" t="str">
        <f t="shared" si="68"/>
        <v/>
      </c>
      <c r="CP32" s="26" t="str">
        <f t="shared" si="69"/>
        <v/>
      </c>
      <c r="CQ32" s="26" t="str">
        <f t="shared" si="70"/>
        <v/>
      </c>
      <c r="CR32" s="26" t="str">
        <f t="shared" si="85"/>
        <v/>
      </c>
      <c r="CS32" s="24" t="str">
        <f t="shared" si="86"/>
        <v/>
      </c>
      <c r="CT32" s="27" t="str">
        <f t="shared" si="71"/>
        <v/>
      </c>
      <c r="CU32" s="24" t="str">
        <f t="shared" si="72"/>
        <v/>
      </c>
      <c r="CV32" s="26" t="str">
        <f t="shared" si="73"/>
        <v/>
      </c>
      <c r="CW32" s="26" t="str">
        <f t="shared" si="74"/>
        <v/>
      </c>
      <c r="CX32" s="26" t="str">
        <f t="shared" si="87"/>
        <v/>
      </c>
      <c r="CY32" s="27" t="str">
        <f t="shared" si="88"/>
        <v/>
      </c>
      <c r="CZ32" s="26" t="str">
        <f t="shared" si="75"/>
        <v/>
      </c>
      <c r="DA32" s="24" t="str">
        <f t="shared" si="76"/>
        <v/>
      </c>
      <c r="DB32" s="24" t="str">
        <f t="shared" si="77"/>
        <v/>
      </c>
      <c r="DC32" s="24" t="str">
        <f t="shared" si="78"/>
        <v/>
      </c>
      <c r="DD32" s="24" t="str">
        <f t="shared" si="79"/>
        <v/>
      </c>
      <c r="DE32" s="1">
        <v>0</v>
      </c>
      <c r="DF32" s="1">
        <v>0</v>
      </c>
      <c r="DG32" s="1">
        <v>0</v>
      </c>
      <c r="DH32" s="24" t="str">
        <f t="shared" si="80"/>
        <v/>
      </c>
      <c r="DI32" s="25" t="str">
        <f t="shared" si="81"/>
        <v/>
      </c>
      <c r="DK32" s="9"/>
      <c r="DL32" s="9"/>
      <c r="DM32" s="9"/>
      <c r="DN32" s="9"/>
      <c r="DO32" s="9"/>
      <c r="DP32" s="9"/>
      <c r="DQ32" s="136" t="b">
        <f t="shared" si="82"/>
        <v>1</v>
      </c>
    </row>
    <row r="33" spans="1:121" ht="27" customHeight="1" x14ac:dyDescent="1.25">
      <c r="A33" s="24" t="str">
        <f t="shared" si="89"/>
        <v/>
      </c>
      <c r="B33" s="69"/>
      <c r="C33" s="69"/>
      <c r="D33" s="70"/>
      <c r="E33" s="70"/>
      <c r="F33" s="69"/>
      <c r="G33" s="22"/>
      <c r="H33" s="22"/>
      <c r="I33" s="22"/>
      <c r="J33" s="22"/>
      <c r="K33" s="22"/>
      <c r="L33" s="22"/>
      <c r="M33" s="22"/>
      <c r="N33" s="22"/>
      <c r="O33" s="22"/>
      <c r="P33" s="7"/>
      <c r="Q33" s="7"/>
      <c r="R33" s="7"/>
      <c r="S33" s="7"/>
      <c r="T33" s="7"/>
      <c r="U33" s="7"/>
      <c r="V33" s="7"/>
      <c r="W33" s="3" t="str">
        <f t="shared" si="0"/>
        <v/>
      </c>
      <c r="X33" s="3" t="str">
        <f t="shared" si="1"/>
        <v/>
      </c>
      <c r="Y33" s="3" t="str">
        <f t="shared" si="2"/>
        <v/>
      </c>
      <c r="Z33" s="3" t="str">
        <f t="shared" si="3"/>
        <v/>
      </c>
      <c r="AA33" s="3" t="str">
        <f t="shared" si="4"/>
        <v/>
      </c>
      <c r="AB33" s="3" t="str">
        <f t="shared" si="5"/>
        <v/>
      </c>
      <c r="AC33" s="3" t="str">
        <f t="shared" si="6"/>
        <v/>
      </c>
      <c r="AD33" s="3" t="str">
        <f t="shared" si="7"/>
        <v/>
      </c>
      <c r="AE33" s="3" t="str">
        <f t="shared" si="8"/>
        <v/>
      </c>
      <c r="AF33" s="24" t="str">
        <f t="shared" si="9"/>
        <v/>
      </c>
      <c r="AG33" s="24" t="str">
        <f t="shared" si="10"/>
        <v/>
      </c>
      <c r="AH33" s="24" t="str">
        <f t="shared" si="11"/>
        <v/>
      </c>
      <c r="AI33" s="24" t="str">
        <f t="shared" si="12"/>
        <v/>
      </c>
      <c r="AJ33" s="24" t="str">
        <f t="shared" si="13"/>
        <v/>
      </c>
      <c r="AK33" s="24" t="str">
        <f t="shared" si="14"/>
        <v/>
      </c>
      <c r="AL33" s="24" t="str">
        <f t="shared" si="15"/>
        <v/>
      </c>
      <c r="AM33" s="24" t="str">
        <f t="shared" si="16"/>
        <v/>
      </c>
      <c r="AN33" s="24" t="str">
        <f t="shared" si="17"/>
        <v/>
      </c>
      <c r="AO33" s="24" t="str">
        <f t="shared" si="18"/>
        <v/>
      </c>
      <c r="AP33" s="24" t="str">
        <f t="shared" si="19"/>
        <v/>
      </c>
      <c r="AQ33" s="24" t="str">
        <f t="shared" si="20"/>
        <v/>
      </c>
      <c r="AR33" s="24" t="str">
        <f t="shared" si="21"/>
        <v/>
      </c>
      <c r="AS33" s="24" t="str">
        <f t="shared" si="22"/>
        <v/>
      </c>
      <c r="AT33" s="24" t="str">
        <f t="shared" si="23"/>
        <v/>
      </c>
      <c r="AU33" s="24" t="str">
        <f t="shared" si="24"/>
        <v/>
      </c>
      <c r="AV33" s="24" t="str">
        <f t="shared" si="25"/>
        <v/>
      </c>
      <c r="AW33" s="24" t="str">
        <f t="shared" si="26"/>
        <v/>
      </c>
      <c r="AX33" s="24" t="str">
        <f t="shared" si="27"/>
        <v/>
      </c>
      <c r="AY33" s="24" t="str">
        <f t="shared" si="28"/>
        <v/>
      </c>
      <c r="AZ33" s="24" t="str">
        <f t="shared" si="29"/>
        <v/>
      </c>
      <c r="BA33" s="24" t="str">
        <f t="shared" si="30"/>
        <v/>
      </c>
      <c r="BB33" s="24" t="str">
        <f t="shared" si="31"/>
        <v/>
      </c>
      <c r="BC33" s="26" t="str">
        <f t="shared" si="32"/>
        <v/>
      </c>
      <c r="BD33" s="26" t="str">
        <f t="shared" si="33"/>
        <v/>
      </c>
      <c r="BE33" s="26" t="str">
        <f t="shared" si="34"/>
        <v/>
      </c>
      <c r="BF33" s="26" t="str">
        <f t="shared" si="35"/>
        <v/>
      </c>
      <c r="BG33" s="26" t="str">
        <f t="shared" si="36"/>
        <v/>
      </c>
      <c r="BH33" s="26" t="str">
        <f t="shared" si="37"/>
        <v/>
      </c>
      <c r="BI33" s="26" t="str">
        <f t="shared" si="38"/>
        <v/>
      </c>
      <c r="BJ33" s="26" t="str">
        <f t="shared" si="39"/>
        <v/>
      </c>
      <c r="BK33" s="26" t="str">
        <f t="shared" si="40"/>
        <v/>
      </c>
      <c r="BL33" s="26" t="str">
        <f t="shared" si="41"/>
        <v/>
      </c>
      <c r="BM33" s="26" t="str">
        <f t="shared" si="42"/>
        <v/>
      </c>
      <c r="BN33" s="26" t="str">
        <f t="shared" si="43"/>
        <v/>
      </c>
      <c r="BO33" s="26" t="str">
        <f t="shared" si="44"/>
        <v/>
      </c>
      <c r="BP33" s="26" t="str">
        <f t="shared" si="45"/>
        <v/>
      </c>
      <c r="BQ33" s="26" t="str">
        <f t="shared" si="46"/>
        <v/>
      </c>
      <c r="BR33" s="26" t="str">
        <f t="shared" si="47"/>
        <v/>
      </c>
      <c r="BS33" s="24" t="str">
        <f t="shared" si="48"/>
        <v/>
      </c>
      <c r="BT33" s="24" t="str">
        <f t="shared" si="49"/>
        <v/>
      </c>
      <c r="BU33" s="24" t="str">
        <f t="shared" si="50"/>
        <v/>
      </c>
      <c r="BV33" s="24" t="str">
        <f t="shared" si="51"/>
        <v/>
      </c>
      <c r="BW33" s="24" t="str">
        <f t="shared" si="52"/>
        <v/>
      </c>
      <c r="BX33" s="24" t="str">
        <f t="shared" si="53"/>
        <v/>
      </c>
      <c r="BY33" s="24" t="str">
        <f t="shared" si="54"/>
        <v/>
      </c>
      <c r="BZ33" s="24" t="str">
        <f t="shared" si="55"/>
        <v/>
      </c>
      <c r="CA33" s="24" t="str">
        <f t="shared" si="56"/>
        <v/>
      </c>
      <c r="CB33" s="24" t="str">
        <f t="shared" si="57"/>
        <v/>
      </c>
      <c r="CC33" s="24" t="str">
        <f t="shared" si="58"/>
        <v/>
      </c>
      <c r="CD33" s="24" t="str">
        <f t="shared" si="59"/>
        <v/>
      </c>
      <c r="CE33" s="24" t="str">
        <f t="shared" si="60"/>
        <v/>
      </c>
      <c r="CF33" s="24" t="str">
        <f t="shared" si="61"/>
        <v/>
      </c>
      <c r="CG33" s="24" t="str">
        <f t="shared" si="62"/>
        <v/>
      </c>
      <c r="CH33" s="24" t="str">
        <f t="shared" si="63"/>
        <v/>
      </c>
      <c r="CI33" s="24" t="str">
        <f t="shared" si="64"/>
        <v/>
      </c>
      <c r="CJ33" s="26" t="str">
        <f t="shared" si="65"/>
        <v/>
      </c>
      <c r="CK33" s="26" t="str">
        <f t="shared" si="66"/>
        <v/>
      </c>
      <c r="CL33" s="26" t="str">
        <f t="shared" si="83"/>
        <v/>
      </c>
      <c r="CM33" s="24" t="str">
        <f t="shared" si="84"/>
        <v/>
      </c>
      <c r="CN33" s="26" t="str">
        <f t="shared" si="67"/>
        <v/>
      </c>
      <c r="CO33" s="24" t="str">
        <f t="shared" si="68"/>
        <v/>
      </c>
      <c r="CP33" s="26" t="str">
        <f t="shared" si="69"/>
        <v/>
      </c>
      <c r="CQ33" s="26" t="str">
        <f t="shared" si="70"/>
        <v/>
      </c>
      <c r="CR33" s="26" t="str">
        <f t="shared" si="85"/>
        <v/>
      </c>
      <c r="CS33" s="24" t="str">
        <f t="shared" si="86"/>
        <v/>
      </c>
      <c r="CT33" s="27" t="str">
        <f t="shared" si="71"/>
        <v/>
      </c>
      <c r="CU33" s="24" t="str">
        <f t="shared" si="72"/>
        <v/>
      </c>
      <c r="CV33" s="26" t="str">
        <f t="shared" si="73"/>
        <v/>
      </c>
      <c r="CW33" s="26" t="str">
        <f t="shared" si="74"/>
        <v/>
      </c>
      <c r="CX33" s="26" t="str">
        <f t="shared" si="87"/>
        <v/>
      </c>
      <c r="CY33" s="27" t="str">
        <f t="shared" si="88"/>
        <v/>
      </c>
      <c r="CZ33" s="26" t="str">
        <f t="shared" si="75"/>
        <v/>
      </c>
      <c r="DA33" s="24" t="str">
        <f t="shared" si="76"/>
        <v/>
      </c>
      <c r="DB33" s="24" t="str">
        <f t="shared" si="77"/>
        <v/>
      </c>
      <c r="DC33" s="24" t="str">
        <f t="shared" si="78"/>
        <v/>
      </c>
      <c r="DD33" s="24" t="str">
        <f t="shared" si="79"/>
        <v/>
      </c>
      <c r="DE33" s="1">
        <v>0</v>
      </c>
      <c r="DF33" s="1">
        <v>0</v>
      </c>
      <c r="DG33" s="1">
        <v>0</v>
      </c>
      <c r="DH33" s="24" t="str">
        <f t="shared" si="80"/>
        <v/>
      </c>
      <c r="DI33" s="25" t="str">
        <f t="shared" si="81"/>
        <v/>
      </c>
      <c r="DK33" s="9"/>
      <c r="DL33" s="9"/>
      <c r="DM33" s="9"/>
      <c r="DN33" s="9"/>
      <c r="DO33" s="9"/>
      <c r="DP33" s="9"/>
      <c r="DQ33" s="136" t="b">
        <f t="shared" si="82"/>
        <v>1</v>
      </c>
    </row>
    <row r="34" spans="1:121" ht="27" customHeight="1" x14ac:dyDescent="1.25">
      <c r="A34" s="24" t="str">
        <f t="shared" si="89"/>
        <v/>
      </c>
      <c r="B34" s="69"/>
      <c r="C34" s="69"/>
      <c r="D34" s="70"/>
      <c r="E34" s="70"/>
      <c r="F34" s="69"/>
      <c r="G34" s="22"/>
      <c r="H34" s="22"/>
      <c r="I34" s="22"/>
      <c r="J34" s="22"/>
      <c r="K34" s="22"/>
      <c r="L34" s="22"/>
      <c r="M34" s="22"/>
      <c r="N34" s="22"/>
      <c r="O34" s="22"/>
      <c r="P34" s="7"/>
      <c r="Q34" s="7"/>
      <c r="R34" s="7"/>
      <c r="S34" s="7"/>
      <c r="T34" s="7"/>
      <c r="U34" s="7"/>
      <c r="V34" s="7"/>
      <c r="W34" s="3" t="str">
        <f t="shared" si="0"/>
        <v/>
      </c>
      <c r="X34" s="3" t="str">
        <f t="shared" si="1"/>
        <v/>
      </c>
      <c r="Y34" s="3" t="str">
        <f t="shared" si="2"/>
        <v/>
      </c>
      <c r="Z34" s="3" t="str">
        <f t="shared" si="3"/>
        <v/>
      </c>
      <c r="AA34" s="3" t="str">
        <f t="shared" si="4"/>
        <v/>
      </c>
      <c r="AB34" s="3" t="str">
        <f t="shared" si="5"/>
        <v/>
      </c>
      <c r="AC34" s="3" t="str">
        <f t="shared" si="6"/>
        <v/>
      </c>
      <c r="AD34" s="3" t="str">
        <f t="shared" si="7"/>
        <v/>
      </c>
      <c r="AE34" s="3" t="str">
        <f t="shared" si="8"/>
        <v/>
      </c>
      <c r="AF34" s="24" t="str">
        <f t="shared" si="9"/>
        <v/>
      </c>
      <c r="AG34" s="24" t="str">
        <f t="shared" si="10"/>
        <v/>
      </c>
      <c r="AH34" s="24" t="str">
        <f t="shared" si="11"/>
        <v/>
      </c>
      <c r="AI34" s="24" t="str">
        <f t="shared" si="12"/>
        <v/>
      </c>
      <c r="AJ34" s="24" t="str">
        <f t="shared" si="13"/>
        <v/>
      </c>
      <c r="AK34" s="24" t="str">
        <f t="shared" si="14"/>
        <v/>
      </c>
      <c r="AL34" s="24" t="str">
        <f t="shared" si="15"/>
        <v/>
      </c>
      <c r="AM34" s="24" t="str">
        <f t="shared" si="16"/>
        <v/>
      </c>
      <c r="AN34" s="24" t="str">
        <f t="shared" si="17"/>
        <v/>
      </c>
      <c r="AO34" s="24" t="str">
        <f t="shared" si="18"/>
        <v/>
      </c>
      <c r="AP34" s="24" t="str">
        <f t="shared" si="19"/>
        <v/>
      </c>
      <c r="AQ34" s="24" t="str">
        <f t="shared" si="20"/>
        <v/>
      </c>
      <c r="AR34" s="24" t="str">
        <f t="shared" si="21"/>
        <v/>
      </c>
      <c r="AS34" s="24" t="str">
        <f t="shared" si="22"/>
        <v/>
      </c>
      <c r="AT34" s="24" t="str">
        <f t="shared" si="23"/>
        <v/>
      </c>
      <c r="AU34" s="24" t="str">
        <f t="shared" si="24"/>
        <v/>
      </c>
      <c r="AV34" s="24" t="str">
        <f t="shared" si="25"/>
        <v/>
      </c>
      <c r="AW34" s="24" t="str">
        <f t="shared" si="26"/>
        <v/>
      </c>
      <c r="AX34" s="24" t="str">
        <f t="shared" si="27"/>
        <v/>
      </c>
      <c r="AY34" s="24" t="str">
        <f t="shared" si="28"/>
        <v/>
      </c>
      <c r="AZ34" s="24" t="str">
        <f t="shared" si="29"/>
        <v/>
      </c>
      <c r="BA34" s="24" t="str">
        <f t="shared" si="30"/>
        <v/>
      </c>
      <c r="BB34" s="24" t="str">
        <f t="shared" si="31"/>
        <v/>
      </c>
      <c r="BC34" s="26" t="str">
        <f t="shared" si="32"/>
        <v/>
      </c>
      <c r="BD34" s="26" t="str">
        <f t="shared" si="33"/>
        <v/>
      </c>
      <c r="BE34" s="26" t="str">
        <f t="shared" si="34"/>
        <v/>
      </c>
      <c r="BF34" s="26" t="str">
        <f t="shared" si="35"/>
        <v/>
      </c>
      <c r="BG34" s="26" t="str">
        <f t="shared" si="36"/>
        <v/>
      </c>
      <c r="BH34" s="26" t="str">
        <f t="shared" si="37"/>
        <v/>
      </c>
      <c r="BI34" s="26" t="str">
        <f t="shared" si="38"/>
        <v/>
      </c>
      <c r="BJ34" s="26" t="str">
        <f t="shared" si="39"/>
        <v/>
      </c>
      <c r="BK34" s="26" t="str">
        <f t="shared" si="40"/>
        <v/>
      </c>
      <c r="BL34" s="26" t="str">
        <f t="shared" si="41"/>
        <v/>
      </c>
      <c r="BM34" s="26" t="str">
        <f t="shared" si="42"/>
        <v/>
      </c>
      <c r="BN34" s="26" t="str">
        <f t="shared" si="43"/>
        <v/>
      </c>
      <c r="BO34" s="26" t="str">
        <f t="shared" si="44"/>
        <v/>
      </c>
      <c r="BP34" s="26" t="str">
        <f t="shared" si="45"/>
        <v/>
      </c>
      <c r="BQ34" s="26" t="str">
        <f t="shared" si="46"/>
        <v/>
      </c>
      <c r="BR34" s="26" t="str">
        <f t="shared" si="47"/>
        <v/>
      </c>
      <c r="BS34" s="24" t="str">
        <f t="shared" si="48"/>
        <v/>
      </c>
      <c r="BT34" s="24" t="str">
        <f t="shared" si="49"/>
        <v/>
      </c>
      <c r="BU34" s="24" t="str">
        <f t="shared" si="50"/>
        <v/>
      </c>
      <c r="BV34" s="24" t="str">
        <f t="shared" si="51"/>
        <v/>
      </c>
      <c r="BW34" s="24" t="str">
        <f t="shared" si="52"/>
        <v/>
      </c>
      <c r="BX34" s="24" t="str">
        <f t="shared" si="53"/>
        <v/>
      </c>
      <c r="BY34" s="24" t="str">
        <f t="shared" si="54"/>
        <v/>
      </c>
      <c r="BZ34" s="24" t="str">
        <f t="shared" si="55"/>
        <v/>
      </c>
      <c r="CA34" s="24" t="str">
        <f t="shared" si="56"/>
        <v/>
      </c>
      <c r="CB34" s="24" t="str">
        <f t="shared" si="57"/>
        <v/>
      </c>
      <c r="CC34" s="24" t="str">
        <f t="shared" si="58"/>
        <v/>
      </c>
      <c r="CD34" s="24" t="str">
        <f t="shared" si="59"/>
        <v/>
      </c>
      <c r="CE34" s="24" t="str">
        <f t="shared" si="60"/>
        <v/>
      </c>
      <c r="CF34" s="24" t="str">
        <f t="shared" si="61"/>
        <v/>
      </c>
      <c r="CG34" s="24" t="str">
        <f t="shared" si="62"/>
        <v/>
      </c>
      <c r="CH34" s="24" t="str">
        <f t="shared" si="63"/>
        <v/>
      </c>
      <c r="CI34" s="24" t="str">
        <f t="shared" si="64"/>
        <v/>
      </c>
      <c r="CJ34" s="26" t="str">
        <f t="shared" si="65"/>
        <v/>
      </c>
      <c r="CK34" s="26" t="str">
        <f t="shared" si="66"/>
        <v/>
      </c>
      <c r="CL34" s="26" t="str">
        <f t="shared" si="83"/>
        <v/>
      </c>
      <c r="CM34" s="24" t="str">
        <f t="shared" si="84"/>
        <v/>
      </c>
      <c r="CN34" s="26" t="str">
        <f t="shared" si="67"/>
        <v/>
      </c>
      <c r="CO34" s="24" t="str">
        <f t="shared" si="68"/>
        <v/>
      </c>
      <c r="CP34" s="26" t="str">
        <f t="shared" si="69"/>
        <v/>
      </c>
      <c r="CQ34" s="26" t="str">
        <f t="shared" si="70"/>
        <v/>
      </c>
      <c r="CR34" s="26" t="str">
        <f t="shared" si="85"/>
        <v/>
      </c>
      <c r="CS34" s="24" t="str">
        <f t="shared" si="86"/>
        <v/>
      </c>
      <c r="CT34" s="27" t="str">
        <f t="shared" si="71"/>
        <v/>
      </c>
      <c r="CU34" s="24" t="str">
        <f t="shared" si="72"/>
        <v/>
      </c>
      <c r="CV34" s="26" t="str">
        <f t="shared" si="73"/>
        <v/>
      </c>
      <c r="CW34" s="26" t="str">
        <f t="shared" si="74"/>
        <v/>
      </c>
      <c r="CX34" s="26" t="str">
        <f t="shared" si="87"/>
        <v/>
      </c>
      <c r="CY34" s="27" t="str">
        <f t="shared" si="88"/>
        <v/>
      </c>
      <c r="CZ34" s="26" t="str">
        <f t="shared" si="75"/>
        <v/>
      </c>
      <c r="DA34" s="24" t="str">
        <f t="shared" si="76"/>
        <v/>
      </c>
      <c r="DB34" s="24" t="str">
        <f t="shared" si="77"/>
        <v/>
      </c>
      <c r="DC34" s="24" t="str">
        <f t="shared" si="78"/>
        <v/>
      </c>
      <c r="DD34" s="24" t="str">
        <f t="shared" si="79"/>
        <v/>
      </c>
      <c r="DE34" s="1">
        <v>0</v>
      </c>
      <c r="DF34" s="1">
        <v>0</v>
      </c>
      <c r="DG34" s="1">
        <v>0</v>
      </c>
      <c r="DH34" s="24" t="str">
        <f t="shared" si="80"/>
        <v/>
      </c>
      <c r="DI34" s="25" t="str">
        <f t="shared" si="81"/>
        <v/>
      </c>
      <c r="DK34" s="9"/>
      <c r="DL34" s="9"/>
      <c r="DM34" s="9"/>
      <c r="DN34" s="9"/>
      <c r="DO34" s="9"/>
      <c r="DP34" s="9"/>
      <c r="DQ34" s="136" t="b">
        <f t="shared" si="82"/>
        <v>1</v>
      </c>
    </row>
    <row r="35" spans="1:121" ht="27" customHeight="1" x14ac:dyDescent="1.25">
      <c r="A35" s="24" t="str">
        <f t="shared" si="89"/>
        <v/>
      </c>
      <c r="B35" s="69"/>
      <c r="C35" s="69"/>
      <c r="D35" s="70"/>
      <c r="E35" s="70"/>
      <c r="F35" s="69"/>
      <c r="G35" s="22"/>
      <c r="H35" s="22"/>
      <c r="I35" s="22"/>
      <c r="J35" s="22"/>
      <c r="K35" s="22"/>
      <c r="L35" s="22"/>
      <c r="M35" s="22"/>
      <c r="N35" s="22"/>
      <c r="O35" s="22"/>
      <c r="P35" s="7"/>
      <c r="Q35" s="7"/>
      <c r="R35" s="7"/>
      <c r="S35" s="7"/>
      <c r="T35" s="7"/>
      <c r="U35" s="7"/>
      <c r="V35" s="7"/>
      <c r="W35" s="3" t="str">
        <f t="shared" si="0"/>
        <v/>
      </c>
      <c r="X35" s="3" t="str">
        <f t="shared" si="1"/>
        <v/>
      </c>
      <c r="Y35" s="3" t="str">
        <f t="shared" si="2"/>
        <v/>
      </c>
      <c r="Z35" s="3" t="str">
        <f t="shared" si="3"/>
        <v/>
      </c>
      <c r="AA35" s="3" t="str">
        <f t="shared" si="4"/>
        <v/>
      </c>
      <c r="AB35" s="3" t="str">
        <f t="shared" si="5"/>
        <v/>
      </c>
      <c r="AC35" s="3" t="str">
        <f t="shared" si="6"/>
        <v/>
      </c>
      <c r="AD35" s="3" t="str">
        <f t="shared" si="7"/>
        <v/>
      </c>
      <c r="AE35" s="3" t="str">
        <f t="shared" si="8"/>
        <v/>
      </c>
      <c r="AF35" s="24" t="str">
        <f t="shared" si="9"/>
        <v/>
      </c>
      <c r="AG35" s="24" t="str">
        <f t="shared" si="10"/>
        <v/>
      </c>
      <c r="AH35" s="24" t="str">
        <f t="shared" si="11"/>
        <v/>
      </c>
      <c r="AI35" s="24" t="str">
        <f t="shared" si="12"/>
        <v/>
      </c>
      <c r="AJ35" s="24" t="str">
        <f t="shared" si="13"/>
        <v/>
      </c>
      <c r="AK35" s="24" t="str">
        <f t="shared" si="14"/>
        <v/>
      </c>
      <c r="AL35" s="24" t="str">
        <f t="shared" si="15"/>
        <v/>
      </c>
      <c r="AM35" s="24" t="str">
        <f t="shared" si="16"/>
        <v/>
      </c>
      <c r="AN35" s="24" t="str">
        <f t="shared" si="17"/>
        <v/>
      </c>
      <c r="AO35" s="24" t="str">
        <f t="shared" si="18"/>
        <v/>
      </c>
      <c r="AP35" s="24" t="str">
        <f t="shared" si="19"/>
        <v/>
      </c>
      <c r="AQ35" s="24" t="str">
        <f t="shared" si="20"/>
        <v/>
      </c>
      <c r="AR35" s="24" t="str">
        <f t="shared" si="21"/>
        <v/>
      </c>
      <c r="AS35" s="24" t="str">
        <f t="shared" si="22"/>
        <v/>
      </c>
      <c r="AT35" s="24" t="str">
        <f t="shared" si="23"/>
        <v/>
      </c>
      <c r="AU35" s="24" t="str">
        <f t="shared" si="24"/>
        <v/>
      </c>
      <c r="AV35" s="24" t="str">
        <f t="shared" si="25"/>
        <v/>
      </c>
      <c r="AW35" s="24" t="str">
        <f t="shared" si="26"/>
        <v/>
      </c>
      <c r="AX35" s="24" t="str">
        <f t="shared" si="27"/>
        <v/>
      </c>
      <c r="AY35" s="24" t="str">
        <f t="shared" si="28"/>
        <v/>
      </c>
      <c r="AZ35" s="24" t="str">
        <f t="shared" si="29"/>
        <v/>
      </c>
      <c r="BA35" s="24" t="str">
        <f t="shared" si="30"/>
        <v/>
      </c>
      <c r="BB35" s="24" t="str">
        <f t="shared" si="31"/>
        <v/>
      </c>
      <c r="BC35" s="26" t="str">
        <f t="shared" si="32"/>
        <v/>
      </c>
      <c r="BD35" s="26" t="str">
        <f t="shared" si="33"/>
        <v/>
      </c>
      <c r="BE35" s="26" t="str">
        <f t="shared" si="34"/>
        <v/>
      </c>
      <c r="BF35" s="26" t="str">
        <f t="shared" si="35"/>
        <v/>
      </c>
      <c r="BG35" s="26" t="str">
        <f t="shared" si="36"/>
        <v/>
      </c>
      <c r="BH35" s="26" t="str">
        <f t="shared" si="37"/>
        <v/>
      </c>
      <c r="BI35" s="26" t="str">
        <f t="shared" si="38"/>
        <v/>
      </c>
      <c r="BJ35" s="26" t="str">
        <f t="shared" si="39"/>
        <v/>
      </c>
      <c r="BK35" s="26" t="str">
        <f t="shared" si="40"/>
        <v/>
      </c>
      <c r="BL35" s="26" t="str">
        <f t="shared" si="41"/>
        <v/>
      </c>
      <c r="BM35" s="26" t="str">
        <f t="shared" si="42"/>
        <v/>
      </c>
      <c r="BN35" s="26" t="str">
        <f t="shared" si="43"/>
        <v/>
      </c>
      <c r="BO35" s="26" t="str">
        <f t="shared" si="44"/>
        <v/>
      </c>
      <c r="BP35" s="26" t="str">
        <f t="shared" si="45"/>
        <v/>
      </c>
      <c r="BQ35" s="26" t="str">
        <f t="shared" si="46"/>
        <v/>
      </c>
      <c r="BR35" s="26" t="str">
        <f t="shared" si="47"/>
        <v/>
      </c>
      <c r="BS35" s="24" t="str">
        <f t="shared" si="48"/>
        <v/>
      </c>
      <c r="BT35" s="24" t="str">
        <f t="shared" si="49"/>
        <v/>
      </c>
      <c r="BU35" s="24" t="str">
        <f t="shared" si="50"/>
        <v/>
      </c>
      <c r="BV35" s="24" t="str">
        <f t="shared" si="51"/>
        <v/>
      </c>
      <c r="BW35" s="24" t="str">
        <f t="shared" si="52"/>
        <v/>
      </c>
      <c r="BX35" s="24" t="str">
        <f t="shared" si="53"/>
        <v/>
      </c>
      <c r="BY35" s="24" t="str">
        <f t="shared" si="54"/>
        <v/>
      </c>
      <c r="BZ35" s="24" t="str">
        <f t="shared" si="55"/>
        <v/>
      </c>
      <c r="CA35" s="24" t="str">
        <f t="shared" si="56"/>
        <v/>
      </c>
      <c r="CB35" s="24" t="str">
        <f t="shared" si="57"/>
        <v/>
      </c>
      <c r="CC35" s="24" t="str">
        <f t="shared" si="58"/>
        <v/>
      </c>
      <c r="CD35" s="24" t="str">
        <f t="shared" si="59"/>
        <v/>
      </c>
      <c r="CE35" s="24" t="str">
        <f t="shared" si="60"/>
        <v/>
      </c>
      <c r="CF35" s="24" t="str">
        <f t="shared" si="61"/>
        <v/>
      </c>
      <c r="CG35" s="24" t="str">
        <f t="shared" si="62"/>
        <v/>
      </c>
      <c r="CH35" s="24" t="str">
        <f t="shared" si="63"/>
        <v/>
      </c>
      <c r="CI35" s="24" t="str">
        <f t="shared" si="64"/>
        <v/>
      </c>
      <c r="CJ35" s="26" t="str">
        <f t="shared" si="65"/>
        <v/>
      </c>
      <c r="CK35" s="26" t="str">
        <f t="shared" si="66"/>
        <v/>
      </c>
      <c r="CL35" s="26" t="str">
        <f t="shared" si="83"/>
        <v/>
      </c>
      <c r="CM35" s="24" t="str">
        <f t="shared" si="84"/>
        <v/>
      </c>
      <c r="CN35" s="26" t="str">
        <f t="shared" si="67"/>
        <v/>
      </c>
      <c r="CO35" s="24" t="str">
        <f t="shared" si="68"/>
        <v/>
      </c>
      <c r="CP35" s="26" t="str">
        <f t="shared" si="69"/>
        <v/>
      </c>
      <c r="CQ35" s="26" t="str">
        <f t="shared" si="70"/>
        <v/>
      </c>
      <c r="CR35" s="26" t="str">
        <f t="shared" si="85"/>
        <v/>
      </c>
      <c r="CS35" s="24" t="str">
        <f t="shared" si="86"/>
        <v/>
      </c>
      <c r="CT35" s="27" t="str">
        <f t="shared" si="71"/>
        <v/>
      </c>
      <c r="CU35" s="24" t="str">
        <f t="shared" si="72"/>
        <v/>
      </c>
      <c r="CV35" s="26" t="str">
        <f t="shared" si="73"/>
        <v/>
      </c>
      <c r="CW35" s="26" t="str">
        <f t="shared" si="74"/>
        <v/>
      </c>
      <c r="CX35" s="26" t="str">
        <f t="shared" si="87"/>
        <v/>
      </c>
      <c r="CY35" s="27" t="str">
        <f t="shared" si="88"/>
        <v/>
      </c>
      <c r="CZ35" s="26" t="str">
        <f t="shared" si="75"/>
        <v/>
      </c>
      <c r="DA35" s="24" t="str">
        <f t="shared" si="76"/>
        <v/>
      </c>
      <c r="DB35" s="24" t="str">
        <f t="shared" si="77"/>
        <v/>
      </c>
      <c r="DC35" s="24" t="str">
        <f t="shared" si="78"/>
        <v/>
      </c>
      <c r="DD35" s="24" t="str">
        <f t="shared" si="79"/>
        <v/>
      </c>
      <c r="DE35" s="1">
        <v>0</v>
      </c>
      <c r="DF35" s="1">
        <v>0</v>
      </c>
      <c r="DG35" s="1">
        <v>0</v>
      </c>
      <c r="DH35" s="24" t="str">
        <f t="shared" si="80"/>
        <v/>
      </c>
      <c r="DI35" s="25" t="str">
        <f t="shared" si="81"/>
        <v/>
      </c>
      <c r="DK35" s="9"/>
      <c r="DL35" s="9"/>
      <c r="DM35" s="9"/>
      <c r="DN35" s="9"/>
      <c r="DO35" s="9"/>
      <c r="DP35" s="9"/>
      <c r="DQ35" s="136" t="b">
        <f t="shared" si="82"/>
        <v>1</v>
      </c>
    </row>
    <row r="36" spans="1:121" ht="27" customHeight="1" x14ac:dyDescent="1.25">
      <c r="A36" s="24" t="str">
        <f t="shared" si="89"/>
        <v/>
      </c>
      <c r="B36" s="69"/>
      <c r="C36" s="69"/>
      <c r="D36" s="70"/>
      <c r="E36" s="70"/>
      <c r="F36" s="69"/>
      <c r="G36" s="22"/>
      <c r="H36" s="22"/>
      <c r="I36" s="22"/>
      <c r="J36" s="22"/>
      <c r="K36" s="22"/>
      <c r="L36" s="22"/>
      <c r="M36" s="22"/>
      <c r="N36" s="22"/>
      <c r="O36" s="22"/>
      <c r="P36" s="7"/>
      <c r="Q36" s="7"/>
      <c r="R36" s="7"/>
      <c r="S36" s="7"/>
      <c r="T36" s="7"/>
      <c r="U36" s="7"/>
      <c r="V36" s="7"/>
      <c r="W36" s="3" t="str">
        <f t="shared" si="0"/>
        <v/>
      </c>
      <c r="X36" s="3" t="str">
        <f t="shared" si="1"/>
        <v/>
      </c>
      <c r="Y36" s="3" t="str">
        <f t="shared" si="2"/>
        <v/>
      </c>
      <c r="Z36" s="3" t="str">
        <f t="shared" si="3"/>
        <v/>
      </c>
      <c r="AA36" s="3" t="str">
        <f t="shared" si="4"/>
        <v/>
      </c>
      <c r="AB36" s="3" t="str">
        <f t="shared" si="5"/>
        <v/>
      </c>
      <c r="AC36" s="3" t="str">
        <f t="shared" si="6"/>
        <v/>
      </c>
      <c r="AD36" s="3" t="str">
        <f t="shared" si="7"/>
        <v/>
      </c>
      <c r="AE36" s="3" t="str">
        <f t="shared" si="8"/>
        <v/>
      </c>
      <c r="AF36" s="24" t="str">
        <f t="shared" si="9"/>
        <v/>
      </c>
      <c r="AG36" s="24" t="str">
        <f t="shared" si="10"/>
        <v/>
      </c>
      <c r="AH36" s="24" t="str">
        <f t="shared" si="11"/>
        <v/>
      </c>
      <c r="AI36" s="24" t="str">
        <f t="shared" si="12"/>
        <v/>
      </c>
      <c r="AJ36" s="24" t="str">
        <f t="shared" si="13"/>
        <v/>
      </c>
      <c r="AK36" s="24" t="str">
        <f t="shared" si="14"/>
        <v/>
      </c>
      <c r="AL36" s="24" t="str">
        <f t="shared" si="15"/>
        <v/>
      </c>
      <c r="AM36" s="24" t="str">
        <f t="shared" si="16"/>
        <v/>
      </c>
      <c r="AN36" s="24" t="str">
        <f t="shared" si="17"/>
        <v/>
      </c>
      <c r="AO36" s="24" t="str">
        <f t="shared" si="18"/>
        <v/>
      </c>
      <c r="AP36" s="24" t="str">
        <f t="shared" si="19"/>
        <v/>
      </c>
      <c r="AQ36" s="24" t="str">
        <f t="shared" si="20"/>
        <v/>
      </c>
      <c r="AR36" s="24" t="str">
        <f t="shared" si="21"/>
        <v/>
      </c>
      <c r="AS36" s="24" t="str">
        <f t="shared" si="22"/>
        <v/>
      </c>
      <c r="AT36" s="24" t="str">
        <f t="shared" si="23"/>
        <v/>
      </c>
      <c r="AU36" s="24" t="str">
        <f t="shared" si="24"/>
        <v/>
      </c>
      <c r="AV36" s="24" t="str">
        <f t="shared" si="25"/>
        <v/>
      </c>
      <c r="AW36" s="24" t="str">
        <f t="shared" si="26"/>
        <v/>
      </c>
      <c r="AX36" s="24" t="str">
        <f t="shared" si="27"/>
        <v/>
      </c>
      <c r="AY36" s="24" t="str">
        <f t="shared" si="28"/>
        <v/>
      </c>
      <c r="AZ36" s="24" t="str">
        <f t="shared" si="29"/>
        <v/>
      </c>
      <c r="BA36" s="24" t="str">
        <f t="shared" si="30"/>
        <v/>
      </c>
      <c r="BB36" s="24" t="str">
        <f t="shared" si="31"/>
        <v/>
      </c>
      <c r="BC36" s="26" t="str">
        <f t="shared" si="32"/>
        <v/>
      </c>
      <c r="BD36" s="26" t="str">
        <f t="shared" si="33"/>
        <v/>
      </c>
      <c r="BE36" s="26" t="str">
        <f t="shared" si="34"/>
        <v/>
      </c>
      <c r="BF36" s="26" t="str">
        <f t="shared" si="35"/>
        <v/>
      </c>
      <c r="BG36" s="26" t="str">
        <f t="shared" si="36"/>
        <v/>
      </c>
      <c r="BH36" s="26" t="str">
        <f t="shared" si="37"/>
        <v/>
      </c>
      <c r="BI36" s="26" t="str">
        <f t="shared" si="38"/>
        <v/>
      </c>
      <c r="BJ36" s="26" t="str">
        <f t="shared" si="39"/>
        <v/>
      </c>
      <c r="BK36" s="26" t="str">
        <f t="shared" si="40"/>
        <v/>
      </c>
      <c r="BL36" s="26" t="str">
        <f t="shared" si="41"/>
        <v/>
      </c>
      <c r="BM36" s="26" t="str">
        <f t="shared" si="42"/>
        <v/>
      </c>
      <c r="BN36" s="26" t="str">
        <f t="shared" si="43"/>
        <v/>
      </c>
      <c r="BO36" s="26" t="str">
        <f t="shared" si="44"/>
        <v/>
      </c>
      <c r="BP36" s="26" t="str">
        <f t="shared" si="45"/>
        <v/>
      </c>
      <c r="BQ36" s="26" t="str">
        <f t="shared" si="46"/>
        <v/>
      </c>
      <c r="BR36" s="26" t="str">
        <f t="shared" si="47"/>
        <v/>
      </c>
      <c r="BS36" s="24" t="str">
        <f t="shared" si="48"/>
        <v/>
      </c>
      <c r="BT36" s="24" t="str">
        <f t="shared" si="49"/>
        <v/>
      </c>
      <c r="BU36" s="24" t="str">
        <f t="shared" si="50"/>
        <v/>
      </c>
      <c r="BV36" s="24" t="str">
        <f t="shared" si="51"/>
        <v/>
      </c>
      <c r="BW36" s="24" t="str">
        <f t="shared" si="52"/>
        <v/>
      </c>
      <c r="BX36" s="24" t="str">
        <f t="shared" si="53"/>
        <v/>
      </c>
      <c r="BY36" s="24" t="str">
        <f t="shared" si="54"/>
        <v/>
      </c>
      <c r="BZ36" s="24" t="str">
        <f t="shared" si="55"/>
        <v/>
      </c>
      <c r="CA36" s="24" t="str">
        <f t="shared" si="56"/>
        <v/>
      </c>
      <c r="CB36" s="24" t="str">
        <f t="shared" si="57"/>
        <v/>
      </c>
      <c r="CC36" s="24" t="str">
        <f t="shared" si="58"/>
        <v/>
      </c>
      <c r="CD36" s="24" t="str">
        <f t="shared" si="59"/>
        <v/>
      </c>
      <c r="CE36" s="24" t="str">
        <f t="shared" si="60"/>
        <v/>
      </c>
      <c r="CF36" s="24" t="str">
        <f t="shared" si="61"/>
        <v/>
      </c>
      <c r="CG36" s="24" t="str">
        <f t="shared" si="62"/>
        <v/>
      </c>
      <c r="CH36" s="24" t="str">
        <f t="shared" si="63"/>
        <v/>
      </c>
      <c r="CI36" s="24" t="str">
        <f t="shared" si="64"/>
        <v/>
      </c>
      <c r="CJ36" s="26" t="str">
        <f t="shared" si="65"/>
        <v/>
      </c>
      <c r="CK36" s="26" t="str">
        <f t="shared" si="66"/>
        <v/>
      </c>
      <c r="CL36" s="26" t="str">
        <f t="shared" si="83"/>
        <v/>
      </c>
      <c r="CM36" s="24" t="str">
        <f t="shared" si="84"/>
        <v/>
      </c>
      <c r="CN36" s="26" t="str">
        <f t="shared" si="67"/>
        <v/>
      </c>
      <c r="CO36" s="24" t="str">
        <f t="shared" si="68"/>
        <v/>
      </c>
      <c r="CP36" s="26" t="str">
        <f t="shared" si="69"/>
        <v/>
      </c>
      <c r="CQ36" s="26" t="str">
        <f t="shared" si="70"/>
        <v/>
      </c>
      <c r="CR36" s="26" t="str">
        <f t="shared" si="85"/>
        <v/>
      </c>
      <c r="CS36" s="24" t="str">
        <f t="shared" si="86"/>
        <v/>
      </c>
      <c r="CT36" s="27" t="str">
        <f t="shared" si="71"/>
        <v/>
      </c>
      <c r="CU36" s="24" t="str">
        <f t="shared" si="72"/>
        <v/>
      </c>
      <c r="CV36" s="26" t="str">
        <f t="shared" si="73"/>
        <v/>
      </c>
      <c r="CW36" s="26" t="str">
        <f t="shared" si="74"/>
        <v/>
      </c>
      <c r="CX36" s="26" t="str">
        <f t="shared" si="87"/>
        <v/>
      </c>
      <c r="CY36" s="27" t="str">
        <f t="shared" si="88"/>
        <v/>
      </c>
      <c r="CZ36" s="26" t="str">
        <f t="shared" si="75"/>
        <v/>
      </c>
      <c r="DA36" s="24" t="str">
        <f t="shared" si="76"/>
        <v/>
      </c>
      <c r="DB36" s="24" t="str">
        <f t="shared" si="77"/>
        <v/>
      </c>
      <c r="DC36" s="24" t="str">
        <f t="shared" si="78"/>
        <v/>
      </c>
      <c r="DD36" s="24" t="str">
        <f t="shared" si="79"/>
        <v/>
      </c>
      <c r="DE36" s="1">
        <v>0</v>
      </c>
      <c r="DF36" s="1">
        <v>0</v>
      </c>
      <c r="DG36" s="1">
        <v>0</v>
      </c>
      <c r="DH36" s="24" t="str">
        <f t="shared" si="80"/>
        <v/>
      </c>
      <c r="DI36" s="25" t="str">
        <f t="shared" si="81"/>
        <v/>
      </c>
      <c r="DK36" s="9"/>
      <c r="DL36" s="9"/>
      <c r="DM36" s="9"/>
      <c r="DN36" s="9"/>
      <c r="DO36" s="9"/>
      <c r="DP36" s="9"/>
      <c r="DQ36" s="136" t="b">
        <f t="shared" si="82"/>
        <v>1</v>
      </c>
    </row>
    <row r="37" spans="1:121" ht="27" customHeight="1" x14ac:dyDescent="1.25">
      <c r="A37" s="24" t="str">
        <f t="shared" si="89"/>
        <v/>
      </c>
      <c r="B37" s="69"/>
      <c r="C37" s="69"/>
      <c r="D37" s="70"/>
      <c r="E37" s="70"/>
      <c r="F37" s="69"/>
      <c r="G37" s="22"/>
      <c r="H37" s="22"/>
      <c r="I37" s="22"/>
      <c r="J37" s="22"/>
      <c r="K37" s="22"/>
      <c r="L37" s="22"/>
      <c r="M37" s="22"/>
      <c r="N37" s="22"/>
      <c r="O37" s="22"/>
      <c r="P37" s="7"/>
      <c r="Q37" s="7"/>
      <c r="R37" s="7"/>
      <c r="S37" s="7"/>
      <c r="T37" s="7"/>
      <c r="U37" s="7"/>
      <c r="V37" s="7"/>
      <c r="W37" s="3" t="str">
        <f t="shared" si="0"/>
        <v/>
      </c>
      <c r="X37" s="3" t="str">
        <f t="shared" si="1"/>
        <v/>
      </c>
      <c r="Y37" s="3" t="str">
        <f t="shared" si="2"/>
        <v/>
      </c>
      <c r="Z37" s="3" t="str">
        <f t="shared" si="3"/>
        <v/>
      </c>
      <c r="AA37" s="3" t="str">
        <f t="shared" si="4"/>
        <v/>
      </c>
      <c r="AB37" s="3" t="str">
        <f t="shared" si="5"/>
        <v/>
      </c>
      <c r="AC37" s="3" t="str">
        <f t="shared" si="6"/>
        <v/>
      </c>
      <c r="AD37" s="3" t="str">
        <f t="shared" si="7"/>
        <v/>
      </c>
      <c r="AE37" s="3" t="str">
        <f t="shared" si="8"/>
        <v/>
      </c>
      <c r="AF37" s="24" t="str">
        <f t="shared" si="9"/>
        <v/>
      </c>
      <c r="AG37" s="24" t="str">
        <f t="shared" si="10"/>
        <v/>
      </c>
      <c r="AH37" s="24" t="str">
        <f t="shared" si="11"/>
        <v/>
      </c>
      <c r="AI37" s="24" t="str">
        <f t="shared" si="12"/>
        <v/>
      </c>
      <c r="AJ37" s="24" t="str">
        <f t="shared" si="13"/>
        <v/>
      </c>
      <c r="AK37" s="24" t="str">
        <f t="shared" si="14"/>
        <v/>
      </c>
      <c r="AL37" s="24" t="str">
        <f t="shared" si="15"/>
        <v/>
      </c>
      <c r="AM37" s="24" t="str">
        <f t="shared" si="16"/>
        <v/>
      </c>
      <c r="AN37" s="24" t="str">
        <f t="shared" si="17"/>
        <v/>
      </c>
      <c r="AO37" s="24" t="str">
        <f t="shared" si="18"/>
        <v/>
      </c>
      <c r="AP37" s="24" t="str">
        <f t="shared" si="19"/>
        <v/>
      </c>
      <c r="AQ37" s="24" t="str">
        <f t="shared" si="20"/>
        <v/>
      </c>
      <c r="AR37" s="24" t="str">
        <f t="shared" si="21"/>
        <v/>
      </c>
      <c r="AS37" s="24" t="str">
        <f t="shared" si="22"/>
        <v/>
      </c>
      <c r="AT37" s="24" t="str">
        <f t="shared" si="23"/>
        <v/>
      </c>
      <c r="AU37" s="24" t="str">
        <f t="shared" si="24"/>
        <v/>
      </c>
      <c r="AV37" s="24" t="str">
        <f t="shared" si="25"/>
        <v/>
      </c>
      <c r="AW37" s="24" t="str">
        <f t="shared" si="26"/>
        <v/>
      </c>
      <c r="AX37" s="24" t="str">
        <f t="shared" si="27"/>
        <v/>
      </c>
      <c r="AY37" s="24" t="str">
        <f t="shared" si="28"/>
        <v/>
      </c>
      <c r="AZ37" s="24" t="str">
        <f t="shared" si="29"/>
        <v/>
      </c>
      <c r="BA37" s="24" t="str">
        <f t="shared" si="30"/>
        <v/>
      </c>
      <c r="BB37" s="24" t="str">
        <f t="shared" si="31"/>
        <v/>
      </c>
      <c r="BC37" s="26" t="str">
        <f t="shared" si="32"/>
        <v/>
      </c>
      <c r="BD37" s="26" t="str">
        <f t="shared" si="33"/>
        <v/>
      </c>
      <c r="BE37" s="26" t="str">
        <f t="shared" si="34"/>
        <v/>
      </c>
      <c r="BF37" s="26" t="str">
        <f t="shared" si="35"/>
        <v/>
      </c>
      <c r="BG37" s="26" t="str">
        <f t="shared" si="36"/>
        <v/>
      </c>
      <c r="BH37" s="26" t="str">
        <f t="shared" si="37"/>
        <v/>
      </c>
      <c r="BI37" s="26" t="str">
        <f t="shared" si="38"/>
        <v/>
      </c>
      <c r="BJ37" s="26" t="str">
        <f t="shared" si="39"/>
        <v/>
      </c>
      <c r="BK37" s="26" t="str">
        <f t="shared" si="40"/>
        <v/>
      </c>
      <c r="BL37" s="26" t="str">
        <f t="shared" si="41"/>
        <v/>
      </c>
      <c r="BM37" s="26" t="str">
        <f t="shared" si="42"/>
        <v/>
      </c>
      <c r="BN37" s="26" t="str">
        <f t="shared" si="43"/>
        <v/>
      </c>
      <c r="BO37" s="26" t="str">
        <f t="shared" si="44"/>
        <v/>
      </c>
      <c r="BP37" s="26" t="str">
        <f t="shared" si="45"/>
        <v/>
      </c>
      <c r="BQ37" s="26" t="str">
        <f t="shared" si="46"/>
        <v/>
      </c>
      <c r="BR37" s="26" t="str">
        <f t="shared" si="47"/>
        <v/>
      </c>
      <c r="BS37" s="24" t="str">
        <f t="shared" si="48"/>
        <v/>
      </c>
      <c r="BT37" s="24" t="str">
        <f t="shared" si="49"/>
        <v/>
      </c>
      <c r="BU37" s="24" t="str">
        <f t="shared" si="50"/>
        <v/>
      </c>
      <c r="BV37" s="24" t="str">
        <f t="shared" si="51"/>
        <v/>
      </c>
      <c r="BW37" s="24" t="str">
        <f t="shared" si="52"/>
        <v/>
      </c>
      <c r="BX37" s="24" t="str">
        <f t="shared" si="53"/>
        <v/>
      </c>
      <c r="BY37" s="24" t="str">
        <f t="shared" si="54"/>
        <v/>
      </c>
      <c r="BZ37" s="24" t="str">
        <f t="shared" si="55"/>
        <v/>
      </c>
      <c r="CA37" s="24" t="str">
        <f t="shared" si="56"/>
        <v/>
      </c>
      <c r="CB37" s="24" t="str">
        <f t="shared" si="57"/>
        <v/>
      </c>
      <c r="CC37" s="24" t="str">
        <f t="shared" si="58"/>
        <v/>
      </c>
      <c r="CD37" s="24" t="str">
        <f t="shared" si="59"/>
        <v/>
      </c>
      <c r="CE37" s="24" t="str">
        <f t="shared" si="60"/>
        <v/>
      </c>
      <c r="CF37" s="24" t="str">
        <f t="shared" si="61"/>
        <v/>
      </c>
      <c r="CG37" s="24" t="str">
        <f t="shared" si="62"/>
        <v/>
      </c>
      <c r="CH37" s="24" t="str">
        <f t="shared" si="63"/>
        <v/>
      </c>
      <c r="CI37" s="24" t="str">
        <f t="shared" si="64"/>
        <v/>
      </c>
      <c r="CJ37" s="26" t="str">
        <f t="shared" si="65"/>
        <v/>
      </c>
      <c r="CK37" s="26" t="str">
        <f t="shared" si="66"/>
        <v/>
      </c>
      <c r="CL37" s="26" t="str">
        <f t="shared" si="83"/>
        <v/>
      </c>
      <c r="CM37" s="24" t="str">
        <f t="shared" si="84"/>
        <v/>
      </c>
      <c r="CN37" s="26" t="str">
        <f t="shared" si="67"/>
        <v/>
      </c>
      <c r="CO37" s="24" t="str">
        <f t="shared" si="68"/>
        <v/>
      </c>
      <c r="CP37" s="26" t="str">
        <f t="shared" si="69"/>
        <v/>
      </c>
      <c r="CQ37" s="26" t="str">
        <f t="shared" si="70"/>
        <v/>
      </c>
      <c r="CR37" s="26" t="str">
        <f t="shared" si="85"/>
        <v/>
      </c>
      <c r="CS37" s="24" t="str">
        <f t="shared" si="86"/>
        <v/>
      </c>
      <c r="CT37" s="27" t="str">
        <f t="shared" si="71"/>
        <v/>
      </c>
      <c r="CU37" s="24" t="str">
        <f t="shared" si="72"/>
        <v/>
      </c>
      <c r="CV37" s="26" t="str">
        <f t="shared" si="73"/>
        <v/>
      </c>
      <c r="CW37" s="26" t="str">
        <f t="shared" si="74"/>
        <v/>
      </c>
      <c r="CX37" s="26" t="str">
        <f t="shared" si="87"/>
        <v/>
      </c>
      <c r="CY37" s="27" t="str">
        <f t="shared" si="88"/>
        <v/>
      </c>
      <c r="CZ37" s="26" t="str">
        <f t="shared" si="75"/>
        <v/>
      </c>
      <c r="DA37" s="24" t="str">
        <f t="shared" si="76"/>
        <v/>
      </c>
      <c r="DB37" s="24" t="str">
        <f t="shared" si="77"/>
        <v/>
      </c>
      <c r="DC37" s="24" t="str">
        <f t="shared" si="78"/>
        <v/>
      </c>
      <c r="DD37" s="24" t="str">
        <f t="shared" si="79"/>
        <v/>
      </c>
      <c r="DE37" s="1">
        <v>0</v>
      </c>
      <c r="DF37" s="1">
        <v>0</v>
      </c>
      <c r="DG37" s="1">
        <v>0</v>
      </c>
      <c r="DH37" s="24" t="str">
        <f t="shared" si="80"/>
        <v/>
      </c>
      <c r="DI37" s="25" t="str">
        <f t="shared" si="81"/>
        <v/>
      </c>
      <c r="DJ37" t="str">
        <f t="shared" ref="DJ37:DJ68" si="90">IF(B37="","",$C$11)</f>
        <v/>
      </c>
      <c r="DK37" s="9"/>
      <c r="DL37" s="9"/>
      <c r="DM37" s="9"/>
      <c r="DN37" s="9"/>
      <c r="DO37" s="9"/>
      <c r="DP37" s="9"/>
      <c r="DQ37" s="136" t="b">
        <f t="shared" si="82"/>
        <v>1</v>
      </c>
    </row>
    <row r="38" spans="1:121" ht="27" customHeight="1" x14ac:dyDescent="1.25">
      <c r="A38" s="24" t="str">
        <f t="shared" si="89"/>
        <v/>
      </c>
      <c r="B38" s="69"/>
      <c r="C38" s="69"/>
      <c r="D38" s="70"/>
      <c r="E38" s="70"/>
      <c r="F38" s="69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3" t="str">
        <f t="shared" si="0"/>
        <v/>
      </c>
      <c r="X38" s="3" t="str">
        <f t="shared" si="1"/>
        <v/>
      </c>
      <c r="Y38" s="3" t="str">
        <f t="shared" si="2"/>
        <v/>
      </c>
      <c r="Z38" s="3" t="str">
        <f t="shared" si="3"/>
        <v/>
      </c>
      <c r="AA38" s="3" t="str">
        <f t="shared" si="4"/>
        <v/>
      </c>
      <c r="AB38" s="3" t="str">
        <f t="shared" si="5"/>
        <v/>
      </c>
      <c r="AC38" s="3" t="str">
        <f t="shared" si="6"/>
        <v/>
      </c>
      <c r="AD38" s="3" t="str">
        <f t="shared" si="7"/>
        <v/>
      </c>
      <c r="AE38" s="3" t="str">
        <f t="shared" si="8"/>
        <v/>
      </c>
      <c r="AF38" s="24" t="str">
        <f t="shared" si="9"/>
        <v/>
      </c>
      <c r="AG38" s="24" t="str">
        <f t="shared" si="10"/>
        <v/>
      </c>
      <c r="AH38" s="24" t="str">
        <f t="shared" si="11"/>
        <v/>
      </c>
      <c r="AI38" s="24" t="str">
        <f t="shared" si="12"/>
        <v/>
      </c>
      <c r="AJ38" s="24" t="str">
        <f t="shared" si="13"/>
        <v/>
      </c>
      <c r="AK38" s="24" t="str">
        <f t="shared" si="14"/>
        <v/>
      </c>
      <c r="AL38" s="24" t="str">
        <f t="shared" si="15"/>
        <v/>
      </c>
      <c r="AM38" s="24" t="str">
        <f t="shared" si="16"/>
        <v/>
      </c>
      <c r="AN38" s="24" t="str">
        <f t="shared" si="17"/>
        <v/>
      </c>
      <c r="AO38" s="24" t="str">
        <f t="shared" si="18"/>
        <v/>
      </c>
      <c r="AP38" s="24" t="str">
        <f t="shared" si="19"/>
        <v/>
      </c>
      <c r="AQ38" s="24" t="str">
        <f t="shared" si="20"/>
        <v/>
      </c>
      <c r="AR38" s="24" t="str">
        <f t="shared" si="21"/>
        <v/>
      </c>
      <c r="AS38" s="24" t="str">
        <f t="shared" si="22"/>
        <v/>
      </c>
      <c r="AT38" s="24" t="str">
        <f t="shared" si="23"/>
        <v/>
      </c>
      <c r="AU38" s="24" t="str">
        <f t="shared" si="24"/>
        <v/>
      </c>
      <c r="AV38" s="24" t="str">
        <f t="shared" si="25"/>
        <v/>
      </c>
      <c r="AW38" s="24" t="str">
        <f t="shared" si="26"/>
        <v/>
      </c>
      <c r="AX38" s="24" t="str">
        <f t="shared" si="27"/>
        <v/>
      </c>
      <c r="AY38" s="24" t="str">
        <f t="shared" si="28"/>
        <v/>
      </c>
      <c r="AZ38" s="24" t="str">
        <f t="shared" si="29"/>
        <v/>
      </c>
      <c r="BA38" s="24" t="str">
        <f t="shared" si="30"/>
        <v/>
      </c>
      <c r="BB38" s="24" t="str">
        <f t="shared" si="31"/>
        <v/>
      </c>
      <c r="BC38" s="26" t="str">
        <f t="shared" si="32"/>
        <v/>
      </c>
      <c r="BD38" s="26" t="str">
        <f t="shared" si="33"/>
        <v/>
      </c>
      <c r="BE38" s="26" t="str">
        <f t="shared" si="34"/>
        <v/>
      </c>
      <c r="BF38" s="26" t="str">
        <f t="shared" si="35"/>
        <v/>
      </c>
      <c r="BG38" s="26" t="str">
        <f t="shared" si="36"/>
        <v/>
      </c>
      <c r="BH38" s="26" t="str">
        <f t="shared" si="37"/>
        <v/>
      </c>
      <c r="BI38" s="26" t="str">
        <f t="shared" si="38"/>
        <v/>
      </c>
      <c r="BJ38" s="26" t="str">
        <f t="shared" si="39"/>
        <v/>
      </c>
      <c r="BK38" s="26" t="str">
        <f t="shared" si="40"/>
        <v/>
      </c>
      <c r="BL38" s="26" t="str">
        <f t="shared" si="41"/>
        <v/>
      </c>
      <c r="BM38" s="26" t="str">
        <f t="shared" si="42"/>
        <v/>
      </c>
      <c r="BN38" s="26" t="str">
        <f t="shared" si="43"/>
        <v/>
      </c>
      <c r="BO38" s="26" t="str">
        <f t="shared" si="44"/>
        <v/>
      </c>
      <c r="BP38" s="26" t="str">
        <f t="shared" si="45"/>
        <v/>
      </c>
      <c r="BQ38" s="26" t="str">
        <f t="shared" si="46"/>
        <v/>
      </c>
      <c r="BR38" s="26" t="str">
        <f t="shared" si="47"/>
        <v/>
      </c>
      <c r="BS38" s="24" t="str">
        <f t="shared" si="48"/>
        <v/>
      </c>
      <c r="BT38" s="24" t="str">
        <f t="shared" si="49"/>
        <v/>
      </c>
      <c r="BU38" s="24" t="str">
        <f t="shared" si="50"/>
        <v/>
      </c>
      <c r="BV38" s="24" t="str">
        <f t="shared" si="51"/>
        <v/>
      </c>
      <c r="BW38" s="24" t="str">
        <f t="shared" si="52"/>
        <v/>
      </c>
      <c r="BX38" s="24" t="str">
        <f t="shared" si="53"/>
        <v/>
      </c>
      <c r="BY38" s="24" t="str">
        <f t="shared" si="54"/>
        <v/>
      </c>
      <c r="BZ38" s="24" t="str">
        <f t="shared" si="55"/>
        <v/>
      </c>
      <c r="CA38" s="24" t="str">
        <f t="shared" si="56"/>
        <v/>
      </c>
      <c r="CB38" s="24" t="str">
        <f t="shared" si="57"/>
        <v/>
      </c>
      <c r="CC38" s="24" t="str">
        <f t="shared" si="58"/>
        <v/>
      </c>
      <c r="CD38" s="24" t="str">
        <f t="shared" si="59"/>
        <v/>
      </c>
      <c r="CE38" s="24" t="str">
        <f t="shared" si="60"/>
        <v/>
      </c>
      <c r="CF38" s="24" t="str">
        <f t="shared" si="61"/>
        <v/>
      </c>
      <c r="CG38" s="24" t="str">
        <f t="shared" si="62"/>
        <v/>
      </c>
      <c r="CH38" s="24" t="str">
        <f t="shared" si="63"/>
        <v/>
      </c>
      <c r="CI38" s="24" t="str">
        <f t="shared" si="64"/>
        <v/>
      </c>
      <c r="CJ38" s="26" t="str">
        <f t="shared" si="65"/>
        <v/>
      </c>
      <c r="CK38" s="26" t="str">
        <f t="shared" si="66"/>
        <v/>
      </c>
      <c r="CL38" s="26" t="str">
        <f t="shared" si="83"/>
        <v/>
      </c>
      <c r="CM38" s="24" t="str">
        <f t="shared" si="84"/>
        <v/>
      </c>
      <c r="CN38" s="26" t="str">
        <f t="shared" si="67"/>
        <v/>
      </c>
      <c r="CO38" s="24" t="str">
        <f t="shared" si="68"/>
        <v/>
      </c>
      <c r="CP38" s="26" t="str">
        <f t="shared" si="69"/>
        <v/>
      </c>
      <c r="CQ38" s="26" t="str">
        <f t="shared" si="70"/>
        <v/>
      </c>
      <c r="CR38" s="26" t="str">
        <f t="shared" si="85"/>
        <v/>
      </c>
      <c r="CS38" s="24" t="str">
        <f t="shared" si="86"/>
        <v/>
      </c>
      <c r="CT38" s="27" t="str">
        <f t="shared" si="71"/>
        <v/>
      </c>
      <c r="CU38" s="24" t="str">
        <f t="shared" si="72"/>
        <v/>
      </c>
      <c r="CV38" s="26" t="str">
        <f t="shared" si="73"/>
        <v/>
      </c>
      <c r="CW38" s="26" t="str">
        <f t="shared" si="74"/>
        <v/>
      </c>
      <c r="CX38" s="26" t="str">
        <f t="shared" si="87"/>
        <v/>
      </c>
      <c r="CY38" s="27" t="str">
        <f t="shared" si="88"/>
        <v/>
      </c>
      <c r="CZ38" s="26" t="str">
        <f t="shared" si="75"/>
        <v/>
      </c>
      <c r="DA38" s="24" t="str">
        <f t="shared" si="76"/>
        <v/>
      </c>
      <c r="DB38" s="24" t="str">
        <f t="shared" si="77"/>
        <v/>
      </c>
      <c r="DC38" s="24" t="str">
        <f t="shared" si="78"/>
        <v/>
      </c>
      <c r="DD38" s="24" t="str">
        <f t="shared" si="79"/>
        <v/>
      </c>
      <c r="DE38" s="1">
        <v>0</v>
      </c>
      <c r="DF38" s="1">
        <v>0</v>
      </c>
      <c r="DG38" s="1">
        <v>0</v>
      </c>
      <c r="DH38" s="24" t="str">
        <f t="shared" si="80"/>
        <v/>
      </c>
      <c r="DI38" s="25" t="str">
        <f t="shared" si="81"/>
        <v/>
      </c>
      <c r="DJ38" t="str">
        <f t="shared" si="90"/>
        <v/>
      </c>
      <c r="DK38" s="9"/>
      <c r="DL38" s="9"/>
      <c r="DM38" s="9"/>
      <c r="DN38" s="9"/>
      <c r="DO38" s="9"/>
      <c r="DP38" s="9"/>
      <c r="DQ38" s="136" t="b">
        <f t="shared" si="82"/>
        <v>1</v>
      </c>
    </row>
    <row r="39" spans="1:121" ht="27" customHeight="1" x14ac:dyDescent="1.25">
      <c r="A39" s="24" t="str">
        <f t="shared" si="89"/>
        <v/>
      </c>
      <c r="B39" s="69"/>
      <c r="C39" s="69"/>
      <c r="D39" s="70"/>
      <c r="E39" s="70"/>
      <c r="F39" s="69"/>
      <c r="G39" s="22"/>
      <c r="H39" s="22"/>
      <c r="I39" s="22"/>
      <c r="J39" s="22"/>
      <c r="K39" s="22"/>
      <c r="L39" s="22"/>
      <c r="M39" s="22"/>
      <c r="N39" s="22"/>
      <c r="O39" s="22"/>
      <c r="P39" s="7"/>
      <c r="Q39" s="7"/>
      <c r="R39" s="7"/>
      <c r="S39" s="7"/>
      <c r="T39" s="7"/>
      <c r="U39" s="7"/>
      <c r="V39" s="7"/>
      <c r="W39" s="3" t="str">
        <f t="shared" si="0"/>
        <v/>
      </c>
      <c r="X39" s="3" t="str">
        <f t="shared" si="1"/>
        <v/>
      </c>
      <c r="Y39" s="3" t="str">
        <f t="shared" si="2"/>
        <v/>
      </c>
      <c r="Z39" s="3" t="str">
        <f t="shared" si="3"/>
        <v/>
      </c>
      <c r="AA39" s="3" t="str">
        <f t="shared" si="4"/>
        <v/>
      </c>
      <c r="AB39" s="3" t="str">
        <f t="shared" si="5"/>
        <v/>
      </c>
      <c r="AC39" s="3" t="str">
        <f t="shared" si="6"/>
        <v/>
      </c>
      <c r="AD39" s="3" t="str">
        <f t="shared" si="7"/>
        <v/>
      </c>
      <c r="AE39" s="3" t="str">
        <f t="shared" si="8"/>
        <v/>
      </c>
      <c r="AF39" s="24" t="str">
        <f t="shared" si="9"/>
        <v/>
      </c>
      <c r="AG39" s="24" t="str">
        <f t="shared" si="10"/>
        <v/>
      </c>
      <c r="AH39" s="24" t="str">
        <f t="shared" si="11"/>
        <v/>
      </c>
      <c r="AI39" s="24" t="str">
        <f t="shared" si="12"/>
        <v/>
      </c>
      <c r="AJ39" s="24" t="str">
        <f t="shared" si="13"/>
        <v/>
      </c>
      <c r="AK39" s="24" t="str">
        <f t="shared" si="14"/>
        <v/>
      </c>
      <c r="AL39" s="24" t="str">
        <f t="shared" si="15"/>
        <v/>
      </c>
      <c r="AM39" s="24" t="str">
        <f t="shared" si="16"/>
        <v/>
      </c>
      <c r="AN39" s="24" t="str">
        <f t="shared" si="17"/>
        <v/>
      </c>
      <c r="AO39" s="24" t="str">
        <f t="shared" si="18"/>
        <v/>
      </c>
      <c r="AP39" s="24" t="str">
        <f t="shared" si="19"/>
        <v/>
      </c>
      <c r="AQ39" s="24" t="str">
        <f t="shared" si="20"/>
        <v/>
      </c>
      <c r="AR39" s="24" t="str">
        <f t="shared" si="21"/>
        <v/>
      </c>
      <c r="AS39" s="24" t="str">
        <f t="shared" si="22"/>
        <v/>
      </c>
      <c r="AT39" s="24" t="str">
        <f t="shared" si="23"/>
        <v/>
      </c>
      <c r="AU39" s="24" t="str">
        <f t="shared" si="24"/>
        <v/>
      </c>
      <c r="AV39" s="24" t="str">
        <f t="shared" si="25"/>
        <v/>
      </c>
      <c r="AW39" s="24" t="str">
        <f t="shared" si="26"/>
        <v/>
      </c>
      <c r="AX39" s="24" t="str">
        <f t="shared" si="27"/>
        <v/>
      </c>
      <c r="AY39" s="24" t="str">
        <f t="shared" si="28"/>
        <v/>
      </c>
      <c r="AZ39" s="24" t="str">
        <f t="shared" si="29"/>
        <v/>
      </c>
      <c r="BA39" s="24" t="str">
        <f t="shared" si="30"/>
        <v/>
      </c>
      <c r="BB39" s="24" t="str">
        <f t="shared" si="31"/>
        <v/>
      </c>
      <c r="BC39" s="26" t="str">
        <f t="shared" si="32"/>
        <v/>
      </c>
      <c r="BD39" s="26" t="str">
        <f t="shared" si="33"/>
        <v/>
      </c>
      <c r="BE39" s="26" t="str">
        <f t="shared" si="34"/>
        <v/>
      </c>
      <c r="BF39" s="26" t="str">
        <f t="shared" si="35"/>
        <v/>
      </c>
      <c r="BG39" s="26" t="str">
        <f t="shared" si="36"/>
        <v/>
      </c>
      <c r="BH39" s="26" t="str">
        <f t="shared" si="37"/>
        <v/>
      </c>
      <c r="BI39" s="26" t="str">
        <f t="shared" si="38"/>
        <v/>
      </c>
      <c r="BJ39" s="26" t="str">
        <f t="shared" si="39"/>
        <v/>
      </c>
      <c r="BK39" s="26" t="str">
        <f t="shared" si="40"/>
        <v/>
      </c>
      <c r="BL39" s="26" t="str">
        <f t="shared" si="41"/>
        <v/>
      </c>
      <c r="BM39" s="26" t="str">
        <f t="shared" si="42"/>
        <v/>
      </c>
      <c r="BN39" s="26" t="str">
        <f t="shared" si="43"/>
        <v/>
      </c>
      <c r="BO39" s="26" t="str">
        <f t="shared" si="44"/>
        <v/>
      </c>
      <c r="BP39" s="26" t="str">
        <f t="shared" si="45"/>
        <v/>
      </c>
      <c r="BQ39" s="26" t="str">
        <f t="shared" si="46"/>
        <v/>
      </c>
      <c r="BR39" s="26" t="str">
        <f t="shared" si="47"/>
        <v/>
      </c>
      <c r="BS39" s="24" t="str">
        <f t="shared" si="48"/>
        <v/>
      </c>
      <c r="BT39" s="24" t="str">
        <f t="shared" si="49"/>
        <v/>
      </c>
      <c r="BU39" s="24" t="str">
        <f t="shared" si="50"/>
        <v/>
      </c>
      <c r="BV39" s="24" t="str">
        <f t="shared" si="51"/>
        <v/>
      </c>
      <c r="BW39" s="24" t="str">
        <f t="shared" si="52"/>
        <v/>
      </c>
      <c r="BX39" s="24" t="str">
        <f t="shared" si="53"/>
        <v/>
      </c>
      <c r="BY39" s="24" t="str">
        <f t="shared" si="54"/>
        <v/>
      </c>
      <c r="BZ39" s="24" t="str">
        <f t="shared" si="55"/>
        <v/>
      </c>
      <c r="CA39" s="24" t="str">
        <f t="shared" si="56"/>
        <v/>
      </c>
      <c r="CB39" s="24" t="str">
        <f t="shared" si="57"/>
        <v/>
      </c>
      <c r="CC39" s="24" t="str">
        <f t="shared" si="58"/>
        <v/>
      </c>
      <c r="CD39" s="24" t="str">
        <f t="shared" si="59"/>
        <v/>
      </c>
      <c r="CE39" s="24" t="str">
        <f t="shared" si="60"/>
        <v/>
      </c>
      <c r="CF39" s="24" t="str">
        <f t="shared" si="61"/>
        <v/>
      </c>
      <c r="CG39" s="24" t="str">
        <f t="shared" si="62"/>
        <v/>
      </c>
      <c r="CH39" s="24" t="str">
        <f t="shared" si="63"/>
        <v/>
      </c>
      <c r="CI39" s="24" t="str">
        <f t="shared" si="64"/>
        <v/>
      </c>
      <c r="CJ39" s="26" t="str">
        <f t="shared" si="65"/>
        <v/>
      </c>
      <c r="CK39" s="26" t="str">
        <f t="shared" si="66"/>
        <v/>
      </c>
      <c r="CL39" s="26" t="str">
        <f t="shared" si="83"/>
        <v/>
      </c>
      <c r="CM39" s="24" t="str">
        <f t="shared" si="84"/>
        <v/>
      </c>
      <c r="CN39" s="26" t="str">
        <f t="shared" si="67"/>
        <v/>
      </c>
      <c r="CO39" s="24" t="str">
        <f t="shared" si="68"/>
        <v/>
      </c>
      <c r="CP39" s="26" t="str">
        <f t="shared" si="69"/>
        <v/>
      </c>
      <c r="CQ39" s="26" t="str">
        <f t="shared" si="70"/>
        <v/>
      </c>
      <c r="CR39" s="26" t="str">
        <f t="shared" si="85"/>
        <v/>
      </c>
      <c r="CS39" s="24" t="str">
        <f t="shared" si="86"/>
        <v/>
      </c>
      <c r="CT39" s="27" t="str">
        <f t="shared" si="71"/>
        <v/>
      </c>
      <c r="CU39" s="24" t="str">
        <f t="shared" si="72"/>
        <v/>
      </c>
      <c r="CV39" s="26" t="str">
        <f t="shared" si="73"/>
        <v/>
      </c>
      <c r="CW39" s="26" t="str">
        <f t="shared" si="74"/>
        <v/>
      </c>
      <c r="CX39" s="26" t="str">
        <f t="shared" si="87"/>
        <v/>
      </c>
      <c r="CY39" s="27" t="str">
        <f t="shared" si="88"/>
        <v/>
      </c>
      <c r="CZ39" s="26" t="str">
        <f t="shared" si="75"/>
        <v/>
      </c>
      <c r="DA39" s="24" t="str">
        <f t="shared" si="76"/>
        <v/>
      </c>
      <c r="DB39" s="24" t="str">
        <f t="shared" si="77"/>
        <v/>
      </c>
      <c r="DC39" s="24" t="str">
        <f t="shared" si="78"/>
        <v/>
      </c>
      <c r="DD39" s="24" t="str">
        <f t="shared" si="79"/>
        <v/>
      </c>
      <c r="DE39" s="1">
        <v>0</v>
      </c>
      <c r="DF39" s="1">
        <v>0</v>
      </c>
      <c r="DG39" s="1">
        <v>0</v>
      </c>
      <c r="DH39" s="24" t="str">
        <f t="shared" si="80"/>
        <v/>
      </c>
      <c r="DI39" s="25" t="str">
        <f t="shared" si="81"/>
        <v/>
      </c>
      <c r="DJ39" t="str">
        <f t="shared" si="90"/>
        <v/>
      </c>
      <c r="DK39" s="9"/>
      <c r="DL39" s="9"/>
      <c r="DM39" s="9"/>
      <c r="DN39" s="9"/>
      <c r="DO39" s="9"/>
      <c r="DP39" s="9"/>
      <c r="DQ39" s="136" t="b">
        <f t="shared" si="82"/>
        <v>1</v>
      </c>
    </row>
    <row r="40" spans="1:121" ht="27" customHeight="1" x14ac:dyDescent="1.25">
      <c r="A40" s="24" t="str">
        <f t="shared" si="89"/>
        <v/>
      </c>
      <c r="B40" s="69"/>
      <c r="C40" s="69"/>
      <c r="D40" s="70"/>
      <c r="E40" s="70"/>
      <c r="F40" s="69"/>
      <c r="G40" s="22"/>
      <c r="H40" s="22"/>
      <c r="I40" s="22"/>
      <c r="J40" s="22"/>
      <c r="K40" s="22"/>
      <c r="L40" s="22"/>
      <c r="M40" s="22"/>
      <c r="N40" s="22"/>
      <c r="O40" s="22"/>
      <c r="P40" s="7"/>
      <c r="Q40" s="7"/>
      <c r="R40" s="7"/>
      <c r="S40" s="7"/>
      <c r="T40" s="7"/>
      <c r="U40" s="7"/>
      <c r="V40" s="7"/>
      <c r="W40" s="3" t="str">
        <f t="shared" si="0"/>
        <v/>
      </c>
      <c r="X40" s="3" t="str">
        <f t="shared" si="1"/>
        <v/>
      </c>
      <c r="Y40" s="3" t="str">
        <f t="shared" si="2"/>
        <v/>
      </c>
      <c r="Z40" s="3" t="str">
        <f t="shared" si="3"/>
        <v/>
      </c>
      <c r="AA40" s="3" t="str">
        <f t="shared" si="4"/>
        <v/>
      </c>
      <c r="AB40" s="3" t="str">
        <f t="shared" si="5"/>
        <v/>
      </c>
      <c r="AC40" s="3" t="str">
        <f t="shared" si="6"/>
        <v/>
      </c>
      <c r="AD40" s="3" t="str">
        <f t="shared" si="7"/>
        <v/>
      </c>
      <c r="AE40" s="3" t="str">
        <f t="shared" si="8"/>
        <v/>
      </c>
      <c r="AF40" s="24" t="str">
        <f t="shared" si="9"/>
        <v/>
      </c>
      <c r="AG40" s="24" t="str">
        <f t="shared" si="10"/>
        <v/>
      </c>
      <c r="AH40" s="24" t="str">
        <f t="shared" si="11"/>
        <v/>
      </c>
      <c r="AI40" s="24" t="str">
        <f t="shared" si="12"/>
        <v/>
      </c>
      <c r="AJ40" s="24" t="str">
        <f t="shared" si="13"/>
        <v/>
      </c>
      <c r="AK40" s="24" t="str">
        <f t="shared" si="14"/>
        <v/>
      </c>
      <c r="AL40" s="24" t="str">
        <f t="shared" si="15"/>
        <v/>
      </c>
      <c r="AM40" s="24" t="str">
        <f t="shared" si="16"/>
        <v/>
      </c>
      <c r="AN40" s="24" t="str">
        <f t="shared" si="17"/>
        <v/>
      </c>
      <c r="AO40" s="24" t="str">
        <f t="shared" si="18"/>
        <v/>
      </c>
      <c r="AP40" s="24" t="str">
        <f t="shared" si="19"/>
        <v/>
      </c>
      <c r="AQ40" s="24" t="str">
        <f t="shared" si="20"/>
        <v/>
      </c>
      <c r="AR40" s="24" t="str">
        <f t="shared" si="21"/>
        <v/>
      </c>
      <c r="AS40" s="24" t="str">
        <f t="shared" si="22"/>
        <v/>
      </c>
      <c r="AT40" s="24" t="str">
        <f t="shared" si="23"/>
        <v/>
      </c>
      <c r="AU40" s="24" t="str">
        <f t="shared" si="24"/>
        <v/>
      </c>
      <c r="AV40" s="24" t="str">
        <f t="shared" si="25"/>
        <v/>
      </c>
      <c r="AW40" s="24" t="str">
        <f t="shared" si="26"/>
        <v/>
      </c>
      <c r="AX40" s="24" t="str">
        <f t="shared" si="27"/>
        <v/>
      </c>
      <c r="AY40" s="24" t="str">
        <f t="shared" si="28"/>
        <v/>
      </c>
      <c r="AZ40" s="24" t="str">
        <f t="shared" si="29"/>
        <v/>
      </c>
      <c r="BA40" s="24" t="str">
        <f t="shared" si="30"/>
        <v/>
      </c>
      <c r="BB40" s="24" t="str">
        <f t="shared" si="31"/>
        <v/>
      </c>
      <c r="BC40" s="26" t="str">
        <f t="shared" si="32"/>
        <v/>
      </c>
      <c r="BD40" s="26" t="str">
        <f t="shared" si="33"/>
        <v/>
      </c>
      <c r="BE40" s="26" t="str">
        <f t="shared" si="34"/>
        <v/>
      </c>
      <c r="BF40" s="26" t="str">
        <f t="shared" si="35"/>
        <v/>
      </c>
      <c r="BG40" s="26" t="str">
        <f t="shared" si="36"/>
        <v/>
      </c>
      <c r="BH40" s="26" t="str">
        <f t="shared" si="37"/>
        <v/>
      </c>
      <c r="BI40" s="26" t="str">
        <f t="shared" si="38"/>
        <v/>
      </c>
      <c r="BJ40" s="26" t="str">
        <f t="shared" si="39"/>
        <v/>
      </c>
      <c r="BK40" s="26" t="str">
        <f t="shared" si="40"/>
        <v/>
      </c>
      <c r="BL40" s="26" t="str">
        <f t="shared" si="41"/>
        <v/>
      </c>
      <c r="BM40" s="26" t="str">
        <f t="shared" si="42"/>
        <v/>
      </c>
      <c r="BN40" s="26" t="str">
        <f t="shared" si="43"/>
        <v/>
      </c>
      <c r="BO40" s="26" t="str">
        <f t="shared" si="44"/>
        <v/>
      </c>
      <c r="BP40" s="26" t="str">
        <f t="shared" si="45"/>
        <v/>
      </c>
      <c r="BQ40" s="26" t="str">
        <f t="shared" si="46"/>
        <v/>
      </c>
      <c r="BR40" s="26" t="str">
        <f t="shared" si="47"/>
        <v/>
      </c>
      <c r="BS40" s="24" t="str">
        <f t="shared" si="48"/>
        <v/>
      </c>
      <c r="BT40" s="24" t="str">
        <f t="shared" si="49"/>
        <v/>
      </c>
      <c r="BU40" s="24" t="str">
        <f t="shared" si="50"/>
        <v/>
      </c>
      <c r="BV40" s="24" t="str">
        <f t="shared" si="51"/>
        <v/>
      </c>
      <c r="BW40" s="24" t="str">
        <f t="shared" si="52"/>
        <v/>
      </c>
      <c r="BX40" s="24" t="str">
        <f t="shared" si="53"/>
        <v/>
      </c>
      <c r="BY40" s="24" t="str">
        <f t="shared" si="54"/>
        <v/>
      </c>
      <c r="BZ40" s="24" t="str">
        <f t="shared" si="55"/>
        <v/>
      </c>
      <c r="CA40" s="24" t="str">
        <f t="shared" si="56"/>
        <v/>
      </c>
      <c r="CB40" s="24" t="str">
        <f t="shared" si="57"/>
        <v/>
      </c>
      <c r="CC40" s="24" t="str">
        <f t="shared" si="58"/>
        <v/>
      </c>
      <c r="CD40" s="24" t="str">
        <f t="shared" si="59"/>
        <v/>
      </c>
      <c r="CE40" s="24" t="str">
        <f t="shared" si="60"/>
        <v/>
      </c>
      <c r="CF40" s="24" t="str">
        <f t="shared" si="61"/>
        <v/>
      </c>
      <c r="CG40" s="24" t="str">
        <f t="shared" si="62"/>
        <v/>
      </c>
      <c r="CH40" s="24" t="str">
        <f t="shared" si="63"/>
        <v/>
      </c>
      <c r="CI40" s="24" t="str">
        <f t="shared" si="64"/>
        <v/>
      </c>
      <c r="CJ40" s="26" t="str">
        <f t="shared" si="65"/>
        <v/>
      </c>
      <c r="CK40" s="26" t="str">
        <f t="shared" si="66"/>
        <v/>
      </c>
      <c r="CL40" s="26" t="str">
        <f t="shared" si="83"/>
        <v/>
      </c>
      <c r="CM40" s="24" t="str">
        <f t="shared" si="84"/>
        <v/>
      </c>
      <c r="CN40" s="26" t="str">
        <f t="shared" si="67"/>
        <v/>
      </c>
      <c r="CO40" s="24" t="str">
        <f t="shared" si="68"/>
        <v/>
      </c>
      <c r="CP40" s="26" t="str">
        <f t="shared" si="69"/>
        <v/>
      </c>
      <c r="CQ40" s="26" t="str">
        <f t="shared" si="70"/>
        <v/>
      </c>
      <c r="CR40" s="26" t="str">
        <f t="shared" si="85"/>
        <v/>
      </c>
      <c r="CS40" s="24" t="str">
        <f t="shared" si="86"/>
        <v/>
      </c>
      <c r="CT40" s="27" t="str">
        <f t="shared" si="71"/>
        <v/>
      </c>
      <c r="CU40" s="24" t="str">
        <f t="shared" si="72"/>
        <v/>
      </c>
      <c r="CV40" s="26" t="str">
        <f t="shared" si="73"/>
        <v/>
      </c>
      <c r="CW40" s="26" t="str">
        <f t="shared" si="74"/>
        <v/>
      </c>
      <c r="CX40" s="26" t="str">
        <f t="shared" si="87"/>
        <v/>
      </c>
      <c r="CY40" s="27" t="str">
        <f t="shared" si="88"/>
        <v/>
      </c>
      <c r="CZ40" s="26" t="str">
        <f t="shared" si="75"/>
        <v/>
      </c>
      <c r="DA40" s="24" t="str">
        <f t="shared" si="76"/>
        <v/>
      </c>
      <c r="DB40" s="24" t="str">
        <f t="shared" si="77"/>
        <v/>
      </c>
      <c r="DC40" s="24" t="str">
        <f t="shared" si="78"/>
        <v/>
      </c>
      <c r="DD40" s="24" t="str">
        <f t="shared" si="79"/>
        <v/>
      </c>
      <c r="DE40" s="1">
        <v>0</v>
      </c>
      <c r="DF40" s="1">
        <v>0</v>
      </c>
      <c r="DG40" s="1">
        <v>0</v>
      </c>
      <c r="DH40" s="24" t="str">
        <f t="shared" si="80"/>
        <v/>
      </c>
      <c r="DI40" s="25" t="str">
        <f t="shared" si="81"/>
        <v/>
      </c>
      <c r="DJ40" t="str">
        <f t="shared" si="90"/>
        <v/>
      </c>
      <c r="DK40" s="9"/>
      <c r="DL40" s="9"/>
      <c r="DM40" s="9"/>
      <c r="DN40" s="9"/>
      <c r="DO40" s="9"/>
      <c r="DP40" s="9"/>
      <c r="DQ40" s="136" t="b">
        <f t="shared" si="82"/>
        <v>1</v>
      </c>
    </row>
    <row r="41" spans="1:121" ht="27" customHeight="1" x14ac:dyDescent="1.25">
      <c r="A41" s="24" t="str">
        <f t="shared" si="89"/>
        <v/>
      </c>
      <c r="B41" s="69"/>
      <c r="C41" s="69"/>
      <c r="D41" s="70"/>
      <c r="E41" s="70"/>
      <c r="F41" s="69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3" t="str">
        <f t="shared" si="0"/>
        <v/>
      </c>
      <c r="X41" s="3" t="str">
        <f t="shared" si="1"/>
        <v/>
      </c>
      <c r="Y41" s="3" t="str">
        <f t="shared" si="2"/>
        <v/>
      </c>
      <c r="Z41" s="3" t="str">
        <f t="shared" si="3"/>
        <v/>
      </c>
      <c r="AA41" s="3" t="str">
        <f t="shared" si="4"/>
        <v/>
      </c>
      <c r="AB41" s="3" t="str">
        <f t="shared" si="5"/>
        <v/>
      </c>
      <c r="AC41" s="3" t="str">
        <f t="shared" si="6"/>
        <v/>
      </c>
      <c r="AD41" s="3" t="str">
        <f t="shared" si="7"/>
        <v/>
      </c>
      <c r="AE41" s="3" t="str">
        <f t="shared" si="8"/>
        <v/>
      </c>
      <c r="AF41" s="24" t="str">
        <f t="shared" si="9"/>
        <v/>
      </c>
      <c r="AG41" s="24" t="str">
        <f t="shared" si="10"/>
        <v/>
      </c>
      <c r="AH41" s="24" t="str">
        <f t="shared" si="11"/>
        <v/>
      </c>
      <c r="AI41" s="24" t="str">
        <f t="shared" si="12"/>
        <v/>
      </c>
      <c r="AJ41" s="24" t="str">
        <f t="shared" si="13"/>
        <v/>
      </c>
      <c r="AK41" s="24" t="str">
        <f t="shared" si="14"/>
        <v/>
      </c>
      <c r="AL41" s="24" t="str">
        <f t="shared" si="15"/>
        <v/>
      </c>
      <c r="AM41" s="24" t="str">
        <f t="shared" si="16"/>
        <v/>
      </c>
      <c r="AN41" s="24" t="str">
        <f t="shared" si="17"/>
        <v/>
      </c>
      <c r="AO41" s="24" t="str">
        <f t="shared" si="18"/>
        <v/>
      </c>
      <c r="AP41" s="24" t="str">
        <f t="shared" si="19"/>
        <v/>
      </c>
      <c r="AQ41" s="24" t="str">
        <f t="shared" si="20"/>
        <v/>
      </c>
      <c r="AR41" s="24" t="str">
        <f t="shared" si="21"/>
        <v/>
      </c>
      <c r="AS41" s="24" t="str">
        <f t="shared" si="22"/>
        <v/>
      </c>
      <c r="AT41" s="24" t="str">
        <f t="shared" si="23"/>
        <v/>
      </c>
      <c r="AU41" s="24" t="str">
        <f t="shared" si="24"/>
        <v/>
      </c>
      <c r="AV41" s="24" t="str">
        <f t="shared" si="25"/>
        <v/>
      </c>
      <c r="AW41" s="24" t="str">
        <f t="shared" si="26"/>
        <v/>
      </c>
      <c r="AX41" s="24" t="str">
        <f t="shared" si="27"/>
        <v/>
      </c>
      <c r="AY41" s="24" t="str">
        <f t="shared" si="28"/>
        <v/>
      </c>
      <c r="AZ41" s="24" t="str">
        <f t="shared" si="29"/>
        <v/>
      </c>
      <c r="BA41" s="24" t="str">
        <f t="shared" si="30"/>
        <v/>
      </c>
      <c r="BB41" s="24" t="str">
        <f t="shared" si="31"/>
        <v/>
      </c>
      <c r="BC41" s="26" t="str">
        <f t="shared" si="32"/>
        <v/>
      </c>
      <c r="BD41" s="26" t="str">
        <f t="shared" si="33"/>
        <v/>
      </c>
      <c r="BE41" s="26" t="str">
        <f t="shared" si="34"/>
        <v/>
      </c>
      <c r="BF41" s="26" t="str">
        <f t="shared" si="35"/>
        <v/>
      </c>
      <c r="BG41" s="26" t="str">
        <f t="shared" si="36"/>
        <v/>
      </c>
      <c r="BH41" s="26" t="str">
        <f t="shared" si="37"/>
        <v/>
      </c>
      <c r="BI41" s="26" t="str">
        <f t="shared" si="38"/>
        <v/>
      </c>
      <c r="BJ41" s="26" t="str">
        <f t="shared" si="39"/>
        <v/>
      </c>
      <c r="BK41" s="26" t="str">
        <f t="shared" si="40"/>
        <v/>
      </c>
      <c r="BL41" s="26" t="str">
        <f t="shared" si="41"/>
        <v/>
      </c>
      <c r="BM41" s="26" t="str">
        <f t="shared" si="42"/>
        <v/>
      </c>
      <c r="BN41" s="26" t="str">
        <f t="shared" si="43"/>
        <v/>
      </c>
      <c r="BO41" s="26" t="str">
        <f t="shared" si="44"/>
        <v/>
      </c>
      <c r="BP41" s="26" t="str">
        <f t="shared" si="45"/>
        <v/>
      </c>
      <c r="BQ41" s="26" t="str">
        <f t="shared" si="46"/>
        <v/>
      </c>
      <c r="BR41" s="26" t="str">
        <f t="shared" si="47"/>
        <v/>
      </c>
      <c r="BS41" s="24" t="str">
        <f t="shared" si="48"/>
        <v/>
      </c>
      <c r="BT41" s="24" t="str">
        <f t="shared" si="49"/>
        <v/>
      </c>
      <c r="BU41" s="24" t="str">
        <f t="shared" si="50"/>
        <v/>
      </c>
      <c r="BV41" s="24" t="str">
        <f t="shared" si="51"/>
        <v/>
      </c>
      <c r="BW41" s="24" t="str">
        <f t="shared" si="52"/>
        <v/>
      </c>
      <c r="BX41" s="24" t="str">
        <f t="shared" si="53"/>
        <v/>
      </c>
      <c r="BY41" s="24" t="str">
        <f t="shared" si="54"/>
        <v/>
      </c>
      <c r="BZ41" s="24" t="str">
        <f t="shared" si="55"/>
        <v/>
      </c>
      <c r="CA41" s="24" t="str">
        <f t="shared" si="56"/>
        <v/>
      </c>
      <c r="CB41" s="24" t="str">
        <f t="shared" si="57"/>
        <v/>
      </c>
      <c r="CC41" s="24" t="str">
        <f t="shared" si="58"/>
        <v/>
      </c>
      <c r="CD41" s="24" t="str">
        <f t="shared" si="59"/>
        <v/>
      </c>
      <c r="CE41" s="24" t="str">
        <f t="shared" si="60"/>
        <v/>
      </c>
      <c r="CF41" s="24" t="str">
        <f t="shared" si="61"/>
        <v/>
      </c>
      <c r="CG41" s="24" t="str">
        <f t="shared" si="62"/>
        <v/>
      </c>
      <c r="CH41" s="24" t="str">
        <f t="shared" si="63"/>
        <v/>
      </c>
      <c r="CI41" s="24" t="str">
        <f t="shared" si="64"/>
        <v/>
      </c>
      <c r="CJ41" s="26" t="str">
        <f t="shared" si="65"/>
        <v/>
      </c>
      <c r="CK41" s="26" t="str">
        <f t="shared" si="66"/>
        <v/>
      </c>
      <c r="CL41" s="26" t="str">
        <f t="shared" si="83"/>
        <v/>
      </c>
      <c r="CM41" s="24" t="str">
        <f t="shared" si="84"/>
        <v/>
      </c>
      <c r="CN41" s="26" t="str">
        <f t="shared" si="67"/>
        <v/>
      </c>
      <c r="CO41" s="24" t="str">
        <f t="shared" si="68"/>
        <v/>
      </c>
      <c r="CP41" s="26" t="str">
        <f t="shared" si="69"/>
        <v/>
      </c>
      <c r="CQ41" s="26" t="str">
        <f t="shared" si="70"/>
        <v/>
      </c>
      <c r="CR41" s="26" t="str">
        <f t="shared" si="85"/>
        <v/>
      </c>
      <c r="CS41" s="24" t="str">
        <f t="shared" si="86"/>
        <v/>
      </c>
      <c r="CT41" s="27" t="str">
        <f t="shared" si="71"/>
        <v/>
      </c>
      <c r="CU41" s="24" t="str">
        <f t="shared" si="72"/>
        <v/>
      </c>
      <c r="CV41" s="26" t="str">
        <f t="shared" si="73"/>
        <v/>
      </c>
      <c r="CW41" s="26" t="str">
        <f t="shared" si="74"/>
        <v/>
      </c>
      <c r="CX41" s="26" t="str">
        <f t="shared" si="87"/>
        <v/>
      </c>
      <c r="CY41" s="27" t="str">
        <f t="shared" si="88"/>
        <v/>
      </c>
      <c r="CZ41" s="26" t="str">
        <f t="shared" si="75"/>
        <v/>
      </c>
      <c r="DA41" s="24" t="str">
        <f t="shared" si="76"/>
        <v/>
      </c>
      <c r="DB41" s="24" t="str">
        <f t="shared" si="77"/>
        <v/>
      </c>
      <c r="DC41" s="24" t="str">
        <f t="shared" si="78"/>
        <v/>
      </c>
      <c r="DD41" s="24" t="str">
        <f t="shared" si="79"/>
        <v/>
      </c>
      <c r="DE41" s="1">
        <v>0</v>
      </c>
      <c r="DF41" s="1">
        <v>0</v>
      </c>
      <c r="DG41" s="1">
        <v>0</v>
      </c>
      <c r="DH41" s="24" t="str">
        <f t="shared" si="80"/>
        <v/>
      </c>
      <c r="DI41" s="25" t="str">
        <f t="shared" si="81"/>
        <v/>
      </c>
      <c r="DJ41" t="str">
        <f t="shared" si="90"/>
        <v/>
      </c>
      <c r="DK41" s="9"/>
      <c r="DL41" s="9"/>
      <c r="DM41" s="9"/>
      <c r="DN41" s="9"/>
      <c r="DO41" s="9"/>
      <c r="DP41" s="9"/>
      <c r="DQ41" s="136" t="b">
        <f t="shared" si="82"/>
        <v>1</v>
      </c>
    </row>
    <row r="42" spans="1:121" ht="27" customHeight="1" x14ac:dyDescent="1.25">
      <c r="A42" s="24" t="str">
        <f t="shared" si="89"/>
        <v/>
      </c>
      <c r="B42" s="69"/>
      <c r="C42" s="69"/>
      <c r="D42" s="70"/>
      <c r="E42" s="70"/>
      <c r="F42" s="69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3" t="str">
        <f t="shared" si="0"/>
        <v/>
      </c>
      <c r="X42" s="3" t="str">
        <f t="shared" si="1"/>
        <v/>
      </c>
      <c r="Y42" s="3" t="str">
        <f t="shared" si="2"/>
        <v/>
      </c>
      <c r="Z42" s="3" t="str">
        <f t="shared" si="3"/>
        <v/>
      </c>
      <c r="AA42" s="3" t="str">
        <f t="shared" si="4"/>
        <v/>
      </c>
      <c r="AB42" s="3" t="str">
        <f t="shared" si="5"/>
        <v/>
      </c>
      <c r="AC42" s="3" t="str">
        <f t="shared" si="6"/>
        <v/>
      </c>
      <c r="AD42" s="3" t="str">
        <f t="shared" si="7"/>
        <v/>
      </c>
      <c r="AE42" s="3" t="str">
        <f t="shared" si="8"/>
        <v/>
      </c>
      <c r="AF42" s="24" t="str">
        <f t="shared" si="9"/>
        <v/>
      </c>
      <c r="AG42" s="24" t="str">
        <f t="shared" si="10"/>
        <v/>
      </c>
      <c r="AH42" s="24" t="str">
        <f t="shared" si="11"/>
        <v/>
      </c>
      <c r="AI42" s="24" t="str">
        <f t="shared" si="12"/>
        <v/>
      </c>
      <c r="AJ42" s="24" t="str">
        <f t="shared" si="13"/>
        <v/>
      </c>
      <c r="AK42" s="24" t="str">
        <f t="shared" si="14"/>
        <v/>
      </c>
      <c r="AL42" s="24" t="str">
        <f t="shared" si="15"/>
        <v/>
      </c>
      <c r="AM42" s="24" t="str">
        <f t="shared" si="16"/>
        <v/>
      </c>
      <c r="AN42" s="24" t="str">
        <f t="shared" si="17"/>
        <v/>
      </c>
      <c r="AO42" s="24" t="str">
        <f t="shared" si="18"/>
        <v/>
      </c>
      <c r="AP42" s="24" t="str">
        <f t="shared" si="19"/>
        <v/>
      </c>
      <c r="AQ42" s="24" t="str">
        <f t="shared" si="20"/>
        <v/>
      </c>
      <c r="AR42" s="24" t="str">
        <f t="shared" si="21"/>
        <v/>
      </c>
      <c r="AS42" s="24" t="str">
        <f t="shared" si="22"/>
        <v/>
      </c>
      <c r="AT42" s="24" t="str">
        <f t="shared" si="23"/>
        <v/>
      </c>
      <c r="AU42" s="24" t="str">
        <f t="shared" si="24"/>
        <v/>
      </c>
      <c r="AV42" s="24" t="str">
        <f t="shared" si="25"/>
        <v/>
      </c>
      <c r="AW42" s="24" t="str">
        <f t="shared" si="26"/>
        <v/>
      </c>
      <c r="AX42" s="24" t="str">
        <f t="shared" si="27"/>
        <v/>
      </c>
      <c r="AY42" s="24" t="str">
        <f t="shared" si="28"/>
        <v/>
      </c>
      <c r="AZ42" s="24" t="str">
        <f t="shared" si="29"/>
        <v/>
      </c>
      <c r="BA42" s="24" t="str">
        <f t="shared" si="30"/>
        <v/>
      </c>
      <c r="BB42" s="24" t="str">
        <f t="shared" si="31"/>
        <v/>
      </c>
      <c r="BC42" s="26" t="str">
        <f t="shared" si="32"/>
        <v/>
      </c>
      <c r="BD42" s="26" t="str">
        <f t="shared" si="33"/>
        <v/>
      </c>
      <c r="BE42" s="26" t="str">
        <f t="shared" si="34"/>
        <v/>
      </c>
      <c r="BF42" s="26" t="str">
        <f t="shared" si="35"/>
        <v/>
      </c>
      <c r="BG42" s="26" t="str">
        <f t="shared" si="36"/>
        <v/>
      </c>
      <c r="BH42" s="26" t="str">
        <f t="shared" si="37"/>
        <v/>
      </c>
      <c r="BI42" s="26" t="str">
        <f t="shared" si="38"/>
        <v/>
      </c>
      <c r="BJ42" s="26" t="str">
        <f t="shared" si="39"/>
        <v/>
      </c>
      <c r="BK42" s="26" t="str">
        <f t="shared" si="40"/>
        <v/>
      </c>
      <c r="BL42" s="26" t="str">
        <f t="shared" si="41"/>
        <v/>
      </c>
      <c r="BM42" s="26" t="str">
        <f t="shared" si="42"/>
        <v/>
      </c>
      <c r="BN42" s="26" t="str">
        <f t="shared" si="43"/>
        <v/>
      </c>
      <c r="BO42" s="26" t="str">
        <f t="shared" si="44"/>
        <v/>
      </c>
      <c r="BP42" s="26" t="str">
        <f t="shared" si="45"/>
        <v/>
      </c>
      <c r="BQ42" s="26" t="str">
        <f t="shared" si="46"/>
        <v/>
      </c>
      <c r="BR42" s="26" t="str">
        <f t="shared" si="47"/>
        <v/>
      </c>
      <c r="BS42" s="24" t="str">
        <f t="shared" si="48"/>
        <v/>
      </c>
      <c r="BT42" s="24" t="str">
        <f t="shared" si="49"/>
        <v/>
      </c>
      <c r="BU42" s="24" t="str">
        <f t="shared" si="50"/>
        <v/>
      </c>
      <c r="BV42" s="24" t="str">
        <f t="shared" si="51"/>
        <v/>
      </c>
      <c r="BW42" s="24" t="str">
        <f t="shared" si="52"/>
        <v/>
      </c>
      <c r="BX42" s="24" t="str">
        <f t="shared" si="53"/>
        <v/>
      </c>
      <c r="BY42" s="24" t="str">
        <f t="shared" si="54"/>
        <v/>
      </c>
      <c r="BZ42" s="24" t="str">
        <f t="shared" si="55"/>
        <v/>
      </c>
      <c r="CA42" s="24" t="str">
        <f t="shared" si="56"/>
        <v/>
      </c>
      <c r="CB42" s="24" t="str">
        <f t="shared" si="57"/>
        <v/>
      </c>
      <c r="CC42" s="24" t="str">
        <f t="shared" si="58"/>
        <v/>
      </c>
      <c r="CD42" s="24" t="str">
        <f t="shared" si="59"/>
        <v/>
      </c>
      <c r="CE42" s="24" t="str">
        <f t="shared" si="60"/>
        <v/>
      </c>
      <c r="CF42" s="24" t="str">
        <f t="shared" si="61"/>
        <v/>
      </c>
      <c r="CG42" s="24" t="str">
        <f t="shared" si="62"/>
        <v/>
      </c>
      <c r="CH42" s="24" t="str">
        <f t="shared" si="63"/>
        <v/>
      </c>
      <c r="CI42" s="24" t="str">
        <f t="shared" si="64"/>
        <v/>
      </c>
      <c r="CJ42" s="26" t="str">
        <f t="shared" si="65"/>
        <v/>
      </c>
      <c r="CK42" s="26" t="str">
        <f t="shared" si="66"/>
        <v/>
      </c>
      <c r="CL42" s="26" t="str">
        <f t="shared" si="83"/>
        <v/>
      </c>
      <c r="CM42" s="24" t="str">
        <f t="shared" si="84"/>
        <v/>
      </c>
      <c r="CN42" s="26" t="str">
        <f t="shared" si="67"/>
        <v/>
      </c>
      <c r="CO42" s="24" t="str">
        <f t="shared" si="68"/>
        <v/>
      </c>
      <c r="CP42" s="26" t="str">
        <f t="shared" si="69"/>
        <v/>
      </c>
      <c r="CQ42" s="26" t="str">
        <f t="shared" si="70"/>
        <v/>
      </c>
      <c r="CR42" s="26" t="str">
        <f t="shared" si="85"/>
        <v/>
      </c>
      <c r="CS42" s="24" t="str">
        <f t="shared" si="86"/>
        <v/>
      </c>
      <c r="CT42" s="27" t="str">
        <f t="shared" si="71"/>
        <v/>
      </c>
      <c r="CU42" s="24" t="str">
        <f t="shared" si="72"/>
        <v/>
      </c>
      <c r="CV42" s="26" t="str">
        <f t="shared" si="73"/>
        <v/>
      </c>
      <c r="CW42" s="26" t="str">
        <f t="shared" si="74"/>
        <v/>
      </c>
      <c r="CX42" s="26" t="str">
        <f t="shared" si="87"/>
        <v/>
      </c>
      <c r="CY42" s="27" t="str">
        <f t="shared" si="88"/>
        <v/>
      </c>
      <c r="CZ42" s="26" t="str">
        <f t="shared" si="75"/>
        <v/>
      </c>
      <c r="DA42" s="24" t="str">
        <f t="shared" si="76"/>
        <v/>
      </c>
      <c r="DB42" s="24" t="str">
        <f t="shared" si="77"/>
        <v/>
      </c>
      <c r="DC42" s="24" t="str">
        <f t="shared" si="78"/>
        <v/>
      </c>
      <c r="DD42" s="24" t="str">
        <f t="shared" si="79"/>
        <v/>
      </c>
      <c r="DE42" s="1">
        <v>0</v>
      </c>
      <c r="DF42" s="1">
        <v>0</v>
      </c>
      <c r="DG42" s="1">
        <v>0</v>
      </c>
      <c r="DH42" s="24" t="str">
        <f t="shared" si="80"/>
        <v/>
      </c>
      <c r="DI42" s="25" t="str">
        <f t="shared" si="81"/>
        <v/>
      </c>
      <c r="DJ42" t="str">
        <f t="shared" si="90"/>
        <v/>
      </c>
      <c r="DK42" s="9"/>
      <c r="DL42" s="9"/>
      <c r="DM42" s="9"/>
      <c r="DN42" s="9"/>
      <c r="DO42" s="9"/>
      <c r="DP42" s="9"/>
      <c r="DQ42" s="136" t="b">
        <f t="shared" si="82"/>
        <v>1</v>
      </c>
    </row>
    <row r="43" spans="1:121" ht="27" customHeight="1" x14ac:dyDescent="1.25">
      <c r="A43" s="24" t="str">
        <f t="shared" si="89"/>
        <v/>
      </c>
      <c r="B43" s="69"/>
      <c r="C43" s="69"/>
      <c r="D43" s="70"/>
      <c r="E43" s="70"/>
      <c r="F43" s="69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3" t="str">
        <f t="shared" si="0"/>
        <v/>
      </c>
      <c r="X43" s="3" t="str">
        <f t="shared" si="1"/>
        <v/>
      </c>
      <c r="Y43" s="3" t="str">
        <f t="shared" si="2"/>
        <v/>
      </c>
      <c r="Z43" s="3" t="str">
        <f t="shared" si="3"/>
        <v/>
      </c>
      <c r="AA43" s="3" t="str">
        <f t="shared" si="4"/>
        <v/>
      </c>
      <c r="AB43" s="3" t="str">
        <f t="shared" si="5"/>
        <v/>
      </c>
      <c r="AC43" s="3" t="str">
        <f t="shared" si="6"/>
        <v/>
      </c>
      <c r="AD43" s="3" t="str">
        <f t="shared" si="7"/>
        <v/>
      </c>
      <c r="AE43" s="3" t="str">
        <f t="shared" si="8"/>
        <v/>
      </c>
      <c r="AF43" s="24" t="str">
        <f t="shared" si="9"/>
        <v/>
      </c>
      <c r="AG43" s="24" t="str">
        <f t="shared" si="10"/>
        <v/>
      </c>
      <c r="AH43" s="24" t="str">
        <f t="shared" si="11"/>
        <v/>
      </c>
      <c r="AI43" s="24" t="str">
        <f t="shared" si="12"/>
        <v/>
      </c>
      <c r="AJ43" s="24" t="str">
        <f t="shared" si="13"/>
        <v/>
      </c>
      <c r="AK43" s="24" t="str">
        <f t="shared" si="14"/>
        <v/>
      </c>
      <c r="AL43" s="24" t="str">
        <f t="shared" si="15"/>
        <v/>
      </c>
      <c r="AM43" s="24" t="str">
        <f t="shared" si="16"/>
        <v/>
      </c>
      <c r="AN43" s="24" t="str">
        <f t="shared" si="17"/>
        <v/>
      </c>
      <c r="AO43" s="24" t="str">
        <f t="shared" si="18"/>
        <v/>
      </c>
      <c r="AP43" s="24" t="str">
        <f t="shared" si="19"/>
        <v/>
      </c>
      <c r="AQ43" s="24" t="str">
        <f t="shared" si="20"/>
        <v/>
      </c>
      <c r="AR43" s="24" t="str">
        <f t="shared" si="21"/>
        <v/>
      </c>
      <c r="AS43" s="24" t="str">
        <f t="shared" si="22"/>
        <v/>
      </c>
      <c r="AT43" s="24" t="str">
        <f t="shared" si="23"/>
        <v/>
      </c>
      <c r="AU43" s="24" t="str">
        <f t="shared" si="24"/>
        <v/>
      </c>
      <c r="AV43" s="24" t="str">
        <f t="shared" si="25"/>
        <v/>
      </c>
      <c r="AW43" s="24" t="str">
        <f t="shared" si="26"/>
        <v/>
      </c>
      <c r="AX43" s="24" t="str">
        <f t="shared" si="27"/>
        <v/>
      </c>
      <c r="AY43" s="24" t="str">
        <f t="shared" si="28"/>
        <v/>
      </c>
      <c r="AZ43" s="24" t="str">
        <f t="shared" si="29"/>
        <v/>
      </c>
      <c r="BA43" s="24" t="str">
        <f t="shared" si="30"/>
        <v/>
      </c>
      <c r="BB43" s="24" t="str">
        <f t="shared" si="31"/>
        <v/>
      </c>
      <c r="BC43" s="26" t="str">
        <f t="shared" si="32"/>
        <v/>
      </c>
      <c r="BD43" s="26" t="str">
        <f t="shared" si="33"/>
        <v/>
      </c>
      <c r="BE43" s="26" t="str">
        <f t="shared" si="34"/>
        <v/>
      </c>
      <c r="BF43" s="26" t="str">
        <f t="shared" si="35"/>
        <v/>
      </c>
      <c r="BG43" s="26" t="str">
        <f t="shared" si="36"/>
        <v/>
      </c>
      <c r="BH43" s="26" t="str">
        <f t="shared" si="37"/>
        <v/>
      </c>
      <c r="BI43" s="26" t="str">
        <f t="shared" si="38"/>
        <v/>
      </c>
      <c r="BJ43" s="26" t="str">
        <f t="shared" si="39"/>
        <v/>
      </c>
      <c r="BK43" s="26" t="str">
        <f t="shared" si="40"/>
        <v/>
      </c>
      <c r="BL43" s="26" t="str">
        <f t="shared" si="41"/>
        <v/>
      </c>
      <c r="BM43" s="26" t="str">
        <f t="shared" si="42"/>
        <v/>
      </c>
      <c r="BN43" s="26" t="str">
        <f t="shared" si="43"/>
        <v/>
      </c>
      <c r="BO43" s="26" t="str">
        <f t="shared" si="44"/>
        <v/>
      </c>
      <c r="BP43" s="26" t="str">
        <f t="shared" si="45"/>
        <v/>
      </c>
      <c r="BQ43" s="26" t="str">
        <f t="shared" si="46"/>
        <v/>
      </c>
      <c r="BR43" s="26" t="str">
        <f t="shared" si="47"/>
        <v/>
      </c>
      <c r="BS43" s="24" t="str">
        <f t="shared" si="48"/>
        <v/>
      </c>
      <c r="BT43" s="24" t="str">
        <f t="shared" si="49"/>
        <v/>
      </c>
      <c r="BU43" s="24" t="str">
        <f t="shared" si="50"/>
        <v/>
      </c>
      <c r="BV43" s="24" t="str">
        <f t="shared" si="51"/>
        <v/>
      </c>
      <c r="BW43" s="24" t="str">
        <f t="shared" si="52"/>
        <v/>
      </c>
      <c r="BX43" s="24" t="str">
        <f t="shared" si="53"/>
        <v/>
      </c>
      <c r="BY43" s="24" t="str">
        <f t="shared" si="54"/>
        <v/>
      </c>
      <c r="BZ43" s="24" t="str">
        <f t="shared" si="55"/>
        <v/>
      </c>
      <c r="CA43" s="24" t="str">
        <f t="shared" si="56"/>
        <v/>
      </c>
      <c r="CB43" s="24" t="str">
        <f t="shared" si="57"/>
        <v/>
      </c>
      <c r="CC43" s="24" t="str">
        <f t="shared" si="58"/>
        <v/>
      </c>
      <c r="CD43" s="24" t="str">
        <f t="shared" si="59"/>
        <v/>
      </c>
      <c r="CE43" s="24" t="str">
        <f t="shared" si="60"/>
        <v/>
      </c>
      <c r="CF43" s="24" t="str">
        <f t="shared" si="61"/>
        <v/>
      </c>
      <c r="CG43" s="24" t="str">
        <f t="shared" si="62"/>
        <v/>
      </c>
      <c r="CH43" s="24" t="str">
        <f t="shared" si="63"/>
        <v/>
      </c>
      <c r="CI43" s="24" t="str">
        <f t="shared" si="64"/>
        <v/>
      </c>
      <c r="CJ43" s="26" t="str">
        <f t="shared" si="65"/>
        <v/>
      </c>
      <c r="CK43" s="26" t="str">
        <f t="shared" si="66"/>
        <v/>
      </c>
      <c r="CL43" s="26" t="str">
        <f t="shared" si="83"/>
        <v/>
      </c>
      <c r="CM43" s="24" t="str">
        <f t="shared" si="84"/>
        <v/>
      </c>
      <c r="CN43" s="26" t="str">
        <f t="shared" si="67"/>
        <v/>
      </c>
      <c r="CO43" s="24" t="str">
        <f t="shared" si="68"/>
        <v/>
      </c>
      <c r="CP43" s="26" t="str">
        <f t="shared" si="69"/>
        <v/>
      </c>
      <c r="CQ43" s="26" t="str">
        <f t="shared" si="70"/>
        <v/>
      </c>
      <c r="CR43" s="26" t="str">
        <f t="shared" si="85"/>
        <v/>
      </c>
      <c r="CS43" s="24" t="str">
        <f t="shared" si="86"/>
        <v/>
      </c>
      <c r="CT43" s="27" t="str">
        <f t="shared" si="71"/>
        <v/>
      </c>
      <c r="CU43" s="24" t="str">
        <f t="shared" si="72"/>
        <v/>
      </c>
      <c r="CV43" s="26" t="str">
        <f t="shared" si="73"/>
        <v/>
      </c>
      <c r="CW43" s="26" t="str">
        <f t="shared" si="74"/>
        <v/>
      </c>
      <c r="CX43" s="26" t="str">
        <f t="shared" si="87"/>
        <v/>
      </c>
      <c r="CY43" s="27" t="str">
        <f t="shared" si="88"/>
        <v/>
      </c>
      <c r="CZ43" s="26" t="str">
        <f t="shared" si="75"/>
        <v/>
      </c>
      <c r="DA43" s="24" t="str">
        <f t="shared" si="76"/>
        <v/>
      </c>
      <c r="DB43" s="24" t="str">
        <f t="shared" si="77"/>
        <v/>
      </c>
      <c r="DC43" s="24" t="str">
        <f t="shared" si="78"/>
        <v/>
      </c>
      <c r="DD43" s="24" t="str">
        <f t="shared" si="79"/>
        <v/>
      </c>
      <c r="DE43" s="1">
        <v>0</v>
      </c>
      <c r="DF43" s="1">
        <v>0</v>
      </c>
      <c r="DG43" s="1">
        <v>0</v>
      </c>
      <c r="DH43" s="24" t="str">
        <f t="shared" si="80"/>
        <v/>
      </c>
      <c r="DI43" s="25" t="str">
        <f t="shared" si="81"/>
        <v/>
      </c>
      <c r="DJ43" t="str">
        <f t="shared" si="90"/>
        <v/>
      </c>
      <c r="DK43" s="9"/>
      <c r="DL43" s="9"/>
      <c r="DM43" s="9"/>
      <c r="DN43" s="9"/>
      <c r="DO43" s="9"/>
      <c r="DP43" s="9"/>
      <c r="DQ43" s="136" t="b">
        <f t="shared" si="82"/>
        <v>1</v>
      </c>
    </row>
    <row r="44" spans="1:121" ht="27" customHeight="1" x14ac:dyDescent="1.25">
      <c r="A44" s="24" t="str">
        <f t="shared" si="89"/>
        <v/>
      </c>
      <c r="B44" s="69"/>
      <c r="C44" s="69"/>
      <c r="D44" s="70"/>
      <c r="E44" s="70"/>
      <c r="F44" s="69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3" t="str">
        <f t="shared" si="0"/>
        <v/>
      </c>
      <c r="X44" s="3" t="str">
        <f t="shared" si="1"/>
        <v/>
      </c>
      <c r="Y44" s="3" t="str">
        <f t="shared" si="2"/>
        <v/>
      </c>
      <c r="Z44" s="3" t="str">
        <f t="shared" si="3"/>
        <v/>
      </c>
      <c r="AA44" s="3" t="str">
        <f t="shared" si="4"/>
        <v/>
      </c>
      <c r="AB44" s="3" t="str">
        <f t="shared" si="5"/>
        <v/>
      </c>
      <c r="AC44" s="3" t="str">
        <f t="shared" si="6"/>
        <v/>
      </c>
      <c r="AD44" s="3" t="str">
        <f t="shared" si="7"/>
        <v/>
      </c>
      <c r="AE44" s="3" t="str">
        <f t="shared" si="8"/>
        <v/>
      </c>
      <c r="AF44" s="24" t="str">
        <f t="shared" si="9"/>
        <v/>
      </c>
      <c r="AG44" s="24" t="str">
        <f t="shared" si="10"/>
        <v/>
      </c>
      <c r="AH44" s="24" t="str">
        <f t="shared" si="11"/>
        <v/>
      </c>
      <c r="AI44" s="24" t="str">
        <f t="shared" si="12"/>
        <v/>
      </c>
      <c r="AJ44" s="24" t="str">
        <f t="shared" si="13"/>
        <v/>
      </c>
      <c r="AK44" s="24" t="str">
        <f t="shared" si="14"/>
        <v/>
      </c>
      <c r="AL44" s="24" t="str">
        <f t="shared" si="15"/>
        <v/>
      </c>
      <c r="AM44" s="24" t="str">
        <f t="shared" si="16"/>
        <v/>
      </c>
      <c r="AN44" s="24" t="str">
        <f t="shared" si="17"/>
        <v/>
      </c>
      <c r="AO44" s="24" t="str">
        <f t="shared" si="18"/>
        <v/>
      </c>
      <c r="AP44" s="24" t="str">
        <f t="shared" si="19"/>
        <v/>
      </c>
      <c r="AQ44" s="24" t="str">
        <f t="shared" si="20"/>
        <v/>
      </c>
      <c r="AR44" s="24" t="str">
        <f t="shared" si="21"/>
        <v/>
      </c>
      <c r="AS44" s="24" t="str">
        <f t="shared" si="22"/>
        <v/>
      </c>
      <c r="AT44" s="24" t="str">
        <f t="shared" si="23"/>
        <v/>
      </c>
      <c r="AU44" s="24" t="str">
        <f t="shared" si="24"/>
        <v/>
      </c>
      <c r="AV44" s="24" t="str">
        <f t="shared" si="25"/>
        <v/>
      </c>
      <c r="AW44" s="24" t="str">
        <f t="shared" si="26"/>
        <v/>
      </c>
      <c r="AX44" s="24" t="str">
        <f t="shared" si="27"/>
        <v/>
      </c>
      <c r="AY44" s="24" t="str">
        <f t="shared" si="28"/>
        <v/>
      </c>
      <c r="AZ44" s="24" t="str">
        <f t="shared" si="29"/>
        <v/>
      </c>
      <c r="BA44" s="24" t="str">
        <f t="shared" si="30"/>
        <v/>
      </c>
      <c r="BB44" s="24" t="str">
        <f t="shared" si="31"/>
        <v/>
      </c>
      <c r="BC44" s="26" t="str">
        <f t="shared" si="32"/>
        <v/>
      </c>
      <c r="BD44" s="26" t="str">
        <f t="shared" si="33"/>
        <v/>
      </c>
      <c r="BE44" s="26" t="str">
        <f t="shared" si="34"/>
        <v/>
      </c>
      <c r="BF44" s="26" t="str">
        <f t="shared" si="35"/>
        <v/>
      </c>
      <c r="BG44" s="26" t="str">
        <f t="shared" si="36"/>
        <v/>
      </c>
      <c r="BH44" s="26" t="str">
        <f t="shared" si="37"/>
        <v/>
      </c>
      <c r="BI44" s="26" t="str">
        <f t="shared" si="38"/>
        <v/>
      </c>
      <c r="BJ44" s="26" t="str">
        <f t="shared" si="39"/>
        <v/>
      </c>
      <c r="BK44" s="26" t="str">
        <f t="shared" si="40"/>
        <v/>
      </c>
      <c r="BL44" s="26" t="str">
        <f t="shared" si="41"/>
        <v/>
      </c>
      <c r="BM44" s="26" t="str">
        <f t="shared" si="42"/>
        <v/>
      </c>
      <c r="BN44" s="26" t="str">
        <f t="shared" si="43"/>
        <v/>
      </c>
      <c r="BO44" s="26" t="str">
        <f t="shared" si="44"/>
        <v/>
      </c>
      <c r="BP44" s="26" t="str">
        <f t="shared" si="45"/>
        <v/>
      </c>
      <c r="BQ44" s="26" t="str">
        <f t="shared" si="46"/>
        <v/>
      </c>
      <c r="BR44" s="26" t="str">
        <f t="shared" si="47"/>
        <v/>
      </c>
      <c r="BS44" s="24" t="str">
        <f t="shared" si="48"/>
        <v/>
      </c>
      <c r="BT44" s="24" t="str">
        <f t="shared" si="49"/>
        <v/>
      </c>
      <c r="BU44" s="24" t="str">
        <f t="shared" si="50"/>
        <v/>
      </c>
      <c r="BV44" s="24" t="str">
        <f t="shared" si="51"/>
        <v/>
      </c>
      <c r="BW44" s="24" t="str">
        <f t="shared" si="52"/>
        <v/>
      </c>
      <c r="BX44" s="24" t="str">
        <f t="shared" si="53"/>
        <v/>
      </c>
      <c r="BY44" s="24" t="str">
        <f t="shared" si="54"/>
        <v/>
      </c>
      <c r="BZ44" s="24" t="str">
        <f t="shared" si="55"/>
        <v/>
      </c>
      <c r="CA44" s="24" t="str">
        <f t="shared" si="56"/>
        <v/>
      </c>
      <c r="CB44" s="24" t="str">
        <f t="shared" si="57"/>
        <v/>
      </c>
      <c r="CC44" s="24" t="str">
        <f t="shared" si="58"/>
        <v/>
      </c>
      <c r="CD44" s="24" t="str">
        <f t="shared" si="59"/>
        <v/>
      </c>
      <c r="CE44" s="24" t="str">
        <f t="shared" si="60"/>
        <v/>
      </c>
      <c r="CF44" s="24" t="str">
        <f t="shared" si="61"/>
        <v/>
      </c>
      <c r="CG44" s="24" t="str">
        <f t="shared" si="62"/>
        <v/>
      </c>
      <c r="CH44" s="24" t="str">
        <f t="shared" si="63"/>
        <v/>
      </c>
      <c r="CI44" s="24" t="str">
        <f t="shared" si="64"/>
        <v/>
      </c>
      <c r="CJ44" s="26" t="str">
        <f t="shared" si="65"/>
        <v/>
      </c>
      <c r="CK44" s="26" t="str">
        <f t="shared" si="66"/>
        <v/>
      </c>
      <c r="CL44" s="26" t="str">
        <f t="shared" si="83"/>
        <v/>
      </c>
      <c r="CM44" s="24" t="str">
        <f t="shared" si="84"/>
        <v/>
      </c>
      <c r="CN44" s="26" t="str">
        <f t="shared" si="67"/>
        <v/>
      </c>
      <c r="CO44" s="24" t="str">
        <f t="shared" si="68"/>
        <v/>
      </c>
      <c r="CP44" s="26" t="str">
        <f t="shared" si="69"/>
        <v/>
      </c>
      <c r="CQ44" s="26" t="str">
        <f t="shared" si="70"/>
        <v/>
      </c>
      <c r="CR44" s="26" t="str">
        <f t="shared" si="85"/>
        <v/>
      </c>
      <c r="CS44" s="24" t="str">
        <f t="shared" si="86"/>
        <v/>
      </c>
      <c r="CT44" s="27" t="str">
        <f t="shared" si="71"/>
        <v/>
      </c>
      <c r="CU44" s="24" t="str">
        <f t="shared" si="72"/>
        <v/>
      </c>
      <c r="CV44" s="26" t="str">
        <f t="shared" si="73"/>
        <v/>
      </c>
      <c r="CW44" s="26" t="str">
        <f t="shared" si="74"/>
        <v/>
      </c>
      <c r="CX44" s="26" t="str">
        <f t="shared" si="87"/>
        <v/>
      </c>
      <c r="CY44" s="27" t="str">
        <f t="shared" si="88"/>
        <v/>
      </c>
      <c r="CZ44" s="26" t="str">
        <f t="shared" si="75"/>
        <v/>
      </c>
      <c r="DA44" s="24" t="str">
        <f t="shared" si="76"/>
        <v/>
      </c>
      <c r="DB44" s="24" t="str">
        <f t="shared" si="77"/>
        <v/>
      </c>
      <c r="DC44" s="24" t="str">
        <f t="shared" si="78"/>
        <v/>
      </c>
      <c r="DD44" s="24" t="str">
        <f t="shared" si="79"/>
        <v/>
      </c>
      <c r="DE44" s="1">
        <v>0</v>
      </c>
      <c r="DF44" s="1">
        <v>0</v>
      </c>
      <c r="DG44" s="1">
        <v>0</v>
      </c>
      <c r="DH44" s="24" t="str">
        <f t="shared" si="80"/>
        <v/>
      </c>
      <c r="DI44" s="25" t="str">
        <f t="shared" si="81"/>
        <v/>
      </c>
      <c r="DJ44" t="str">
        <f t="shared" si="90"/>
        <v/>
      </c>
      <c r="DK44" s="9"/>
      <c r="DL44" s="9"/>
      <c r="DM44" s="9"/>
      <c r="DN44" s="9"/>
      <c r="DO44" s="9"/>
      <c r="DP44" s="9"/>
      <c r="DQ44" s="136" t="b">
        <f t="shared" si="82"/>
        <v>1</v>
      </c>
    </row>
    <row r="45" spans="1:121" ht="27" customHeight="1" x14ac:dyDescent="1.25">
      <c r="A45" s="24" t="str">
        <f t="shared" si="89"/>
        <v/>
      </c>
      <c r="B45" s="69"/>
      <c r="C45" s="69"/>
      <c r="D45" s="69"/>
      <c r="E45" s="69"/>
      <c r="F45" s="69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3" t="str">
        <f t="shared" si="0"/>
        <v/>
      </c>
      <c r="X45" s="3" t="str">
        <f t="shared" si="1"/>
        <v/>
      </c>
      <c r="Y45" s="3" t="str">
        <f t="shared" si="2"/>
        <v/>
      </c>
      <c r="Z45" s="3" t="str">
        <f t="shared" si="3"/>
        <v/>
      </c>
      <c r="AA45" s="3" t="str">
        <f t="shared" si="4"/>
        <v/>
      </c>
      <c r="AB45" s="3" t="str">
        <f t="shared" si="5"/>
        <v/>
      </c>
      <c r="AC45" s="3" t="str">
        <f t="shared" si="6"/>
        <v/>
      </c>
      <c r="AD45" s="3" t="str">
        <f t="shared" si="7"/>
        <v/>
      </c>
      <c r="AE45" s="3" t="str">
        <f t="shared" si="8"/>
        <v/>
      </c>
      <c r="AF45" s="24" t="str">
        <f t="shared" si="9"/>
        <v/>
      </c>
      <c r="AG45" s="24" t="str">
        <f t="shared" si="10"/>
        <v/>
      </c>
      <c r="AH45" s="24" t="str">
        <f t="shared" si="11"/>
        <v/>
      </c>
      <c r="AI45" s="24" t="str">
        <f t="shared" si="12"/>
        <v/>
      </c>
      <c r="AJ45" s="24" t="str">
        <f t="shared" si="13"/>
        <v/>
      </c>
      <c r="AK45" s="24" t="str">
        <f t="shared" si="14"/>
        <v/>
      </c>
      <c r="AL45" s="24" t="str">
        <f t="shared" si="15"/>
        <v/>
      </c>
      <c r="AM45" s="24" t="str">
        <f t="shared" si="16"/>
        <v/>
      </c>
      <c r="AN45" s="24" t="str">
        <f t="shared" si="17"/>
        <v/>
      </c>
      <c r="AO45" s="24" t="str">
        <f t="shared" si="18"/>
        <v/>
      </c>
      <c r="AP45" s="24" t="str">
        <f t="shared" si="19"/>
        <v/>
      </c>
      <c r="AQ45" s="24" t="str">
        <f t="shared" si="20"/>
        <v/>
      </c>
      <c r="AR45" s="24" t="str">
        <f t="shared" si="21"/>
        <v/>
      </c>
      <c r="AS45" s="24" t="str">
        <f t="shared" si="22"/>
        <v/>
      </c>
      <c r="AT45" s="24" t="str">
        <f t="shared" si="23"/>
        <v/>
      </c>
      <c r="AU45" s="24" t="str">
        <f t="shared" si="24"/>
        <v/>
      </c>
      <c r="AV45" s="24" t="str">
        <f t="shared" si="25"/>
        <v/>
      </c>
      <c r="AW45" s="24" t="str">
        <f t="shared" si="26"/>
        <v/>
      </c>
      <c r="AX45" s="24" t="str">
        <f t="shared" si="27"/>
        <v/>
      </c>
      <c r="AY45" s="24" t="str">
        <f t="shared" si="28"/>
        <v/>
      </c>
      <c r="AZ45" s="24" t="str">
        <f t="shared" si="29"/>
        <v/>
      </c>
      <c r="BA45" s="24" t="str">
        <f t="shared" si="30"/>
        <v/>
      </c>
      <c r="BB45" s="24" t="str">
        <f t="shared" si="31"/>
        <v/>
      </c>
      <c r="BC45" s="26" t="str">
        <f t="shared" si="32"/>
        <v/>
      </c>
      <c r="BD45" s="26" t="str">
        <f t="shared" si="33"/>
        <v/>
      </c>
      <c r="BE45" s="26" t="str">
        <f t="shared" si="34"/>
        <v/>
      </c>
      <c r="BF45" s="26" t="str">
        <f t="shared" si="35"/>
        <v/>
      </c>
      <c r="BG45" s="26" t="str">
        <f t="shared" si="36"/>
        <v/>
      </c>
      <c r="BH45" s="26" t="str">
        <f t="shared" si="37"/>
        <v/>
      </c>
      <c r="BI45" s="26" t="str">
        <f t="shared" si="38"/>
        <v/>
      </c>
      <c r="BJ45" s="26" t="str">
        <f t="shared" si="39"/>
        <v/>
      </c>
      <c r="BK45" s="26" t="str">
        <f t="shared" si="40"/>
        <v/>
      </c>
      <c r="BL45" s="26" t="str">
        <f t="shared" si="41"/>
        <v/>
      </c>
      <c r="BM45" s="26" t="str">
        <f t="shared" si="42"/>
        <v/>
      </c>
      <c r="BN45" s="26" t="str">
        <f t="shared" si="43"/>
        <v/>
      </c>
      <c r="BO45" s="26" t="str">
        <f t="shared" si="44"/>
        <v/>
      </c>
      <c r="BP45" s="26" t="str">
        <f t="shared" si="45"/>
        <v/>
      </c>
      <c r="BQ45" s="26" t="str">
        <f t="shared" si="46"/>
        <v/>
      </c>
      <c r="BR45" s="26" t="str">
        <f t="shared" si="47"/>
        <v/>
      </c>
      <c r="BS45" s="24" t="str">
        <f t="shared" si="48"/>
        <v/>
      </c>
      <c r="BT45" s="24" t="str">
        <f t="shared" si="49"/>
        <v/>
      </c>
      <c r="BU45" s="24" t="str">
        <f t="shared" si="50"/>
        <v/>
      </c>
      <c r="BV45" s="24" t="str">
        <f t="shared" si="51"/>
        <v/>
      </c>
      <c r="BW45" s="24" t="str">
        <f t="shared" si="52"/>
        <v/>
      </c>
      <c r="BX45" s="24" t="str">
        <f t="shared" si="53"/>
        <v/>
      </c>
      <c r="BY45" s="24" t="str">
        <f t="shared" si="54"/>
        <v/>
      </c>
      <c r="BZ45" s="24" t="str">
        <f t="shared" si="55"/>
        <v/>
      </c>
      <c r="CA45" s="24" t="str">
        <f t="shared" si="56"/>
        <v/>
      </c>
      <c r="CB45" s="24" t="str">
        <f t="shared" si="57"/>
        <v/>
      </c>
      <c r="CC45" s="24" t="str">
        <f t="shared" si="58"/>
        <v/>
      </c>
      <c r="CD45" s="24" t="str">
        <f t="shared" si="59"/>
        <v/>
      </c>
      <c r="CE45" s="24" t="str">
        <f t="shared" si="60"/>
        <v/>
      </c>
      <c r="CF45" s="24" t="str">
        <f t="shared" si="61"/>
        <v/>
      </c>
      <c r="CG45" s="24" t="str">
        <f t="shared" si="62"/>
        <v/>
      </c>
      <c r="CH45" s="24" t="str">
        <f t="shared" si="63"/>
        <v/>
      </c>
      <c r="CI45" s="24" t="str">
        <f t="shared" si="64"/>
        <v/>
      </c>
      <c r="CJ45" s="26" t="str">
        <f t="shared" si="65"/>
        <v/>
      </c>
      <c r="CK45" s="26" t="str">
        <f t="shared" si="66"/>
        <v/>
      </c>
      <c r="CL45" s="26" t="str">
        <f t="shared" si="83"/>
        <v/>
      </c>
      <c r="CM45" s="24" t="str">
        <f t="shared" si="84"/>
        <v/>
      </c>
      <c r="CN45" s="26" t="str">
        <f t="shared" si="67"/>
        <v/>
      </c>
      <c r="CO45" s="24" t="str">
        <f t="shared" si="68"/>
        <v/>
      </c>
      <c r="CP45" s="26" t="str">
        <f t="shared" si="69"/>
        <v/>
      </c>
      <c r="CQ45" s="26" t="str">
        <f t="shared" si="70"/>
        <v/>
      </c>
      <c r="CR45" s="26" t="str">
        <f t="shared" si="85"/>
        <v/>
      </c>
      <c r="CS45" s="24" t="str">
        <f t="shared" si="86"/>
        <v/>
      </c>
      <c r="CT45" s="27" t="str">
        <f t="shared" si="71"/>
        <v/>
      </c>
      <c r="CU45" s="24" t="str">
        <f t="shared" si="72"/>
        <v/>
      </c>
      <c r="CV45" s="26" t="str">
        <f t="shared" si="73"/>
        <v/>
      </c>
      <c r="CW45" s="26" t="str">
        <f t="shared" si="74"/>
        <v/>
      </c>
      <c r="CX45" s="26" t="str">
        <f t="shared" si="87"/>
        <v/>
      </c>
      <c r="CY45" s="27" t="str">
        <f t="shared" si="88"/>
        <v/>
      </c>
      <c r="CZ45" s="26" t="str">
        <f t="shared" si="75"/>
        <v/>
      </c>
      <c r="DA45" s="24" t="str">
        <f t="shared" si="76"/>
        <v/>
      </c>
      <c r="DB45" s="24" t="str">
        <f t="shared" si="77"/>
        <v/>
      </c>
      <c r="DC45" s="24" t="str">
        <f t="shared" si="78"/>
        <v/>
      </c>
      <c r="DD45" s="24" t="str">
        <f t="shared" si="79"/>
        <v/>
      </c>
      <c r="DE45" s="1">
        <v>0</v>
      </c>
      <c r="DF45" s="1">
        <v>0</v>
      </c>
      <c r="DG45" s="1">
        <v>0</v>
      </c>
      <c r="DH45" s="24" t="str">
        <f t="shared" si="80"/>
        <v/>
      </c>
      <c r="DI45" s="25" t="str">
        <f t="shared" si="81"/>
        <v/>
      </c>
      <c r="DJ45" t="str">
        <f t="shared" si="90"/>
        <v/>
      </c>
      <c r="DK45" s="9"/>
      <c r="DL45" s="9"/>
      <c r="DM45" s="9"/>
      <c r="DN45" s="9"/>
      <c r="DO45" s="9"/>
      <c r="DP45" s="9"/>
      <c r="DQ45" s="136" t="b">
        <f t="shared" si="82"/>
        <v>1</v>
      </c>
    </row>
    <row r="46" spans="1:121" ht="27" customHeight="1" x14ac:dyDescent="1.25">
      <c r="A46" s="24" t="str">
        <f t="shared" si="89"/>
        <v/>
      </c>
      <c r="B46" s="69"/>
      <c r="C46" s="69"/>
      <c r="D46" s="69"/>
      <c r="E46" s="69"/>
      <c r="F46" s="69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3" t="str">
        <f t="shared" si="0"/>
        <v/>
      </c>
      <c r="X46" s="3" t="str">
        <f t="shared" si="1"/>
        <v/>
      </c>
      <c r="Y46" s="3" t="str">
        <f t="shared" si="2"/>
        <v/>
      </c>
      <c r="Z46" s="3" t="str">
        <f t="shared" si="3"/>
        <v/>
      </c>
      <c r="AA46" s="3" t="str">
        <f t="shared" si="4"/>
        <v/>
      </c>
      <c r="AB46" s="3" t="str">
        <f t="shared" si="5"/>
        <v/>
      </c>
      <c r="AC46" s="3" t="str">
        <f t="shared" si="6"/>
        <v/>
      </c>
      <c r="AD46" s="3" t="str">
        <f t="shared" si="7"/>
        <v/>
      </c>
      <c r="AE46" s="3" t="str">
        <f t="shared" si="8"/>
        <v/>
      </c>
      <c r="AF46" s="24" t="str">
        <f t="shared" si="9"/>
        <v/>
      </c>
      <c r="AG46" s="24" t="str">
        <f t="shared" si="10"/>
        <v/>
      </c>
      <c r="AH46" s="24" t="str">
        <f t="shared" si="11"/>
        <v/>
      </c>
      <c r="AI46" s="24" t="str">
        <f t="shared" si="12"/>
        <v/>
      </c>
      <c r="AJ46" s="24" t="str">
        <f t="shared" si="13"/>
        <v/>
      </c>
      <c r="AK46" s="24" t="str">
        <f t="shared" si="14"/>
        <v/>
      </c>
      <c r="AL46" s="24" t="str">
        <f t="shared" si="15"/>
        <v/>
      </c>
      <c r="AM46" s="24" t="str">
        <f t="shared" si="16"/>
        <v/>
      </c>
      <c r="AN46" s="24" t="str">
        <f t="shared" si="17"/>
        <v/>
      </c>
      <c r="AO46" s="24" t="str">
        <f t="shared" si="18"/>
        <v/>
      </c>
      <c r="AP46" s="24" t="str">
        <f t="shared" si="19"/>
        <v/>
      </c>
      <c r="AQ46" s="24" t="str">
        <f t="shared" si="20"/>
        <v/>
      </c>
      <c r="AR46" s="24" t="str">
        <f t="shared" si="21"/>
        <v/>
      </c>
      <c r="AS46" s="24" t="str">
        <f t="shared" si="22"/>
        <v/>
      </c>
      <c r="AT46" s="24" t="str">
        <f t="shared" si="23"/>
        <v/>
      </c>
      <c r="AU46" s="24" t="str">
        <f t="shared" si="24"/>
        <v/>
      </c>
      <c r="AV46" s="24" t="str">
        <f t="shared" si="25"/>
        <v/>
      </c>
      <c r="AW46" s="24" t="str">
        <f t="shared" si="26"/>
        <v/>
      </c>
      <c r="AX46" s="24" t="str">
        <f t="shared" si="27"/>
        <v/>
      </c>
      <c r="AY46" s="24" t="str">
        <f t="shared" si="28"/>
        <v/>
      </c>
      <c r="AZ46" s="24" t="str">
        <f t="shared" si="29"/>
        <v/>
      </c>
      <c r="BA46" s="24" t="str">
        <f t="shared" si="30"/>
        <v/>
      </c>
      <c r="BB46" s="24" t="str">
        <f t="shared" si="31"/>
        <v/>
      </c>
      <c r="BC46" s="26" t="str">
        <f t="shared" si="32"/>
        <v/>
      </c>
      <c r="BD46" s="26" t="str">
        <f t="shared" si="33"/>
        <v/>
      </c>
      <c r="BE46" s="26" t="str">
        <f t="shared" si="34"/>
        <v/>
      </c>
      <c r="BF46" s="26" t="str">
        <f t="shared" si="35"/>
        <v/>
      </c>
      <c r="BG46" s="26" t="str">
        <f t="shared" si="36"/>
        <v/>
      </c>
      <c r="BH46" s="26" t="str">
        <f t="shared" si="37"/>
        <v/>
      </c>
      <c r="BI46" s="26" t="str">
        <f t="shared" si="38"/>
        <v/>
      </c>
      <c r="BJ46" s="26" t="str">
        <f t="shared" si="39"/>
        <v/>
      </c>
      <c r="BK46" s="26" t="str">
        <f t="shared" si="40"/>
        <v/>
      </c>
      <c r="BL46" s="26" t="str">
        <f t="shared" si="41"/>
        <v/>
      </c>
      <c r="BM46" s="26" t="str">
        <f t="shared" si="42"/>
        <v/>
      </c>
      <c r="BN46" s="26" t="str">
        <f t="shared" si="43"/>
        <v/>
      </c>
      <c r="BO46" s="26" t="str">
        <f t="shared" si="44"/>
        <v/>
      </c>
      <c r="BP46" s="26" t="str">
        <f t="shared" si="45"/>
        <v/>
      </c>
      <c r="BQ46" s="26" t="str">
        <f t="shared" si="46"/>
        <v/>
      </c>
      <c r="BR46" s="26" t="str">
        <f t="shared" si="47"/>
        <v/>
      </c>
      <c r="BS46" s="24" t="str">
        <f t="shared" si="48"/>
        <v/>
      </c>
      <c r="BT46" s="24" t="str">
        <f t="shared" si="49"/>
        <v/>
      </c>
      <c r="BU46" s="24" t="str">
        <f t="shared" si="50"/>
        <v/>
      </c>
      <c r="BV46" s="24" t="str">
        <f t="shared" si="51"/>
        <v/>
      </c>
      <c r="BW46" s="24" t="str">
        <f t="shared" si="52"/>
        <v/>
      </c>
      <c r="BX46" s="24" t="str">
        <f t="shared" si="53"/>
        <v/>
      </c>
      <c r="BY46" s="24" t="str">
        <f t="shared" si="54"/>
        <v/>
      </c>
      <c r="BZ46" s="24" t="str">
        <f t="shared" si="55"/>
        <v/>
      </c>
      <c r="CA46" s="24" t="str">
        <f t="shared" si="56"/>
        <v/>
      </c>
      <c r="CB46" s="24" t="str">
        <f t="shared" si="57"/>
        <v/>
      </c>
      <c r="CC46" s="24" t="str">
        <f t="shared" si="58"/>
        <v/>
      </c>
      <c r="CD46" s="24" t="str">
        <f t="shared" si="59"/>
        <v/>
      </c>
      <c r="CE46" s="24" t="str">
        <f t="shared" si="60"/>
        <v/>
      </c>
      <c r="CF46" s="24" t="str">
        <f t="shared" si="61"/>
        <v/>
      </c>
      <c r="CG46" s="24" t="str">
        <f t="shared" si="62"/>
        <v/>
      </c>
      <c r="CH46" s="24" t="str">
        <f t="shared" si="63"/>
        <v/>
      </c>
      <c r="CI46" s="24" t="str">
        <f t="shared" si="64"/>
        <v/>
      </c>
      <c r="CJ46" s="26" t="str">
        <f t="shared" si="65"/>
        <v/>
      </c>
      <c r="CK46" s="26" t="str">
        <f t="shared" si="66"/>
        <v/>
      </c>
      <c r="CL46" s="26" t="str">
        <f t="shared" si="83"/>
        <v/>
      </c>
      <c r="CM46" s="24" t="str">
        <f t="shared" si="84"/>
        <v/>
      </c>
      <c r="CN46" s="26" t="str">
        <f t="shared" si="67"/>
        <v/>
      </c>
      <c r="CO46" s="24" t="str">
        <f t="shared" si="68"/>
        <v/>
      </c>
      <c r="CP46" s="26" t="str">
        <f t="shared" si="69"/>
        <v/>
      </c>
      <c r="CQ46" s="26" t="str">
        <f t="shared" si="70"/>
        <v/>
      </c>
      <c r="CR46" s="26" t="str">
        <f t="shared" si="85"/>
        <v/>
      </c>
      <c r="CS46" s="24" t="str">
        <f t="shared" si="86"/>
        <v/>
      </c>
      <c r="CT46" s="27" t="str">
        <f t="shared" si="71"/>
        <v/>
      </c>
      <c r="CU46" s="24" t="str">
        <f t="shared" si="72"/>
        <v/>
      </c>
      <c r="CV46" s="26" t="str">
        <f t="shared" si="73"/>
        <v/>
      </c>
      <c r="CW46" s="26" t="str">
        <f t="shared" si="74"/>
        <v/>
      </c>
      <c r="CX46" s="26" t="str">
        <f t="shared" si="87"/>
        <v/>
      </c>
      <c r="CY46" s="27" t="str">
        <f t="shared" si="88"/>
        <v/>
      </c>
      <c r="CZ46" s="26" t="str">
        <f t="shared" si="75"/>
        <v/>
      </c>
      <c r="DA46" s="24" t="str">
        <f t="shared" si="76"/>
        <v/>
      </c>
      <c r="DB46" s="24" t="str">
        <f t="shared" si="77"/>
        <v/>
      </c>
      <c r="DC46" s="24" t="str">
        <f t="shared" si="78"/>
        <v/>
      </c>
      <c r="DD46" s="24" t="str">
        <f t="shared" si="79"/>
        <v/>
      </c>
      <c r="DE46" s="1">
        <v>0</v>
      </c>
      <c r="DF46" s="1">
        <v>0</v>
      </c>
      <c r="DG46" s="1">
        <v>0</v>
      </c>
      <c r="DH46" s="24" t="str">
        <f t="shared" si="80"/>
        <v/>
      </c>
      <c r="DI46" s="25" t="str">
        <f t="shared" si="81"/>
        <v/>
      </c>
      <c r="DJ46" t="str">
        <f t="shared" si="90"/>
        <v/>
      </c>
      <c r="DK46" s="9"/>
      <c r="DL46" s="9"/>
      <c r="DM46" s="9"/>
      <c r="DN46" s="9"/>
      <c r="DO46" s="9"/>
      <c r="DP46" s="9"/>
      <c r="DQ46" s="136" t="b">
        <f t="shared" si="82"/>
        <v>1</v>
      </c>
    </row>
    <row r="47" spans="1:121" ht="27" customHeight="1" x14ac:dyDescent="1.25">
      <c r="A47" s="24" t="str">
        <f t="shared" si="89"/>
        <v/>
      </c>
      <c r="B47" s="69"/>
      <c r="C47" s="70"/>
      <c r="D47" s="69"/>
      <c r="E47" s="69"/>
      <c r="F47" s="69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3" t="str">
        <f t="shared" ref="W47:W78" si="91">IF(G47="","",IF(G47&gt;=90,"A",IF(G47&gt;=80,"B",IF(G47&gt;=70,"C",IF(G47&gt;=60,"D",IF(G47&gt;=50,"E",IF(G47&gt;=0,"F","")))))))</f>
        <v/>
      </c>
      <c r="X47" s="3" t="str">
        <f t="shared" ref="X47:X78" si="92">IF(H47="","",IF(H47&gt;=90,"A",IF(H47&gt;=80,"B",IF(H47&gt;=70,"C",IF(H47&gt;=60,"D",IF(H47&gt;=50,"E",IF(H47&gt;=0,"F","")))))))</f>
        <v/>
      </c>
      <c r="Y47" s="3" t="str">
        <f t="shared" ref="Y47:Y78" si="93">IF(I47="","",IF(I47&gt;=90,"A",IF(I47&gt;=80,"B",IF(I47&gt;=70,"C",IF(I47&gt;=60,"D",IF(I47&gt;=50,"E",IF(I47&gt;=0,"F","")))))))</f>
        <v/>
      </c>
      <c r="Z47" s="3" t="str">
        <f t="shared" ref="Z47:Z78" si="94">IF(J47="","",IF(J47&gt;=90,"A",IF(J47&gt;=80,"B",IF(J47&gt;=70,"C",IF(J47&gt;=60,"D",IF(J47&gt;=50,"E",IF(J47&gt;=0,"F","")))))))</f>
        <v/>
      </c>
      <c r="AA47" s="3" t="str">
        <f t="shared" ref="AA47:AA78" si="95">IF(K47="","",IF(K47&gt;=90,"A",IF(K47&gt;=80,"B",IF(K47&gt;=70,"C",IF(K47&gt;=60,"D",IF(K47&gt;=50,"E",IF(K47&gt;=0,"F","")))))))</f>
        <v/>
      </c>
      <c r="AB47" s="3" t="str">
        <f t="shared" ref="AB47:AB78" si="96">IF(L47="","",IF(L47&gt;=90,"A",IF(L47&gt;=80,"B",IF(L47&gt;=70,"C",IF(L47&gt;=60,"D",IF(L47&gt;=50,"E",IF(L47&gt;=0,"F","")))))))</f>
        <v/>
      </c>
      <c r="AC47" s="3" t="str">
        <f t="shared" ref="AC47:AC78" si="97">IF(M47="","",IF(M47&gt;=90,"A",IF(M47&gt;=80,"B",IF(M47&gt;=70,"C",IF(M47&gt;=60,"D",IF(M47&gt;=50,"E",IF(M47&gt;=0,"F","")))))))</f>
        <v/>
      </c>
      <c r="AD47" s="3" t="str">
        <f t="shared" ref="AD47:AD78" si="98">IF(N47="","",IF(N47&gt;=90,"A",IF(N47&gt;=80,"B",IF(N47&gt;=70,"C",IF(N47&gt;=60,"D",IF(N47&gt;=50,"E",IF(N47&gt;=0,"F","")))))))</f>
        <v/>
      </c>
      <c r="AE47" s="3" t="str">
        <f t="shared" ref="AE47:AE78" si="99">IF(O47="","",IF(O47&gt;=90,"A",IF(O47&gt;=80,"B",IF(O47&gt;=70,"C",IF(O47&gt;=60,"D",IF(O47&gt;=50,"E",IF(O47&gt;=0,"F","")))))))</f>
        <v/>
      </c>
      <c r="AF47" s="24" t="str">
        <f t="shared" ref="AF47:AF78" si="100">IF(P47="","",IF(P47&gt;=90,"A",IF(P47&gt;=80,"B",IF(P47&gt;=70,"C",IF(P47&gt;=60,"D",IF(P47&gt;=50,"E",IF(P47&gt;=0,"F","")))))))</f>
        <v/>
      </c>
      <c r="AG47" s="24" t="str">
        <f t="shared" ref="AG47:AG78" si="101">IF(Q47="","",IF(Q47&gt;=90,"A",IF(Q47&gt;=80,"B",IF(Q47&gt;=70,"C",IF(Q47&gt;=60,"D",IF(Q47&gt;=50,"E",IF(Q47&gt;=0,"F","")))))))</f>
        <v/>
      </c>
      <c r="AH47" s="24" t="str">
        <f t="shared" ref="AH47:AH78" si="102">IF(R47="","",IF(R47&gt;=90,"A",IF(R47&gt;=80,"B",IF(R47&gt;=70,"C",IF(R47&gt;=60,"D",IF(R47&gt;=50,"E",IF(R47&gt;=0,"F","")))))))</f>
        <v/>
      </c>
      <c r="AI47" s="24" t="str">
        <f t="shared" ref="AI47:AI78" si="103">IF(S47="","",IF(S47&gt;=90,"A",IF(S47&gt;=80,"B",IF(S47&gt;=70,"C",IF(S47&gt;=60,"D",IF(S47&gt;=50,"E",IF(S47&gt;=0,"F","")))))))</f>
        <v/>
      </c>
      <c r="AJ47" s="24" t="str">
        <f t="shared" ref="AJ47:AJ78" si="104">IF(T47="","",IF(T47&gt;=90,"A",IF(T47&gt;=80,"B",IF(T47&gt;=70,"C",IF(T47&gt;=60,"D",IF(T47&gt;=50,"E",IF(T47&gt;=0,"F","")))))))</f>
        <v/>
      </c>
      <c r="AK47" s="24" t="str">
        <f t="shared" ref="AK47:AK78" si="105">IF(U47="","",IF(U47&gt;=90,"A",IF(U47&gt;=80,"B",IF(U47&gt;=70,"C",IF(U47&gt;=60,"D",IF(U47&gt;=50,"E",IF(U47&gt;=0,"F","")))))))</f>
        <v/>
      </c>
      <c r="AL47" s="24" t="str">
        <f t="shared" ref="AL47:AL78" si="106">IF(V47="","",IF(V47&gt;=90,"A",IF(V47&gt;=80,"B",IF(V47&gt;=70,"C",IF(V47&gt;=60,"D",IF(V47&gt;=50,"E",IF(V47&gt;=0,"F","")))))))</f>
        <v/>
      </c>
      <c r="AM47" s="24" t="str">
        <f t="shared" ref="AM47:AM78" si="107">IF(G47="","",$AM$14)</f>
        <v/>
      </c>
      <c r="AN47" s="24" t="str">
        <f t="shared" ref="AN47:AN78" si="108">IF(H47="","",$AN$14)</f>
        <v/>
      </c>
      <c r="AO47" s="24" t="str">
        <f t="shared" ref="AO47:AO78" si="109">IF(I47="","",$AO$14)</f>
        <v/>
      </c>
      <c r="AP47" s="24" t="str">
        <f t="shared" ref="AP47:AP78" si="110">IF(J47="","",$AP$14)</f>
        <v/>
      </c>
      <c r="AQ47" s="24" t="str">
        <f t="shared" ref="AQ47:AQ78" si="111">IF(K47="","",$AQ$14)</f>
        <v/>
      </c>
      <c r="AR47" s="24" t="str">
        <f t="shared" ref="AR47:AR78" si="112">IF(L47="","",$AR$14)</f>
        <v/>
      </c>
      <c r="AS47" s="24" t="str">
        <f t="shared" ref="AS47:AS78" si="113">IF(M47="","",$AS$14)</f>
        <v/>
      </c>
      <c r="AT47" s="24" t="str">
        <f t="shared" ref="AT47:AT78" si="114">IF(N47="","",$AT$14)</f>
        <v/>
      </c>
      <c r="AU47" s="24" t="str">
        <f t="shared" ref="AU47:AU78" si="115">IF(O47="","",$AU$14)</f>
        <v/>
      </c>
      <c r="AV47" s="24" t="str">
        <f t="shared" ref="AV47:AV78" si="116">IF(P47="","",$AV$14)</f>
        <v/>
      </c>
      <c r="AW47" s="24" t="str">
        <f t="shared" ref="AW47:AW78" si="117">IF(Q47="","",$AW$14)</f>
        <v/>
      </c>
      <c r="AX47" s="24" t="str">
        <f t="shared" ref="AX47:AX78" si="118">IF(R47="","",$AX$14)</f>
        <v/>
      </c>
      <c r="AY47" s="24" t="str">
        <f t="shared" ref="AY47:AY78" si="119">IF(S47="","",$AY$14)</f>
        <v/>
      </c>
      <c r="AZ47" s="24" t="str">
        <f t="shared" ref="AZ47:AZ78" si="120">IF(T47="","",$AZ$14)</f>
        <v/>
      </c>
      <c r="BA47" s="24" t="str">
        <f t="shared" ref="BA47:BA78" si="121">IF(U47="","",$BA$14)</f>
        <v/>
      </c>
      <c r="BB47" s="24" t="str">
        <f t="shared" ref="BB47:BB78" si="122">IF(V47="","",$BB$14)</f>
        <v/>
      </c>
      <c r="BC47" s="26" t="str">
        <f t="shared" ref="BC47:BC78" si="123">IF(OR(G47="",AM47=""),"",PRODUCT(G47,AM47))</f>
        <v/>
      </c>
      <c r="BD47" s="26" t="str">
        <f t="shared" ref="BD47:BD78" si="124">IF(OR(H47="",AN47=""),"",PRODUCT(H47,AN47))</f>
        <v/>
      </c>
      <c r="BE47" s="26" t="str">
        <f t="shared" ref="BE47:BE78" si="125">IF(OR(I47="",AO47=""),"",PRODUCT(I47,AO47))</f>
        <v/>
      </c>
      <c r="BF47" s="26" t="str">
        <f t="shared" ref="BF47:BF78" si="126">IF(OR(J47="",AP47=""),"",PRODUCT(J47,AP47))</f>
        <v/>
      </c>
      <c r="BG47" s="26" t="str">
        <f t="shared" ref="BG47:BG78" si="127">IF(OR(K47="",AQ47=""),"",PRODUCT(K47,AQ47))</f>
        <v/>
      </c>
      <c r="BH47" s="26" t="str">
        <f t="shared" ref="BH47:BH78" si="128">IF(OR(L47="",AR47=""),"",PRODUCT(L47,AR47))</f>
        <v/>
      </c>
      <c r="BI47" s="26" t="str">
        <f t="shared" ref="BI47:BI78" si="129">IF(OR(M47="",AS47=""),"",PRODUCT(M47,AS47))</f>
        <v/>
      </c>
      <c r="BJ47" s="26" t="str">
        <f t="shared" ref="BJ47:BJ78" si="130">IF(OR(N47="",AT47=""),"",PRODUCT(N47,AT47))</f>
        <v/>
      </c>
      <c r="BK47" s="26" t="str">
        <f t="shared" ref="BK47:BK78" si="131">IF(OR(O47="",AU47=""),"",PRODUCT(O47,AU47))</f>
        <v/>
      </c>
      <c r="BL47" s="26" t="str">
        <f t="shared" ref="BL47:BL78" si="132">IF(OR(P47="",AV47=""),"",PRODUCT(P47,AV47))</f>
        <v/>
      </c>
      <c r="BM47" s="26" t="str">
        <f t="shared" ref="BM47:BM78" si="133">IF(OR(Q47="",AW47=""),"",PRODUCT(Q47,AW47))</f>
        <v/>
      </c>
      <c r="BN47" s="26" t="str">
        <f t="shared" ref="BN47:BN78" si="134">IF(OR(R47="",AX47=""),"",PRODUCT(R47,AX47))</f>
        <v/>
      </c>
      <c r="BO47" s="26" t="str">
        <f t="shared" ref="BO47:BO78" si="135">IF(OR(S47="",AY47=""),"",PRODUCT(S47,AY47))</f>
        <v/>
      </c>
      <c r="BP47" s="26" t="str">
        <f t="shared" ref="BP47:BP78" si="136">IF(OR(T47="",AZ47=""),"",PRODUCT(T47,AZ47))</f>
        <v/>
      </c>
      <c r="BQ47" s="26" t="str">
        <f t="shared" ref="BQ47:BQ78" si="137">IF(OR(U47="",BA47=""),"",PRODUCT(U47,BA47))</f>
        <v/>
      </c>
      <c r="BR47" s="26" t="str">
        <f t="shared" ref="BR47:BR78" si="138">IF(OR(V47="",BB47=""),"",PRODUCT(V47,BB47))</f>
        <v/>
      </c>
      <c r="BS47" s="24" t="str">
        <f t="shared" ref="BS47:BS78" si="139">IF(OR(AM47="",W47=""),"",AM47*(IF(OR(W47="A",W47="a"),4,(IF(OR(W553="B",W47="b"),3,(IF(OR(W47="C",W47="c"),2,(IF(OR(W47="D",W47="d"),1.5,(IF(OR(W47="E",W47="e"),1,(IF(OR(W47="F",W47="f"),0)))))))))))))</f>
        <v/>
      </c>
      <c r="BT47" s="24" t="str">
        <f t="shared" ref="BT47:BT78" si="140">IF(OR(AN47="",X47=""),"",AN47*(IF(OR(X47="A",X47="a"),4,(IF(OR(X553="B",X47="b"),3,(IF(OR(X47="C",X47="c"),2,(IF(OR(X47="D",X47="d"),1.5,(IF(OR(X47="E",X47="e"),1,(IF(OR(X47="F",X47="f"),0)))))))))))))</f>
        <v/>
      </c>
      <c r="BU47" s="24" t="str">
        <f t="shared" ref="BU47:BU78" si="141">IF(OR(AO47="",Y47=""),"",AO47*(IF(OR(Y47="A",Y47="a"),4,(IF(OR(Y553="B",Y47="b"),3,(IF(OR(Y47="C",Y47="c"),2,(IF(OR(Y47="D",Y47="d"),1.5,(IF(OR(Y47="E",Y47="e"),1,(IF(OR(Y47="F",Y47="f"),0)))))))))))))</f>
        <v/>
      </c>
      <c r="BV47" s="24" t="str">
        <f t="shared" ref="BV47:BV78" si="142">IF(OR(AP47="",Z47=""),"",AP47*(IF(OR(Z47="A",Z47="a"),4,(IF(OR(Z553="B",Z47="b"),3,(IF(OR(Z47="C",Z47="c"),2,(IF(OR(Z47="D",Z47="d"),1.5,(IF(OR(Z47="E",Z47="e"),1,(IF(OR(Z47="F",Z47="f"),0)))))))))))))</f>
        <v/>
      </c>
      <c r="BW47" s="24" t="str">
        <f t="shared" ref="BW47:BW78" si="143">IF(OR(AQ47="",AA47=""),"",AQ47*(IF(OR(AA47="A",AA47="a"),4,(IF(OR(AA553="B",AA47="b"),3,(IF(OR(AA47="C",AA47="c"),2,(IF(OR(AA47="D",AA47="d"),1.5,(IF(OR(AA47="E",AA47="e"),1,(IF(OR(AA47="F",AA47="f"),0)))))))))))))</f>
        <v/>
      </c>
      <c r="BX47" s="24" t="str">
        <f t="shared" ref="BX47:BX78" si="144">IF(OR(AR47="",AB47=""),"",AR47*(IF(OR(AB47="A",AB47="a"),4,(IF(OR(AE553="B",AB47="b"),3,(IF(OR(AB47="C",AB47="c"),2,(IF(OR(AB47="D",AB47="d"),1.5,(IF(OR(AB47="E",AB47="e"),1,(IF(OR(AB47="F",AB47="f"),0)))))))))))))</f>
        <v/>
      </c>
      <c r="BY47" s="24" t="str">
        <f t="shared" ref="BY47:BY78" si="145">IF(OR(AS47="",AC47=""),"",AS47*(IF(OR(AC47="A",AC47="a"),4,(IF(OR(AM553="B",AC47="b"),3,(IF(OR(AC47="C",AC47="c"),2,(IF(OR(AC47="D",AC47="d"),1.5,(IF(OR(AC47="E",AC47="e"),1,(IF(OR(AC47="F",AC47="f"),0)))))))))))))</f>
        <v/>
      </c>
      <c r="BZ47" s="24" t="str">
        <f t="shared" ref="BZ47:BZ78" si="146">IF(OR(AT47="",AD47=""),"",AT47*(IF(OR(AD47="A",AD47="a"),4,(IF(OR(AN553="B",AD47="b"),3,(IF(OR(AD47="C",AD47="c"),2,(IF(OR(AD47="D",AD47="d"),1.5,(IF(OR(AD47="E",AD47="e"),1,(IF(OR(AD47="F",AD47="f"),0)))))))))))))</f>
        <v/>
      </c>
      <c r="CA47" s="24" t="str">
        <f t="shared" ref="CA47:CA78" si="147">IF(OR(AU47="",AE47=""),"",AU47*(IF(OR(AE47="A",AE47="a"),4,(IF(OR(AE553="B",AE47="b"),3,(IF(OR(AE47="C",AE47="c"),2,(IF(OR(AE47="D",AE47="d"),1.5,(IF(OR(AE47="E",AE47="e"),1,(IF(OR(AE47="F",AE47="f"),0)))))))))))))</f>
        <v/>
      </c>
      <c r="CB47" s="24" t="str">
        <f t="shared" ref="CB47:CB73" si="148">IF(OR(AV47="",AF47=""),"",AV47*(IF(OR(AF47="A",AF47="a"),4,(IF(OR(AF556="B",AF47="b"),3,(IF(OR(AF47="C",AF47="c"),2,(IF(OR(AF47="D",AF47="d"),1.5,(IF(OR(AF47="E",AF47="e"),1,(IF(OR(AF47="F",AF47="f"),0)))))))))))))</f>
        <v/>
      </c>
      <c r="CC47" s="24" t="str">
        <f t="shared" ref="CC47:CC78" si="149">IF(OR(AW47="",AG47=""),"",AW47*(IF(OR(AG47="A",AG47="a"),4,(IF(OR(AG556="B",AG47="b"),3,(IF(OR(AG47="C",AG47="c"),2,(IF(OR(AG47="D",AG47="d"),1.5,(IF(OR(AG47="E",AG47="e"),1,(IF(OR(AG47="F",AG47="f"),0)))))))))))))</f>
        <v/>
      </c>
      <c r="CD47" s="24" t="str">
        <f t="shared" ref="CD47:CD78" si="150">IF(OR(AX47="",AH47=""),"",AX47*(IF(OR(AH47="A",AH47="a"),4,(IF(OR(AH556="B",AH47="b"),3,(IF(OR(AH47="C",AH47="c"),2,(IF(OR(AH47="D",AH47="d"),1.5,(IF(OR(AH47="E",AH47="e"),1,(IF(OR(AH47="F",AH47="f"),0)))))))))))))</f>
        <v/>
      </c>
      <c r="CE47" s="24" t="str">
        <f t="shared" ref="CE47:CE73" si="151">IF(OR(AY47="",AI47=""),"",AY47*(IF(OR(AI47="A",AI47="a"),4,(IF(OR(AI556="B",AI47="b"),3,(IF(OR(AI47="C",AI47="c"),2,(IF(OR(AI47="D",AI47="d"),1.5,(IF(OR(AI47="E",AI47="e"),1,(IF(OR(AI47="F",AI47="f"),0)))))))))))))</f>
        <v/>
      </c>
      <c r="CF47" s="24" t="str">
        <f t="shared" ref="CF47:CF73" si="152">IF(OR(AZ47="",AJ47=""),"",AZ47*(IF(OR(AJ47="A",AJ47="a"),4,(IF(OR(AJ556="B",AJ47="b"),3,(IF(OR(AJ47="C",AJ47="c"),2,(IF(OR(AJ47="D",AJ47="d"),1.5,(IF(OR(AJ47="E",AJ47="e"),1,(IF(OR(AJ47="F",AJ47="f"),0)))))))))))))</f>
        <v/>
      </c>
      <c r="CG47" s="24" t="str">
        <f t="shared" ref="CG47:CG78" si="153">IF(OR(BA47="",AK47=""),"",BA47*(IF(OR(AK47="A",AK47="a"),4,(IF(OR(AK556="B",AK47="b"),3,(IF(OR(AK47="C",AK47="c"),2,(IF(OR(AK47="D",AK47="d"),1.5,(IF(OR(AK47="E",AK47="e"),1,(IF(OR(AK47="F",AK47="f"),0)))))))))))))</f>
        <v/>
      </c>
      <c r="CH47" s="24" t="str">
        <f t="shared" ref="CH47:CH78" si="154">IF(OR(BB47="",AL47=""),"",BB47*(IF(OR(AL47="A",AL47="a"),4,(IF(OR(AL556="B",AL47="b"),3,(IF(OR(AL47="C",AL47="c"),2,(IF(OR(AL47="D",AL47="d"),1.5,(IF(OR(AL47="E",AL47="e"),1,(IF(OR(AL47="F",AL47="f"),0)))))))))))))</f>
        <v/>
      </c>
      <c r="CI47" s="24" t="str">
        <f t="shared" ref="CI47:CI78" si="155">IF(B47="","",SUM(AM47:AU47))</f>
        <v/>
      </c>
      <c r="CJ47" s="26" t="str">
        <f t="shared" ref="CJ47:CJ78" si="156">IF(OR(B47="",F47="I",F47="II",F47="M",F47="A"),"",IF(OR(B47="",G47=""),"",SUM(BC47:BK47)))</f>
        <v/>
      </c>
      <c r="CK47" s="26" t="str">
        <f t="shared" ref="CK47:CK78" si="157">IF(B47="","",SUM(BS47:CA47))</f>
        <v/>
      </c>
      <c r="CL47" s="26" t="str">
        <f t="shared" si="83"/>
        <v/>
      </c>
      <c r="CM47" s="24" t="str">
        <f t="shared" si="84"/>
        <v/>
      </c>
      <c r="CN47" s="26" t="str">
        <f t="shared" ref="CN47:CN78" si="158">IF(B47="","",CK47/CI47)</f>
        <v/>
      </c>
      <c r="CO47" s="24" t="str">
        <f t="shared" ref="CO47:CO78" si="159">IF(B47="","",SUM(AV47:BB47))</f>
        <v/>
      </c>
      <c r="CP47" s="26" t="str">
        <f t="shared" ref="CP47:CP78" si="160">IF(B47="","",SUM(BL47:BR47))</f>
        <v/>
      </c>
      <c r="CQ47" s="26" t="str">
        <f t="shared" ref="CQ47:CQ78" si="161">IF(B47="","",SUM(CB47:CH47))</f>
        <v/>
      </c>
      <c r="CR47" s="26" t="str">
        <f t="shared" si="85"/>
        <v/>
      </c>
      <c r="CS47" s="24" t="str">
        <f t="shared" si="86"/>
        <v/>
      </c>
      <c r="CT47" s="27" t="str">
        <f t="shared" ref="CT47:CT78" si="162">IF(B47="","",CQ47/CO47)</f>
        <v/>
      </c>
      <c r="CU47" s="24" t="str">
        <f t="shared" ref="CU47:CU78" si="163">IF(SUM(AM47:BB47)=0,"",IF(OR(B47="",F47="I",F47="II",F47="M",F47="A"),(SUM(AM47:BB47)),IF(OR(B47="",F47="III"),(SUM(CI47,CO47)))))</f>
        <v/>
      </c>
      <c r="CV47" s="26" t="str">
        <f t="shared" ref="CV47:CV78" si="164">IF(SUM(AM47:BB47)=0,"",IF(OR(B47="",F47="I",F47="II",F47="M",F47="A"),(SUM(BC47:BR47)),IF(OR(B47="",F47="III"),(SUM(CJ47,CP47)))))</f>
        <v/>
      </c>
      <c r="CW47" s="26" t="str">
        <f t="shared" ref="CW47:CW78" si="165">IF(SUM(AM47:BB47)=0,"",IF(OR(B47="",F47="I",F47="II",F47="M",F47="A"),(SUM(BS47:CH47)),IF(OR(B47="",F47="III"),(SUM(CQ47,CK47)))))</f>
        <v/>
      </c>
      <c r="CX47" s="26" t="str">
        <f t="shared" si="87"/>
        <v/>
      </c>
      <c r="CY47" s="27" t="str">
        <f t="shared" si="88"/>
        <v/>
      </c>
      <c r="CZ47" s="26" t="str">
        <f t="shared" ref="CZ47:CZ78" si="166">IF(B47="","",CW47/CU47)</f>
        <v/>
      </c>
      <c r="DA47" s="24" t="str">
        <f t="shared" ref="DA47:DA78" si="167">IF(OR(B47="",CX47=""),"",RANK(CX47,$CX$15:$CX$97))</f>
        <v/>
      </c>
      <c r="DB47" s="24" t="str">
        <f t="shared" ref="DB47:DB78" si="168">IF(B47="","",$C$9)</f>
        <v/>
      </c>
      <c r="DC47" s="24" t="str">
        <f t="shared" ref="DC47:DC78" si="169">IF(B47="","",COUNTA($B$15:$B$100))</f>
        <v/>
      </c>
      <c r="DD47" s="24" t="str">
        <f t="shared" ref="DD47:DD78" si="170">IF(B47="","",$C$8)</f>
        <v/>
      </c>
      <c r="DE47" s="1">
        <v>0</v>
      </c>
      <c r="DF47" s="1">
        <v>0</v>
      </c>
      <c r="DG47" s="1">
        <v>0</v>
      </c>
      <c r="DH47" s="24" t="str">
        <f t="shared" ref="DH47:DH78" si="171">IF(B47="","",DF47+DG47)</f>
        <v/>
      </c>
      <c r="DI47" s="25" t="str">
        <f t="shared" ref="DI47:DI78" si="172">IF(B47="","",(DD47-DH47)/DD47)</f>
        <v/>
      </c>
      <c r="DJ47" t="str">
        <f t="shared" si="90"/>
        <v/>
      </c>
      <c r="DK47" s="9"/>
      <c r="DL47" s="9"/>
      <c r="DM47" s="9"/>
      <c r="DN47" s="9"/>
      <c r="DO47" s="9"/>
      <c r="DP47" s="9"/>
      <c r="DQ47" s="136" t="b">
        <f t="shared" ref="DQ47:DQ78" si="173">EXACT(B47,DK47)</f>
        <v>1</v>
      </c>
    </row>
    <row r="48" spans="1:121" ht="27" customHeight="1" x14ac:dyDescent="1.25">
      <c r="A48" s="24" t="str">
        <f t="shared" si="89"/>
        <v/>
      </c>
      <c r="B48" s="69"/>
      <c r="C48" s="70"/>
      <c r="D48" s="69"/>
      <c r="E48" s="69"/>
      <c r="F48" s="69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3" t="str">
        <f t="shared" si="91"/>
        <v/>
      </c>
      <c r="X48" s="3" t="str">
        <f t="shared" si="92"/>
        <v/>
      </c>
      <c r="Y48" s="3" t="str">
        <f t="shared" si="93"/>
        <v/>
      </c>
      <c r="Z48" s="3" t="str">
        <f t="shared" si="94"/>
        <v/>
      </c>
      <c r="AA48" s="3" t="str">
        <f t="shared" si="95"/>
        <v/>
      </c>
      <c r="AB48" s="3" t="str">
        <f t="shared" si="96"/>
        <v/>
      </c>
      <c r="AC48" s="3" t="str">
        <f t="shared" si="97"/>
        <v/>
      </c>
      <c r="AD48" s="3" t="str">
        <f t="shared" si="98"/>
        <v/>
      </c>
      <c r="AE48" s="3" t="str">
        <f t="shared" si="99"/>
        <v/>
      </c>
      <c r="AF48" s="24" t="str">
        <f t="shared" si="100"/>
        <v/>
      </c>
      <c r="AG48" s="24" t="str">
        <f t="shared" si="101"/>
        <v/>
      </c>
      <c r="AH48" s="24" t="str">
        <f t="shared" si="102"/>
        <v/>
      </c>
      <c r="AI48" s="24" t="str">
        <f t="shared" si="103"/>
        <v/>
      </c>
      <c r="AJ48" s="24" t="str">
        <f t="shared" si="104"/>
        <v/>
      </c>
      <c r="AK48" s="24" t="str">
        <f t="shared" si="105"/>
        <v/>
      </c>
      <c r="AL48" s="24" t="str">
        <f t="shared" si="106"/>
        <v/>
      </c>
      <c r="AM48" s="24" t="str">
        <f t="shared" si="107"/>
        <v/>
      </c>
      <c r="AN48" s="24" t="str">
        <f t="shared" si="108"/>
        <v/>
      </c>
      <c r="AO48" s="24" t="str">
        <f t="shared" si="109"/>
        <v/>
      </c>
      <c r="AP48" s="24" t="str">
        <f t="shared" si="110"/>
        <v/>
      </c>
      <c r="AQ48" s="24" t="str">
        <f t="shared" si="111"/>
        <v/>
      </c>
      <c r="AR48" s="24" t="str">
        <f t="shared" si="112"/>
        <v/>
      </c>
      <c r="AS48" s="24" t="str">
        <f t="shared" si="113"/>
        <v/>
      </c>
      <c r="AT48" s="24" t="str">
        <f t="shared" si="114"/>
        <v/>
      </c>
      <c r="AU48" s="24" t="str">
        <f t="shared" si="115"/>
        <v/>
      </c>
      <c r="AV48" s="24" t="str">
        <f t="shared" si="116"/>
        <v/>
      </c>
      <c r="AW48" s="24" t="str">
        <f t="shared" si="117"/>
        <v/>
      </c>
      <c r="AX48" s="24" t="str">
        <f t="shared" si="118"/>
        <v/>
      </c>
      <c r="AY48" s="24" t="str">
        <f t="shared" si="119"/>
        <v/>
      </c>
      <c r="AZ48" s="24" t="str">
        <f t="shared" si="120"/>
        <v/>
      </c>
      <c r="BA48" s="24" t="str">
        <f t="shared" si="121"/>
        <v/>
      </c>
      <c r="BB48" s="24" t="str">
        <f t="shared" si="122"/>
        <v/>
      </c>
      <c r="BC48" s="26" t="str">
        <f t="shared" si="123"/>
        <v/>
      </c>
      <c r="BD48" s="26" t="str">
        <f t="shared" si="124"/>
        <v/>
      </c>
      <c r="BE48" s="26" t="str">
        <f t="shared" si="125"/>
        <v/>
      </c>
      <c r="BF48" s="26" t="str">
        <f t="shared" si="126"/>
        <v/>
      </c>
      <c r="BG48" s="26" t="str">
        <f t="shared" si="127"/>
        <v/>
      </c>
      <c r="BH48" s="26" t="str">
        <f t="shared" si="128"/>
        <v/>
      </c>
      <c r="BI48" s="26" t="str">
        <f t="shared" si="129"/>
        <v/>
      </c>
      <c r="BJ48" s="26" t="str">
        <f t="shared" si="130"/>
        <v/>
      </c>
      <c r="BK48" s="26" t="str">
        <f t="shared" si="131"/>
        <v/>
      </c>
      <c r="BL48" s="26" t="str">
        <f t="shared" si="132"/>
        <v/>
      </c>
      <c r="BM48" s="26" t="str">
        <f t="shared" si="133"/>
        <v/>
      </c>
      <c r="BN48" s="26" t="str">
        <f t="shared" si="134"/>
        <v/>
      </c>
      <c r="BO48" s="26" t="str">
        <f t="shared" si="135"/>
        <v/>
      </c>
      <c r="BP48" s="26" t="str">
        <f t="shared" si="136"/>
        <v/>
      </c>
      <c r="BQ48" s="26" t="str">
        <f t="shared" si="137"/>
        <v/>
      </c>
      <c r="BR48" s="26" t="str">
        <f t="shared" si="138"/>
        <v/>
      </c>
      <c r="BS48" s="24" t="str">
        <f t="shared" si="139"/>
        <v/>
      </c>
      <c r="BT48" s="24" t="str">
        <f t="shared" si="140"/>
        <v/>
      </c>
      <c r="BU48" s="24" t="str">
        <f t="shared" si="141"/>
        <v/>
      </c>
      <c r="BV48" s="24" t="str">
        <f t="shared" si="142"/>
        <v/>
      </c>
      <c r="BW48" s="24" t="str">
        <f t="shared" si="143"/>
        <v/>
      </c>
      <c r="BX48" s="24" t="str">
        <f t="shared" si="144"/>
        <v/>
      </c>
      <c r="BY48" s="24" t="str">
        <f t="shared" si="145"/>
        <v/>
      </c>
      <c r="BZ48" s="24" t="str">
        <f t="shared" si="146"/>
        <v/>
      </c>
      <c r="CA48" s="24" t="str">
        <f t="shared" si="147"/>
        <v/>
      </c>
      <c r="CB48" s="24" t="str">
        <f t="shared" si="148"/>
        <v/>
      </c>
      <c r="CC48" s="24" t="str">
        <f t="shared" si="149"/>
        <v/>
      </c>
      <c r="CD48" s="24" t="str">
        <f t="shared" si="150"/>
        <v/>
      </c>
      <c r="CE48" s="24" t="str">
        <f t="shared" si="151"/>
        <v/>
      </c>
      <c r="CF48" s="24" t="str">
        <f t="shared" si="152"/>
        <v/>
      </c>
      <c r="CG48" s="24" t="str">
        <f t="shared" si="153"/>
        <v/>
      </c>
      <c r="CH48" s="24" t="str">
        <f t="shared" si="154"/>
        <v/>
      </c>
      <c r="CI48" s="24" t="str">
        <f t="shared" si="155"/>
        <v/>
      </c>
      <c r="CJ48" s="26" t="str">
        <f t="shared" si="156"/>
        <v/>
      </c>
      <c r="CK48" s="26" t="str">
        <f t="shared" si="157"/>
        <v/>
      </c>
      <c r="CL48" s="26" t="str">
        <f t="shared" si="83"/>
        <v/>
      </c>
      <c r="CM48" s="24" t="str">
        <f t="shared" si="84"/>
        <v/>
      </c>
      <c r="CN48" s="26" t="str">
        <f t="shared" si="158"/>
        <v/>
      </c>
      <c r="CO48" s="24" t="str">
        <f t="shared" si="159"/>
        <v/>
      </c>
      <c r="CP48" s="26" t="str">
        <f t="shared" si="160"/>
        <v/>
      </c>
      <c r="CQ48" s="26" t="str">
        <f t="shared" si="161"/>
        <v/>
      </c>
      <c r="CR48" s="26" t="str">
        <f t="shared" si="85"/>
        <v/>
      </c>
      <c r="CS48" s="24" t="str">
        <f t="shared" si="86"/>
        <v/>
      </c>
      <c r="CT48" s="27" t="str">
        <f t="shared" si="162"/>
        <v/>
      </c>
      <c r="CU48" s="24" t="str">
        <f t="shared" si="163"/>
        <v/>
      </c>
      <c r="CV48" s="26" t="str">
        <f t="shared" si="164"/>
        <v/>
      </c>
      <c r="CW48" s="26" t="str">
        <f t="shared" si="165"/>
        <v/>
      </c>
      <c r="CX48" s="26" t="str">
        <f t="shared" si="87"/>
        <v/>
      </c>
      <c r="CY48" s="27" t="str">
        <f t="shared" si="88"/>
        <v/>
      </c>
      <c r="CZ48" s="26" t="str">
        <f t="shared" si="166"/>
        <v/>
      </c>
      <c r="DA48" s="24" t="str">
        <f t="shared" si="167"/>
        <v/>
      </c>
      <c r="DB48" s="24" t="str">
        <f t="shared" si="168"/>
        <v/>
      </c>
      <c r="DC48" s="24" t="str">
        <f t="shared" si="169"/>
        <v/>
      </c>
      <c r="DD48" s="24" t="str">
        <f t="shared" si="170"/>
        <v/>
      </c>
      <c r="DE48" s="1">
        <v>0</v>
      </c>
      <c r="DF48" s="1">
        <v>0</v>
      </c>
      <c r="DG48" s="1">
        <v>0</v>
      </c>
      <c r="DH48" s="24" t="str">
        <f t="shared" si="171"/>
        <v/>
      </c>
      <c r="DI48" s="25" t="str">
        <f t="shared" si="172"/>
        <v/>
      </c>
      <c r="DJ48" t="str">
        <f t="shared" si="90"/>
        <v/>
      </c>
      <c r="DK48" s="9"/>
      <c r="DL48" s="9"/>
      <c r="DM48" s="9"/>
      <c r="DN48" s="9"/>
      <c r="DO48" s="9"/>
      <c r="DP48" s="9"/>
      <c r="DQ48" s="136" t="b">
        <f t="shared" si="173"/>
        <v>1</v>
      </c>
    </row>
    <row r="49" spans="1:121" ht="27" customHeight="1" x14ac:dyDescent="1.25">
      <c r="A49" s="24" t="str">
        <f t="shared" si="89"/>
        <v/>
      </c>
      <c r="B49" s="69"/>
      <c r="C49" s="70"/>
      <c r="D49" s="69"/>
      <c r="E49" s="69"/>
      <c r="F49" s="69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3" t="str">
        <f t="shared" si="91"/>
        <v/>
      </c>
      <c r="X49" s="3" t="str">
        <f t="shared" si="92"/>
        <v/>
      </c>
      <c r="Y49" s="3" t="str">
        <f t="shared" si="93"/>
        <v/>
      </c>
      <c r="Z49" s="3" t="str">
        <f t="shared" si="94"/>
        <v/>
      </c>
      <c r="AA49" s="3" t="str">
        <f t="shared" si="95"/>
        <v/>
      </c>
      <c r="AB49" s="3" t="str">
        <f t="shared" si="96"/>
        <v/>
      </c>
      <c r="AC49" s="3" t="str">
        <f t="shared" si="97"/>
        <v/>
      </c>
      <c r="AD49" s="3" t="str">
        <f t="shared" si="98"/>
        <v/>
      </c>
      <c r="AE49" s="3" t="str">
        <f t="shared" si="99"/>
        <v/>
      </c>
      <c r="AF49" s="24" t="str">
        <f t="shared" si="100"/>
        <v/>
      </c>
      <c r="AG49" s="24" t="str">
        <f t="shared" si="101"/>
        <v/>
      </c>
      <c r="AH49" s="24" t="str">
        <f t="shared" si="102"/>
        <v/>
      </c>
      <c r="AI49" s="24" t="str">
        <f t="shared" si="103"/>
        <v/>
      </c>
      <c r="AJ49" s="24" t="str">
        <f t="shared" si="104"/>
        <v/>
      </c>
      <c r="AK49" s="24" t="str">
        <f t="shared" si="105"/>
        <v/>
      </c>
      <c r="AL49" s="24" t="str">
        <f t="shared" si="106"/>
        <v/>
      </c>
      <c r="AM49" s="24" t="str">
        <f t="shared" si="107"/>
        <v/>
      </c>
      <c r="AN49" s="24" t="str">
        <f t="shared" si="108"/>
        <v/>
      </c>
      <c r="AO49" s="24" t="str">
        <f t="shared" si="109"/>
        <v/>
      </c>
      <c r="AP49" s="24" t="str">
        <f t="shared" si="110"/>
        <v/>
      </c>
      <c r="AQ49" s="24" t="str">
        <f t="shared" si="111"/>
        <v/>
      </c>
      <c r="AR49" s="24" t="str">
        <f t="shared" si="112"/>
        <v/>
      </c>
      <c r="AS49" s="24" t="str">
        <f t="shared" si="113"/>
        <v/>
      </c>
      <c r="AT49" s="24" t="str">
        <f t="shared" si="114"/>
        <v/>
      </c>
      <c r="AU49" s="24" t="str">
        <f t="shared" si="115"/>
        <v/>
      </c>
      <c r="AV49" s="24" t="str">
        <f t="shared" si="116"/>
        <v/>
      </c>
      <c r="AW49" s="24" t="str">
        <f t="shared" si="117"/>
        <v/>
      </c>
      <c r="AX49" s="24" t="str">
        <f t="shared" si="118"/>
        <v/>
      </c>
      <c r="AY49" s="24" t="str">
        <f t="shared" si="119"/>
        <v/>
      </c>
      <c r="AZ49" s="24" t="str">
        <f t="shared" si="120"/>
        <v/>
      </c>
      <c r="BA49" s="24" t="str">
        <f t="shared" si="121"/>
        <v/>
      </c>
      <c r="BB49" s="24" t="str">
        <f t="shared" si="122"/>
        <v/>
      </c>
      <c r="BC49" s="26" t="str">
        <f t="shared" si="123"/>
        <v/>
      </c>
      <c r="BD49" s="26" t="str">
        <f t="shared" si="124"/>
        <v/>
      </c>
      <c r="BE49" s="26" t="str">
        <f t="shared" si="125"/>
        <v/>
      </c>
      <c r="BF49" s="26" t="str">
        <f t="shared" si="126"/>
        <v/>
      </c>
      <c r="BG49" s="26" t="str">
        <f t="shared" si="127"/>
        <v/>
      </c>
      <c r="BH49" s="26" t="str">
        <f t="shared" si="128"/>
        <v/>
      </c>
      <c r="BI49" s="26" t="str">
        <f t="shared" si="129"/>
        <v/>
      </c>
      <c r="BJ49" s="26" t="str">
        <f t="shared" si="130"/>
        <v/>
      </c>
      <c r="BK49" s="26" t="str">
        <f t="shared" si="131"/>
        <v/>
      </c>
      <c r="BL49" s="26" t="str">
        <f t="shared" si="132"/>
        <v/>
      </c>
      <c r="BM49" s="26" t="str">
        <f t="shared" si="133"/>
        <v/>
      </c>
      <c r="BN49" s="26" t="str">
        <f t="shared" si="134"/>
        <v/>
      </c>
      <c r="BO49" s="26" t="str">
        <f t="shared" si="135"/>
        <v/>
      </c>
      <c r="BP49" s="26" t="str">
        <f t="shared" si="136"/>
        <v/>
      </c>
      <c r="BQ49" s="26" t="str">
        <f t="shared" si="137"/>
        <v/>
      </c>
      <c r="BR49" s="26" t="str">
        <f t="shared" si="138"/>
        <v/>
      </c>
      <c r="BS49" s="24" t="str">
        <f t="shared" si="139"/>
        <v/>
      </c>
      <c r="BT49" s="24" t="str">
        <f t="shared" si="140"/>
        <v/>
      </c>
      <c r="BU49" s="24" t="str">
        <f t="shared" si="141"/>
        <v/>
      </c>
      <c r="BV49" s="24" t="str">
        <f t="shared" si="142"/>
        <v/>
      </c>
      <c r="BW49" s="24" t="str">
        <f t="shared" si="143"/>
        <v/>
      </c>
      <c r="BX49" s="24" t="str">
        <f t="shared" si="144"/>
        <v/>
      </c>
      <c r="BY49" s="24" t="str">
        <f t="shared" si="145"/>
        <v/>
      </c>
      <c r="BZ49" s="24" t="str">
        <f t="shared" si="146"/>
        <v/>
      </c>
      <c r="CA49" s="24" t="str">
        <f t="shared" si="147"/>
        <v/>
      </c>
      <c r="CB49" s="24" t="str">
        <f t="shared" si="148"/>
        <v/>
      </c>
      <c r="CC49" s="24" t="str">
        <f t="shared" si="149"/>
        <v/>
      </c>
      <c r="CD49" s="24" t="str">
        <f t="shared" si="150"/>
        <v/>
      </c>
      <c r="CE49" s="24" t="str">
        <f t="shared" si="151"/>
        <v/>
      </c>
      <c r="CF49" s="24" t="str">
        <f t="shared" si="152"/>
        <v/>
      </c>
      <c r="CG49" s="24" t="str">
        <f t="shared" si="153"/>
        <v/>
      </c>
      <c r="CH49" s="24" t="str">
        <f t="shared" si="154"/>
        <v/>
      </c>
      <c r="CI49" s="24" t="str">
        <f t="shared" si="155"/>
        <v/>
      </c>
      <c r="CJ49" s="26" t="str">
        <f t="shared" si="156"/>
        <v/>
      </c>
      <c r="CK49" s="26" t="str">
        <f t="shared" si="157"/>
        <v/>
      </c>
      <c r="CL49" s="26" t="str">
        <f t="shared" si="83"/>
        <v/>
      </c>
      <c r="CM49" s="24" t="str">
        <f t="shared" si="84"/>
        <v/>
      </c>
      <c r="CN49" s="26" t="str">
        <f t="shared" si="158"/>
        <v/>
      </c>
      <c r="CO49" s="24" t="str">
        <f t="shared" si="159"/>
        <v/>
      </c>
      <c r="CP49" s="26" t="str">
        <f t="shared" si="160"/>
        <v/>
      </c>
      <c r="CQ49" s="26" t="str">
        <f t="shared" si="161"/>
        <v/>
      </c>
      <c r="CR49" s="26" t="str">
        <f t="shared" si="85"/>
        <v/>
      </c>
      <c r="CS49" s="24" t="str">
        <f t="shared" si="86"/>
        <v/>
      </c>
      <c r="CT49" s="27" t="str">
        <f t="shared" si="162"/>
        <v/>
      </c>
      <c r="CU49" s="24" t="str">
        <f t="shared" si="163"/>
        <v/>
      </c>
      <c r="CV49" s="26" t="str">
        <f t="shared" si="164"/>
        <v/>
      </c>
      <c r="CW49" s="26" t="str">
        <f t="shared" si="165"/>
        <v/>
      </c>
      <c r="CX49" s="26" t="str">
        <f t="shared" si="87"/>
        <v/>
      </c>
      <c r="CY49" s="27" t="str">
        <f t="shared" si="88"/>
        <v/>
      </c>
      <c r="CZ49" s="26" t="str">
        <f t="shared" si="166"/>
        <v/>
      </c>
      <c r="DA49" s="24" t="str">
        <f t="shared" si="167"/>
        <v/>
      </c>
      <c r="DB49" s="24" t="str">
        <f t="shared" si="168"/>
        <v/>
      </c>
      <c r="DC49" s="24" t="str">
        <f t="shared" si="169"/>
        <v/>
      </c>
      <c r="DD49" s="24" t="str">
        <f t="shared" si="170"/>
        <v/>
      </c>
      <c r="DE49" s="1">
        <v>0</v>
      </c>
      <c r="DF49" s="1">
        <v>0</v>
      </c>
      <c r="DG49" s="1">
        <v>0</v>
      </c>
      <c r="DH49" s="24" t="str">
        <f t="shared" si="171"/>
        <v/>
      </c>
      <c r="DI49" s="25" t="str">
        <f t="shared" si="172"/>
        <v/>
      </c>
      <c r="DJ49" t="str">
        <f t="shared" si="90"/>
        <v/>
      </c>
      <c r="DK49" s="9"/>
      <c r="DL49" s="9"/>
      <c r="DM49" s="9"/>
      <c r="DN49" s="9"/>
      <c r="DO49" s="9"/>
      <c r="DP49" s="9"/>
      <c r="DQ49" s="136" t="b">
        <f t="shared" si="173"/>
        <v>1</v>
      </c>
    </row>
    <row r="50" spans="1:121" ht="27" customHeight="1" x14ac:dyDescent="1.25">
      <c r="A50" s="24" t="str">
        <f t="shared" si="89"/>
        <v/>
      </c>
      <c r="B50" s="69"/>
      <c r="C50" s="70"/>
      <c r="D50" s="69"/>
      <c r="E50" s="69"/>
      <c r="F50" s="69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3" t="str">
        <f t="shared" si="91"/>
        <v/>
      </c>
      <c r="X50" s="3" t="str">
        <f t="shared" si="92"/>
        <v/>
      </c>
      <c r="Y50" s="3" t="str">
        <f t="shared" si="93"/>
        <v/>
      </c>
      <c r="Z50" s="3" t="str">
        <f t="shared" si="94"/>
        <v/>
      </c>
      <c r="AA50" s="3" t="str">
        <f t="shared" si="95"/>
        <v/>
      </c>
      <c r="AB50" s="3" t="str">
        <f t="shared" si="96"/>
        <v/>
      </c>
      <c r="AC50" s="3" t="str">
        <f t="shared" si="97"/>
        <v/>
      </c>
      <c r="AD50" s="3" t="str">
        <f t="shared" si="98"/>
        <v/>
      </c>
      <c r="AE50" s="3" t="str">
        <f t="shared" si="99"/>
        <v/>
      </c>
      <c r="AF50" s="24" t="str">
        <f t="shared" si="100"/>
        <v/>
      </c>
      <c r="AG50" s="24" t="str">
        <f t="shared" si="101"/>
        <v/>
      </c>
      <c r="AH50" s="24" t="str">
        <f t="shared" si="102"/>
        <v/>
      </c>
      <c r="AI50" s="24" t="str">
        <f t="shared" si="103"/>
        <v/>
      </c>
      <c r="AJ50" s="24" t="str">
        <f t="shared" si="104"/>
        <v/>
      </c>
      <c r="AK50" s="24" t="str">
        <f t="shared" si="105"/>
        <v/>
      </c>
      <c r="AL50" s="24" t="str">
        <f t="shared" si="106"/>
        <v/>
      </c>
      <c r="AM50" s="24" t="str">
        <f t="shared" si="107"/>
        <v/>
      </c>
      <c r="AN50" s="24" t="str">
        <f t="shared" si="108"/>
        <v/>
      </c>
      <c r="AO50" s="24" t="str">
        <f t="shared" si="109"/>
        <v/>
      </c>
      <c r="AP50" s="24" t="str">
        <f t="shared" si="110"/>
        <v/>
      </c>
      <c r="AQ50" s="24" t="str">
        <f t="shared" si="111"/>
        <v/>
      </c>
      <c r="AR50" s="24" t="str">
        <f t="shared" si="112"/>
        <v/>
      </c>
      <c r="AS50" s="24" t="str">
        <f t="shared" si="113"/>
        <v/>
      </c>
      <c r="AT50" s="24" t="str">
        <f t="shared" si="114"/>
        <v/>
      </c>
      <c r="AU50" s="24" t="str">
        <f t="shared" si="115"/>
        <v/>
      </c>
      <c r="AV50" s="24" t="str">
        <f t="shared" si="116"/>
        <v/>
      </c>
      <c r="AW50" s="24" t="str">
        <f t="shared" si="117"/>
        <v/>
      </c>
      <c r="AX50" s="24" t="str">
        <f t="shared" si="118"/>
        <v/>
      </c>
      <c r="AY50" s="24" t="str">
        <f t="shared" si="119"/>
        <v/>
      </c>
      <c r="AZ50" s="24" t="str">
        <f t="shared" si="120"/>
        <v/>
      </c>
      <c r="BA50" s="24" t="str">
        <f t="shared" si="121"/>
        <v/>
      </c>
      <c r="BB50" s="24" t="str">
        <f t="shared" si="122"/>
        <v/>
      </c>
      <c r="BC50" s="26" t="str">
        <f t="shared" si="123"/>
        <v/>
      </c>
      <c r="BD50" s="26" t="str">
        <f t="shared" si="124"/>
        <v/>
      </c>
      <c r="BE50" s="26" t="str">
        <f t="shared" si="125"/>
        <v/>
      </c>
      <c r="BF50" s="26" t="str">
        <f t="shared" si="126"/>
        <v/>
      </c>
      <c r="BG50" s="26" t="str">
        <f t="shared" si="127"/>
        <v/>
      </c>
      <c r="BH50" s="26" t="str">
        <f t="shared" si="128"/>
        <v/>
      </c>
      <c r="BI50" s="26" t="str">
        <f t="shared" si="129"/>
        <v/>
      </c>
      <c r="BJ50" s="26" t="str">
        <f t="shared" si="130"/>
        <v/>
      </c>
      <c r="BK50" s="26" t="str">
        <f t="shared" si="131"/>
        <v/>
      </c>
      <c r="BL50" s="26" t="str">
        <f t="shared" si="132"/>
        <v/>
      </c>
      <c r="BM50" s="26" t="str">
        <f t="shared" si="133"/>
        <v/>
      </c>
      <c r="BN50" s="26" t="str">
        <f t="shared" si="134"/>
        <v/>
      </c>
      <c r="BO50" s="26" t="str">
        <f t="shared" si="135"/>
        <v/>
      </c>
      <c r="BP50" s="26" t="str">
        <f t="shared" si="136"/>
        <v/>
      </c>
      <c r="BQ50" s="26" t="str">
        <f t="shared" si="137"/>
        <v/>
      </c>
      <c r="BR50" s="26" t="str">
        <f t="shared" si="138"/>
        <v/>
      </c>
      <c r="BS50" s="24" t="str">
        <f t="shared" si="139"/>
        <v/>
      </c>
      <c r="BT50" s="24" t="str">
        <f t="shared" si="140"/>
        <v/>
      </c>
      <c r="BU50" s="24" t="str">
        <f t="shared" si="141"/>
        <v/>
      </c>
      <c r="BV50" s="24" t="str">
        <f t="shared" si="142"/>
        <v/>
      </c>
      <c r="BW50" s="24" t="str">
        <f t="shared" si="143"/>
        <v/>
      </c>
      <c r="BX50" s="24" t="str">
        <f t="shared" si="144"/>
        <v/>
      </c>
      <c r="BY50" s="24" t="str">
        <f t="shared" si="145"/>
        <v/>
      </c>
      <c r="BZ50" s="24" t="str">
        <f t="shared" si="146"/>
        <v/>
      </c>
      <c r="CA50" s="24" t="str">
        <f t="shared" si="147"/>
        <v/>
      </c>
      <c r="CB50" s="24" t="str">
        <f t="shared" si="148"/>
        <v/>
      </c>
      <c r="CC50" s="24" t="str">
        <f t="shared" si="149"/>
        <v/>
      </c>
      <c r="CD50" s="24" t="str">
        <f t="shared" si="150"/>
        <v/>
      </c>
      <c r="CE50" s="24" t="str">
        <f t="shared" si="151"/>
        <v/>
      </c>
      <c r="CF50" s="24" t="str">
        <f t="shared" si="152"/>
        <v/>
      </c>
      <c r="CG50" s="24" t="str">
        <f t="shared" si="153"/>
        <v/>
      </c>
      <c r="CH50" s="24" t="str">
        <f t="shared" si="154"/>
        <v/>
      </c>
      <c r="CI50" s="24" t="str">
        <f t="shared" si="155"/>
        <v/>
      </c>
      <c r="CJ50" s="26" t="str">
        <f t="shared" si="156"/>
        <v/>
      </c>
      <c r="CK50" s="26" t="str">
        <f t="shared" si="157"/>
        <v/>
      </c>
      <c r="CL50" s="26" t="str">
        <f t="shared" si="83"/>
        <v/>
      </c>
      <c r="CM50" s="24" t="str">
        <f t="shared" si="84"/>
        <v/>
      </c>
      <c r="CN50" s="26" t="str">
        <f t="shared" si="158"/>
        <v/>
      </c>
      <c r="CO50" s="24" t="str">
        <f t="shared" si="159"/>
        <v/>
      </c>
      <c r="CP50" s="26" t="str">
        <f t="shared" si="160"/>
        <v/>
      </c>
      <c r="CQ50" s="26" t="str">
        <f t="shared" si="161"/>
        <v/>
      </c>
      <c r="CR50" s="26" t="str">
        <f t="shared" si="85"/>
        <v/>
      </c>
      <c r="CS50" s="24" t="str">
        <f t="shared" si="86"/>
        <v/>
      </c>
      <c r="CT50" s="27" t="str">
        <f t="shared" si="162"/>
        <v/>
      </c>
      <c r="CU50" s="24" t="str">
        <f t="shared" si="163"/>
        <v/>
      </c>
      <c r="CV50" s="26" t="str">
        <f t="shared" si="164"/>
        <v/>
      </c>
      <c r="CW50" s="26" t="str">
        <f t="shared" si="165"/>
        <v/>
      </c>
      <c r="CX50" s="26" t="str">
        <f t="shared" si="87"/>
        <v/>
      </c>
      <c r="CY50" s="27" t="str">
        <f t="shared" si="88"/>
        <v/>
      </c>
      <c r="CZ50" s="26" t="str">
        <f t="shared" si="166"/>
        <v/>
      </c>
      <c r="DA50" s="24" t="str">
        <f t="shared" si="167"/>
        <v/>
      </c>
      <c r="DB50" s="24" t="str">
        <f t="shared" si="168"/>
        <v/>
      </c>
      <c r="DC50" s="24" t="str">
        <f t="shared" si="169"/>
        <v/>
      </c>
      <c r="DD50" s="24" t="str">
        <f t="shared" si="170"/>
        <v/>
      </c>
      <c r="DE50" s="1">
        <v>0</v>
      </c>
      <c r="DF50" s="1">
        <v>0</v>
      </c>
      <c r="DG50" s="1">
        <v>0</v>
      </c>
      <c r="DH50" s="24" t="str">
        <f t="shared" si="171"/>
        <v/>
      </c>
      <c r="DI50" s="25" t="str">
        <f t="shared" si="172"/>
        <v/>
      </c>
      <c r="DJ50" t="str">
        <f t="shared" si="90"/>
        <v/>
      </c>
      <c r="DK50" s="9"/>
      <c r="DL50" s="9"/>
      <c r="DM50" s="9"/>
      <c r="DN50" s="9"/>
      <c r="DO50" s="9"/>
      <c r="DP50" s="9"/>
      <c r="DQ50" s="136" t="b">
        <f t="shared" si="173"/>
        <v>1</v>
      </c>
    </row>
    <row r="51" spans="1:121" ht="27" customHeight="1" x14ac:dyDescent="1.25">
      <c r="A51" s="24" t="str">
        <f t="shared" si="89"/>
        <v/>
      </c>
      <c r="B51" s="69"/>
      <c r="C51" s="70"/>
      <c r="D51" s="69"/>
      <c r="E51" s="69"/>
      <c r="F51" s="69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3" t="str">
        <f t="shared" si="91"/>
        <v/>
      </c>
      <c r="X51" s="3" t="str">
        <f t="shared" si="92"/>
        <v/>
      </c>
      <c r="Y51" s="3" t="str">
        <f t="shared" si="93"/>
        <v/>
      </c>
      <c r="Z51" s="3" t="str">
        <f t="shared" si="94"/>
        <v/>
      </c>
      <c r="AA51" s="3" t="str">
        <f t="shared" si="95"/>
        <v/>
      </c>
      <c r="AB51" s="3" t="str">
        <f t="shared" si="96"/>
        <v/>
      </c>
      <c r="AC51" s="3" t="str">
        <f t="shared" si="97"/>
        <v/>
      </c>
      <c r="AD51" s="3" t="str">
        <f t="shared" si="98"/>
        <v/>
      </c>
      <c r="AE51" s="3" t="str">
        <f t="shared" si="99"/>
        <v/>
      </c>
      <c r="AF51" s="24" t="str">
        <f t="shared" si="100"/>
        <v/>
      </c>
      <c r="AG51" s="24" t="str">
        <f t="shared" si="101"/>
        <v/>
      </c>
      <c r="AH51" s="24" t="str">
        <f t="shared" si="102"/>
        <v/>
      </c>
      <c r="AI51" s="24" t="str">
        <f t="shared" si="103"/>
        <v/>
      </c>
      <c r="AJ51" s="24" t="str">
        <f t="shared" si="104"/>
        <v/>
      </c>
      <c r="AK51" s="24" t="str">
        <f t="shared" si="105"/>
        <v/>
      </c>
      <c r="AL51" s="24" t="str">
        <f t="shared" si="106"/>
        <v/>
      </c>
      <c r="AM51" s="24" t="str">
        <f t="shared" si="107"/>
        <v/>
      </c>
      <c r="AN51" s="24" t="str">
        <f t="shared" si="108"/>
        <v/>
      </c>
      <c r="AO51" s="24" t="str">
        <f t="shared" si="109"/>
        <v/>
      </c>
      <c r="AP51" s="24" t="str">
        <f t="shared" si="110"/>
        <v/>
      </c>
      <c r="AQ51" s="24" t="str">
        <f t="shared" si="111"/>
        <v/>
      </c>
      <c r="AR51" s="24" t="str">
        <f t="shared" si="112"/>
        <v/>
      </c>
      <c r="AS51" s="24" t="str">
        <f t="shared" si="113"/>
        <v/>
      </c>
      <c r="AT51" s="24" t="str">
        <f t="shared" si="114"/>
        <v/>
      </c>
      <c r="AU51" s="24" t="str">
        <f t="shared" si="115"/>
        <v/>
      </c>
      <c r="AV51" s="24" t="str">
        <f t="shared" si="116"/>
        <v/>
      </c>
      <c r="AW51" s="24" t="str">
        <f t="shared" si="117"/>
        <v/>
      </c>
      <c r="AX51" s="24" t="str">
        <f t="shared" si="118"/>
        <v/>
      </c>
      <c r="AY51" s="24" t="str">
        <f t="shared" si="119"/>
        <v/>
      </c>
      <c r="AZ51" s="24" t="str">
        <f t="shared" si="120"/>
        <v/>
      </c>
      <c r="BA51" s="24" t="str">
        <f t="shared" si="121"/>
        <v/>
      </c>
      <c r="BB51" s="24" t="str">
        <f t="shared" si="122"/>
        <v/>
      </c>
      <c r="BC51" s="26" t="str">
        <f t="shared" si="123"/>
        <v/>
      </c>
      <c r="BD51" s="26" t="str">
        <f t="shared" si="124"/>
        <v/>
      </c>
      <c r="BE51" s="26" t="str">
        <f t="shared" si="125"/>
        <v/>
      </c>
      <c r="BF51" s="26" t="str">
        <f t="shared" si="126"/>
        <v/>
      </c>
      <c r="BG51" s="26" t="str">
        <f t="shared" si="127"/>
        <v/>
      </c>
      <c r="BH51" s="26" t="str">
        <f t="shared" si="128"/>
        <v/>
      </c>
      <c r="BI51" s="26" t="str">
        <f t="shared" si="129"/>
        <v/>
      </c>
      <c r="BJ51" s="26" t="str">
        <f t="shared" si="130"/>
        <v/>
      </c>
      <c r="BK51" s="26" t="str">
        <f t="shared" si="131"/>
        <v/>
      </c>
      <c r="BL51" s="26" t="str">
        <f t="shared" si="132"/>
        <v/>
      </c>
      <c r="BM51" s="26" t="str">
        <f t="shared" si="133"/>
        <v/>
      </c>
      <c r="BN51" s="26" t="str">
        <f t="shared" si="134"/>
        <v/>
      </c>
      <c r="BO51" s="26" t="str">
        <f t="shared" si="135"/>
        <v/>
      </c>
      <c r="BP51" s="26" t="str">
        <f t="shared" si="136"/>
        <v/>
      </c>
      <c r="BQ51" s="26" t="str">
        <f t="shared" si="137"/>
        <v/>
      </c>
      <c r="BR51" s="26" t="str">
        <f t="shared" si="138"/>
        <v/>
      </c>
      <c r="BS51" s="24" t="str">
        <f t="shared" si="139"/>
        <v/>
      </c>
      <c r="BT51" s="24" t="str">
        <f t="shared" si="140"/>
        <v/>
      </c>
      <c r="BU51" s="24" t="str">
        <f t="shared" si="141"/>
        <v/>
      </c>
      <c r="BV51" s="24" t="str">
        <f t="shared" si="142"/>
        <v/>
      </c>
      <c r="BW51" s="24" t="str">
        <f t="shared" si="143"/>
        <v/>
      </c>
      <c r="BX51" s="24" t="str">
        <f t="shared" si="144"/>
        <v/>
      </c>
      <c r="BY51" s="24" t="str">
        <f t="shared" si="145"/>
        <v/>
      </c>
      <c r="BZ51" s="24" t="str">
        <f t="shared" si="146"/>
        <v/>
      </c>
      <c r="CA51" s="24" t="str">
        <f t="shared" si="147"/>
        <v/>
      </c>
      <c r="CB51" s="24" t="str">
        <f t="shared" si="148"/>
        <v/>
      </c>
      <c r="CC51" s="24" t="str">
        <f t="shared" si="149"/>
        <v/>
      </c>
      <c r="CD51" s="24" t="str">
        <f t="shared" si="150"/>
        <v/>
      </c>
      <c r="CE51" s="24" t="str">
        <f t="shared" si="151"/>
        <v/>
      </c>
      <c r="CF51" s="24" t="str">
        <f t="shared" si="152"/>
        <v/>
      </c>
      <c r="CG51" s="24" t="str">
        <f t="shared" si="153"/>
        <v/>
      </c>
      <c r="CH51" s="24" t="str">
        <f t="shared" si="154"/>
        <v/>
      </c>
      <c r="CI51" s="24" t="str">
        <f t="shared" si="155"/>
        <v/>
      </c>
      <c r="CJ51" s="26" t="str">
        <f t="shared" si="156"/>
        <v/>
      </c>
      <c r="CK51" s="26" t="str">
        <f t="shared" si="157"/>
        <v/>
      </c>
      <c r="CL51" s="26" t="str">
        <f t="shared" si="83"/>
        <v/>
      </c>
      <c r="CM51" s="24" t="str">
        <f t="shared" si="84"/>
        <v/>
      </c>
      <c r="CN51" s="26" t="str">
        <f t="shared" si="158"/>
        <v/>
      </c>
      <c r="CO51" s="24" t="str">
        <f t="shared" si="159"/>
        <v/>
      </c>
      <c r="CP51" s="26" t="str">
        <f t="shared" si="160"/>
        <v/>
      </c>
      <c r="CQ51" s="26" t="str">
        <f t="shared" si="161"/>
        <v/>
      </c>
      <c r="CR51" s="26" t="str">
        <f t="shared" si="85"/>
        <v/>
      </c>
      <c r="CS51" s="24" t="str">
        <f t="shared" si="86"/>
        <v/>
      </c>
      <c r="CT51" s="27" t="str">
        <f t="shared" si="162"/>
        <v/>
      </c>
      <c r="CU51" s="24" t="str">
        <f t="shared" si="163"/>
        <v/>
      </c>
      <c r="CV51" s="26" t="str">
        <f t="shared" si="164"/>
        <v/>
      </c>
      <c r="CW51" s="26" t="str">
        <f t="shared" si="165"/>
        <v/>
      </c>
      <c r="CX51" s="26" t="str">
        <f t="shared" si="87"/>
        <v/>
      </c>
      <c r="CY51" s="27" t="str">
        <f t="shared" si="88"/>
        <v/>
      </c>
      <c r="CZ51" s="26" t="str">
        <f t="shared" si="166"/>
        <v/>
      </c>
      <c r="DA51" s="24" t="str">
        <f t="shared" si="167"/>
        <v/>
      </c>
      <c r="DB51" s="24" t="str">
        <f t="shared" si="168"/>
        <v/>
      </c>
      <c r="DC51" s="24" t="str">
        <f t="shared" si="169"/>
        <v/>
      </c>
      <c r="DD51" s="24" t="str">
        <f t="shared" si="170"/>
        <v/>
      </c>
      <c r="DE51" s="1">
        <v>0</v>
      </c>
      <c r="DF51" s="1">
        <v>0</v>
      </c>
      <c r="DG51" s="1">
        <v>0</v>
      </c>
      <c r="DH51" s="24" t="str">
        <f t="shared" si="171"/>
        <v/>
      </c>
      <c r="DI51" s="25" t="str">
        <f t="shared" si="172"/>
        <v/>
      </c>
      <c r="DJ51" t="str">
        <f t="shared" si="90"/>
        <v/>
      </c>
      <c r="DK51" s="9"/>
      <c r="DL51" s="9"/>
      <c r="DM51" s="9"/>
      <c r="DN51" s="9"/>
      <c r="DO51" s="9"/>
      <c r="DP51" s="9"/>
      <c r="DQ51" s="136" t="b">
        <f t="shared" si="173"/>
        <v>1</v>
      </c>
    </row>
    <row r="52" spans="1:121" ht="27" customHeight="1" x14ac:dyDescent="1.25">
      <c r="A52" s="24" t="str">
        <f t="shared" si="89"/>
        <v/>
      </c>
      <c r="B52" s="69"/>
      <c r="C52" s="70"/>
      <c r="D52" s="69"/>
      <c r="E52" s="69"/>
      <c r="F52" s="69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3" t="str">
        <f t="shared" si="91"/>
        <v/>
      </c>
      <c r="X52" s="3" t="str">
        <f t="shared" si="92"/>
        <v/>
      </c>
      <c r="Y52" s="3" t="str">
        <f t="shared" si="93"/>
        <v/>
      </c>
      <c r="Z52" s="3" t="str">
        <f t="shared" si="94"/>
        <v/>
      </c>
      <c r="AA52" s="3" t="str">
        <f t="shared" si="95"/>
        <v/>
      </c>
      <c r="AB52" s="3" t="str">
        <f t="shared" si="96"/>
        <v/>
      </c>
      <c r="AC52" s="3" t="str">
        <f t="shared" si="97"/>
        <v/>
      </c>
      <c r="AD52" s="3" t="str">
        <f t="shared" si="98"/>
        <v/>
      </c>
      <c r="AE52" s="3" t="str">
        <f t="shared" si="99"/>
        <v/>
      </c>
      <c r="AF52" s="24" t="str">
        <f t="shared" si="100"/>
        <v/>
      </c>
      <c r="AG52" s="24" t="str">
        <f t="shared" si="101"/>
        <v/>
      </c>
      <c r="AH52" s="24" t="str">
        <f t="shared" si="102"/>
        <v/>
      </c>
      <c r="AI52" s="24" t="str">
        <f t="shared" si="103"/>
        <v/>
      </c>
      <c r="AJ52" s="24" t="str">
        <f t="shared" si="104"/>
        <v/>
      </c>
      <c r="AK52" s="24" t="str">
        <f t="shared" si="105"/>
        <v/>
      </c>
      <c r="AL52" s="24" t="str">
        <f t="shared" si="106"/>
        <v/>
      </c>
      <c r="AM52" s="24" t="str">
        <f t="shared" si="107"/>
        <v/>
      </c>
      <c r="AN52" s="24" t="str">
        <f t="shared" si="108"/>
        <v/>
      </c>
      <c r="AO52" s="24" t="str">
        <f t="shared" si="109"/>
        <v/>
      </c>
      <c r="AP52" s="24" t="str">
        <f t="shared" si="110"/>
        <v/>
      </c>
      <c r="AQ52" s="24" t="str">
        <f t="shared" si="111"/>
        <v/>
      </c>
      <c r="AR52" s="24" t="str">
        <f t="shared" si="112"/>
        <v/>
      </c>
      <c r="AS52" s="24" t="str">
        <f t="shared" si="113"/>
        <v/>
      </c>
      <c r="AT52" s="24" t="str">
        <f t="shared" si="114"/>
        <v/>
      </c>
      <c r="AU52" s="24" t="str">
        <f t="shared" si="115"/>
        <v/>
      </c>
      <c r="AV52" s="24" t="str">
        <f t="shared" si="116"/>
        <v/>
      </c>
      <c r="AW52" s="24" t="str">
        <f t="shared" si="117"/>
        <v/>
      </c>
      <c r="AX52" s="24" t="str">
        <f t="shared" si="118"/>
        <v/>
      </c>
      <c r="AY52" s="24" t="str">
        <f t="shared" si="119"/>
        <v/>
      </c>
      <c r="AZ52" s="24" t="str">
        <f t="shared" si="120"/>
        <v/>
      </c>
      <c r="BA52" s="24" t="str">
        <f t="shared" si="121"/>
        <v/>
      </c>
      <c r="BB52" s="24" t="str">
        <f t="shared" si="122"/>
        <v/>
      </c>
      <c r="BC52" s="26" t="str">
        <f t="shared" si="123"/>
        <v/>
      </c>
      <c r="BD52" s="26" t="str">
        <f t="shared" si="124"/>
        <v/>
      </c>
      <c r="BE52" s="26" t="str">
        <f t="shared" si="125"/>
        <v/>
      </c>
      <c r="BF52" s="26" t="str">
        <f t="shared" si="126"/>
        <v/>
      </c>
      <c r="BG52" s="26" t="str">
        <f t="shared" si="127"/>
        <v/>
      </c>
      <c r="BH52" s="26" t="str">
        <f t="shared" si="128"/>
        <v/>
      </c>
      <c r="BI52" s="26" t="str">
        <f t="shared" si="129"/>
        <v/>
      </c>
      <c r="BJ52" s="26" t="str">
        <f t="shared" si="130"/>
        <v/>
      </c>
      <c r="BK52" s="26" t="str">
        <f t="shared" si="131"/>
        <v/>
      </c>
      <c r="BL52" s="26" t="str">
        <f t="shared" si="132"/>
        <v/>
      </c>
      <c r="BM52" s="26" t="str">
        <f t="shared" si="133"/>
        <v/>
      </c>
      <c r="BN52" s="26" t="str">
        <f t="shared" si="134"/>
        <v/>
      </c>
      <c r="BO52" s="26" t="str">
        <f t="shared" si="135"/>
        <v/>
      </c>
      <c r="BP52" s="26" t="str">
        <f t="shared" si="136"/>
        <v/>
      </c>
      <c r="BQ52" s="26" t="str">
        <f t="shared" si="137"/>
        <v/>
      </c>
      <c r="BR52" s="26" t="str">
        <f t="shared" si="138"/>
        <v/>
      </c>
      <c r="BS52" s="24" t="str">
        <f t="shared" si="139"/>
        <v/>
      </c>
      <c r="BT52" s="24" t="str">
        <f t="shared" si="140"/>
        <v/>
      </c>
      <c r="BU52" s="24" t="str">
        <f t="shared" si="141"/>
        <v/>
      </c>
      <c r="BV52" s="24" t="str">
        <f t="shared" si="142"/>
        <v/>
      </c>
      <c r="BW52" s="24" t="str">
        <f t="shared" si="143"/>
        <v/>
      </c>
      <c r="BX52" s="24" t="str">
        <f t="shared" si="144"/>
        <v/>
      </c>
      <c r="BY52" s="24" t="str">
        <f t="shared" si="145"/>
        <v/>
      </c>
      <c r="BZ52" s="24" t="str">
        <f t="shared" si="146"/>
        <v/>
      </c>
      <c r="CA52" s="24" t="str">
        <f t="shared" si="147"/>
        <v/>
      </c>
      <c r="CB52" s="24" t="str">
        <f t="shared" si="148"/>
        <v/>
      </c>
      <c r="CC52" s="24" t="str">
        <f t="shared" si="149"/>
        <v/>
      </c>
      <c r="CD52" s="24" t="str">
        <f t="shared" si="150"/>
        <v/>
      </c>
      <c r="CE52" s="24" t="str">
        <f t="shared" si="151"/>
        <v/>
      </c>
      <c r="CF52" s="24" t="str">
        <f t="shared" si="152"/>
        <v/>
      </c>
      <c r="CG52" s="24" t="str">
        <f t="shared" si="153"/>
        <v/>
      </c>
      <c r="CH52" s="24" t="str">
        <f t="shared" si="154"/>
        <v/>
      </c>
      <c r="CI52" s="24" t="str">
        <f t="shared" si="155"/>
        <v/>
      </c>
      <c r="CJ52" s="26" t="str">
        <f t="shared" si="156"/>
        <v/>
      </c>
      <c r="CK52" s="26" t="str">
        <f t="shared" si="157"/>
        <v/>
      </c>
      <c r="CL52" s="26" t="str">
        <f t="shared" si="83"/>
        <v/>
      </c>
      <c r="CM52" s="24" t="str">
        <f t="shared" si="84"/>
        <v/>
      </c>
      <c r="CN52" s="26" t="str">
        <f t="shared" si="158"/>
        <v/>
      </c>
      <c r="CO52" s="24" t="str">
        <f t="shared" si="159"/>
        <v/>
      </c>
      <c r="CP52" s="26" t="str">
        <f t="shared" si="160"/>
        <v/>
      </c>
      <c r="CQ52" s="26" t="str">
        <f t="shared" si="161"/>
        <v/>
      </c>
      <c r="CR52" s="26" t="str">
        <f t="shared" si="85"/>
        <v/>
      </c>
      <c r="CS52" s="24" t="str">
        <f t="shared" si="86"/>
        <v/>
      </c>
      <c r="CT52" s="27" t="str">
        <f t="shared" si="162"/>
        <v/>
      </c>
      <c r="CU52" s="24" t="str">
        <f t="shared" si="163"/>
        <v/>
      </c>
      <c r="CV52" s="26" t="str">
        <f t="shared" si="164"/>
        <v/>
      </c>
      <c r="CW52" s="26" t="str">
        <f t="shared" si="165"/>
        <v/>
      </c>
      <c r="CX52" s="26" t="str">
        <f t="shared" si="87"/>
        <v/>
      </c>
      <c r="CY52" s="27" t="str">
        <f t="shared" si="88"/>
        <v/>
      </c>
      <c r="CZ52" s="26" t="str">
        <f t="shared" si="166"/>
        <v/>
      </c>
      <c r="DA52" s="24" t="str">
        <f t="shared" si="167"/>
        <v/>
      </c>
      <c r="DB52" s="24" t="str">
        <f t="shared" si="168"/>
        <v/>
      </c>
      <c r="DC52" s="24" t="str">
        <f t="shared" si="169"/>
        <v/>
      </c>
      <c r="DD52" s="24" t="str">
        <f t="shared" si="170"/>
        <v/>
      </c>
      <c r="DE52" s="1">
        <v>0</v>
      </c>
      <c r="DF52" s="1">
        <v>0</v>
      </c>
      <c r="DG52" s="1">
        <v>0</v>
      </c>
      <c r="DH52" s="24" t="str">
        <f t="shared" si="171"/>
        <v/>
      </c>
      <c r="DI52" s="25" t="str">
        <f t="shared" si="172"/>
        <v/>
      </c>
      <c r="DJ52" t="str">
        <f t="shared" si="90"/>
        <v/>
      </c>
      <c r="DK52" s="9"/>
      <c r="DL52" s="9"/>
      <c r="DM52" s="9"/>
      <c r="DN52" s="9"/>
      <c r="DO52" s="9"/>
      <c r="DP52" s="9"/>
      <c r="DQ52" s="136" t="b">
        <f t="shared" si="173"/>
        <v>1</v>
      </c>
    </row>
    <row r="53" spans="1:121" ht="27" customHeight="1" x14ac:dyDescent="1.25">
      <c r="A53" s="24" t="str">
        <f t="shared" si="89"/>
        <v/>
      </c>
      <c r="B53" s="69"/>
      <c r="C53" s="70"/>
      <c r="D53" s="69"/>
      <c r="E53" s="69"/>
      <c r="F53" s="69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3" t="str">
        <f t="shared" si="91"/>
        <v/>
      </c>
      <c r="X53" s="3" t="str">
        <f t="shared" si="92"/>
        <v/>
      </c>
      <c r="Y53" s="3" t="str">
        <f t="shared" si="93"/>
        <v/>
      </c>
      <c r="Z53" s="3" t="str">
        <f t="shared" si="94"/>
        <v/>
      </c>
      <c r="AA53" s="3" t="str">
        <f t="shared" si="95"/>
        <v/>
      </c>
      <c r="AB53" s="3" t="str">
        <f t="shared" si="96"/>
        <v/>
      </c>
      <c r="AC53" s="3" t="str">
        <f t="shared" si="97"/>
        <v/>
      </c>
      <c r="AD53" s="3" t="str">
        <f t="shared" si="98"/>
        <v/>
      </c>
      <c r="AE53" s="3" t="str">
        <f t="shared" si="99"/>
        <v/>
      </c>
      <c r="AF53" s="24" t="str">
        <f t="shared" si="100"/>
        <v/>
      </c>
      <c r="AG53" s="24" t="str">
        <f t="shared" si="101"/>
        <v/>
      </c>
      <c r="AH53" s="24" t="str">
        <f t="shared" si="102"/>
        <v/>
      </c>
      <c r="AI53" s="24" t="str">
        <f t="shared" si="103"/>
        <v/>
      </c>
      <c r="AJ53" s="24" t="str">
        <f t="shared" si="104"/>
        <v/>
      </c>
      <c r="AK53" s="24" t="str">
        <f t="shared" si="105"/>
        <v/>
      </c>
      <c r="AL53" s="24" t="str">
        <f t="shared" si="106"/>
        <v/>
      </c>
      <c r="AM53" s="24" t="str">
        <f t="shared" si="107"/>
        <v/>
      </c>
      <c r="AN53" s="24" t="str">
        <f t="shared" si="108"/>
        <v/>
      </c>
      <c r="AO53" s="24" t="str">
        <f t="shared" si="109"/>
        <v/>
      </c>
      <c r="AP53" s="24" t="str">
        <f t="shared" si="110"/>
        <v/>
      </c>
      <c r="AQ53" s="24" t="str">
        <f t="shared" si="111"/>
        <v/>
      </c>
      <c r="AR53" s="24" t="str">
        <f t="shared" si="112"/>
        <v/>
      </c>
      <c r="AS53" s="24" t="str">
        <f t="shared" si="113"/>
        <v/>
      </c>
      <c r="AT53" s="24" t="str">
        <f t="shared" si="114"/>
        <v/>
      </c>
      <c r="AU53" s="24" t="str">
        <f t="shared" si="115"/>
        <v/>
      </c>
      <c r="AV53" s="24" t="str">
        <f t="shared" si="116"/>
        <v/>
      </c>
      <c r="AW53" s="24" t="str">
        <f t="shared" si="117"/>
        <v/>
      </c>
      <c r="AX53" s="24" t="str">
        <f t="shared" si="118"/>
        <v/>
      </c>
      <c r="AY53" s="24" t="str">
        <f t="shared" si="119"/>
        <v/>
      </c>
      <c r="AZ53" s="24" t="str">
        <f t="shared" si="120"/>
        <v/>
      </c>
      <c r="BA53" s="24" t="str">
        <f t="shared" si="121"/>
        <v/>
      </c>
      <c r="BB53" s="24" t="str">
        <f t="shared" si="122"/>
        <v/>
      </c>
      <c r="BC53" s="26" t="str">
        <f t="shared" si="123"/>
        <v/>
      </c>
      <c r="BD53" s="26" t="str">
        <f t="shared" si="124"/>
        <v/>
      </c>
      <c r="BE53" s="26" t="str">
        <f t="shared" si="125"/>
        <v/>
      </c>
      <c r="BF53" s="26" t="str">
        <f t="shared" si="126"/>
        <v/>
      </c>
      <c r="BG53" s="26" t="str">
        <f t="shared" si="127"/>
        <v/>
      </c>
      <c r="BH53" s="26" t="str">
        <f t="shared" si="128"/>
        <v/>
      </c>
      <c r="BI53" s="26" t="str">
        <f t="shared" si="129"/>
        <v/>
      </c>
      <c r="BJ53" s="26" t="str">
        <f t="shared" si="130"/>
        <v/>
      </c>
      <c r="BK53" s="26" t="str">
        <f t="shared" si="131"/>
        <v/>
      </c>
      <c r="BL53" s="26" t="str">
        <f t="shared" si="132"/>
        <v/>
      </c>
      <c r="BM53" s="26" t="str">
        <f t="shared" si="133"/>
        <v/>
      </c>
      <c r="BN53" s="26" t="str">
        <f t="shared" si="134"/>
        <v/>
      </c>
      <c r="BO53" s="26" t="str">
        <f t="shared" si="135"/>
        <v/>
      </c>
      <c r="BP53" s="26" t="str">
        <f t="shared" si="136"/>
        <v/>
      </c>
      <c r="BQ53" s="26" t="str">
        <f t="shared" si="137"/>
        <v/>
      </c>
      <c r="BR53" s="26" t="str">
        <f t="shared" si="138"/>
        <v/>
      </c>
      <c r="BS53" s="24" t="str">
        <f t="shared" si="139"/>
        <v/>
      </c>
      <c r="BT53" s="24" t="str">
        <f t="shared" si="140"/>
        <v/>
      </c>
      <c r="BU53" s="24" t="str">
        <f t="shared" si="141"/>
        <v/>
      </c>
      <c r="BV53" s="24" t="str">
        <f t="shared" si="142"/>
        <v/>
      </c>
      <c r="BW53" s="24" t="str">
        <f t="shared" si="143"/>
        <v/>
      </c>
      <c r="BX53" s="24" t="str">
        <f t="shared" si="144"/>
        <v/>
      </c>
      <c r="BY53" s="24" t="str">
        <f t="shared" si="145"/>
        <v/>
      </c>
      <c r="BZ53" s="24" t="str">
        <f t="shared" si="146"/>
        <v/>
      </c>
      <c r="CA53" s="24" t="str">
        <f t="shared" si="147"/>
        <v/>
      </c>
      <c r="CB53" s="24" t="str">
        <f t="shared" si="148"/>
        <v/>
      </c>
      <c r="CC53" s="24" t="str">
        <f t="shared" si="149"/>
        <v/>
      </c>
      <c r="CD53" s="24" t="str">
        <f t="shared" si="150"/>
        <v/>
      </c>
      <c r="CE53" s="24" t="str">
        <f t="shared" si="151"/>
        <v/>
      </c>
      <c r="CF53" s="24" t="str">
        <f t="shared" si="152"/>
        <v/>
      </c>
      <c r="CG53" s="24" t="str">
        <f t="shared" si="153"/>
        <v/>
      </c>
      <c r="CH53" s="24" t="str">
        <f t="shared" si="154"/>
        <v/>
      </c>
      <c r="CI53" s="24" t="str">
        <f t="shared" si="155"/>
        <v/>
      </c>
      <c r="CJ53" s="26" t="str">
        <f t="shared" si="156"/>
        <v/>
      </c>
      <c r="CK53" s="26" t="str">
        <f t="shared" si="157"/>
        <v/>
      </c>
      <c r="CL53" s="26" t="str">
        <f t="shared" si="83"/>
        <v/>
      </c>
      <c r="CM53" s="24" t="str">
        <f t="shared" si="84"/>
        <v/>
      </c>
      <c r="CN53" s="26" t="str">
        <f t="shared" si="158"/>
        <v/>
      </c>
      <c r="CO53" s="24" t="str">
        <f t="shared" si="159"/>
        <v/>
      </c>
      <c r="CP53" s="26" t="str">
        <f t="shared" si="160"/>
        <v/>
      </c>
      <c r="CQ53" s="26" t="str">
        <f t="shared" si="161"/>
        <v/>
      </c>
      <c r="CR53" s="26" t="str">
        <f t="shared" si="85"/>
        <v/>
      </c>
      <c r="CS53" s="24" t="str">
        <f t="shared" si="86"/>
        <v/>
      </c>
      <c r="CT53" s="27" t="str">
        <f t="shared" si="162"/>
        <v/>
      </c>
      <c r="CU53" s="24" t="str">
        <f t="shared" si="163"/>
        <v/>
      </c>
      <c r="CV53" s="26" t="str">
        <f t="shared" si="164"/>
        <v/>
      </c>
      <c r="CW53" s="26" t="str">
        <f t="shared" si="165"/>
        <v/>
      </c>
      <c r="CX53" s="26" t="str">
        <f t="shared" si="87"/>
        <v/>
      </c>
      <c r="CY53" s="27" t="str">
        <f t="shared" si="88"/>
        <v/>
      </c>
      <c r="CZ53" s="26" t="str">
        <f t="shared" si="166"/>
        <v/>
      </c>
      <c r="DA53" s="24" t="str">
        <f t="shared" si="167"/>
        <v/>
      </c>
      <c r="DB53" s="24" t="str">
        <f t="shared" si="168"/>
        <v/>
      </c>
      <c r="DC53" s="24" t="str">
        <f t="shared" si="169"/>
        <v/>
      </c>
      <c r="DD53" s="24" t="str">
        <f t="shared" si="170"/>
        <v/>
      </c>
      <c r="DE53" s="1">
        <v>0</v>
      </c>
      <c r="DF53" s="1">
        <v>0</v>
      </c>
      <c r="DG53" s="1">
        <v>0</v>
      </c>
      <c r="DH53" s="24" t="str">
        <f t="shared" si="171"/>
        <v/>
      </c>
      <c r="DI53" s="25" t="str">
        <f t="shared" si="172"/>
        <v/>
      </c>
      <c r="DJ53" t="str">
        <f t="shared" si="90"/>
        <v/>
      </c>
      <c r="DK53" s="9"/>
      <c r="DL53" s="9"/>
      <c r="DM53" s="9"/>
      <c r="DN53" s="9"/>
      <c r="DO53" s="9"/>
      <c r="DP53" s="9"/>
      <c r="DQ53" s="136" t="b">
        <f t="shared" si="173"/>
        <v>1</v>
      </c>
    </row>
    <row r="54" spans="1:121" ht="27" customHeight="1" x14ac:dyDescent="1.25">
      <c r="A54" s="24" t="str">
        <f t="shared" si="89"/>
        <v/>
      </c>
      <c r="B54" s="69"/>
      <c r="C54" s="70"/>
      <c r="D54" s="69"/>
      <c r="E54" s="69"/>
      <c r="F54" s="69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3" t="str">
        <f t="shared" si="91"/>
        <v/>
      </c>
      <c r="X54" s="3" t="str">
        <f t="shared" si="92"/>
        <v/>
      </c>
      <c r="Y54" s="3" t="str">
        <f t="shared" si="93"/>
        <v/>
      </c>
      <c r="Z54" s="3" t="str">
        <f t="shared" si="94"/>
        <v/>
      </c>
      <c r="AA54" s="3" t="str">
        <f t="shared" si="95"/>
        <v/>
      </c>
      <c r="AB54" s="3" t="str">
        <f t="shared" si="96"/>
        <v/>
      </c>
      <c r="AC54" s="3" t="str">
        <f t="shared" si="97"/>
        <v/>
      </c>
      <c r="AD54" s="3" t="str">
        <f t="shared" si="98"/>
        <v/>
      </c>
      <c r="AE54" s="3" t="str">
        <f t="shared" si="99"/>
        <v/>
      </c>
      <c r="AF54" s="24" t="str">
        <f t="shared" si="100"/>
        <v/>
      </c>
      <c r="AG54" s="24" t="str">
        <f t="shared" si="101"/>
        <v/>
      </c>
      <c r="AH54" s="24" t="str">
        <f t="shared" si="102"/>
        <v/>
      </c>
      <c r="AI54" s="24" t="str">
        <f t="shared" si="103"/>
        <v/>
      </c>
      <c r="AJ54" s="24" t="str">
        <f t="shared" si="104"/>
        <v/>
      </c>
      <c r="AK54" s="24" t="str">
        <f t="shared" si="105"/>
        <v/>
      </c>
      <c r="AL54" s="24" t="str">
        <f t="shared" si="106"/>
        <v/>
      </c>
      <c r="AM54" s="24" t="str">
        <f t="shared" si="107"/>
        <v/>
      </c>
      <c r="AN54" s="24" t="str">
        <f t="shared" si="108"/>
        <v/>
      </c>
      <c r="AO54" s="24" t="str">
        <f t="shared" si="109"/>
        <v/>
      </c>
      <c r="AP54" s="24" t="str">
        <f t="shared" si="110"/>
        <v/>
      </c>
      <c r="AQ54" s="24" t="str">
        <f t="shared" si="111"/>
        <v/>
      </c>
      <c r="AR54" s="24" t="str">
        <f t="shared" si="112"/>
        <v/>
      </c>
      <c r="AS54" s="24" t="str">
        <f t="shared" si="113"/>
        <v/>
      </c>
      <c r="AT54" s="24" t="str">
        <f t="shared" si="114"/>
        <v/>
      </c>
      <c r="AU54" s="24" t="str">
        <f t="shared" si="115"/>
        <v/>
      </c>
      <c r="AV54" s="24" t="str">
        <f t="shared" si="116"/>
        <v/>
      </c>
      <c r="AW54" s="24" t="str">
        <f t="shared" si="117"/>
        <v/>
      </c>
      <c r="AX54" s="24" t="str">
        <f t="shared" si="118"/>
        <v/>
      </c>
      <c r="AY54" s="24" t="str">
        <f t="shared" si="119"/>
        <v/>
      </c>
      <c r="AZ54" s="24" t="str">
        <f t="shared" si="120"/>
        <v/>
      </c>
      <c r="BA54" s="24" t="str">
        <f t="shared" si="121"/>
        <v/>
      </c>
      <c r="BB54" s="24" t="str">
        <f t="shared" si="122"/>
        <v/>
      </c>
      <c r="BC54" s="26" t="str">
        <f t="shared" si="123"/>
        <v/>
      </c>
      <c r="BD54" s="26" t="str">
        <f t="shared" si="124"/>
        <v/>
      </c>
      <c r="BE54" s="26" t="str">
        <f t="shared" si="125"/>
        <v/>
      </c>
      <c r="BF54" s="26" t="str">
        <f t="shared" si="126"/>
        <v/>
      </c>
      <c r="BG54" s="26" t="str">
        <f t="shared" si="127"/>
        <v/>
      </c>
      <c r="BH54" s="26" t="str">
        <f t="shared" si="128"/>
        <v/>
      </c>
      <c r="BI54" s="26" t="str">
        <f t="shared" si="129"/>
        <v/>
      </c>
      <c r="BJ54" s="26" t="str">
        <f t="shared" si="130"/>
        <v/>
      </c>
      <c r="BK54" s="26" t="str">
        <f t="shared" si="131"/>
        <v/>
      </c>
      <c r="BL54" s="26" t="str">
        <f t="shared" si="132"/>
        <v/>
      </c>
      <c r="BM54" s="26" t="str">
        <f t="shared" si="133"/>
        <v/>
      </c>
      <c r="BN54" s="26" t="str">
        <f t="shared" si="134"/>
        <v/>
      </c>
      <c r="BO54" s="26" t="str">
        <f t="shared" si="135"/>
        <v/>
      </c>
      <c r="BP54" s="26" t="str">
        <f t="shared" si="136"/>
        <v/>
      </c>
      <c r="BQ54" s="26" t="str">
        <f t="shared" si="137"/>
        <v/>
      </c>
      <c r="BR54" s="26" t="str">
        <f t="shared" si="138"/>
        <v/>
      </c>
      <c r="BS54" s="24" t="str">
        <f t="shared" si="139"/>
        <v/>
      </c>
      <c r="BT54" s="24" t="str">
        <f t="shared" si="140"/>
        <v/>
      </c>
      <c r="BU54" s="24" t="str">
        <f t="shared" si="141"/>
        <v/>
      </c>
      <c r="BV54" s="24" t="str">
        <f t="shared" si="142"/>
        <v/>
      </c>
      <c r="BW54" s="24" t="str">
        <f t="shared" si="143"/>
        <v/>
      </c>
      <c r="BX54" s="24" t="str">
        <f t="shared" si="144"/>
        <v/>
      </c>
      <c r="BY54" s="24" t="str">
        <f t="shared" si="145"/>
        <v/>
      </c>
      <c r="BZ54" s="24" t="str">
        <f t="shared" si="146"/>
        <v/>
      </c>
      <c r="CA54" s="24" t="str">
        <f t="shared" si="147"/>
        <v/>
      </c>
      <c r="CB54" s="24" t="str">
        <f t="shared" si="148"/>
        <v/>
      </c>
      <c r="CC54" s="24" t="str">
        <f t="shared" si="149"/>
        <v/>
      </c>
      <c r="CD54" s="24" t="str">
        <f t="shared" si="150"/>
        <v/>
      </c>
      <c r="CE54" s="24" t="str">
        <f t="shared" si="151"/>
        <v/>
      </c>
      <c r="CF54" s="24" t="str">
        <f t="shared" si="152"/>
        <v/>
      </c>
      <c r="CG54" s="24" t="str">
        <f t="shared" si="153"/>
        <v/>
      </c>
      <c r="CH54" s="24" t="str">
        <f t="shared" si="154"/>
        <v/>
      </c>
      <c r="CI54" s="24" t="str">
        <f t="shared" si="155"/>
        <v/>
      </c>
      <c r="CJ54" s="26" t="str">
        <f t="shared" si="156"/>
        <v/>
      </c>
      <c r="CK54" s="26" t="str">
        <f t="shared" si="157"/>
        <v/>
      </c>
      <c r="CL54" s="26" t="str">
        <f t="shared" si="83"/>
        <v/>
      </c>
      <c r="CM54" s="24" t="str">
        <f t="shared" si="84"/>
        <v/>
      </c>
      <c r="CN54" s="26" t="str">
        <f t="shared" si="158"/>
        <v/>
      </c>
      <c r="CO54" s="24" t="str">
        <f t="shared" si="159"/>
        <v/>
      </c>
      <c r="CP54" s="26" t="str">
        <f t="shared" si="160"/>
        <v/>
      </c>
      <c r="CQ54" s="26" t="str">
        <f t="shared" si="161"/>
        <v/>
      </c>
      <c r="CR54" s="26" t="str">
        <f t="shared" si="85"/>
        <v/>
      </c>
      <c r="CS54" s="24" t="str">
        <f t="shared" si="86"/>
        <v/>
      </c>
      <c r="CT54" s="27" t="str">
        <f t="shared" si="162"/>
        <v/>
      </c>
      <c r="CU54" s="24" t="str">
        <f t="shared" si="163"/>
        <v/>
      </c>
      <c r="CV54" s="26" t="str">
        <f t="shared" si="164"/>
        <v/>
      </c>
      <c r="CW54" s="26" t="str">
        <f t="shared" si="165"/>
        <v/>
      </c>
      <c r="CX54" s="26" t="str">
        <f t="shared" si="87"/>
        <v/>
      </c>
      <c r="CY54" s="27" t="str">
        <f t="shared" si="88"/>
        <v/>
      </c>
      <c r="CZ54" s="26" t="str">
        <f t="shared" si="166"/>
        <v/>
      </c>
      <c r="DA54" s="24" t="str">
        <f t="shared" si="167"/>
        <v/>
      </c>
      <c r="DB54" s="24" t="str">
        <f t="shared" si="168"/>
        <v/>
      </c>
      <c r="DC54" s="24" t="str">
        <f t="shared" si="169"/>
        <v/>
      </c>
      <c r="DD54" s="24" t="str">
        <f t="shared" si="170"/>
        <v/>
      </c>
      <c r="DE54" s="1">
        <v>0</v>
      </c>
      <c r="DF54" s="1">
        <v>0</v>
      </c>
      <c r="DG54" s="1">
        <v>0</v>
      </c>
      <c r="DH54" s="24" t="str">
        <f t="shared" si="171"/>
        <v/>
      </c>
      <c r="DI54" s="25" t="str">
        <f t="shared" si="172"/>
        <v/>
      </c>
      <c r="DJ54" t="str">
        <f t="shared" si="90"/>
        <v/>
      </c>
      <c r="DK54" s="9"/>
      <c r="DL54" s="9"/>
      <c r="DM54" s="9"/>
      <c r="DN54" s="9"/>
      <c r="DO54" s="9"/>
      <c r="DP54" s="9"/>
      <c r="DQ54" s="136" t="b">
        <f t="shared" si="173"/>
        <v>1</v>
      </c>
    </row>
    <row r="55" spans="1:121" ht="27" customHeight="1" x14ac:dyDescent="1.25">
      <c r="A55" s="24" t="str">
        <f t="shared" si="89"/>
        <v/>
      </c>
      <c r="B55" s="69"/>
      <c r="C55" s="70"/>
      <c r="D55" s="69"/>
      <c r="E55" s="69"/>
      <c r="F55" s="69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3" t="str">
        <f t="shared" si="91"/>
        <v/>
      </c>
      <c r="X55" s="3" t="str">
        <f t="shared" si="92"/>
        <v/>
      </c>
      <c r="Y55" s="3" t="str">
        <f t="shared" si="93"/>
        <v/>
      </c>
      <c r="Z55" s="3" t="str">
        <f t="shared" si="94"/>
        <v/>
      </c>
      <c r="AA55" s="3" t="str">
        <f t="shared" si="95"/>
        <v/>
      </c>
      <c r="AB55" s="3" t="str">
        <f t="shared" si="96"/>
        <v/>
      </c>
      <c r="AC55" s="3" t="str">
        <f t="shared" si="97"/>
        <v/>
      </c>
      <c r="AD55" s="3" t="str">
        <f t="shared" si="98"/>
        <v/>
      </c>
      <c r="AE55" s="3" t="str">
        <f t="shared" si="99"/>
        <v/>
      </c>
      <c r="AF55" s="24" t="str">
        <f t="shared" si="100"/>
        <v/>
      </c>
      <c r="AG55" s="24" t="str">
        <f t="shared" si="101"/>
        <v/>
      </c>
      <c r="AH55" s="24" t="str">
        <f t="shared" si="102"/>
        <v/>
      </c>
      <c r="AI55" s="24" t="str">
        <f t="shared" si="103"/>
        <v/>
      </c>
      <c r="AJ55" s="24" t="str">
        <f t="shared" si="104"/>
        <v/>
      </c>
      <c r="AK55" s="24" t="str">
        <f t="shared" si="105"/>
        <v/>
      </c>
      <c r="AL55" s="24" t="str">
        <f t="shared" si="106"/>
        <v/>
      </c>
      <c r="AM55" s="24" t="str">
        <f t="shared" si="107"/>
        <v/>
      </c>
      <c r="AN55" s="24" t="str">
        <f t="shared" si="108"/>
        <v/>
      </c>
      <c r="AO55" s="24" t="str">
        <f t="shared" si="109"/>
        <v/>
      </c>
      <c r="AP55" s="24" t="str">
        <f t="shared" si="110"/>
        <v/>
      </c>
      <c r="AQ55" s="24" t="str">
        <f t="shared" si="111"/>
        <v/>
      </c>
      <c r="AR55" s="24" t="str">
        <f t="shared" si="112"/>
        <v/>
      </c>
      <c r="AS55" s="24" t="str">
        <f t="shared" si="113"/>
        <v/>
      </c>
      <c r="AT55" s="24" t="str">
        <f t="shared" si="114"/>
        <v/>
      </c>
      <c r="AU55" s="24" t="str">
        <f t="shared" si="115"/>
        <v/>
      </c>
      <c r="AV55" s="24" t="str">
        <f t="shared" si="116"/>
        <v/>
      </c>
      <c r="AW55" s="24" t="str">
        <f t="shared" si="117"/>
        <v/>
      </c>
      <c r="AX55" s="24" t="str">
        <f t="shared" si="118"/>
        <v/>
      </c>
      <c r="AY55" s="24" t="str">
        <f t="shared" si="119"/>
        <v/>
      </c>
      <c r="AZ55" s="24" t="str">
        <f t="shared" si="120"/>
        <v/>
      </c>
      <c r="BA55" s="24" t="str">
        <f t="shared" si="121"/>
        <v/>
      </c>
      <c r="BB55" s="24" t="str">
        <f t="shared" si="122"/>
        <v/>
      </c>
      <c r="BC55" s="26" t="str">
        <f t="shared" si="123"/>
        <v/>
      </c>
      <c r="BD55" s="26" t="str">
        <f t="shared" si="124"/>
        <v/>
      </c>
      <c r="BE55" s="26" t="str">
        <f t="shared" si="125"/>
        <v/>
      </c>
      <c r="BF55" s="26" t="str">
        <f t="shared" si="126"/>
        <v/>
      </c>
      <c r="BG55" s="26" t="str">
        <f t="shared" si="127"/>
        <v/>
      </c>
      <c r="BH55" s="26" t="str">
        <f t="shared" si="128"/>
        <v/>
      </c>
      <c r="BI55" s="26" t="str">
        <f t="shared" si="129"/>
        <v/>
      </c>
      <c r="BJ55" s="26" t="str">
        <f t="shared" si="130"/>
        <v/>
      </c>
      <c r="BK55" s="26" t="str">
        <f t="shared" si="131"/>
        <v/>
      </c>
      <c r="BL55" s="26" t="str">
        <f t="shared" si="132"/>
        <v/>
      </c>
      <c r="BM55" s="26" t="str">
        <f t="shared" si="133"/>
        <v/>
      </c>
      <c r="BN55" s="26" t="str">
        <f t="shared" si="134"/>
        <v/>
      </c>
      <c r="BO55" s="26" t="str">
        <f t="shared" si="135"/>
        <v/>
      </c>
      <c r="BP55" s="26" t="str">
        <f t="shared" si="136"/>
        <v/>
      </c>
      <c r="BQ55" s="26" t="str">
        <f t="shared" si="137"/>
        <v/>
      </c>
      <c r="BR55" s="26" t="str">
        <f t="shared" si="138"/>
        <v/>
      </c>
      <c r="BS55" s="24" t="str">
        <f t="shared" si="139"/>
        <v/>
      </c>
      <c r="BT55" s="24" t="str">
        <f t="shared" si="140"/>
        <v/>
      </c>
      <c r="BU55" s="24" t="str">
        <f t="shared" si="141"/>
        <v/>
      </c>
      <c r="BV55" s="24" t="str">
        <f t="shared" si="142"/>
        <v/>
      </c>
      <c r="BW55" s="24" t="str">
        <f t="shared" si="143"/>
        <v/>
      </c>
      <c r="BX55" s="24" t="str">
        <f t="shared" si="144"/>
        <v/>
      </c>
      <c r="BY55" s="24" t="str">
        <f t="shared" si="145"/>
        <v/>
      </c>
      <c r="BZ55" s="24" t="str">
        <f t="shared" si="146"/>
        <v/>
      </c>
      <c r="CA55" s="24" t="str">
        <f t="shared" si="147"/>
        <v/>
      </c>
      <c r="CB55" s="24" t="str">
        <f t="shared" si="148"/>
        <v/>
      </c>
      <c r="CC55" s="24" t="str">
        <f t="shared" si="149"/>
        <v/>
      </c>
      <c r="CD55" s="24" t="str">
        <f t="shared" si="150"/>
        <v/>
      </c>
      <c r="CE55" s="24" t="str">
        <f t="shared" si="151"/>
        <v/>
      </c>
      <c r="CF55" s="24" t="str">
        <f t="shared" si="152"/>
        <v/>
      </c>
      <c r="CG55" s="24" t="str">
        <f t="shared" si="153"/>
        <v/>
      </c>
      <c r="CH55" s="24" t="str">
        <f t="shared" si="154"/>
        <v/>
      </c>
      <c r="CI55" s="24" t="str">
        <f t="shared" si="155"/>
        <v/>
      </c>
      <c r="CJ55" s="26" t="str">
        <f t="shared" si="156"/>
        <v/>
      </c>
      <c r="CK55" s="26" t="str">
        <f t="shared" si="157"/>
        <v/>
      </c>
      <c r="CL55" s="26" t="str">
        <f t="shared" si="83"/>
        <v/>
      </c>
      <c r="CM55" s="24" t="str">
        <f t="shared" si="84"/>
        <v/>
      </c>
      <c r="CN55" s="26" t="str">
        <f t="shared" si="158"/>
        <v/>
      </c>
      <c r="CO55" s="24" t="str">
        <f t="shared" si="159"/>
        <v/>
      </c>
      <c r="CP55" s="26" t="str">
        <f t="shared" si="160"/>
        <v/>
      </c>
      <c r="CQ55" s="26" t="str">
        <f t="shared" si="161"/>
        <v/>
      </c>
      <c r="CR55" s="26" t="str">
        <f t="shared" si="85"/>
        <v/>
      </c>
      <c r="CS55" s="24" t="str">
        <f t="shared" si="86"/>
        <v/>
      </c>
      <c r="CT55" s="27" t="str">
        <f t="shared" si="162"/>
        <v/>
      </c>
      <c r="CU55" s="24" t="str">
        <f t="shared" si="163"/>
        <v/>
      </c>
      <c r="CV55" s="26" t="str">
        <f t="shared" si="164"/>
        <v/>
      </c>
      <c r="CW55" s="26" t="str">
        <f t="shared" si="165"/>
        <v/>
      </c>
      <c r="CX55" s="26" t="str">
        <f t="shared" si="87"/>
        <v/>
      </c>
      <c r="CY55" s="27" t="str">
        <f t="shared" si="88"/>
        <v/>
      </c>
      <c r="CZ55" s="26" t="str">
        <f t="shared" si="166"/>
        <v/>
      </c>
      <c r="DA55" s="24" t="str">
        <f t="shared" si="167"/>
        <v/>
      </c>
      <c r="DB55" s="24" t="str">
        <f t="shared" si="168"/>
        <v/>
      </c>
      <c r="DC55" s="24" t="str">
        <f t="shared" si="169"/>
        <v/>
      </c>
      <c r="DD55" s="24" t="str">
        <f t="shared" si="170"/>
        <v/>
      </c>
      <c r="DE55" s="1">
        <v>0</v>
      </c>
      <c r="DF55" s="1">
        <v>0</v>
      </c>
      <c r="DG55" s="1">
        <v>0</v>
      </c>
      <c r="DH55" s="24" t="str">
        <f t="shared" si="171"/>
        <v/>
      </c>
      <c r="DI55" s="25" t="str">
        <f t="shared" si="172"/>
        <v/>
      </c>
      <c r="DJ55" t="str">
        <f t="shared" si="90"/>
        <v/>
      </c>
      <c r="DK55" s="9"/>
      <c r="DL55" s="9"/>
      <c r="DM55" s="9"/>
      <c r="DN55" s="9"/>
      <c r="DO55" s="9"/>
      <c r="DP55" s="9"/>
      <c r="DQ55" s="136" t="b">
        <f t="shared" si="173"/>
        <v>1</v>
      </c>
    </row>
    <row r="56" spans="1:121" ht="27" customHeight="1" x14ac:dyDescent="1.25">
      <c r="A56" s="24" t="str">
        <f t="shared" si="89"/>
        <v/>
      </c>
      <c r="B56" s="69"/>
      <c r="C56" s="70"/>
      <c r="D56" s="69"/>
      <c r="E56" s="69"/>
      <c r="F56" s="69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10"/>
      <c r="U56" s="22"/>
      <c r="V56" s="22"/>
      <c r="W56" s="3" t="str">
        <f t="shared" si="91"/>
        <v/>
      </c>
      <c r="X56" s="3" t="str">
        <f t="shared" si="92"/>
        <v/>
      </c>
      <c r="Y56" s="3" t="str">
        <f t="shared" si="93"/>
        <v/>
      </c>
      <c r="Z56" s="3" t="str">
        <f t="shared" si="94"/>
        <v/>
      </c>
      <c r="AA56" s="3" t="str">
        <f t="shared" si="95"/>
        <v/>
      </c>
      <c r="AB56" s="3" t="str">
        <f t="shared" si="96"/>
        <v/>
      </c>
      <c r="AC56" s="3" t="str">
        <f t="shared" si="97"/>
        <v/>
      </c>
      <c r="AD56" s="3" t="str">
        <f t="shared" si="98"/>
        <v/>
      </c>
      <c r="AE56" s="3" t="str">
        <f t="shared" si="99"/>
        <v/>
      </c>
      <c r="AF56" s="24" t="str">
        <f t="shared" si="100"/>
        <v/>
      </c>
      <c r="AG56" s="24" t="str">
        <f t="shared" si="101"/>
        <v/>
      </c>
      <c r="AH56" s="24" t="str">
        <f t="shared" si="102"/>
        <v/>
      </c>
      <c r="AI56" s="24" t="str">
        <f t="shared" si="103"/>
        <v/>
      </c>
      <c r="AJ56" s="24" t="str">
        <f t="shared" si="104"/>
        <v/>
      </c>
      <c r="AK56" s="24" t="str">
        <f t="shared" si="105"/>
        <v/>
      </c>
      <c r="AL56" s="24" t="str">
        <f t="shared" si="106"/>
        <v/>
      </c>
      <c r="AM56" s="24" t="str">
        <f t="shared" si="107"/>
        <v/>
      </c>
      <c r="AN56" s="24" t="str">
        <f t="shared" si="108"/>
        <v/>
      </c>
      <c r="AO56" s="24" t="str">
        <f t="shared" si="109"/>
        <v/>
      </c>
      <c r="AP56" s="24" t="str">
        <f t="shared" si="110"/>
        <v/>
      </c>
      <c r="AQ56" s="24" t="str">
        <f t="shared" si="111"/>
        <v/>
      </c>
      <c r="AR56" s="24" t="str">
        <f t="shared" si="112"/>
        <v/>
      </c>
      <c r="AS56" s="24" t="str">
        <f t="shared" si="113"/>
        <v/>
      </c>
      <c r="AT56" s="24" t="str">
        <f t="shared" si="114"/>
        <v/>
      </c>
      <c r="AU56" s="24" t="str">
        <f t="shared" si="115"/>
        <v/>
      </c>
      <c r="AV56" s="24" t="str">
        <f t="shared" si="116"/>
        <v/>
      </c>
      <c r="AW56" s="24" t="str">
        <f t="shared" si="117"/>
        <v/>
      </c>
      <c r="AX56" s="24" t="str">
        <f t="shared" si="118"/>
        <v/>
      </c>
      <c r="AY56" s="24" t="str">
        <f t="shared" si="119"/>
        <v/>
      </c>
      <c r="AZ56" s="24" t="str">
        <f t="shared" si="120"/>
        <v/>
      </c>
      <c r="BA56" s="24" t="str">
        <f t="shared" si="121"/>
        <v/>
      </c>
      <c r="BB56" s="24" t="str">
        <f t="shared" si="122"/>
        <v/>
      </c>
      <c r="BC56" s="26" t="str">
        <f t="shared" si="123"/>
        <v/>
      </c>
      <c r="BD56" s="26" t="str">
        <f t="shared" si="124"/>
        <v/>
      </c>
      <c r="BE56" s="26" t="str">
        <f t="shared" si="125"/>
        <v/>
      </c>
      <c r="BF56" s="26" t="str">
        <f t="shared" si="126"/>
        <v/>
      </c>
      <c r="BG56" s="26" t="str">
        <f t="shared" si="127"/>
        <v/>
      </c>
      <c r="BH56" s="26" t="str">
        <f t="shared" si="128"/>
        <v/>
      </c>
      <c r="BI56" s="26" t="str">
        <f t="shared" si="129"/>
        <v/>
      </c>
      <c r="BJ56" s="26" t="str">
        <f t="shared" si="130"/>
        <v/>
      </c>
      <c r="BK56" s="26" t="str">
        <f t="shared" si="131"/>
        <v/>
      </c>
      <c r="BL56" s="26" t="str">
        <f t="shared" si="132"/>
        <v/>
      </c>
      <c r="BM56" s="26" t="str">
        <f t="shared" si="133"/>
        <v/>
      </c>
      <c r="BN56" s="26" t="str">
        <f t="shared" si="134"/>
        <v/>
      </c>
      <c r="BO56" s="26" t="str">
        <f t="shared" si="135"/>
        <v/>
      </c>
      <c r="BP56" s="26" t="str">
        <f t="shared" si="136"/>
        <v/>
      </c>
      <c r="BQ56" s="26" t="str">
        <f t="shared" si="137"/>
        <v/>
      </c>
      <c r="BR56" s="26" t="str">
        <f t="shared" si="138"/>
        <v/>
      </c>
      <c r="BS56" s="24" t="str">
        <f t="shared" si="139"/>
        <v/>
      </c>
      <c r="BT56" s="24" t="str">
        <f t="shared" si="140"/>
        <v/>
      </c>
      <c r="BU56" s="24" t="str">
        <f t="shared" si="141"/>
        <v/>
      </c>
      <c r="BV56" s="24" t="str">
        <f t="shared" si="142"/>
        <v/>
      </c>
      <c r="BW56" s="24" t="str">
        <f t="shared" si="143"/>
        <v/>
      </c>
      <c r="BX56" s="24" t="str">
        <f t="shared" si="144"/>
        <v/>
      </c>
      <c r="BY56" s="24" t="str">
        <f t="shared" si="145"/>
        <v/>
      </c>
      <c r="BZ56" s="24" t="str">
        <f t="shared" si="146"/>
        <v/>
      </c>
      <c r="CA56" s="24" t="str">
        <f t="shared" si="147"/>
        <v/>
      </c>
      <c r="CB56" s="24" t="str">
        <f t="shared" si="148"/>
        <v/>
      </c>
      <c r="CC56" s="24" t="str">
        <f t="shared" si="149"/>
        <v/>
      </c>
      <c r="CD56" s="24" t="str">
        <f t="shared" si="150"/>
        <v/>
      </c>
      <c r="CE56" s="24" t="str">
        <f t="shared" si="151"/>
        <v/>
      </c>
      <c r="CF56" s="24" t="str">
        <f t="shared" si="152"/>
        <v/>
      </c>
      <c r="CG56" s="24" t="str">
        <f t="shared" si="153"/>
        <v/>
      </c>
      <c r="CH56" s="24" t="str">
        <f t="shared" si="154"/>
        <v/>
      </c>
      <c r="CI56" s="24" t="str">
        <f t="shared" si="155"/>
        <v/>
      </c>
      <c r="CJ56" s="26" t="str">
        <f t="shared" si="156"/>
        <v/>
      </c>
      <c r="CK56" s="26" t="str">
        <f t="shared" si="157"/>
        <v/>
      </c>
      <c r="CL56" s="26" t="str">
        <f t="shared" si="83"/>
        <v/>
      </c>
      <c r="CM56" s="24" t="str">
        <f t="shared" si="84"/>
        <v/>
      </c>
      <c r="CN56" s="26" t="str">
        <f t="shared" si="158"/>
        <v/>
      </c>
      <c r="CO56" s="24" t="str">
        <f t="shared" si="159"/>
        <v/>
      </c>
      <c r="CP56" s="26" t="str">
        <f t="shared" si="160"/>
        <v/>
      </c>
      <c r="CQ56" s="26" t="str">
        <f t="shared" si="161"/>
        <v/>
      </c>
      <c r="CR56" s="26" t="str">
        <f t="shared" si="85"/>
        <v/>
      </c>
      <c r="CS56" s="24" t="str">
        <f t="shared" si="86"/>
        <v/>
      </c>
      <c r="CT56" s="27" t="str">
        <f t="shared" si="162"/>
        <v/>
      </c>
      <c r="CU56" s="24" t="str">
        <f t="shared" si="163"/>
        <v/>
      </c>
      <c r="CV56" s="26" t="str">
        <f t="shared" si="164"/>
        <v/>
      </c>
      <c r="CW56" s="26" t="str">
        <f t="shared" si="165"/>
        <v/>
      </c>
      <c r="CX56" s="26" t="str">
        <f t="shared" si="87"/>
        <v/>
      </c>
      <c r="CY56" s="27" t="str">
        <f t="shared" si="88"/>
        <v/>
      </c>
      <c r="CZ56" s="26" t="str">
        <f t="shared" si="166"/>
        <v/>
      </c>
      <c r="DA56" s="24" t="str">
        <f t="shared" si="167"/>
        <v/>
      </c>
      <c r="DB56" s="24" t="str">
        <f t="shared" si="168"/>
        <v/>
      </c>
      <c r="DC56" s="24" t="str">
        <f t="shared" si="169"/>
        <v/>
      </c>
      <c r="DD56" s="24" t="str">
        <f t="shared" si="170"/>
        <v/>
      </c>
      <c r="DE56" s="1">
        <v>0</v>
      </c>
      <c r="DF56" s="1">
        <v>0</v>
      </c>
      <c r="DG56" s="1">
        <v>0</v>
      </c>
      <c r="DH56" s="24" t="str">
        <f t="shared" si="171"/>
        <v/>
      </c>
      <c r="DI56" s="25" t="str">
        <f t="shared" si="172"/>
        <v/>
      </c>
      <c r="DJ56" t="str">
        <f t="shared" si="90"/>
        <v/>
      </c>
      <c r="DK56" s="9"/>
      <c r="DL56" s="9"/>
      <c r="DM56" s="9"/>
      <c r="DN56" s="9"/>
      <c r="DO56" s="9"/>
      <c r="DP56" s="9"/>
      <c r="DQ56" s="136" t="b">
        <f t="shared" si="173"/>
        <v>1</v>
      </c>
    </row>
    <row r="57" spans="1:121" ht="27" customHeight="1" x14ac:dyDescent="1.25">
      <c r="A57" s="24" t="str">
        <f t="shared" si="89"/>
        <v/>
      </c>
      <c r="B57" s="69"/>
      <c r="C57" s="70"/>
      <c r="D57" s="69"/>
      <c r="E57" s="69"/>
      <c r="F57" s="69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10"/>
      <c r="U57" s="22"/>
      <c r="V57" s="22"/>
      <c r="W57" s="3" t="str">
        <f t="shared" si="91"/>
        <v/>
      </c>
      <c r="X57" s="3" t="str">
        <f t="shared" si="92"/>
        <v/>
      </c>
      <c r="Y57" s="3" t="str">
        <f t="shared" si="93"/>
        <v/>
      </c>
      <c r="Z57" s="3" t="str">
        <f t="shared" si="94"/>
        <v/>
      </c>
      <c r="AA57" s="3" t="str">
        <f t="shared" si="95"/>
        <v/>
      </c>
      <c r="AB57" s="3" t="str">
        <f t="shared" si="96"/>
        <v/>
      </c>
      <c r="AC57" s="3" t="str">
        <f t="shared" si="97"/>
        <v/>
      </c>
      <c r="AD57" s="3" t="str">
        <f t="shared" si="98"/>
        <v/>
      </c>
      <c r="AE57" s="3" t="str">
        <f t="shared" si="99"/>
        <v/>
      </c>
      <c r="AF57" s="24" t="str">
        <f t="shared" si="100"/>
        <v/>
      </c>
      <c r="AG57" s="24" t="str">
        <f t="shared" si="101"/>
        <v/>
      </c>
      <c r="AH57" s="24" t="str">
        <f t="shared" si="102"/>
        <v/>
      </c>
      <c r="AI57" s="24" t="str">
        <f t="shared" si="103"/>
        <v/>
      </c>
      <c r="AJ57" s="24" t="str">
        <f t="shared" si="104"/>
        <v/>
      </c>
      <c r="AK57" s="24" t="str">
        <f t="shared" si="105"/>
        <v/>
      </c>
      <c r="AL57" s="24" t="str">
        <f t="shared" si="106"/>
        <v/>
      </c>
      <c r="AM57" s="24" t="str">
        <f t="shared" si="107"/>
        <v/>
      </c>
      <c r="AN57" s="24" t="str">
        <f t="shared" si="108"/>
        <v/>
      </c>
      <c r="AO57" s="24" t="str">
        <f t="shared" si="109"/>
        <v/>
      </c>
      <c r="AP57" s="24" t="str">
        <f t="shared" si="110"/>
        <v/>
      </c>
      <c r="AQ57" s="24" t="str">
        <f t="shared" si="111"/>
        <v/>
      </c>
      <c r="AR57" s="24" t="str">
        <f t="shared" si="112"/>
        <v/>
      </c>
      <c r="AS57" s="24" t="str">
        <f t="shared" si="113"/>
        <v/>
      </c>
      <c r="AT57" s="24" t="str">
        <f t="shared" si="114"/>
        <v/>
      </c>
      <c r="AU57" s="24" t="str">
        <f t="shared" si="115"/>
        <v/>
      </c>
      <c r="AV57" s="24" t="str">
        <f t="shared" si="116"/>
        <v/>
      </c>
      <c r="AW57" s="24" t="str">
        <f t="shared" si="117"/>
        <v/>
      </c>
      <c r="AX57" s="24" t="str">
        <f t="shared" si="118"/>
        <v/>
      </c>
      <c r="AY57" s="24" t="str">
        <f t="shared" si="119"/>
        <v/>
      </c>
      <c r="AZ57" s="24" t="str">
        <f t="shared" si="120"/>
        <v/>
      </c>
      <c r="BA57" s="24" t="str">
        <f t="shared" si="121"/>
        <v/>
      </c>
      <c r="BB57" s="24" t="str">
        <f t="shared" si="122"/>
        <v/>
      </c>
      <c r="BC57" s="26" t="str">
        <f t="shared" si="123"/>
        <v/>
      </c>
      <c r="BD57" s="26" t="str">
        <f t="shared" si="124"/>
        <v/>
      </c>
      <c r="BE57" s="26" t="str">
        <f t="shared" si="125"/>
        <v/>
      </c>
      <c r="BF57" s="26" t="str">
        <f t="shared" si="126"/>
        <v/>
      </c>
      <c r="BG57" s="26" t="str">
        <f t="shared" si="127"/>
        <v/>
      </c>
      <c r="BH57" s="26" t="str">
        <f t="shared" si="128"/>
        <v/>
      </c>
      <c r="BI57" s="26" t="str">
        <f t="shared" si="129"/>
        <v/>
      </c>
      <c r="BJ57" s="26" t="str">
        <f t="shared" si="130"/>
        <v/>
      </c>
      <c r="BK57" s="26" t="str">
        <f t="shared" si="131"/>
        <v/>
      </c>
      <c r="BL57" s="26" t="str">
        <f t="shared" si="132"/>
        <v/>
      </c>
      <c r="BM57" s="26" t="str">
        <f t="shared" si="133"/>
        <v/>
      </c>
      <c r="BN57" s="26" t="str">
        <f t="shared" si="134"/>
        <v/>
      </c>
      <c r="BO57" s="26" t="str">
        <f t="shared" si="135"/>
        <v/>
      </c>
      <c r="BP57" s="26" t="str">
        <f t="shared" si="136"/>
        <v/>
      </c>
      <c r="BQ57" s="26" t="str">
        <f t="shared" si="137"/>
        <v/>
      </c>
      <c r="BR57" s="26" t="str">
        <f t="shared" si="138"/>
        <v/>
      </c>
      <c r="BS57" s="24" t="str">
        <f t="shared" si="139"/>
        <v/>
      </c>
      <c r="BT57" s="24" t="str">
        <f t="shared" si="140"/>
        <v/>
      </c>
      <c r="BU57" s="24" t="str">
        <f t="shared" si="141"/>
        <v/>
      </c>
      <c r="BV57" s="24" t="str">
        <f t="shared" si="142"/>
        <v/>
      </c>
      <c r="BW57" s="24" t="str">
        <f t="shared" si="143"/>
        <v/>
      </c>
      <c r="BX57" s="24" t="str">
        <f t="shared" si="144"/>
        <v/>
      </c>
      <c r="BY57" s="24" t="str">
        <f t="shared" si="145"/>
        <v/>
      </c>
      <c r="BZ57" s="24" t="str">
        <f t="shared" si="146"/>
        <v/>
      </c>
      <c r="CA57" s="24" t="str">
        <f t="shared" si="147"/>
        <v/>
      </c>
      <c r="CB57" s="24" t="str">
        <f t="shared" si="148"/>
        <v/>
      </c>
      <c r="CC57" s="24" t="str">
        <f t="shared" si="149"/>
        <v/>
      </c>
      <c r="CD57" s="24" t="str">
        <f t="shared" si="150"/>
        <v/>
      </c>
      <c r="CE57" s="24" t="str">
        <f t="shared" si="151"/>
        <v/>
      </c>
      <c r="CF57" s="24" t="str">
        <f t="shared" si="152"/>
        <v/>
      </c>
      <c r="CG57" s="24" t="str">
        <f t="shared" si="153"/>
        <v/>
      </c>
      <c r="CH57" s="24" t="str">
        <f t="shared" si="154"/>
        <v/>
      </c>
      <c r="CI57" s="24" t="str">
        <f t="shared" si="155"/>
        <v/>
      </c>
      <c r="CJ57" s="26" t="str">
        <f t="shared" si="156"/>
        <v/>
      </c>
      <c r="CK57" s="26" t="str">
        <f t="shared" si="157"/>
        <v/>
      </c>
      <c r="CL57" s="26" t="str">
        <f t="shared" si="83"/>
        <v/>
      </c>
      <c r="CM57" s="24" t="str">
        <f t="shared" si="84"/>
        <v/>
      </c>
      <c r="CN57" s="26" t="str">
        <f t="shared" si="158"/>
        <v/>
      </c>
      <c r="CO57" s="24" t="str">
        <f t="shared" si="159"/>
        <v/>
      </c>
      <c r="CP57" s="26" t="str">
        <f t="shared" si="160"/>
        <v/>
      </c>
      <c r="CQ57" s="26" t="str">
        <f t="shared" si="161"/>
        <v/>
      </c>
      <c r="CR57" s="26" t="str">
        <f t="shared" si="85"/>
        <v/>
      </c>
      <c r="CS57" s="24" t="str">
        <f t="shared" si="86"/>
        <v/>
      </c>
      <c r="CT57" s="27" t="str">
        <f t="shared" si="162"/>
        <v/>
      </c>
      <c r="CU57" s="24" t="str">
        <f t="shared" si="163"/>
        <v/>
      </c>
      <c r="CV57" s="26" t="str">
        <f t="shared" si="164"/>
        <v/>
      </c>
      <c r="CW57" s="26" t="str">
        <f t="shared" si="165"/>
        <v/>
      </c>
      <c r="CX57" s="26" t="str">
        <f t="shared" si="87"/>
        <v/>
      </c>
      <c r="CY57" s="27" t="str">
        <f t="shared" si="88"/>
        <v/>
      </c>
      <c r="CZ57" s="26" t="str">
        <f t="shared" si="166"/>
        <v/>
      </c>
      <c r="DA57" s="24" t="str">
        <f t="shared" si="167"/>
        <v/>
      </c>
      <c r="DB57" s="24" t="str">
        <f t="shared" si="168"/>
        <v/>
      </c>
      <c r="DC57" s="24" t="str">
        <f t="shared" si="169"/>
        <v/>
      </c>
      <c r="DD57" s="24" t="str">
        <f t="shared" si="170"/>
        <v/>
      </c>
      <c r="DE57" s="1">
        <v>0</v>
      </c>
      <c r="DF57" s="1">
        <v>0</v>
      </c>
      <c r="DG57" s="1">
        <v>0</v>
      </c>
      <c r="DH57" s="24" t="str">
        <f t="shared" si="171"/>
        <v/>
      </c>
      <c r="DI57" s="25" t="str">
        <f t="shared" si="172"/>
        <v/>
      </c>
      <c r="DJ57" t="str">
        <f t="shared" si="90"/>
        <v/>
      </c>
      <c r="DK57" s="9"/>
      <c r="DL57" s="9"/>
      <c r="DM57" s="9"/>
      <c r="DN57" s="9"/>
      <c r="DO57" s="9"/>
      <c r="DP57" s="9"/>
      <c r="DQ57" s="136" t="b">
        <f t="shared" si="173"/>
        <v>1</v>
      </c>
    </row>
    <row r="58" spans="1:121" ht="27" customHeight="1" x14ac:dyDescent="1.25">
      <c r="A58" s="24" t="str">
        <f t="shared" si="89"/>
        <v/>
      </c>
      <c r="B58" s="69"/>
      <c r="C58" s="70"/>
      <c r="D58" s="69"/>
      <c r="E58" s="69"/>
      <c r="F58" s="69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10"/>
      <c r="U58" s="22"/>
      <c r="V58" s="22"/>
      <c r="W58" s="3" t="str">
        <f t="shared" si="91"/>
        <v/>
      </c>
      <c r="X58" s="3" t="str">
        <f t="shared" si="92"/>
        <v/>
      </c>
      <c r="Y58" s="3" t="str">
        <f t="shared" si="93"/>
        <v/>
      </c>
      <c r="Z58" s="3" t="str">
        <f t="shared" si="94"/>
        <v/>
      </c>
      <c r="AA58" s="3" t="str">
        <f t="shared" si="95"/>
        <v/>
      </c>
      <c r="AB58" s="3" t="str">
        <f t="shared" si="96"/>
        <v/>
      </c>
      <c r="AC58" s="3" t="str">
        <f t="shared" si="97"/>
        <v/>
      </c>
      <c r="AD58" s="3" t="str">
        <f t="shared" si="98"/>
        <v/>
      </c>
      <c r="AE58" s="3" t="str">
        <f t="shared" si="99"/>
        <v/>
      </c>
      <c r="AF58" s="24" t="str">
        <f t="shared" si="100"/>
        <v/>
      </c>
      <c r="AG58" s="24" t="str">
        <f t="shared" si="101"/>
        <v/>
      </c>
      <c r="AH58" s="24" t="str">
        <f t="shared" si="102"/>
        <v/>
      </c>
      <c r="AI58" s="24" t="str">
        <f t="shared" si="103"/>
        <v/>
      </c>
      <c r="AJ58" s="24" t="str">
        <f t="shared" si="104"/>
        <v/>
      </c>
      <c r="AK58" s="24" t="str">
        <f t="shared" si="105"/>
        <v/>
      </c>
      <c r="AL58" s="24" t="str">
        <f t="shared" si="106"/>
        <v/>
      </c>
      <c r="AM58" s="24" t="str">
        <f t="shared" si="107"/>
        <v/>
      </c>
      <c r="AN58" s="24" t="str">
        <f t="shared" si="108"/>
        <v/>
      </c>
      <c r="AO58" s="24" t="str">
        <f t="shared" si="109"/>
        <v/>
      </c>
      <c r="AP58" s="24" t="str">
        <f t="shared" si="110"/>
        <v/>
      </c>
      <c r="AQ58" s="24" t="str">
        <f t="shared" si="111"/>
        <v/>
      </c>
      <c r="AR58" s="24" t="str">
        <f t="shared" si="112"/>
        <v/>
      </c>
      <c r="AS58" s="24" t="str">
        <f t="shared" si="113"/>
        <v/>
      </c>
      <c r="AT58" s="24" t="str">
        <f t="shared" si="114"/>
        <v/>
      </c>
      <c r="AU58" s="24" t="str">
        <f t="shared" si="115"/>
        <v/>
      </c>
      <c r="AV58" s="24" t="str">
        <f t="shared" si="116"/>
        <v/>
      </c>
      <c r="AW58" s="24" t="str">
        <f t="shared" si="117"/>
        <v/>
      </c>
      <c r="AX58" s="24" t="str">
        <f t="shared" si="118"/>
        <v/>
      </c>
      <c r="AY58" s="24" t="str">
        <f t="shared" si="119"/>
        <v/>
      </c>
      <c r="AZ58" s="24" t="str">
        <f t="shared" si="120"/>
        <v/>
      </c>
      <c r="BA58" s="24" t="str">
        <f t="shared" si="121"/>
        <v/>
      </c>
      <c r="BB58" s="24" t="str">
        <f t="shared" si="122"/>
        <v/>
      </c>
      <c r="BC58" s="26" t="str">
        <f t="shared" si="123"/>
        <v/>
      </c>
      <c r="BD58" s="26" t="str">
        <f t="shared" si="124"/>
        <v/>
      </c>
      <c r="BE58" s="26" t="str">
        <f t="shared" si="125"/>
        <v/>
      </c>
      <c r="BF58" s="26" t="str">
        <f t="shared" si="126"/>
        <v/>
      </c>
      <c r="BG58" s="26" t="str">
        <f t="shared" si="127"/>
        <v/>
      </c>
      <c r="BH58" s="26" t="str">
        <f t="shared" si="128"/>
        <v/>
      </c>
      <c r="BI58" s="26" t="str">
        <f t="shared" si="129"/>
        <v/>
      </c>
      <c r="BJ58" s="26" t="str">
        <f t="shared" si="130"/>
        <v/>
      </c>
      <c r="BK58" s="26" t="str">
        <f t="shared" si="131"/>
        <v/>
      </c>
      <c r="BL58" s="26" t="str">
        <f t="shared" si="132"/>
        <v/>
      </c>
      <c r="BM58" s="26" t="str">
        <f t="shared" si="133"/>
        <v/>
      </c>
      <c r="BN58" s="26" t="str">
        <f t="shared" si="134"/>
        <v/>
      </c>
      <c r="BO58" s="26" t="str">
        <f t="shared" si="135"/>
        <v/>
      </c>
      <c r="BP58" s="26" t="str">
        <f t="shared" si="136"/>
        <v/>
      </c>
      <c r="BQ58" s="26" t="str">
        <f t="shared" si="137"/>
        <v/>
      </c>
      <c r="BR58" s="26" t="str">
        <f t="shared" si="138"/>
        <v/>
      </c>
      <c r="BS58" s="24" t="str">
        <f t="shared" si="139"/>
        <v/>
      </c>
      <c r="BT58" s="24" t="str">
        <f t="shared" si="140"/>
        <v/>
      </c>
      <c r="BU58" s="24" t="str">
        <f t="shared" si="141"/>
        <v/>
      </c>
      <c r="BV58" s="24" t="str">
        <f t="shared" si="142"/>
        <v/>
      </c>
      <c r="BW58" s="24" t="str">
        <f t="shared" si="143"/>
        <v/>
      </c>
      <c r="BX58" s="24" t="str">
        <f t="shared" si="144"/>
        <v/>
      </c>
      <c r="BY58" s="24" t="str">
        <f t="shared" si="145"/>
        <v/>
      </c>
      <c r="BZ58" s="24" t="str">
        <f t="shared" si="146"/>
        <v/>
      </c>
      <c r="CA58" s="24" t="str">
        <f t="shared" si="147"/>
        <v/>
      </c>
      <c r="CB58" s="24" t="str">
        <f t="shared" si="148"/>
        <v/>
      </c>
      <c r="CC58" s="24" t="str">
        <f t="shared" si="149"/>
        <v/>
      </c>
      <c r="CD58" s="24" t="str">
        <f t="shared" si="150"/>
        <v/>
      </c>
      <c r="CE58" s="24" t="str">
        <f t="shared" si="151"/>
        <v/>
      </c>
      <c r="CF58" s="24" t="str">
        <f t="shared" si="152"/>
        <v/>
      </c>
      <c r="CG58" s="24" t="str">
        <f t="shared" si="153"/>
        <v/>
      </c>
      <c r="CH58" s="24" t="str">
        <f t="shared" si="154"/>
        <v/>
      </c>
      <c r="CI58" s="24" t="str">
        <f t="shared" si="155"/>
        <v/>
      </c>
      <c r="CJ58" s="26" t="str">
        <f t="shared" si="156"/>
        <v/>
      </c>
      <c r="CK58" s="26" t="str">
        <f t="shared" si="157"/>
        <v/>
      </c>
      <c r="CL58" s="26" t="str">
        <f t="shared" si="83"/>
        <v/>
      </c>
      <c r="CM58" s="24" t="str">
        <f t="shared" si="84"/>
        <v/>
      </c>
      <c r="CN58" s="26" t="str">
        <f t="shared" si="158"/>
        <v/>
      </c>
      <c r="CO58" s="24" t="str">
        <f t="shared" si="159"/>
        <v/>
      </c>
      <c r="CP58" s="26" t="str">
        <f t="shared" si="160"/>
        <v/>
      </c>
      <c r="CQ58" s="26" t="str">
        <f t="shared" si="161"/>
        <v/>
      </c>
      <c r="CR58" s="26" t="str">
        <f t="shared" si="85"/>
        <v/>
      </c>
      <c r="CS58" s="24" t="str">
        <f t="shared" si="86"/>
        <v/>
      </c>
      <c r="CT58" s="27" t="str">
        <f t="shared" si="162"/>
        <v/>
      </c>
      <c r="CU58" s="24" t="str">
        <f t="shared" si="163"/>
        <v/>
      </c>
      <c r="CV58" s="26" t="str">
        <f t="shared" si="164"/>
        <v/>
      </c>
      <c r="CW58" s="26" t="str">
        <f t="shared" si="165"/>
        <v/>
      </c>
      <c r="CX58" s="26" t="str">
        <f t="shared" si="87"/>
        <v/>
      </c>
      <c r="CY58" s="27" t="str">
        <f t="shared" si="88"/>
        <v/>
      </c>
      <c r="CZ58" s="26" t="str">
        <f t="shared" si="166"/>
        <v/>
      </c>
      <c r="DA58" s="24" t="str">
        <f t="shared" si="167"/>
        <v/>
      </c>
      <c r="DB58" s="24" t="str">
        <f t="shared" si="168"/>
        <v/>
      </c>
      <c r="DC58" s="24" t="str">
        <f t="shared" si="169"/>
        <v/>
      </c>
      <c r="DD58" s="24" t="str">
        <f t="shared" si="170"/>
        <v/>
      </c>
      <c r="DE58" s="1">
        <v>0</v>
      </c>
      <c r="DF58" s="1">
        <v>0</v>
      </c>
      <c r="DG58" s="1">
        <v>0</v>
      </c>
      <c r="DH58" s="24" t="str">
        <f t="shared" si="171"/>
        <v/>
      </c>
      <c r="DI58" s="25" t="str">
        <f t="shared" si="172"/>
        <v/>
      </c>
      <c r="DJ58" t="str">
        <f t="shared" si="90"/>
        <v/>
      </c>
      <c r="DK58" s="9"/>
      <c r="DL58" s="9"/>
      <c r="DM58" s="9"/>
      <c r="DN58" s="9"/>
      <c r="DO58" s="9"/>
      <c r="DP58" s="9"/>
      <c r="DQ58" s="136" t="b">
        <f t="shared" si="173"/>
        <v>1</v>
      </c>
    </row>
    <row r="59" spans="1:121" ht="27" customHeight="1" x14ac:dyDescent="1.25">
      <c r="A59" s="24" t="str">
        <f t="shared" si="89"/>
        <v/>
      </c>
      <c r="B59" s="69"/>
      <c r="C59" s="70"/>
      <c r="D59" s="69"/>
      <c r="E59" s="69"/>
      <c r="F59" s="69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10"/>
      <c r="U59" s="22"/>
      <c r="V59" s="22"/>
      <c r="W59" s="3" t="str">
        <f t="shared" si="91"/>
        <v/>
      </c>
      <c r="X59" s="3" t="str">
        <f t="shared" si="92"/>
        <v/>
      </c>
      <c r="Y59" s="3" t="str">
        <f t="shared" si="93"/>
        <v/>
      </c>
      <c r="Z59" s="3" t="str">
        <f t="shared" si="94"/>
        <v/>
      </c>
      <c r="AA59" s="3" t="str">
        <f t="shared" si="95"/>
        <v/>
      </c>
      <c r="AB59" s="3" t="str">
        <f t="shared" si="96"/>
        <v/>
      </c>
      <c r="AC59" s="3" t="str">
        <f t="shared" si="97"/>
        <v/>
      </c>
      <c r="AD59" s="3" t="str">
        <f t="shared" si="98"/>
        <v/>
      </c>
      <c r="AE59" s="3" t="str">
        <f t="shared" si="99"/>
        <v/>
      </c>
      <c r="AF59" s="24" t="str">
        <f t="shared" si="100"/>
        <v/>
      </c>
      <c r="AG59" s="24" t="str">
        <f t="shared" si="101"/>
        <v/>
      </c>
      <c r="AH59" s="24" t="str">
        <f t="shared" si="102"/>
        <v/>
      </c>
      <c r="AI59" s="24" t="str">
        <f t="shared" si="103"/>
        <v/>
      </c>
      <c r="AJ59" s="24" t="str">
        <f t="shared" si="104"/>
        <v/>
      </c>
      <c r="AK59" s="24" t="str">
        <f t="shared" si="105"/>
        <v/>
      </c>
      <c r="AL59" s="24" t="str">
        <f t="shared" si="106"/>
        <v/>
      </c>
      <c r="AM59" s="24" t="str">
        <f t="shared" si="107"/>
        <v/>
      </c>
      <c r="AN59" s="24" t="str">
        <f t="shared" si="108"/>
        <v/>
      </c>
      <c r="AO59" s="24" t="str">
        <f t="shared" si="109"/>
        <v/>
      </c>
      <c r="AP59" s="24" t="str">
        <f t="shared" si="110"/>
        <v/>
      </c>
      <c r="AQ59" s="24" t="str">
        <f t="shared" si="111"/>
        <v/>
      </c>
      <c r="AR59" s="24" t="str">
        <f t="shared" si="112"/>
        <v/>
      </c>
      <c r="AS59" s="24" t="str">
        <f t="shared" si="113"/>
        <v/>
      </c>
      <c r="AT59" s="24" t="str">
        <f t="shared" si="114"/>
        <v/>
      </c>
      <c r="AU59" s="24" t="str">
        <f t="shared" si="115"/>
        <v/>
      </c>
      <c r="AV59" s="24" t="str">
        <f t="shared" si="116"/>
        <v/>
      </c>
      <c r="AW59" s="24" t="str">
        <f t="shared" si="117"/>
        <v/>
      </c>
      <c r="AX59" s="24" t="str">
        <f t="shared" si="118"/>
        <v/>
      </c>
      <c r="AY59" s="24" t="str">
        <f t="shared" si="119"/>
        <v/>
      </c>
      <c r="AZ59" s="24" t="str">
        <f t="shared" si="120"/>
        <v/>
      </c>
      <c r="BA59" s="24" t="str">
        <f t="shared" si="121"/>
        <v/>
      </c>
      <c r="BB59" s="24" t="str">
        <f t="shared" si="122"/>
        <v/>
      </c>
      <c r="BC59" s="26" t="str">
        <f t="shared" si="123"/>
        <v/>
      </c>
      <c r="BD59" s="26" t="str">
        <f t="shared" si="124"/>
        <v/>
      </c>
      <c r="BE59" s="26" t="str">
        <f t="shared" si="125"/>
        <v/>
      </c>
      <c r="BF59" s="26" t="str">
        <f t="shared" si="126"/>
        <v/>
      </c>
      <c r="BG59" s="26" t="str">
        <f t="shared" si="127"/>
        <v/>
      </c>
      <c r="BH59" s="26" t="str">
        <f t="shared" si="128"/>
        <v/>
      </c>
      <c r="BI59" s="26" t="str">
        <f t="shared" si="129"/>
        <v/>
      </c>
      <c r="BJ59" s="26" t="str">
        <f t="shared" si="130"/>
        <v/>
      </c>
      <c r="BK59" s="26" t="str">
        <f t="shared" si="131"/>
        <v/>
      </c>
      <c r="BL59" s="26" t="str">
        <f t="shared" si="132"/>
        <v/>
      </c>
      <c r="BM59" s="26" t="str">
        <f t="shared" si="133"/>
        <v/>
      </c>
      <c r="BN59" s="26" t="str">
        <f t="shared" si="134"/>
        <v/>
      </c>
      <c r="BO59" s="26" t="str">
        <f t="shared" si="135"/>
        <v/>
      </c>
      <c r="BP59" s="26" t="str">
        <f t="shared" si="136"/>
        <v/>
      </c>
      <c r="BQ59" s="26" t="str">
        <f t="shared" si="137"/>
        <v/>
      </c>
      <c r="BR59" s="26" t="str">
        <f t="shared" si="138"/>
        <v/>
      </c>
      <c r="BS59" s="24" t="str">
        <f t="shared" si="139"/>
        <v/>
      </c>
      <c r="BT59" s="24" t="str">
        <f t="shared" si="140"/>
        <v/>
      </c>
      <c r="BU59" s="24" t="str">
        <f t="shared" si="141"/>
        <v/>
      </c>
      <c r="BV59" s="24" t="str">
        <f t="shared" si="142"/>
        <v/>
      </c>
      <c r="BW59" s="24" t="str">
        <f t="shared" si="143"/>
        <v/>
      </c>
      <c r="BX59" s="24" t="str">
        <f t="shared" si="144"/>
        <v/>
      </c>
      <c r="BY59" s="24" t="str">
        <f t="shared" si="145"/>
        <v/>
      </c>
      <c r="BZ59" s="24" t="str">
        <f t="shared" si="146"/>
        <v/>
      </c>
      <c r="CA59" s="24" t="str">
        <f t="shared" si="147"/>
        <v/>
      </c>
      <c r="CB59" s="24" t="str">
        <f t="shared" si="148"/>
        <v/>
      </c>
      <c r="CC59" s="24" t="str">
        <f t="shared" si="149"/>
        <v/>
      </c>
      <c r="CD59" s="24" t="str">
        <f t="shared" si="150"/>
        <v/>
      </c>
      <c r="CE59" s="24" t="str">
        <f t="shared" si="151"/>
        <v/>
      </c>
      <c r="CF59" s="24" t="str">
        <f t="shared" si="152"/>
        <v/>
      </c>
      <c r="CG59" s="24" t="str">
        <f t="shared" si="153"/>
        <v/>
      </c>
      <c r="CH59" s="24" t="str">
        <f t="shared" si="154"/>
        <v/>
      </c>
      <c r="CI59" s="24" t="str">
        <f t="shared" si="155"/>
        <v/>
      </c>
      <c r="CJ59" s="26" t="str">
        <f t="shared" si="156"/>
        <v/>
      </c>
      <c r="CK59" s="26" t="str">
        <f t="shared" si="157"/>
        <v/>
      </c>
      <c r="CL59" s="26" t="str">
        <f t="shared" si="83"/>
        <v/>
      </c>
      <c r="CM59" s="24" t="str">
        <f t="shared" si="84"/>
        <v/>
      </c>
      <c r="CN59" s="26" t="str">
        <f t="shared" si="158"/>
        <v/>
      </c>
      <c r="CO59" s="24" t="str">
        <f t="shared" si="159"/>
        <v/>
      </c>
      <c r="CP59" s="26" t="str">
        <f t="shared" si="160"/>
        <v/>
      </c>
      <c r="CQ59" s="26" t="str">
        <f t="shared" si="161"/>
        <v/>
      </c>
      <c r="CR59" s="26" t="str">
        <f t="shared" si="85"/>
        <v/>
      </c>
      <c r="CS59" s="24" t="str">
        <f t="shared" si="86"/>
        <v/>
      </c>
      <c r="CT59" s="27" t="str">
        <f t="shared" si="162"/>
        <v/>
      </c>
      <c r="CU59" s="24" t="str">
        <f t="shared" si="163"/>
        <v/>
      </c>
      <c r="CV59" s="26" t="str">
        <f t="shared" si="164"/>
        <v/>
      </c>
      <c r="CW59" s="26" t="str">
        <f t="shared" si="165"/>
        <v/>
      </c>
      <c r="CX59" s="26" t="str">
        <f t="shared" si="87"/>
        <v/>
      </c>
      <c r="CY59" s="27" t="str">
        <f t="shared" si="88"/>
        <v/>
      </c>
      <c r="CZ59" s="26" t="str">
        <f t="shared" si="166"/>
        <v/>
      </c>
      <c r="DA59" s="24" t="str">
        <f t="shared" si="167"/>
        <v/>
      </c>
      <c r="DB59" s="24" t="str">
        <f t="shared" si="168"/>
        <v/>
      </c>
      <c r="DC59" s="24" t="str">
        <f t="shared" si="169"/>
        <v/>
      </c>
      <c r="DD59" s="24" t="str">
        <f t="shared" si="170"/>
        <v/>
      </c>
      <c r="DE59" s="1">
        <v>0</v>
      </c>
      <c r="DF59" s="1">
        <v>0</v>
      </c>
      <c r="DG59" s="1">
        <v>0</v>
      </c>
      <c r="DH59" s="24" t="str">
        <f t="shared" si="171"/>
        <v/>
      </c>
      <c r="DI59" s="25" t="str">
        <f t="shared" si="172"/>
        <v/>
      </c>
      <c r="DJ59" t="str">
        <f t="shared" si="90"/>
        <v/>
      </c>
      <c r="DK59" s="9"/>
      <c r="DL59" s="9"/>
      <c r="DM59" s="9"/>
      <c r="DN59" s="9"/>
      <c r="DO59" s="9"/>
      <c r="DP59" s="9"/>
      <c r="DQ59" s="136" t="b">
        <f t="shared" si="173"/>
        <v>1</v>
      </c>
    </row>
    <row r="60" spans="1:121" ht="27" customHeight="1" x14ac:dyDescent="0.95">
      <c r="A60" s="24" t="str">
        <f t="shared" si="89"/>
        <v/>
      </c>
      <c r="B60" s="9"/>
      <c r="C60" s="14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22"/>
      <c r="Q60" s="22"/>
      <c r="R60" s="22"/>
      <c r="S60" s="22"/>
      <c r="T60" s="22"/>
      <c r="U60" s="22"/>
      <c r="V60" s="22"/>
      <c r="W60" s="3" t="str">
        <f t="shared" si="91"/>
        <v/>
      </c>
      <c r="X60" s="3" t="str">
        <f t="shared" si="92"/>
        <v/>
      </c>
      <c r="Y60" s="3" t="str">
        <f t="shared" si="93"/>
        <v/>
      </c>
      <c r="Z60" s="3" t="str">
        <f t="shared" si="94"/>
        <v/>
      </c>
      <c r="AA60" s="3" t="str">
        <f t="shared" si="95"/>
        <v/>
      </c>
      <c r="AB60" s="3" t="str">
        <f t="shared" si="96"/>
        <v/>
      </c>
      <c r="AC60" s="3" t="str">
        <f t="shared" si="97"/>
        <v/>
      </c>
      <c r="AD60" s="3" t="str">
        <f t="shared" si="98"/>
        <v/>
      </c>
      <c r="AE60" s="3" t="str">
        <f t="shared" si="99"/>
        <v/>
      </c>
      <c r="AF60" s="24" t="str">
        <f t="shared" si="100"/>
        <v/>
      </c>
      <c r="AG60" s="24" t="str">
        <f t="shared" si="101"/>
        <v/>
      </c>
      <c r="AH60" s="24" t="str">
        <f t="shared" si="102"/>
        <v/>
      </c>
      <c r="AI60" s="24" t="str">
        <f t="shared" si="103"/>
        <v/>
      </c>
      <c r="AJ60" s="24" t="str">
        <f t="shared" si="104"/>
        <v/>
      </c>
      <c r="AK60" s="24" t="str">
        <f t="shared" si="105"/>
        <v/>
      </c>
      <c r="AL60" s="24" t="str">
        <f t="shared" si="106"/>
        <v/>
      </c>
      <c r="AM60" s="24" t="str">
        <f t="shared" si="107"/>
        <v/>
      </c>
      <c r="AN60" s="24" t="str">
        <f t="shared" si="108"/>
        <v/>
      </c>
      <c r="AO60" s="24" t="str">
        <f t="shared" si="109"/>
        <v/>
      </c>
      <c r="AP60" s="24" t="str">
        <f t="shared" si="110"/>
        <v/>
      </c>
      <c r="AQ60" s="24" t="str">
        <f t="shared" si="111"/>
        <v/>
      </c>
      <c r="AR60" s="24" t="str">
        <f t="shared" si="112"/>
        <v/>
      </c>
      <c r="AS60" s="24" t="str">
        <f t="shared" si="113"/>
        <v/>
      </c>
      <c r="AT60" s="24" t="str">
        <f t="shared" si="114"/>
        <v/>
      </c>
      <c r="AU60" s="24" t="str">
        <f t="shared" si="115"/>
        <v/>
      </c>
      <c r="AV60" s="24" t="str">
        <f t="shared" si="116"/>
        <v/>
      </c>
      <c r="AW60" s="24" t="str">
        <f t="shared" si="117"/>
        <v/>
      </c>
      <c r="AX60" s="24" t="str">
        <f t="shared" si="118"/>
        <v/>
      </c>
      <c r="AY60" s="24" t="str">
        <f t="shared" si="119"/>
        <v/>
      </c>
      <c r="AZ60" s="24" t="str">
        <f t="shared" si="120"/>
        <v/>
      </c>
      <c r="BA60" s="24" t="str">
        <f t="shared" si="121"/>
        <v/>
      </c>
      <c r="BB60" s="24" t="str">
        <f t="shared" si="122"/>
        <v/>
      </c>
      <c r="BC60" s="26" t="str">
        <f t="shared" si="123"/>
        <v/>
      </c>
      <c r="BD60" s="26" t="str">
        <f t="shared" si="124"/>
        <v/>
      </c>
      <c r="BE60" s="26" t="str">
        <f t="shared" si="125"/>
        <v/>
      </c>
      <c r="BF60" s="26" t="str">
        <f t="shared" si="126"/>
        <v/>
      </c>
      <c r="BG60" s="26" t="str">
        <f t="shared" si="127"/>
        <v/>
      </c>
      <c r="BH60" s="26" t="str">
        <f t="shared" si="128"/>
        <v/>
      </c>
      <c r="BI60" s="26" t="str">
        <f t="shared" si="129"/>
        <v/>
      </c>
      <c r="BJ60" s="26" t="str">
        <f t="shared" si="130"/>
        <v/>
      </c>
      <c r="BK60" s="26" t="str">
        <f t="shared" si="131"/>
        <v/>
      </c>
      <c r="BL60" s="26" t="str">
        <f t="shared" si="132"/>
        <v/>
      </c>
      <c r="BM60" s="26" t="str">
        <f t="shared" si="133"/>
        <v/>
      </c>
      <c r="BN60" s="26" t="str">
        <f t="shared" si="134"/>
        <v/>
      </c>
      <c r="BO60" s="26" t="str">
        <f t="shared" si="135"/>
        <v/>
      </c>
      <c r="BP60" s="26" t="str">
        <f t="shared" si="136"/>
        <v/>
      </c>
      <c r="BQ60" s="26" t="str">
        <f t="shared" si="137"/>
        <v/>
      </c>
      <c r="BR60" s="26" t="str">
        <f t="shared" si="138"/>
        <v/>
      </c>
      <c r="BS60" s="24" t="str">
        <f t="shared" si="139"/>
        <v/>
      </c>
      <c r="BT60" s="24" t="str">
        <f t="shared" si="140"/>
        <v/>
      </c>
      <c r="BU60" s="24" t="str">
        <f t="shared" si="141"/>
        <v/>
      </c>
      <c r="BV60" s="24" t="str">
        <f t="shared" si="142"/>
        <v/>
      </c>
      <c r="BW60" s="24" t="str">
        <f t="shared" si="143"/>
        <v/>
      </c>
      <c r="BX60" s="24" t="str">
        <f t="shared" si="144"/>
        <v/>
      </c>
      <c r="BY60" s="24" t="str">
        <f t="shared" si="145"/>
        <v/>
      </c>
      <c r="BZ60" s="24" t="str">
        <f t="shared" si="146"/>
        <v/>
      </c>
      <c r="CA60" s="24" t="str">
        <f t="shared" si="147"/>
        <v/>
      </c>
      <c r="CB60" s="24" t="str">
        <f t="shared" si="148"/>
        <v/>
      </c>
      <c r="CC60" s="24" t="str">
        <f t="shared" si="149"/>
        <v/>
      </c>
      <c r="CD60" s="24" t="str">
        <f t="shared" si="150"/>
        <v/>
      </c>
      <c r="CE60" s="24" t="str">
        <f t="shared" si="151"/>
        <v/>
      </c>
      <c r="CF60" s="24" t="str">
        <f t="shared" si="152"/>
        <v/>
      </c>
      <c r="CG60" s="24" t="str">
        <f t="shared" si="153"/>
        <v/>
      </c>
      <c r="CH60" s="24" t="str">
        <f t="shared" si="154"/>
        <v/>
      </c>
      <c r="CI60" s="24" t="str">
        <f t="shared" si="155"/>
        <v/>
      </c>
      <c r="CJ60" s="26" t="str">
        <f t="shared" si="156"/>
        <v/>
      </c>
      <c r="CK60" s="26" t="str">
        <f t="shared" si="157"/>
        <v/>
      </c>
      <c r="CL60" s="26" t="str">
        <f t="shared" si="83"/>
        <v/>
      </c>
      <c r="CM60" s="24" t="str">
        <f t="shared" si="84"/>
        <v/>
      </c>
      <c r="CN60" s="26" t="str">
        <f t="shared" si="158"/>
        <v/>
      </c>
      <c r="CO60" s="24" t="str">
        <f t="shared" si="159"/>
        <v/>
      </c>
      <c r="CP60" s="26" t="str">
        <f t="shared" si="160"/>
        <v/>
      </c>
      <c r="CQ60" s="26" t="str">
        <f t="shared" si="161"/>
        <v/>
      </c>
      <c r="CR60" s="26" t="str">
        <f t="shared" si="85"/>
        <v/>
      </c>
      <c r="CS60" s="24" t="str">
        <f t="shared" si="86"/>
        <v/>
      </c>
      <c r="CT60" s="27" t="str">
        <f t="shared" si="162"/>
        <v/>
      </c>
      <c r="CU60" s="24" t="str">
        <f t="shared" si="163"/>
        <v/>
      </c>
      <c r="CV60" s="26" t="str">
        <f t="shared" si="164"/>
        <v/>
      </c>
      <c r="CW60" s="26" t="str">
        <f t="shared" si="165"/>
        <v/>
      </c>
      <c r="CX60" s="26" t="str">
        <f t="shared" si="87"/>
        <v/>
      </c>
      <c r="CY60" s="27" t="str">
        <f t="shared" si="88"/>
        <v/>
      </c>
      <c r="CZ60" s="26" t="str">
        <f t="shared" si="166"/>
        <v/>
      </c>
      <c r="DA60" s="24" t="str">
        <f t="shared" si="167"/>
        <v/>
      </c>
      <c r="DB60" s="24" t="str">
        <f t="shared" si="168"/>
        <v/>
      </c>
      <c r="DC60" s="24" t="str">
        <f t="shared" si="169"/>
        <v/>
      </c>
      <c r="DD60" s="24" t="str">
        <f t="shared" si="170"/>
        <v/>
      </c>
      <c r="DE60" s="1">
        <v>0</v>
      </c>
      <c r="DF60" s="1">
        <v>0</v>
      </c>
      <c r="DG60" s="1">
        <v>0</v>
      </c>
      <c r="DH60" s="24" t="str">
        <f t="shared" si="171"/>
        <v/>
      </c>
      <c r="DI60" s="25" t="str">
        <f t="shared" si="172"/>
        <v/>
      </c>
      <c r="DJ60" t="str">
        <f t="shared" si="90"/>
        <v/>
      </c>
      <c r="DK60" s="9"/>
      <c r="DL60" s="9"/>
      <c r="DM60" s="9"/>
      <c r="DN60" s="9"/>
      <c r="DO60" s="9"/>
      <c r="DP60" s="9"/>
      <c r="DQ60" s="136" t="b">
        <f t="shared" si="173"/>
        <v>1</v>
      </c>
    </row>
    <row r="61" spans="1:121" ht="27" customHeight="1" x14ac:dyDescent="0.95">
      <c r="A61" s="24" t="str">
        <f t="shared" si="89"/>
        <v/>
      </c>
      <c r="B61" s="9"/>
      <c r="C61" s="14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22"/>
      <c r="Q61" s="22"/>
      <c r="R61" s="22"/>
      <c r="S61" s="22"/>
      <c r="T61" s="22"/>
      <c r="U61" s="22"/>
      <c r="V61" s="22"/>
      <c r="W61" s="3" t="str">
        <f t="shared" si="91"/>
        <v/>
      </c>
      <c r="X61" s="3" t="str">
        <f t="shared" si="92"/>
        <v/>
      </c>
      <c r="Y61" s="3" t="str">
        <f t="shared" si="93"/>
        <v/>
      </c>
      <c r="Z61" s="3" t="str">
        <f t="shared" si="94"/>
        <v/>
      </c>
      <c r="AA61" s="3" t="str">
        <f t="shared" si="95"/>
        <v/>
      </c>
      <c r="AB61" s="3" t="str">
        <f t="shared" si="96"/>
        <v/>
      </c>
      <c r="AC61" s="3" t="str">
        <f t="shared" si="97"/>
        <v/>
      </c>
      <c r="AD61" s="3" t="str">
        <f t="shared" si="98"/>
        <v/>
      </c>
      <c r="AE61" s="3" t="str">
        <f t="shared" si="99"/>
        <v/>
      </c>
      <c r="AF61" s="24" t="str">
        <f t="shared" si="100"/>
        <v/>
      </c>
      <c r="AG61" s="24" t="str">
        <f t="shared" si="101"/>
        <v/>
      </c>
      <c r="AH61" s="24" t="str">
        <f t="shared" si="102"/>
        <v/>
      </c>
      <c r="AI61" s="24" t="str">
        <f t="shared" si="103"/>
        <v/>
      </c>
      <c r="AJ61" s="24" t="str">
        <f t="shared" si="104"/>
        <v/>
      </c>
      <c r="AK61" s="24" t="str">
        <f t="shared" si="105"/>
        <v/>
      </c>
      <c r="AL61" s="24" t="str">
        <f t="shared" si="106"/>
        <v/>
      </c>
      <c r="AM61" s="24" t="str">
        <f t="shared" si="107"/>
        <v/>
      </c>
      <c r="AN61" s="24" t="str">
        <f t="shared" si="108"/>
        <v/>
      </c>
      <c r="AO61" s="24" t="str">
        <f t="shared" si="109"/>
        <v/>
      </c>
      <c r="AP61" s="24" t="str">
        <f t="shared" si="110"/>
        <v/>
      </c>
      <c r="AQ61" s="24" t="str">
        <f t="shared" si="111"/>
        <v/>
      </c>
      <c r="AR61" s="24" t="str">
        <f t="shared" si="112"/>
        <v/>
      </c>
      <c r="AS61" s="24" t="str">
        <f t="shared" si="113"/>
        <v/>
      </c>
      <c r="AT61" s="24" t="str">
        <f t="shared" si="114"/>
        <v/>
      </c>
      <c r="AU61" s="24" t="str">
        <f t="shared" si="115"/>
        <v/>
      </c>
      <c r="AV61" s="24" t="str">
        <f t="shared" si="116"/>
        <v/>
      </c>
      <c r="AW61" s="24" t="str">
        <f t="shared" si="117"/>
        <v/>
      </c>
      <c r="AX61" s="24" t="str">
        <f t="shared" si="118"/>
        <v/>
      </c>
      <c r="AY61" s="24" t="str">
        <f t="shared" si="119"/>
        <v/>
      </c>
      <c r="AZ61" s="24" t="str">
        <f t="shared" si="120"/>
        <v/>
      </c>
      <c r="BA61" s="24" t="str">
        <f t="shared" si="121"/>
        <v/>
      </c>
      <c r="BB61" s="24" t="str">
        <f t="shared" si="122"/>
        <v/>
      </c>
      <c r="BC61" s="26" t="str">
        <f t="shared" si="123"/>
        <v/>
      </c>
      <c r="BD61" s="26" t="str">
        <f t="shared" si="124"/>
        <v/>
      </c>
      <c r="BE61" s="26" t="str">
        <f t="shared" si="125"/>
        <v/>
      </c>
      <c r="BF61" s="26" t="str">
        <f t="shared" si="126"/>
        <v/>
      </c>
      <c r="BG61" s="26" t="str">
        <f t="shared" si="127"/>
        <v/>
      </c>
      <c r="BH61" s="26" t="str">
        <f t="shared" si="128"/>
        <v/>
      </c>
      <c r="BI61" s="26" t="str">
        <f t="shared" si="129"/>
        <v/>
      </c>
      <c r="BJ61" s="26" t="str">
        <f t="shared" si="130"/>
        <v/>
      </c>
      <c r="BK61" s="26" t="str">
        <f t="shared" si="131"/>
        <v/>
      </c>
      <c r="BL61" s="26" t="str">
        <f t="shared" si="132"/>
        <v/>
      </c>
      <c r="BM61" s="26" t="str">
        <f t="shared" si="133"/>
        <v/>
      </c>
      <c r="BN61" s="26" t="str">
        <f t="shared" si="134"/>
        <v/>
      </c>
      <c r="BO61" s="26" t="str">
        <f t="shared" si="135"/>
        <v/>
      </c>
      <c r="BP61" s="26" t="str">
        <f t="shared" si="136"/>
        <v/>
      </c>
      <c r="BQ61" s="26" t="str">
        <f t="shared" si="137"/>
        <v/>
      </c>
      <c r="BR61" s="26" t="str">
        <f t="shared" si="138"/>
        <v/>
      </c>
      <c r="BS61" s="24" t="str">
        <f t="shared" si="139"/>
        <v/>
      </c>
      <c r="BT61" s="24" t="str">
        <f t="shared" si="140"/>
        <v/>
      </c>
      <c r="BU61" s="24" t="str">
        <f t="shared" si="141"/>
        <v/>
      </c>
      <c r="BV61" s="24" t="str">
        <f t="shared" si="142"/>
        <v/>
      </c>
      <c r="BW61" s="24" t="str">
        <f t="shared" si="143"/>
        <v/>
      </c>
      <c r="BX61" s="24" t="str">
        <f t="shared" si="144"/>
        <v/>
      </c>
      <c r="BY61" s="24" t="str">
        <f t="shared" si="145"/>
        <v/>
      </c>
      <c r="BZ61" s="24" t="str">
        <f t="shared" si="146"/>
        <v/>
      </c>
      <c r="CA61" s="24" t="str">
        <f t="shared" si="147"/>
        <v/>
      </c>
      <c r="CB61" s="24" t="str">
        <f t="shared" si="148"/>
        <v/>
      </c>
      <c r="CC61" s="24" t="str">
        <f t="shared" si="149"/>
        <v/>
      </c>
      <c r="CD61" s="24" t="str">
        <f t="shared" si="150"/>
        <v/>
      </c>
      <c r="CE61" s="24" t="str">
        <f t="shared" si="151"/>
        <v/>
      </c>
      <c r="CF61" s="24" t="str">
        <f t="shared" si="152"/>
        <v/>
      </c>
      <c r="CG61" s="24" t="str">
        <f t="shared" si="153"/>
        <v/>
      </c>
      <c r="CH61" s="24" t="str">
        <f t="shared" si="154"/>
        <v/>
      </c>
      <c r="CI61" s="24" t="str">
        <f t="shared" si="155"/>
        <v/>
      </c>
      <c r="CJ61" s="26" t="str">
        <f t="shared" si="156"/>
        <v/>
      </c>
      <c r="CK61" s="26" t="str">
        <f t="shared" si="157"/>
        <v/>
      </c>
      <c r="CL61" s="26" t="str">
        <f t="shared" si="83"/>
        <v/>
      </c>
      <c r="CM61" s="24" t="str">
        <f t="shared" si="84"/>
        <v/>
      </c>
      <c r="CN61" s="26" t="str">
        <f t="shared" si="158"/>
        <v/>
      </c>
      <c r="CO61" s="24" t="str">
        <f t="shared" si="159"/>
        <v/>
      </c>
      <c r="CP61" s="26" t="str">
        <f t="shared" si="160"/>
        <v/>
      </c>
      <c r="CQ61" s="26" t="str">
        <f t="shared" si="161"/>
        <v/>
      </c>
      <c r="CR61" s="26" t="str">
        <f t="shared" si="85"/>
        <v/>
      </c>
      <c r="CS61" s="24" t="str">
        <f t="shared" si="86"/>
        <v/>
      </c>
      <c r="CT61" s="27" t="str">
        <f t="shared" si="162"/>
        <v/>
      </c>
      <c r="CU61" s="24" t="str">
        <f t="shared" si="163"/>
        <v/>
      </c>
      <c r="CV61" s="26" t="str">
        <f t="shared" si="164"/>
        <v/>
      </c>
      <c r="CW61" s="26" t="str">
        <f t="shared" si="165"/>
        <v/>
      </c>
      <c r="CX61" s="26" t="str">
        <f t="shared" si="87"/>
        <v/>
      </c>
      <c r="CY61" s="27" t="str">
        <f t="shared" si="88"/>
        <v/>
      </c>
      <c r="CZ61" s="26" t="str">
        <f t="shared" si="166"/>
        <v/>
      </c>
      <c r="DA61" s="24" t="str">
        <f t="shared" si="167"/>
        <v/>
      </c>
      <c r="DB61" s="24" t="str">
        <f t="shared" si="168"/>
        <v/>
      </c>
      <c r="DC61" s="24" t="str">
        <f t="shared" si="169"/>
        <v/>
      </c>
      <c r="DD61" s="24" t="str">
        <f t="shared" si="170"/>
        <v/>
      </c>
      <c r="DE61" s="1">
        <v>0</v>
      </c>
      <c r="DF61" s="1">
        <v>0</v>
      </c>
      <c r="DG61" s="1">
        <v>0</v>
      </c>
      <c r="DH61" s="24" t="str">
        <f t="shared" si="171"/>
        <v/>
      </c>
      <c r="DI61" s="25" t="str">
        <f t="shared" si="172"/>
        <v/>
      </c>
      <c r="DJ61" t="str">
        <f t="shared" si="90"/>
        <v/>
      </c>
      <c r="DK61" s="9"/>
      <c r="DL61" s="9"/>
      <c r="DM61" s="9"/>
      <c r="DN61" s="9"/>
      <c r="DO61" s="9"/>
      <c r="DP61" s="9"/>
      <c r="DQ61" s="136" t="b">
        <f t="shared" si="173"/>
        <v>1</v>
      </c>
    </row>
    <row r="62" spans="1:121" ht="27" customHeight="1" x14ac:dyDescent="0.95">
      <c r="A62" s="24" t="str">
        <f t="shared" si="89"/>
        <v/>
      </c>
      <c r="B62" s="9"/>
      <c r="C62" s="14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22"/>
      <c r="Q62" s="22"/>
      <c r="R62" s="22"/>
      <c r="S62" s="22"/>
      <c r="T62" s="22"/>
      <c r="U62" s="22"/>
      <c r="V62" s="22"/>
      <c r="W62" s="3" t="str">
        <f t="shared" si="91"/>
        <v/>
      </c>
      <c r="X62" s="3" t="str">
        <f t="shared" si="92"/>
        <v/>
      </c>
      <c r="Y62" s="3" t="str">
        <f t="shared" si="93"/>
        <v/>
      </c>
      <c r="Z62" s="3" t="str">
        <f t="shared" si="94"/>
        <v/>
      </c>
      <c r="AA62" s="3" t="str">
        <f t="shared" si="95"/>
        <v/>
      </c>
      <c r="AB62" s="3" t="str">
        <f t="shared" si="96"/>
        <v/>
      </c>
      <c r="AC62" s="3" t="str">
        <f t="shared" si="97"/>
        <v/>
      </c>
      <c r="AD62" s="3" t="str">
        <f t="shared" si="98"/>
        <v/>
      </c>
      <c r="AE62" s="3" t="str">
        <f t="shared" si="99"/>
        <v/>
      </c>
      <c r="AF62" s="24" t="str">
        <f t="shared" si="100"/>
        <v/>
      </c>
      <c r="AG62" s="24" t="str">
        <f t="shared" si="101"/>
        <v/>
      </c>
      <c r="AH62" s="24" t="str">
        <f t="shared" si="102"/>
        <v/>
      </c>
      <c r="AI62" s="24" t="str">
        <f t="shared" si="103"/>
        <v/>
      </c>
      <c r="AJ62" s="24" t="str">
        <f t="shared" si="104"/>
        <v/>
      </c>
      <c r="AK62" s="24" t="str">
        <f t="shared" si="105"/>
        <v/>
      </c>
      <c r="AL62" s="24" t="str">
        <f t="shared" si="106"/>
        <v/>
      </c>
      <c r="AM62" s="24" t="str">
        <f t="shared" si="107"/>
        <v/>
      </c>
      <c r="AN62" s="24" t="str">
        <f t="shared" si="108"/>
        <v/>
      </c>
      <c r="AO62" s="24" t="str">
        <f t="shared" si="109"/>
        <v/>
      </c>
      <c r="AP62" s="24" t="str">
        <f t="shared" si="110"/>
        <v/>
      </c>
      <c r="AQ62" s="24" t="str">
        <f t="shared" si="111"/>
        <v/>
      </c>
      <c r="AR62" s="24" t="str">
        <f t="shared" si="112"/>
        <v/>
      </c>
      <c r="AS62" s="24" t="str">
        <f t="shared" si="113"/>
        <v/>
      </c>
      <c r="AT62" s="24" t="str">
        <f t="shared" si="114"/>
        <v/>
      </c>
      <c r="AU62" s="24" t="str">
        <f t="shared" si="115"/>
        <v/>
      </c>
      <c r="AV62" s="24" t="str">
        <f t="shared" si="116"/>
        <v/>
      </c>
      <c r="AW62" s="24" t="str">
        <f t="shared" si="117"/>
        <v/>
      </c>
      <c r="AX62" s="24" t="str">
        <f t="shared" si="118"/>
        <v/>
      </c>
      <c r="AY62" s="24" t="str">
        <f t="shared" si="119"/>
        <v/>
      </c>
      <c r="AZ62" s="24" t="str">
        <f t="shared" si="120"/>
        <v/>
      </c>
      <c r="BA62" s="24" t="str">
        <f t="shared" si="121"/>
        <v/>
      </c>
      <c r="BB62" s="24" t="str">
        <f t="shared" si="122"/>
        <v/>
      </c>
      <c r="BC62" s="26" t="str">
        <f t="shared" si="123"/>
        <v/>
      </c>
      <c r="BD62" s="26" t="str">
        <f t="shared" si="124"/>
        <v/>
      </c>
      <c r="BE62" s="26" t="str">
        <f t="shared" si="125"/>
        <v/>
      </c>
      <c r="BF62" s="26" t="str">
        <f t="shared" si="126"/>
        <v/>
      </c>
      <c r="BG62" s="26" t="str">
        <f t="shared" si="127"/>
        <v/>
      </c>
      <c r="BH62" s="26" t="str">
        <f t="shared" si="128"/>
        <v/>
      </c>
      <c r="BI62" s="26" t="str">
        <f t="shared" si="129"/>
        <v/>
      </c>
      <c r="BJ62" s="26" t="str">
        <f t="shared" si="130"/>
        <v/>
      </c>
      <c r="BK62" s="26" t="str">
        <f t="shared" si="131"/>
        <v/>
      </c>
      <c r="BL62" s="26" t="str">
        <f t="shared" si="132"/>
        <v/>
      </c>
      <c r="BM62" s="26" t="str">
        <f t="shared" si="133"/>
        <v/>
      </c>
      <c r="BN62" s="26" t="str">
        <f t="shared" si="134"/>
        <v/>
      </c>
      <c r="BO62" s="26" t="str">
        <f t="shared" si="135"/>
        <v/>
      </c>
      <c r="BP62" s="26" t="str">
        <f t="shared" si="136"/>
        <v/>
      </c>
      <c r="BQ62" s="26" t="str">
        <f t="shared" si="137"/>
        <v/>
      </c>
      <c r="BR62" s="26" t="str">
        <f t="shared" si="138"/>
        <v/>
      </c>
      <c r="BS62" s="24" t="str">
        <f t="shared" si="139"/>
        <v/>
      </c>
      <c r="BT62" s="24" t="str">
        <f t="shared" si="140"/>
        <v/>
      </c>
      <c r="BU62" s="24" t="str">
        <f t="shared" si="141"/>
        <v/>
      </c>
      <c r="BV62" s="24" t="str">
        <f t="shared" si="142"/>
        <v/>
      </c>
      <c r="BW62" s="24" t="str">
        <f t="shared" si="143"/>
        <v/>
      </c>
      <c r="BX62" s="24" t="str">
        <f t="shared" si="144"/>
        <v/>
      </c>
      <c r="BY62" s="24" t="str">
        <f t="shared" si="145"/>
        <v/>
      </c>
      <c r="BZ62" s="24" t="str">
        <f t="shared" si="146"/>
        <v/>
      </c>
      <c r="CA62" s="24" t="str">
        <f t="shared" si="147"/>
        <v/>
      </c>
      <c r="CB62" s="24" t="str">
        <f t="shared" si="148"/>
        <v/>
      </c>
      <c r="CC62" s="24" t="str">
        <f t="shared" si="149"/>
        <v/>
      </c>
      <c r="CD62" s="24" t="str">
        <f t="shared" si="150"/>
        <v/>
      </c>
      <c r="CE62" s="24" t="str">
        <f t="shared" si="151"/>
        <v/>
      </c>
      <c r="CF62" s="24" t="str">
        <f t="shared" si="152"/>
        <v/>
      </c>
      <c r="CG62" s="24" t="str">
        <f t="shared" si="153"/>
        <v/>
      </c>
      <c r="CH62" s="24" t="str">
        <f t="shared" si="154"/>
        <v/>
      </c>
      <c r="CI62" s="24" t="str">
        <f t="shared" si="155"/>
        <v/>
      </c>
      <c r="CJ62" s="26" t="str">
        <f t="shared" si="156"/>
        <v/>
      </c>
      <c r="CK62" s="26" t="str">
        <f t="shared" si="157"/>
        <v/>
      </c>
      <c r="CL62" s="26" t="str">
        <f t="shared" si="83"/>
        <v/>
      </c>
      <c r="CM62" s="24" t="str">
        <f t="shared" si="84"/>
        <v/>
      </c>
      <c r="CN62" s="26" t="str">
        <f t="shared" si="158"/>
        <v/>
      </c>
      <c r="CO62" s="24" t="str">
        <f t="shared" si="159"/>
        <v/>
      </c>
      <c r="CP62" s="26" t="str">
        <f t="shared" si="160"/>
        <v/>
      </c>
      <c r="CQ62" s="26" t="str">
        <f t="shared" si="161"/>
        <v/>
      </c>
      <c r="CR62" s="26" t="str">
        <f t="shared" si="85"/>
        <v/>
      </c>
      <c r="CS62" s="24" t="str">
        <f t="shared" si="86"/>
        <v/>
      </c>
      <c r="CT62" s="27" t="str">
        <f t="shared" si="162"/>
        <v/>
      </c>
      <c r="CU62" s="24" t="str">
        <f t="shared" si="163"/>
        <v/>
      </c>
      <c r="CV62" s="26" t="str">
        <f t="shared" si="164"/>
        <v/>
      </c>
      <c r="CW62" s="26" t="str">
        <f t="shared" si="165"/>
        <v/>
      </c>
      <c r="CX62" s="26" t="str">
        <f t="shared" si="87"/>
        <v/>
      </c>
      <c r="CY62" s="27" t="str">
        <f t="shared" si="88"/>
        <v/>
      </c>
      <c r="CZ62" s="26" t="str">
        <f t="shared" si="166"/>
        <v/>
      </c>
      <c r="DA62" s="24" t="str">
        <f t="shared" si="167"/>
        <v/>
      </c>
      <c r="DB62" s="24" t="str">
        <f t="shared" si="168"/>
        <v/>
      </c>
      <c r="DC62" s="24" t="str">
        <f t="shared" si="169"/>
        <v/>
      </c>
      <c r="DD62" s="24" t="str">
        <f t="shared" si="170"/>
        <v/>
      </c>
      <c r="DE62" s="1"/>
      <c r="DF62" s="1"/>
      <c r="DG62" s="1"/>
      <c r="DH62" s="24" t="str">
        <f t="shared" si="171"/>
        <v/>
      </c>
      <c r="DI62" s="25" t="str">
        <f t="shared" si="172"/>
        <v/>
      </c>
      <c r="DJ62" t="str">
        <f t="shared" si="90"/>
        <v/>
      </c>
      <c r="DK62" s="9"/>
      <c r="DL62" s="9"/>
      <c r="DM62" s="9"/>
      <c r="DN62" s="9"/>
      <c r="DO62" s="9"/>
      <c r="DP62" s="9"/>
      <c r="DQ62" s="136" t="b">
        <f t="shared" si="173"/>
        <v>1</v>
      </c>
    </row>
    <row r="63" spans="1:121" ht="27" customHeight="1" x14ac:dyDescent="0.95">
      <c r="A63" s="24" t="str">
        <f t="shared" si="89"/>
        <v/>
      </c>
      <c r="B63" s="9"/>
      <c r="C63" s="14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22"/>
      <c r="Q63" s="22"/>
      <c r="R63" s="22"/>
      <c r="S63" s="22"/>
      <c r="T63" s="22"/>
      <c r="U63" s="22"/>
      <c r="V63" s="22"/>
      <c r="W63" s="3" t="str">
        <f t="shared" si="91"/>
        <v/>
      </c>
      <c r="X63" s="3" t="str">
        <f t="shared" si="92"/>
        <v/>
      </c>
      <c r="Y63" s="3" t="str">
        <f t="shared" si="93"/>
        <v/>
      </c>
      <c r="Z63" s="3" t="str">
        <f t="shared" si="94"/>
        <v/>
      </c>
      <c r="AA63" s="3" t="str">
        <f t="shared" si="95"/>
        <v/>
      </c>
      <c r="AB63" s="3" t="str">
        <f t="shared" si="96"/>
        <v/>
      </c>
      <c r="AC63" s="3" t="str">
        <f t="shared" si="97"/>
        <v/>
      </c>
      <c r="AD63" s="3" t="str">
        <f t="shared" si="98"/>
        <v/>
      </c>
      <c r="AE63" s="3" t="str">
        <f t="shared" si="99"/>
        <v/>
      </c>
      <c r="AF63" s="24" t="str">
        <f t="shared" si="100"/>
        <v/>
      </c>
      <c r="AG63" s="24" t="str">
        <f t="shared" si="101"/>
        <v/>
      </c>
      <c r="AH63" s="24" t="str">
        <f t="shared" si="102"/>
        <v/>
      </c>
      <c r="AI63" s="24" t="str">
        <f t="shared" si="103"/>
        <v/>
      </c>
      <c r="AJ63" s="24" t="str">
        <f t="shared" si="104"/>
        <v/>
      </c>
      <c r="AK63" s="24" t="str">
        <f t="shared" si="105"/>
        <v/>
      </c>
      <c r="AL63" s="24" t="str">
        <f t="shared" si="106"/>
        <v/>
      </c>
      <c r="AM63" s="24" t="str">
        <f t="shared" si="107"/>
        <v/>
      </c>
      <c r="AN63" s="24" t="str">
        <f t="shared" si="108"/>
        <v/>
      </c>
      <c r="AO63" s="24" t="str">
        <f t="shared" si="109"/>
        <v/>
      </c>
      <c r="AP63" s="24" t="str">
        <f t="shared" si="110"/>
        <v/>
      </c>
      <c r="AQ63" s="24" t="str">
        <f t="shared" si="111"/>
        <v/>
      </c>
      <c r="AR63" s="24" t="str">
        <f t="shared" si="112"/>
        <v/>
      </c>
      <c r="AS63" s="24" t="str">
        <f t="shared" si="113"/>
        <v/>
      </c>
      <c r="AT63" s="24" t="str">
        <f t="shared" si="114"/>
        <v/>
      </c>
      <c r="AU63" s="24" t="str">
        <f t="shared" si="115"/>
        <v/>
      </c>
      <c r="AV63" s="24" t="str">
        <f t="shared" si="116"/>
        <v/>
      </c>
      <c r="AW63" s="24" t="str">
        <f t="shared" si="117"/>
        <v/>
      </c>
      <c r="AX63" s="24" t="str">
        <f t="shared" si="118"/>
        <v/>
      </c>
      <c r="AY63" s="24" t="str">
        <f t="shared" si="119"/>
        <v/>
      </c>
      <c r="AZ63" s="24" t="str">
        <f t="shared" si="120"/>
        <v/>
      </c>
      <c r="BA63" s="24" t="str">
        <f t="shared" si="121"/>
        <v/>
      </c>
      <c r="BB63" s="24" t="str">
        <f t="shared" si="122"/>
        <v/>
      </c>
      <c r="BC63" s="26" t="str">
        <f t="shared" si="123"/>
        <v/>
      </c>
      <c r="BD63" s="26" t="str">
        <f t="shared" si="124"/>
        <v/>
      </c>
      <c r="BE63" s="26" t="str">
        <f t="shared" si="125"/>
        <v/>
      </c>
      <c r="BF63" s="26" t="str">
        <f t="shared" si="126"/>
        <v/>
      </c>
      <c r="BG63" s="26" t="str">
        <f t="shared" si="127"/>
        <v/>
      </c>
      <c r="BH63" s="26" t="str">
        <f t="shared" si="128"/>
        <v/>
      </c>
      <c r="BI63" s="26" t="str">
        <f t="shared" si="129"/>
        <v/>
      </c>
      <c r="BJ63" s="26" t="str">
        <f t="shared" si="130"/>
        <v/>
      </c>
      <c r="BK63" s="26" t="str">
        <f t="shared" si="131"/>
        <v/>
      </c>
      <c r="BL63" s="26" t="str">
        <f t="shared" si="132"/>
        <v/>
      </c>
      <c r="BM63" s="26" t="str">
        <f t="shared" si="133"/>
        <v/>
      </c>
      <c r="BN63" s="26" t="str">
        <f t="shared" si="134"/>
        <v/>
      </c>
      <c r="BO63" s="26" t="str">
        <f t="shared" si="135"/>
        <v/>
      </c>
      <c r="BP63" s="26" t="str">
        <f t="shared" si="136"/>
        <v/>
      </c>
      <c r="BQ63" s="26" t="str">
        <f t="shared" si="137"/>
        <v/>
      </c>
      <c r="BR63" s="26" t="str">
        <f t="shared" si="138"/>
        <v/>
      </c>
      <c r="BS63" s="24" t="str">
        <f t="shared" si="139"/>
        <v/>
      </c>
      <c r="BT63" s="24" t="str">
        <f t="shared" si="140"/>
        <v/>
      </c>
      <c r="BU63" s="24" t="str">
        <f t="shared" si="141"/>
        <v/>
      </c>
      <c r="BV63" s="24" t="str">
        <f t="shared" si="142"/>
        <v/>
      </c>
      <c r="BW63" s="24" t="str">
        <f t="shared" si="143"/>
        <v/>
      </c>
      <c r="BX63" s="24" t="str">
        <f t="shared" si="144"/>
        <v/>
      </c>
      <c r="BY63" s="24" t="str">
        <f t="shared" si="145"/>
        <v/>
      </c>
      <c r="BZ63" s="24" t="str">
        <f t="shared" si="146"/>
        <v/>
      </c>
      <c r="CA63" s="24" t="str">
        <f t="shared" si="147"/>
        <v/>
      </c>
      <c r="CB63" s="24" t="str">
        <f t="shared" si="148"/>
        <v/>
      </c>
      <c r="CC63" s="24" t="str">
        <f t="shared" si="149"/>
        <v/>
      </c>
      <c r="CD63" s="24" t="str">
        <f t="shared" si="150"/>
        <v/>
      </c>
      <c r="CE63" s="24" t="str">
        <f t="shared" si="151"/>
        <v/>
      </c>
      <c r="CF63" s="24" t="str">
        <f t="shared" si="152"/>
        <v/>
      </c>
      <c r="CG63" s="24" t="str">
        <f t="shared" si="153"/>
        <v/>
      </c>
      <c r="CH63" s="24" t="str">
        <f t="shared" si="154"/>
        <v/>
      </c>
      <c r="CI63" s="24" t="str">
        <f t="shared" si="155"/>
        <v/>
      </c>
      <c r="CJ63" s="26" t="str">
        <f t="shared" si="156"/>
        <v/>
      </c>
      <c r="CK63" s="26" t="str">
        <f t="shared" si="157"/>
        <v/>
      </c>
      <c r="CL63" s="26" t="str">
        <f t="shared" si="83"/>
        <v/>
      </c>
      <c r="CM63" s="24" t="str">
        <f t="shared" si="84"/>
        <v/>
      </c>
      <c r="CN63" s="26" t="str">
        <f t="shared" si="158"/>
        <v/>
      </c>
      <c r="CO63" s="24" t="str">
        <f t="shared" si="159"/>
        <v/>
      </c>
      <c r="CP63" s="26" t="str">
        <f t="shared" si="160"/>
        <v/>
      </c>
      <c r="CQ63" s="26" t="str">
        <f t="shared" si="161"/>
        <v/>
      </c>
      <c r="CR63" s="26" t="str">
        <f t="shared" si="85"/>
        <v/>
      </c>
      <c r="CS63" s="24" t="str">
        <f t="shared" si="86"/>
        <v/>
      </c>
      <c r="CT63" s="27" t="str">
        <f t="shared" si="162"/>
        <v/>
      </c>
      <c r="CU63" s="24" t="str">
        <f t="shared" si="163"/>
        <v/>
      </c>
      <c r="CV63" s="26" t="str">
        <f t="shared" si="164"/>
        <v/>
      </c>
      <c r="CW63" s="26" t="str">
        <f t="shared" si="165"/>
        <v/>
      </c>
      <c r="CX63" s="26" t="str">
        <f t="shared" si="87"/>
        <v/>
      </c>
      <c r="CY63" s="27" t="str">
        <f t="shared" si="88"/>
        <v/>
      </c>
      <c r="CZ63" s="26" t="str">
        <f t="shared" si="166"/>
        <v/>
      </c>
      <c r="DA63" s="24" t="str">
        <f t="shared" si="167"/>
        <v/>
      </c>
      <c r="DB63" s="24" t="str">
        <f t="shared" si="168"/>
        <v/>
      </c>
      <c r="DC63" s="24" t="str">
        <f t="shared" si="169"/>
        <v/>
      </c>
      <c r="DD63" s="24" t="str">
        <f t="shared" si="170"/>
        <v/>
      </c>
      <c r="DE63" s="1"/>
      <c r="DF63" s="1"/>
      <c r="DG63" s="1"/>
      <c r="DH63" s="24" t="str">
        <f t="shared" si="171"/>
        <v/>
      </c>
      <c r="DI63" s="25" t="str">
        <f t="shared" si="172"/>
        <v/>
      </c>
      <c r="DJ63" t="str">
        <f t="shared" si="90"/>
        <v/>
      </c>
      <c r="DK63" s="9"/>
      <c r="DL63" s="9"/>
      <c r="DM63" s="9"/>
      <c r="DN63" s="9"/>
      <c r="DO63" s="9"/>
      <c r="DP63" s="9"/>
      <c r="DQ63" s="136" t="b">
        <f t="shared" si="173"/>
        <v>1</v>
      </c>
    </row>
    <row r="64" spans="1:121" ht="27" customHeight="1" x14ac:dyDescent="0.95">
      <c r="A64" s="24" t="str">
        <f t="shared" si="89"/>
        <v/>
      </c>
      <c r="B64" s="9"/>
      <c r="C64" s="14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22"/>
      <c r="Q64" s="22"/>
      <c r="R64" s="22"/>
      <c r="S64" s="22"/>
      <c r="T64" s="22"/>
      <c r="U64" s="22"/>
      <c r="V64" s="22"/>
      <c r="W64" s="3" t="str">
        <f t="shared" si="91"/>
        <v/>
      </c>
      <c r="X64" s="3" t="str">
        <f t="shared" si="92"/>
        <v/>
      </c>
      <c r="Y64" s="3" t="str">
        <f t="shared" si="93"/>
        <v/>
      </c>
      <c r="Z64" s="3" t="str">
        <f t="shared" si="94"/>
        <v/>
      </c>
      <c r="AA64" s="3" t="str">
        <f t="shared" si="95"/>
        <v/>
      </c>
      <c r="AB64" s="3" t="str">
        <f t="shared" si="96"/>
        <v/>
      </c>
      <c r="AC64" s="3" t="str">
        <f t="shared" si="97"/>
        <v/>
      </c>
      <c r="AD64" s="3" t="str">
        <f t="shared" si="98"/>
        <v/>
      </c>
      <c r="AE64" s="3" t="str">
        <f t="shared" si="99"/>
        <v/>
      </c>
      <c r="AF64" s="24" t="str">
        <f t="shared" si="100"/>
        <v/>
      </c>
      <c r="AG64" s="24" t="str">
        <f t="shared" si="101"/>
        <v/>
      </c>
      <c r="AH64" s="24" t="str">
        <f t="shared" si="102"/>
        <v/>
      </c>
      <c r="AI64" s="24" t="str">
        <f t="shared" si="103"/>
        <v/>
      </c>
      <c r="AJ64" s="24" t="str">
        <f t="shared" si="104"/>
        <v/>
      </c>
      <c r="AK64" s="24" t="str">
        <f t="shared" si="105"/>
        <v/>
      </c>
      <c r="AL64" s="24" t="str">
        <f t="shared" si="106"/>
        <v/>
      </c>
      <c r="AM64" s="24" t="str">
        <f t="shared" si="107"/>
        <v/>
      </c>
      <c r="AN64" s="24" t="str">
        <f t="shared" si="108"/>
        <v/>
      </c>
      <c r="AO64" s="24" t="str">
        <f t="shared" si="109"/>
        <v/>
      </c>
      <c r="AP64" s="24" t="str">
        <f t="shared" si="110"/>
        <v/>
      </c>
      <c r="AQ64" s="24" t="str">
        <f t="shared" si="111"/>
        <v/>
      </c>
      <c r="AR64" s="24" t="str">
        <f t="shared" si="112"/>
        <v/>
      </c>
      <c r="AS64" s="24" t="str">
        <f t="shared" si="113"/>
        <v/>
      </c>
      <c r="AT64" s="24" t="str">
        <f t="shared" si="114"/>
        <v/>
      </c>
      <c r="AU64" s="24" t="str">
        <f t="shared" si="115"/>
        <v/>
      </c>
      <c r="AV64" s="24" t="str">
        <f t="shared" si="116"/>
        <v/>
      </c>
      <c r="AW64" s="24" t="str">
        <f t="shared" si="117"/>
        <v/>
      </c>
      <c r="AX64" s="24" t="str">
        <f t="shared" si="118"/>
        <v/>
      </c>
      <c r="AY64" s="24" t="str">
        <f t="shared" si="119"/>
        <v/>
      </c>
      <c r="AZ64" s="24" t="str">
        <f t="shared" si="120"/>
        <v/>
      </c>
      <c r="BA64" s="24" t="str">
        <f t="shared" si="121"/>
        <v/>
      </c>
      <c r="BB64" s="24" t="str">
        <f t="shared" si="122"/>
        <v/>
      </c>
      <c r="BC64" s="26" t="str">
        <f t="shared" si="123"/>
        <v/>
      </c>
      <c r="BD64" s="26" t="str">
        <f t="shared" si="124"/>
        <v/>
      </c>
      <c r="BE64" s="26" t="str">
        <f t="shared" si="125"/>
        <v/>
      </c>
      <c r="BF64" s="26" t="str">
        <f t="shared" si="126"/>
        <v/>
      </c>
      <c r="BG64" s="26" t="str">
        <f t="shared" si="127"/>
        <v/>
      </c>
      <c r="BH64" s="26" t="str">
        <f t="shared" si="128"/>
        <v/>
      </c>
      <c r="BI64" s="26" t="str">
        <f t="shared" si="129"/>
        <v/>
      </c>
      <c r="BJ64" s="26" t="str">
        <f t="shared" si="130"/>
        <v/>
      </c>
      <c r="BK64" s="26" t="str">
        <f t="shared" si="131"/>
        <v/>
      </c>
      <c r="BL64" s="26" t="str">
        <f t="shared" si="132"/>
        <v/>
      </c>
      <c r="BM64" s="26" t="str">
        <f t="shared" si="133"/>
        <v/>
      </c>
      <c r="BN64" s="26" t="str">
        <f t="shared" si="134"/>
        <v/>
      </c>
      <c r="BO64" s="26" t="str">
        <f t="shared" si="135"/>
        <v/>
      </c>
      <c r="BP64" s="26" t="str">
        <f t="shared" si="136"/>
        <v/>
      </c>
      <c r="BQ64" s="26" t="str">
        <f t="shared" si="137"/>
        <v/>
      </c>
      <c r="BR64" s="26" t="str">
        <f t="shared" si="138"/>
        <v/>
      </c>
      <c r="BS64" s="24" t="str">
        <f t="shared" si="139"/>
        <v/>
      </c>
      <c r="BT64" s="24" t="str">
        <f t="shared" si="140"/>
        <v/>
      </c>
      <c r="BU64" s="24" t="str">
        <f t="shared" si="141"/>
        <v/>
      </c>
      <c r="BV64" s="24" t="str">
        <f t="shared" si="142"/>
        <v/>
      </c>
      <c r="BW64" s="24" t="str">
        <f t="shared" si="143"/>
        <v/>
      </c>
      <c r="BX64" s="24" t="str">
        <f t="shared" si="144"/>
        <v/>
      </c>
      <c r="BY64" s="24" t="str">
        <f t="shared" si="145"/>
        <v/>
      </c>
      <c r="BZ64" s="24" t="str">
        <f t="shared" si="146"/>
        <v/>
      </c>
      <c r="CA64" s="24" t="str">
        <f t="shared" si="147"/>
        <v/>
      </c>
      <c r="CB64" s="24" t="str">
        <f t="shared" si="148"/>
        <v/>
      </c>
      <c r="CC64" s="24" t="str">
        <f t="shared" si="149"/>
        <v/>
      </c>
      <c r="CD64" s="24" t="str">
        <f t="shared" si="150"/>
        <v/>
      </c>
      <c r="CE64" s="24" t="str">
        <f t="shared" si="151"/>
        <v/>
      </c>
      <c r="CF64" s="24" t="str">
        <f t="shared" si="152"/>
        <v/>
      </c>
      <c r="CG64" s="24" t="str">
        <f t="shared" si="153"/>
        <v/>
      </c>
      <c r="CH64" s="24" t="str">
        <f t="shared" si="154"/>
        <v/>
      </c>
      <c r="CI64" s="24" t="str">
        <f t="shared" si="155"/>
        <v/>
      </c>
      <c r="CJ64" s="26" t="str">
        <f t="shared" si="156"/>
        <v/>
      </c>
      <c r="CK64" s="26" t="str">
        <f t="shared" si="157"/>
        <v/>
      </c>
      <c r="CL64" s="26" t="str">
        <f t="shared" si="83"/>
        <v/>
      </c>
      <c r="CM64" s="24" t="str">
        <f t="shared" si="84"/>
        <v/>
      </c>
      <c r="CN64" s="26" t="str">
        <f t="shared" si="158"/>
        <v/>
      </c>
      <c r="CO64" s="24" t="str">
        <f t="shared" si="159"/>
        <v/>
      </c>
      <c r="CP64" s="26" t="str">
        <f t="shared" si="160"/>
        <v/>
      </c>
      <c r="CQ64" s="26" t="str">
        <f t="shared" si="161"/>
        <v/>
      </c>
      <c r="CR64" s="26" t="str">
        <f t="shared" si="85"/>
        <v/>
      </c>
      <c r="CS64" s="24" t="str">
        <f t="shared" si="86"/>
        <v/>
      </c>
      <c r="CT64" s="27" t="str">
        <f t="shared" si="162"/>
        <v/>
      </c>
      <c r="CU64" s="24" t="str">
        <f t="shared" si="163"/>
        <v/>
      </c>
      <c r="CV64" s="26" t="str">
        <f t="shared" si="164"/>
        <v/>
      </c>
      <c r="CW64" s="26" t="str">
        <f t="shared" si="165"/>
        <v/>
      </c>
      <c r="CX64" s="26" t="str">
        <f t="shared" si="87"/>
        <v/>
      </c>
      <c r="CY64" s="27" t="str">
        <f t="shared" si="88"/>
        <v/>
      </c>
      <c r="CZ64" s="26" t="str">
        <f t="shared" si="166"/>
        <v/>
      </c>
      <c r="DA64" s="24" t="str">
        <f t="shared" si="167"/>
        <v/>
      </c>
      <c r="DB64" s="24" t="str">
        <f t="shared" si="168"/>
        <v/>
      </c>
      <c r="DC64" s="24" t="str">
        <f t="shared" si="169"/>
        <v/>
      </c>
      <c r="DD64" s="24" t="str">
        <f t="shared" si="170"/>
        <v/>
      </c>
      <c r="DE64" s="1"/>
      <c r="DF64" s="1"/>
      <c r="DG64" s="1"/>
      <c r="DH64" s="24" t="str">
        <f t="shared" si="171"/>
        <v/>
      </c>
      <c r="DI64" s="25" t="str">
        <f t="shared" si="172"/>
        <v/>
      </c>
      <c r="DJ64" t="str">
        <f t="shared" si="90"/>
        <v/>
      </c>
      <c r="DK64" s="9"/>
      <c r="DL64" s="9"/>
      <c r="DM64" s="9"/>
      <c r="DN64" s="9"/>
      <c r="DO64" s="9"/>
      <c r="DP64" s="9"/>
      <c r="DQ64" s="136" t="b">
        <f t="shared" si="173"/>
        <v>1</v>
      </c>
    </row>
    <row r="65" spans="1:121" ht="27" customHeight="1" x14ac:dyDescent="0.95">
      <c r="A65" s="24" t="str">
        <f t="shared" si="89"/>
        <v/>
      </c>
      <c r="B65" s="9"/>
      <c r="C65" s="14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22"/>
      <c r="Q65" s="22"/>
      <c r="R65" s="22"/>
      <c r="S65" s="22"/>
      <c r="T65" s="22"/>
      <c r="U65" s="22"/>
      <c r="V65" s="22"/>
      <c r="W65" s="3" t="str">
        <f t="shared" si="91"/>
        <v/>
      </c>
      <c r="X65" s="3" t="str">
        <f t="shared" si="92"/>
        <v/>
      </c>
      <c r="Y65" s="3" t="str">
        <f t="shared" si="93"/>
        <v/>
      </c>
      <c r="Z65" s="3" t="str">
        <f t="shared" si="94"/>
        <v/>
      </c>
      <c r="AA65" s="3" t="str">
        <f t="shared" si="95"/>
        <v/>
      </c>
      <c r="AB65" s="3" t="str">
        <f t="shared" si="96"/>
        <v/>
      </c>
      <c r="AC65" s="3" t="str">
        <f t="shared" si="97"/>
        <v/>
      </c>
      <c r="AD65" s="3" t="str">
        <f t="shared" si="98"/>
        <v/>
      </c>
      <c r="AE65" s="3" t="str">
        <f t="shared" si="99"/>
        <v/>
      </c>
      <c r="AF65" s="24" t="str">
        <f t="shared" si="100"/>
        <v/>
      </c>
      <c r="AG65" s="24" t="str">
        <f t="shared" si="101"/>
        <v/>
      </c>
      <c r="AH65" s="24" t="str">
        <f t="shared" si="102"/>
        <v/>
      </c>
      <c r="AI65" s="24" t="str">
        <f t="shared" si="103"/>
        <v/>
      </c>
      <c r="AJ65" s="24" t="str">
        <f t="shared" si="104"/>
        <v/>
      </c>
      <c r="AK65" s="24" t="str">
        <f t="shared" si="105"/>
        <v/>
      </c>
      <c r="AL65" s="24" t="str">
        <f t="shared" si="106"/>
        <v/>
      </c>
      <c r="AM65" s="24" t="str">
        <f t="shared" si="107"/>
        <v/>
      </c>
      <c r="AN65" s="24" t="str">
        <f t="shared" si="108"/>
        <v/>
      </c>
      <c r="AO65" s="24" t="str">
        <f t="shared" si="109"/>
        <v/>
      </c>
      <c r="AP65" s="24" t="str">
        <f t="shared" si="110"/>
        <v/>
      </c>
      <c r="AQ65" s="24" t="str">
        <f t="shared" si="111"/>
        <v/>
      </c>
      <c r="AR65" s="24" t="str">
        <f t="shared" si="112"/>
        <v/>
      </c>
      <c r="AS65" s="24" t="str">
        <f t="shared" si="113"/>
        <v/>
      </c>
      <c r="AT65" s="24" t="str">
        <f t="shared" si="114"/>
        <v/>
      </c>
      <c r="AU65" s="24" t="str">
        <f t="shared" si="115"/>
        <v/>
      </c>
      <c r="AV65" s="24" t="str">
        <f t="shared" si="116"/>
        <v/>
      </c>
      <c r="AW65" s="24" t="str">
        <f t="shared" si="117"/>
        <v/>
      </c>
      <c r="AX65" s="24" t="str">
        <f t="shared" si="118"/>
        <v/>
      </c>
      <c r="AY65" s="24" t="str">
        <f t="shared" si="119"/>
        <v/>
      </c>
      <c r="AZ65" s="24" t="str">
        <f t="shared" si="120"/>
        <v/>
      </c>
      <c r="BA65" s="24" t="str">
        <f t="shared" si="121"/>
        <v/>
      </c>
      <c r="BB65" s="24" t="str">
        <f t="shared" si="122"/>
        <v/>
      </c>
      <c r="BC65" s="26" t="str">
        <f t="shared" si="123"/>
        <v/>
      </c>
      <c r="BD65" s="26" t="str">
        <f t="shared" si="124"/>
        <v/>
      </c>
      <c r="BE65" s="26" t="str">
        <f t="shared" si="125"/>
        <v/>
      </c>
      <c r="BF65" s="26" t="str">
        <f t="shared" si="126"/>
        <v/>
      </c>
      <c r="BG65" s="26" t="str">
        <f t="shared" si="127"/>
        <v/>
      </c>
      <c r="BH65" s="26" t="str">
        <f t="shared" si="128"/>
        <v/>
      </c>
      <c r="BI65" s="26" t="str">
        <f t="shared" si="129"/>
        <v/>
      </c>
      <c r="BJ65" s="26" t="str">
        <f t="shared" si="130"/>
        <v/>
      </c>
      <c r="BK65" s="26" t="str">
        <f t="shared" si="131"/>
        <v/>
      </c>
      <c r="BL65" s="26" t="str">
        <f t="shared" si="132"/>
        <v/>
      </c>
      <c r="BM65" s="26" t="str">
        <f t="shared" si="133"/>
        <v/>
      </c>
      <c r="BN65" s="26" t="str">
        <f t="shared" si="134"/>
        <v/>
      </c>
      <c r="BO65" s="26" t="str">
        <f t="shared" si="135"/>
        <v/>
      </c>
      <c r="BP65" s="26" t="str">
        <f t="shared" si="136"/>
        <v/>
      </c>
      <c r="BQ65" s="26" t="str">
        <f t="shared" si="137"/>
        <v/>
      </c>
      <c r="BR65" s="26" t="str">
        <f t="shared" si="138"/>
        <v/>
      </c>
      <c r="BS65" s="24" t="str">
        <f t="shared" si="139"/>
        <v/>
      </c>
      <c r="BT65" s="24" t="str">
        <f t="shared" si="140"/>
        <v/>
      </c>
      <c r="BU65" s="24" t="str">
        <f t="shared" si="141"/>
        <v/>
      </c>
      <c r="BV65" s="24" t="str">
        <f t="shared" si="142"/>
        <v/>
      </c>
      <c r="BW65" s="24" t="str">
        <f t="shared" si="143"/>
        <v/>
      </c>
      <c r="BX65" s="24" t="str">
        <f t="shared" si="144"/>
        <v/>
      </c>
      <c r="BY65" s="24" t="str">
        <f t="shared" si="145"/>
        <v/>
      </c>
      <c r="BZ65" s="24" t="str">
        <f t="shared" si="146"/>
        <v/>
      </c>
      <c r="CA65" s="24" t="str">
        <f t="shared" si="147"/>
        <v/>
      </c>
      <c r="CB65" s="24" t="str">
        <f t="shared" si="148"/>
        <v/>
      </c>
      <c r="CC65" s="24" t="str">
        <f t="shared" si="149"/>
        <v/>
      </c>
      <c r="CD65" s="24" t="str">
        <f t="shared" si="150"/>
        <v/>
      </c>
      <c r="CE65" s="24" t="str">
        <f t="shared" si="151"/>
        <v/>
      </c>
      <c r="CF65" s="24" t="str">
        <f t="shared" si="152"/>
        <v/>
      </c>
      <c r="CG65" s="24" t="str">
        <f t="shared" si="153"/>
        <v/>
      </c>
      <c r="CH65" s="24" t="str">
        <f t="shared" si="154"/>
        <v/>
      </c>
      <c r="CI65" s="24" t="str">
        <f t="shared" si="155"/>
        <v/>
      </c>
      <c r="CJ65" s="26" t="str">
        <f t="shared" si="156"/>
        <v/>
      </c>
      <c r="CK65" s="26" t="str">
        <f t="shared" si="157"/>
        <v/>
      </c>
      <c r="CL65" s="26" t="str">
        <f t="shared" si="83"/>
        <v/>
      </c>
      <c r="CM65" s="24" t="str">
        <f t="shared" si="84"/>
        <v/>
      </c>
      <c r="CN65" s="26" t="str">
        <f t="shared" si="158"/>
        <v/>
      </c>
      <c r="CO65" s="24" t="str">
        <f t="shared" si="159"/>
        <v/>
      </c>
      <c r="CP65" s="26" t="str">
        <f t="shared" si="160"/>
        <v/>
      </c>
      <c r="CQ65" s="26" t="str">
        <f t="shared" si="161"/>
        <v/>
      </c>
      <c r="CR65" s="26" t="str">
        <f t="shared" si="85"/>
        <v/>
      </c>
      <c r="CS65" s="24" t="str">
        <f t="shared" si="86"/>
        <v/>
      </c>
      <c r="CT65" s="27" t="str">
        <f t="shared" si="162"/>
        <v/>
      </c>
      <c r="CU65" s="24" t="str">
        <f t="shared" si="163"/>
        <v/>
      </c>
      <c r="CV65" s="26" t="str">
        <f t="shared" si="164"/>
        <v/>
      </c>
      <c r="CW65" s="26" t="str">
        <f t="shared" si="165"/>
        <v/>
      </c>
      <c r="CX65" s="26" t="str">
        <f t="shared" si="87"/>
        <v/>
      </c>
      <c r="CY65" s="27" t="str">
        <f t="shared" si="88"/>
        <v/>
      </c>
      <c r="CZ65" s="26" t="str">
        <f t="shared" si="166"/>
        <v/>
      </c>
      <c r="DA65" s="24" t="str">
        <f t="shared" si="167"/>
        <v/>
      </c>
      <c r="DB65" s="24" t="str">
        <f t="shared" si="168"/>
        <v/>
      </c>
      <c r="DC65" s="24" t="str">
        <f t="shared" si="169"/>
        <v/>
      </c>
      <c r="DD65" s="24" t="str">
        <f t="shared" si="170"/>
        <v/>
      </c>
      <c r="DE65" s="1"/>
      <c r="DF65" s="1"/>
      <c r="DG65" s="1"/>
      <c r="DH65" s="24" t="str">
        <f t="shared" si="171"/>
        <v/>
      </c>
      <c r="DI65" s="25" t="str">
        <f t="shared" si="172"/>
        <v/>
      </c>
      <c r="DJ65" t="str">
        <f t="shared" si="90"/>
        <v/>
      </c>
      <c r="DK65" s="9"/>
      <c r="DL65" s="9"/>
      <c r="DM65" s="9"/>
      <c r="DN65" s="9"/>
      <c r="DO65" s="9"/>
      <c r="DP65" s="9"/>
      <c r="DQ65" s="136" t="b">
        <f t="shared" si="173"/>
        <v>1</v>
      </c>
    </row>
    <row r="66" spans="1:121" ht="27" customHeight="1" x14ac:dyDescent="0.95">
      <c r="A66" s="24" t="str">
        <f t="shared" si="89"/>
        <v/>
      </c>
      <c r="B66" s="9"/>
      <c r="C66" s="14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22"/>
      <c r="Q66" s="22"/>
      <c r="R66" s="22"/>
      <c r="S66" s="22"/>
      <c r="T66" s="22"/>
      <c r="U66" s="22"/>
      <c r="V66" s="22"/>
      <c r="W66" s="3" t="str">
        <f t="shared" si="91"/>
        <v/>
      </c>
      <c r="X66" s="3" t="str">
        <f t="shared" si="92"/>
        <v/>
      </c>
      <c r="Y66" s="3" t="str">
        <f t="shared" si="93"/>
        <v/>
      </c>
      <c r="Z66" s="3" t="str">
        <f t="shared" si="94"/>
        <v/>
      </c>
      <c r="AA66" s="3" t="str">
        <f t="shared" si="95"/>
        <v/>
      </c>
      <c r="AB66" s="3" t="str">
        <f t="shared" si="96"/>
        <v/>
      </c>
      <c r="AC66" s="3" t="str">
        <f t="shared" si="97"/>
        <v/>
      </c>
      <c r="AD66" s="3" t="str">
        <f t="shared" si="98"/>
        <v/>
      </c>
      <c r="AE66" s="3" t="str">
        <f t="shared" si="99"/>
        <v/>
      </c>
      <c r="AF66" s="24" t="str">
        <f t="shared" si="100"/>
        <v/>
      </c>
      <c r="AG66" s="24" t="str">
        <f t="shared" si="101"/>
        <v/>
      </c>
      <c r="AH66" s="24" t="str">
        <f t="shared" si="102"/>
        <v/>
      </c>
      <c r="AI66" s="24" t="str">
        <f t="shared" si="103"/>
        <v/>
      </c>
      <c r="AJ66" s="24" t="str">
        <f t="shared" si="104"/>
        <v/>
      </c>
      <c r="AK66" s="24" t="str">
        <f t="shared" si="105"/>
        <v/>
      </c>
      <c r="AL66" s="24" t="str">
        <f t="shared" si="106"/>
        <v/>
      </c>
      <c r="AM66" s="24" t="str">
        <f t="shared" si="107"/>
        <v/>
      </c>
      <c r="AN66" s="24" t="str">
        <f t="shared" si="108"/>
        <v/>
      </c>
      <c r="AO66" s="24" t="str">
        <f t="shared" si="109"/>
        <v/>
      </c>
      <c r="AP66" s="24" t="str">
        <f t="shared" si="110"/>
        <v/>
      </c>
      <c r="AQ66" s="24" t="str">
        <f t="shared" si="111"/>
        <v/>
      </c>
      <c r="AR66" s="24" t="str">
        <f t="shared" si="112"/>
        <v/>
      </c>
      <c r="AS66" s="24" t="str">
        <f t="shared" si="113"/>
        <v/>
      </c>
      <c r="AT66" s="24" t="str">
        <f t="shared" si="114"/>
        <v/>
      </c>
      <c r="AU66" s="24" t="str">
        <f t="shared" si="115"/>
        <v/>
      </c>
      <c r="AV66" s="24" t="str">
        <f t="shared" si="116"/>
        <v/>
      </c>
      <c r="AW66" s="24" t="str">
        <f t="shared" si="117"/>
        <v/>
      </c>
      <c r="AX66" s="24" t="str">
        <f t="shared" si="118"/>
        <v/>
      </c>
      <c r="AY66" s="24" t="str">
        <f t="shared" si="119"/>
        <v/>
      </c>
      <c r="AZ66" s="24" t="str">
        <f t="shared" si="120"/>
        <v/>
      </c>
      <c r="BA66" s="24" t="str">
        <f t="shared" si="121"/>
        <v/>
      </c>
      <c r="BB66" s="24" t="str">
        <f t="shared" si="122"/>
        <v/>
      </c>
      <c r="BC66" s="26" t="str">
        <f t="shared" si="123"/>
        <v/>
      </c>
      <c r="BD66" s="26" t="str">
        <f t="shared" si="124"/>
        <v/>
      </c>
      <c r="BE66" s="26" t="str">
        <f t="shared" si="125"/>
        <v/>
      </c>
      <c r="BF66" s="26" t="str">
        <f t="shared" si="126"/>
        <v/>
      </c>
      <c r="BG66" s="26" t="str">
        <f t="shared" si="127"/>
        <v/>
      </c>
      <c r="BH66" s="26" t="str">
        <f t="shared" si="128"/>
        <v/>
      </c>
      <c r="BI66" s="26" t="str">
        <f t="shared" si="129"/>
        <v/>
      </c>
      <c r="BJ66" s="26" t="str">
        <f t="shared" si="130"/>
        <v/>
      </c>
      <c r="BK66" s="26" t="str">
        <f t="shared" si="131"/>
        <v/>
      </c>
      <c r="BL66" s="26" t="str">
        <f t="shared" si="132"/>
        <v/>
      </c>
      <c r="BM66" s="26" t="str">
        <f t="shared" si="133"/>
        <v/>
      </c>
      <c r="BN66" s="26" t="str">
        <f t="shared" si="134"/>
        <v/>
      </c>
      <c r="BO66" s="26" t="str">
        <f t="shared" si="135"/>
        <v/>
      </c>
      <c r="BP66" s="26" t="str">
        <f t="shared" si="136"/>
        <v/>
      </c>
      <c r="BQ66" s="26" t="str">
        <f t="shared" si="137"/>
        <v/>
      </c>
      <c r="BR66" s="26" t="str">
        <f t="shared" si="138"/>
        <v/>
      </c>
      <c r="BS66" s="24" t="str">
        <f t="shared" si="139"/>
        <v/>
      </c>
      <c r="BT66" s="24" t="str">
        <f t="shared" si="140"/>
        <v/>
      </c>
      <c r="BU66" s="24" t="str">
        <f t="shared" si="141"/>
        <v/>
      </c>
      <c r="BV66" s="24" t="str">
        <f t="shared" si="142"/>
        <v/>
      </c>
      <c r="BW66" s="24" t="str">
        <f t="shared" si="143"/>
        <v/>
      </c>
      <c r="BX66" s="24" t="str">
        <f t="shared" si="144"/>
        <v/>
      </c>
      <c r="BY66" s="24" t="str">
        <f t="shared" si="145"/>
        <v/>
      </c>
      <c r="BZ66" s="24" t="str">
        <f t="shared" si="146"/>
        <v/>
      </c>
      <c r="CA66" s="24" t="str">
        <f t="shared" si="147"/>
        <v/>
      </c>
      <c r="CB66" s="24" t="str">
        <f t="shared" si="148"/>
        <v/>
      </c>
      <c r="CC66" s="24" t="str">
        <f t="shared" si="149"/>
        <v/>
      </c>
      <c r="CD66" s="24" t="str">
        <f t="shared" si="150"/>
        <v/>
      </c>
      <c r="CE66" s="24" t="str">
        <f t="shared" si="151"/>
        <v/>
      </c>
      <c r="CF66" s="24" t="str">
        <f t="shared" si="152"/>
        <v/>
      </c>
      <c r="CG66" s="24" t="str">
        <f t="shared" si="153"/>
        <v/>
      </c>
      <c r="CH66" s="24" t="str">
        <f t="shared" si="154"/>
        <v/>
      </c>
      <c r="CI66" s="24" t="str">
        <f t="shared" si="155"/>
        <v/>
      </c>
      <c r="CJ66" s="26" t="str">
        <f t="shared" si="156"/>
        <v/>
      </c>
      <c r="CK66" s="26" t="str">
        <f t="shared" si="157"/>
        <v/>
      </c>
      <c r="CL66" s="26" t="str">
        <f t="shared" si="83"/>
        <v/>
      </c>
      <c r="CM66" s="24" t="str">
        <f t="shared" si="84"/>
        <v/>
      </c>
      <c r="CN66" s="26" t="str">
        <f t="shared" si="158"/>
        <v/>
      </c>
      <c r="CO66" s="24" t="str">
        <f t="shared" si="159"/>
        <v/>
      </c>
      <c r="CP66" s="26" t="str">
        <f t="shared" si="160"/>
        <v/>
      </c>
      <c r="CQ66" s="26" t="str">
        <f t="shared" si="161"/>
        <v/>
      </c>
      <c r="CR66" s="26" t="str">
        <f t="shared" si="85"/>
        <v/>
      </c>
      <c r="CS66" s="24" t="str">
        <f t="shared" si="86"/>
        <v/>
      </c>
      <c r="CT66" s="27" t="str">
        <f t="shared" si="162"/>
        <v/>
      </c>
      <c r="CU66" s="24" t="str">
        <f t="shared" si="163"/>
        <v/>
      </c>
      <c r="CV66" s="26" t="str">
        <f t="shared" si="164"/>
        <v/>
      </c>
      <c r="CW66" s="26" t="str">
        <f t="shared" si="165"/>
        <v/>
      </c>
      <c r="CX66" s="26" t="str">
        <f t="shared" si="87"/>
        <v/>
      </c>
      <c r="CY66" s="27" t="str">
        <f t="shared" si="88"/>
        <v/>
      </c>
      <c r="CZ66" s="26" t="str">
        <f t="shared" si="166"/>
        <v/>
      </c>
      <c r="DA66" s="24" t="str">
        <f t="shared" si="167"/>
        <v/>
      </c>
      <c r="DB66" s="24" t="str">
        <f t="shared" si="168"/>
        <v/>
      </c>
      <c r="DC66" s="24" t="str">
        <f t="shared" si="169"/>
        <v/>
      </c>
      <c r="DD66" s="24" t="str">
        <f t="shared" si="170"/>
        <v/>
      </c>
      <c r="DE66" s="1"/>
      <c r="DF66" s="1"/>
      <c r="DG66" s="1"/>
      <c r="DH66" s="24" t="str">
        <f t="shared" si="171"/>
        <v/>
      </c>
      <c r="DI66" s="25" t="str">
        <f t="shared" si="172"/>
        <v/>
      </c>
      <c r="DJ66" t="str">
        <f t="shared" si="90"/>
        <v/>
      </c>
      <c r="DK66" s="9"/>
      <c r="DL66" s="9"/>
      <c r="DM66" s="9"/>
      <c r="DN66" s="9"/>
      <c r="DO66" s="9"/>
      <c r="DP66" s="9"/>
      <c r="DQ66" s="136" t="b">
        <f t="shared" si="173"/>
        <v>1</v>
      </c>
    </row>
    <row r="67" spans="1:121" ht="27" customHeight="1" x14ac:dyDescent="0.95">
      <c r="A67" s="24" t="str">
        <f t="shared" si="89"/>
        <v/>
      </c>
      <c r="B67" s="9"/>
      <c r="C67" s="14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22"/>
      <c r="Q67" s="22"/>
      <c r="R67" s="22"/>
      <c r="S67" s="22"/>
      <c r="T67" s="22"/>
      <c r="U67" s="22"/>
      <c r="V67" s="22"/>
      <c r="W67" s="3" t="str">
        <f t="shared" si="91"/>
        <v/>
      </c>
      <c r="X67" s="3" t="str">
        <f t="shared" si="92"/>
        <v/>
      </c>
      <c r="Y67" s="3" t="str">
        <f t="shared" si="93"/>
        <v/>
      </c>
      <c r="Z67" s="3" t="str">
        <f t="shared" si="94"/>
        <v/>
      </c>
      <c r="AA67" s="3" t="str">
        <f t="shared" si="95"/>
        <v/>
      </c>
      <c r="AB67" s="3" t="str">
        <f t="shared" si="96"/>
        <v/>
      </c>
      <c r="AC67" s="3" t="str">
        <f t="shared" si="97"/>
        <v/>
      </c>
      <c r="AD67" s="3" t="str">
        <f t="shared" si="98"/>
        <v/>
      </c>
      <c r="AE67" s="3" t="str">
        <f t="shared" si="99"/>
        <v/>
      </c>
      <c r="AF67" s="24" t="str">
        <f t="shared" si="100"/>
        <v/>
      </c>
      <c r="AG67" s="24" t="str">
        <f t="shared" si="101"/>
        <v/>
      </c>
      <c r="AH67" s="24" t="str">
        <f t="shared" si="102"/>
        <v/>
      </c>
      <c r="AI67" s="24" t="str">
        <f t="shared" si="103"/>
        <v/>
      </c>
      <c r="AJ67" s="24" t="str">
        <f t="shared" si="104"/>
        <v/>
      </c>
      <c r="AK67" s="24" t="str">
        <f t="shared" si="105"/>
        <v/>
      </c>
      <c r="AL67" s="24" t="str">
        <f t="shared" si="106"/>
        <v/>
      </c>
      <c r="AM67" s="24" t="str">
        <f t="shared" si="107"/>
        <v/>
      </c>
      <c r="AN67" s="24" t="str">
        <f t="shared" si="108"/>
        <v/>
      </c>
      <c r="AO67" s="24" t="str">
        <f t="shared" si="109"/>
        <v/>
      </c>
      <c r="AP67" s="24" t="str">
        <f t="shared" si="110"/>
        <v/>
      </c>
      <c r="AQ67" s="24" t="str">
        <f t="shared" si="111"/>
        <v/>
      </c>
      <c r="AR67" s="24" t="str">
        <f t="shared" si="112"/>
        <v/>
      </c>
      <c r="AS67" s="24" t="str">
        <f t="shared" si="113"/>
        <v/>
      </c>
      <c r="AT67" s="24" t="str">
        <f t="shared" si="114"/>
        <v/>
      </c>
      <c r="AU67" s="24" t="str">
        <f t="shared" si="115"/>
        <v/>
      </c>
      <c r="AV67" s="24" t="str">
        <f t="shared" si="116"/>
        <v/>
      </c>
      <c r="AW67" s="24" t="str">
        <f t="shared" si="117"/>
        <v/>
      </c>
      <c r="AX67" s="24" t="str">
        <f t="shared" si="118"/>
        <v/>
      </c>
      <c r="AY67" s="24" t="str">
        <f t="shared" si="119"/>
        <v/>
      </c>
      <c r="AZ67" s="24" t="str">
        <f t="shared" si="120"/>
        <v/>
      </c>
      <c r="BA67" s="24" t="str">
        <f t="shared" si="121"/>
        <v/>
      </c>
      <c r="BB67" s="24" t="str">
        <f t="shared" si="122"/>
        <v/>
      </c>
      <c r="BC67" s="26" t="str">
        <f t="shared" si="123"/>
        <v/>
      </c>
      <c r="BD67" s="26" t="str">
        <f t="shared" si="124"/>
        <v/>
      </c>
      <c r="BE67" s="26" t="str">
        <f t="shared" si="125"/>
        <v/>
      </c>
      <c r="BF67" s="26" t="str">
        <f t="shared" si="126"/>
        <v/>
      </c>
      <c r="BG67" s="26" t="str">
        <f t="shared" si="127"/>
        <v/>
      </c>
      <c r="BH67" s="26" t="str">
        <f t="shared" si="128"/>
        <v/>
      </c>
      <c r="BI67" s="26" t="str">
        <f t="shared" si="129"/>
        <v/>
      </c>
      <c r="BJ67" s="26" t="str">
        <f t="shared" si="130"/>
        <v/>
      </c>
      <c r="BK67" s="26" t="str">
        <f t="shared" si="131"/>
        <v/>
      </c>
      <c r="BL67" s="26" t="str">
        <f t="shared" si="132"/>
        <v/>
      </c>
      <c r="BM67" s="26" t="str">
        <f t="shared" si="133"/>
        <v/>
      </c>
      <c r="BN67" s="26" t="str">
        <f t="shared" si="134"/>
        <v/>
      </c>
      <c r="BO67" s="26" t="str">
        <f t="shared" si="135"/>
        <v/>
      </c>
      <c r="BP67" s="26" t="str">
        <f t="shared" si="136"/>
        <v/>
      </c>
      <c r="BQ67" s="26" t="str">
        <f t="shared" si="137"/>
        <v/>
      </c>
      <c r="BR67" s="26" t="str">
        <f t="shared" si="138"/>
        <v/>
      </c>
      <c r="BS67" s="24" t="str">
        <f t="shared" si="139"/>
        <v/>
      </c>
      <c r="BT67" s="24" t="str">
        <f t="shared" si="140"/>
        <v/>
      </c>
      <c r="BU67" s="24" t="str">
        <f t="shared" si="141"/>
        <v/>
      </c>
      <c r="BV67" s="24" t="str">
        <f t="shared" si="142"/>
        <v/>
      </c>
      <c r="BW67" s="24" t="str">
        <f t="shared" si="143"/>
        <v/>
      </c>
      <c r="BX67" s="24" t="str">
        <f t="shared" si="144"/>
        <v/>
      </c>
      <c r="BY67" s="24" t="str">
        <f t="shared" si="145"/>
        <v/>
      </c>
      <c r="BZ67" s="24" t="str">
        <f t="shared" si="146"/>
        <v/>
      </c>
      <c r="CA67" s="24" t="str">
        <f t="shared" si="147"/>
        <v/>
      </c>
      <c r="CB67" s="24" t="str">
        <f t="shared" si="148"/>
        <v/>
      </c>
      <c r="CC67" s="24" t="str">
        <f t="shared" si="149"/>
        <v/>
      </c>
      <c r="CD67" s="24" t="str">
        <f t="shared" si="150"/>
        <v/>
      </c>
      <c r="CE67" s="24" t="str">
        <f t="shared" si="151"/>
        <v/>
      </c>
      <c r="CF67" s="24" t="str">
        <f t="shared" si="152"/>
        <v/>
      </c>
      <c r="CG67" s="24" t="str">
        <f t="shared" si="153"/>
        <v/>
      </c>
      <c r="CH67" s="24" t="str">
        <f t="shared" si="154"/>
        <v/>
      </c>
      <c r="CI67" s="24" t="str">
        <f t="shared" si="155"/>
        <v/>
      </c>
      <c r="CJ67" s="26" t="str">
        <f t="shared" si="156"/>
        <v/>
      </c>
      <c r="CK67" s="26" t="str">
        <f t="shared" si="157"/>
        <v/>
      </c>
      <c r="CL67" s="26" t="str">
        <f t="shared" si="83"/>
        <v/>
      </c>
      <c r="CM67" s="24" t="str">
        <f t="shared" si="84"/>
        <v/>
      </c>
      <c r="CN67" s="26" t="str">
        <f t="shared" si="158"/>
        <v/>
      </c>
      <c r="CO67" s="24" t="str">
        <f t="shared" si="159"/>
        <v/>
      </c>
      <c r="CP67" s="26" t="str">
        <f t="shared" si="160"/>
        <v/>
      </c>
      <c r="CQ67" s="26" t="str">
        <f t="shared" si="161"/>
        <v/>
      </c>
      <c r="CR67" s="26" t="str">
        <f t="shared" si="85"/>
        <v/>
      </c>
      <c r="CS67" s="24" t="str">
        <f t="shared" si="86"/>
        <v/>
      </c>
      <c r="CT67" s="27" t="str">
        <f t="shared" si="162"/>
        <v/>
      </c>
      <c r="CU67" s="24" t="str">
        <f t="shared" si="163"/>
        <v/>
      </c>
      <c r="CV67" s="26" t="str">
        <f t="shared" si="164"/>
        <v/>
      </c>
      <c r="CW67" s="26" t="str">
        <f t="shared" si="165"/>
        <v/>
      </c>
      <c r="CX67" s="26" t="str">
        <f t="shared" si="87"/>
        <v/>
      </c>
      <c r="CY67" s="27" t="str">
        <f t="shared" si="88"/>
        <v/>
      </c>
      <c r="CZ67" s="26" t="str">
        <f t="shared" si="166"/>
        <v/>
      </c>
      <c r="DA67" s="24" t="str">
        <f t="shared" si="167"/>
        <v/>
      </c>
      <c r="DB67" s="24" t="str">
        <f t="shared" si="168"/>
        <v/>
      </c>
      <c r="DC67" s="24" t="str">
        <f t="shared" si="169"/>
        <v/>
      </c>
      <c r="DD67" s="24" t="str">
        <f t="shared" si="170"/>
        <v/>
      </c>
      <c r="DE67" s="1"/>
      <c r="DF67" s="1"/>
      <c r="DG67" s="1"/>
      <c r="DH67" s="24" t="str">
        <f t="shared" si="171"/>
        <v/>
      </c>
      <c r="DI67" s="25" t="str">
        <f t="shared" si="172"/>
        <v/>
      </c>
      <c r="DJ67" t="str">
        <f t="shared" si="90"/>
        <v/>
      </c>
      <c r="DK67" s="9"/>
      <c r="DL67" s="9"/>
      <c r="DM67" s="9"/>
      <c r="DN67" s="9"/>
      <c r="DO67" s="9"/>
      <c r="DP67" s="9"/>
      <c r="DQ67" s="136" t="b">
        <f t="shared" si="173"/>
        <v>1</v>
      </c>
    </row>
    <row r="68" spans="1:121" ht="27" customHeight="1" x14ac:dyDescent="0.95">
      <c r="A68" s="24" t="str">
        <f t="shared" si="89"/>
        <v/>
      </c>
      <c r="B68" s="9"/>
      <c r="C68" s="14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22"/>
      <c r="Q68" s="22"/>
      <c r="R68" s="22"/>
      <c r="S68" s="22"/>
      <c r="T68" s="22"/>
      <c r="U68" s="22"/>
      <c r="V68" s="22"/>
      <c r="W68" s="3" t="str">
        <f t="shared" si="91"/>
        <v/>
      </c>
      <c r="X68" s="3" t="str">
        <f t="shared" si="92"/>
        <v/>
      </c>
      <c r="Y68" s="3" t="str">
        <f t="shared" si="93"/>
        <v/>
      </c>
      <c r="Z68" s="3" t="str">
        <f t="shared" si="94"/>
        <v/>
      </c>
      <c r="AA68" s="3" t="str">
        <f t="shared" si="95"/>
        <v/>
      </c>
      <c r="AB68" s="3" t="str">
        <f t="shared" si="96"/>
        <v/>
      </c>
      <c r="AC68" s="3" t="str">
        <f t="shared" si="97"/>
        <v/>
      </c>
      <c r="AD68" s="3" t="str">
        <f t="shared" si="98"/>
        <v/>
      </c>
      <c r="AE68" s="3" t="str">
        <f t="shared" si="99"/>
        <v/>
      </c>
      <c r="AF68" s="24" t="str">
        <f t="shared" si="100"/>
        <v/>
      </c>
      <c r="AG68" s="24" t="str">
        <f t="shared" si="101"/>
        <v/>
      </c>
      <c r="AH68" s="24" t="str">
        <f t="shared" si="102"/>
        <v/>
      </c>
      <c r="AI68" s="24" t="str">
        <f t="shared" si="103"/>
        <v/>
      </c>
      <c r="AJ68" s="24" t="str">
        <f t="shared" si="104"/>
        <v/>
      </c>
      <c r="AK68" s="24" t="str">
        <f t="shared" si="105"/>
        <v/>
      </c>
      <c r="AL68" s="24" t="str">
        <f t="shared" si="106"/>
        <v/>
      </c>
      <c r="AM68" s="24" t="str">
        <f t="shared" si="107"/>
        <v/>
      </c>
      <c r="AN68" s="24" t="str">
        <f t="shared" si="108"/>
        <v/>
      </c>
      <c r="AO68" s="24" t="str">
        <f t="shared" si="109"/>
        <v/>
      </c>
      <c r="AP68" s="24" t="str">
        <f t="shared" si="110"/>
        <v/>
      </c>
      <c r="AQ68" s="24" t="str">
        <f t="shared" si="111"/>
        <v/>
      </c>
      <c r="AR68" s="24" t="str">
        <f t="shared" si="112"/>
        <v/>
      </c>
      <c r="AS68" s="24" t="str">
        <f t="shared" si="113"/>
        <v/>
      </c>
      <c r="AT68" s="24" t="str">
        <f t="shared" si="114"/>
        <v/>
      </c>
      <c r="AU68" s="24" t="str">
        <f t="shared" si="115"/>
        <v/>
      </c>
      <c r="AV68" s="24" t="str">
        <f t="shared" si="116"/>
        <v/>
      </c>
      <c r="AW68" s="24" t="str">
        <f t="shared" si="117"/>
        <v/>
      </c>
      <c r="AX68" s="24" t="str">
        <f t="shared" si="118"/>
        <v/>
      </c>
      <c r="AY68" s="24" t="str">
        <f t="shared" si="119"/>
        <v/>
      </c>
      <c r="AZ68" s="24" t="str">
        <f t="shared" si="120"/>
        <v/>
      </c>
      <c r="BA68" s="24" t="str">
        <f t="shared" si="121"/>
        <v/>
      </c>
      <c r="BB68" s="24" t="str">
        <f t="shared" si="122"/>
        <v/>
      </c>
      <c r="BC68" s="26" t="str">
        <f t="shared" si="123"/>
        <v/>
      </c>
      <c r="BD68" s="26" t="str">
        <f t="shared" si="124"/>
        <v/>
      </c>
      <c r="BE68" s="26" t="str">
        <f t="shared" si="125"/>
        <v/>
      </c>
      <c r="BF68" s="26" t="str">
        <f t="shared" si="126"/>
        <v/>
      </c>
      <c r="BG68" s="26" t="str">
        <f t="shared" si="127"/>
        <v/>
      </c>
      <c r="BH68" s="26" t="str">
        <f t="shared" si="128"/>
        <v/>
      </c>
      <c r="BI68" s="26" t="str">
        <f t="shared" si="129"/>
        <v/>
      </c>
      <c r="BJ68" s="26" t="str">
        <f t="shared" si="130"/>
        <v/>
      </c>
      <c r="BK68" s="26" t="str">
        <f t="shared" si="131"/>
        <v/>
      </c>
      <c r="BL68" s="26" t="str">
        <f t="shared" si="132"/>
        <v/>
      </c>
      <c r="BM68" s="26" t="str">
        <f t="shared" si="133"/>
        <v/>
      </c>
      <c r="BN68" s="26" t="str">
        <f t="shared" si="134"/>
        <v/>
      </c>
      <c r="BO68" s="26" t="str">
        <f t="shared" si="135"/>
        <v/>
      </c>
      <c r="BP68" s="26" t="str">
        <f t="shared" si="136"/>
        <v/>
      </c>
      <c r="BQ68" s="26" t="str">
        <f t="shared" si="137"/>
        <v/>
      </c>
      <c r="BR68" s="26" t="str">
        <f t="shared" si="138"/>
        <v/>
      </c>
      <c r="BS68" s="24" t="str">
        <f t="shared" si="139"/>
        <v/>
      </c>
      <c r="BT68" s="24" t="str">
        <f t="shared" si="140"/>
        <v/>
      </c>
      <c r="BU68" s="24" t="str">
        <f t="shared" si="141"/>
        <v/>
      </c>
      <c r="BV68" s="24" t="str">
        <f t="shared" si="142"/>
        <v/>
      </c>
      <c r="BW68" s="24" t="str">
        <f t="shared" si="143"/>
        <v/>
      </c>
      <c r="BX68" s="24" t="str">
        <f t="shared" si="144"/>
        <v/>
      </c>
      <c r="BY68" s="24" t="str">
        <f t="shared" si="145"/>
        <v/>
      </c>
      <c r="BZ68" s="24" t="str">
        <f t="shared" si="146"/>
        <v/>
      </c>
      <c r="CA68" s="24" t="str">
        <f t="shared" si="147"/>
        <v/>
      </c>
      <c r="CB68" s="24" t="str">
        <f t="shared" si="148"/>
        <v/>
      </c>
      <c r="CC68" s="24" t="str">
        <f t="shared" si="149"/>
        <v/>
      </c>
      <c r="CD68" s="24" t="str">
        <f t="shared" si="150"/>
        <v/>
      </c>
      <c r="CE68" s="24" t="str">
        <f t="shared" si="151"/>
        <v/>
      </c>
      <c r="CF68" s="24" t="str">
        <f t="shared" si="152"/>
        <v/>
      </c>
      <c r="CG68" s="24" t="str">
        <f t="shared" si="153"/>
        <v/>
      </c>
      <c r="CH68" s="24" t="str">
        <f t="shared" si="154"/>
        <v/>
      </c>
      <c r="CI68" s="24" t="str">
        <f t="shared" si="155"/>
        <v/>
      </c>
      <c r="CJ68" s="26" t="str">
        <f t="shared" si="156"/>
        <v/>
      </c>
      <c r="CK68" s="26" t="str">
        <f t="shared" si="157"/>
        <v/>
      </c>
      <c r="CL68" s="26" t="str">
        <f t="shared" si="83"/>
        <v/>
      </c>
      <c r="CM68" s="24" t="str">
        <f t="shared" si="84"/>
        <v/>
      </c>
      <c r="CN68" s="26" t="str">
        <f t="shared" si="158"/>
        <v/>
      </c>
      <c r="CO68" s="24" t="str">
        <f t="shared" si="159"/>
        <v/>
      </c>
      <c r="CP68" s="26" t="str">
        <f t="shared" si="160"/>
        <v/>
      </c>
      <c r="CQ68" s="26" t="str">
        <f t="shared" si="161"/>
        <v/>
      </c>
      <c r="CR68" s="26" t="str">
        <f t="shared" si="85"/>
        <v/>
      </c>
      <c r="CS68" s="24" t="str">
        <f t="shared" si="86"/>
        <v/>
      </c>
      <c r="CT68" s="27" t="str">
        <f t="shared" si="162"/>
        <v/>
      </c>
      <c r="CU68" s="24" t="str">
        <f t="shared" si="163"/>
        <v/>
      </c>
      <c r="CV68" s="26" t="str">
        <f t="shared" si="164"/>
        <v/>
      </c>
      <c r="CW68" s="26" t="str">
        <f t="shared" si="165"/>
        <v/>
      </c>
      <c r="CX68" s="26" t="str">
        <f t="shared" si="87"/>
        <v/>
      </c>
      <c r="CY68" s="27" t="str">
        <f t="shared" si="88"/>
        <v/>
      </c>
      <c r="CZ68" s="26" t="str">
        <f t="shared" si="166"/>
        <v/>
      </c>
      <c r="DA68" s="24" t="str">
        <f t="shared" si="167"/>
        <v/>
      </c>
      <c r="DB68" s="24" t="str">
        <f t="shared" si="168"/>
        <v/>
      </c>
      <c r="DC68" s="24" t="str">
        <f t="shared" si="169"/>
        <v/>
      </c>
      <c r="DD68" s="24" t="str">
        <f t="shared" si="170"/>
        <v/>
      </c>
      <c r="DE68" s="1"/>
      <c r="DF68" s="1"/>
      <c r="DG68" s="1"/>
      <c r="DH68" s="24" t="str">
        <f t="shared" si="171"/>
        <v/>
      </c>
      <c r="DI68" s="25" t="str">
        <f t="shared" si="172"/>
        <v/>
      </c>
      <c r="DJ68" t="str">
        <f t="shared" si="90"/>
        <v/>
      </c>
      <c r="DK68" s="9"/>
      <c r="DL68" s="9"/>
      <c r="DM68" s="9"/>
      <c r="DN68" s="9"/>
      <c r="DO68" s="9"/>
      <c r="DP68" s="9"/>
      <c r="DQ68" s="136" t="b">
        <f t="shared" si="173"/>
        <v>1</v>
      </c>
    </row>
    <row r="69" spans="1:121" ht="27" customHeight="1" x14ac:dyDescent="0.95">
      <c r="A69" s="24" t="str">
        <f t="shared" si="89"/>
        <v/>
      </c>
      <c r="B69" s="9"/>
      <c r="C69" s="14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22"/>
      <c r="Q69" s="22"/>
      <c r="R69" s="22"/>
      <c r="S69" s="22"/>
      <c r="T69" s="22"/>
      <c r="U69" s="22"/>
      <c r="V69" s="22"/>
      <c r="W69" s="3" t="str">
        <f t="shared" si="91"/>
        <v/>
      </c>
      <c r="X69" s="3" t="str">
        <f t="shared" si="92"/>
        <v/>
      </c>
      <c r="Y69" s="3" t="str">
        <f t="shared" si="93"/>
        <v/>
      </c>
      <c r="Z69" s="3" t="str">
        <f t="shared" si="94"/>
        <v/>
      </c>
      <c r="AA69" s="3" t="str">
        <f t="shared" si="95"/>
        <v/>
      </c>
      <c r="AB69" s="3" t="str">
        <f t="shared" si="96"/>
        <v/>
      </c>
      <c r="AC69" s="3" t="str">
        <f t="shared" si="97"/>
        <v/>
      </c>
      <c r="AD69" s="3" t="str">
        <f t="shared" si="98"/>
        <v/>
      </c>
      <c r="AE69" s="3" t="str">
        <f t="shared" si="99"/>
        <v/>
      </c>
      <c r="AF69" s="24" t="str">
        <f t="shared" si="100"/>
        <v/>
      </c>
      <c r="AG69" s="24" t="str">
        <f t="shared" si="101"/>
        <v/>
      </c>
      <c r="AH69" s="24" t="str">
        <f t="shared" si="102"/>
        <v/>
      </c>
      <c r="AI69" s="24" t="str">
        <f t="shared" si="103"/>
        <v/>
      </c>
      <c r="AJ69" s="24" t="str">
        <f t="shared" si="104"/>
        <v/>
      </c>
      <c r="AK69" s="24" t="str">
        <f t="shared" si="105"/>
        <v/>
      </c>
      <c r="AL69" s="24" t="str">
        <f t="shared" si="106"/>
        <v/>
      </c>
      <c r="AM69" s="24" t="str">
        <f t="shared" si="107"/>
        <v/>
      </c>
      <c r="AN69" s="24" t="str">
        <f t="shared" si="108"/>
        <v/>
      </c>
      <c r="AO69" s="24" t="str">
        <f t="shared" si="109"/>
        <v/>
      </c>
      <c r="AP69" s="24" t="str">
        <f t="shared" si="110"/>
        <v/>
      </c>
      <c r="AQ69" s="24" t="str">
        <f t="shared" si="111"/>
        <v/>
      </c>
      <c r="AR69" s="24" t="str">
        <f t="shared" si="112"/>
        <v/>
      </c>
      <c r="AS69" s="24" t="str">
        <f t="shared" si="113"/>
        <v/>
      </c>
      <c r="AT69" s="24" t="str">
        <f t="shared" si="114"/>
        <v/>
      </c>
      <c r="AU69" s="24" t="str">
        <f t="shared" si="115"/>
        <v/>
      </c>
      <c r="AV69" s="24" t="str">
        <f t="shared" si="116"/>
        <v/>
      </c>
      <c r="AW69" s="24" t="str">
        <f t="shared" si="117"/>
        <v/>
      </c>
      <c r="AX69" s="24" t="str">
        <f t="shared" si="118"/>
        <v/>
      </c>
      <c r="AY69" s="24" t="str">
        <f t="shared" si="119"/>
        <v/>
      </c>
      <c r="AZ69" s="24" t="str">
        <f t="shared" si="120"/>
        <v/>
      </c>
      <c r="BA69" s="24" t="str">
        <f t="shared" si="121"/>
        <v/>
      </c>
      <c r="BB69" s="24" t="str">
        <f t="shared" si="122"/>
        <v/>
      </c>
      <c r="BC69" s="26" t="str">
        <f t="shared" si="123"/>
        <v/>
      </c>
      <c r="BD69" s="26" t="str">
        <f t="shared" si="124"/>
        <v/>
      </c>
      <c r="BE69" s="26" t="str">
        <f t="shared" si="125"/>
        <v/>
      </c>
      <c r="BF69" s="26" t="str">
        <f t="shared" si="126"/>
        <v/>
      </c>
      <c r="BG69" s="26" t="str">
        <f t="shared" si="127"/>
        <v/>
      </c>
      <c r="BH69" s="26" t="str">
        <f t="shared" si="128"/>
        <v/>
      </c>
      <c r="BI69" s="26" t="str">
        <f t="shared" si="129"/>
        <v/>
      </c>
      <c r="BJ69" s="26" t="str">
        <f t="shared" si="130"/>
        <v/>
      </c>
      <c r="BK69" s="26" t="str">
        <f t="shared" si="131"/>
        <v/>
      </c>
      <c r="BL69" s="26" t="str">
        <f t="shared" si="132"/>
        <v/>
      </c>
      <c r="BM69" s="26" t="str">
        <f t="shared" si="133"/>
        <v/>
      </c>
      <c r="BN69" s="26" t="str">
        <f t="shared" si="134"/>
        <v/>
      </c>
      <c r="BO69" s="26" t="str">
        <f t="shared" si="135"/>
        <v/>
      </c>
      <c r="BP69" s="26" t="str">
        <f t="shared" si="136"/>
        <v/>
      </c>
      <c r="BQ69" s="26" t="str">
        <f t="shared" si="137"/>
        <v/>
      </c>
      <c r="BR69" s="26" t="str">
        <f t="shared" si="138"/>
        <v/>
      </c>
      <c r="BS69" s="24" t="str">
        <f t="shared" si="139"/>
        <v/>
      </c>
      <c r="BT69" s="24" t="str">
        <f t="shared" si="140"/>
        <v/>
      </c>
      <c r="BU69" s="24" t="str">
        <f t="shared" si="141"/>
        <v/>
      </c>
      <c r="BV69" s="24" t="str">
        <f t="shared" si="142"/>
        <v/>
      </c>
      <c r="BW69" s="24" t="str">
        <f t="shared" si="143"/>
        <v/>
      </c>
      <c r="BX69" s="24" t="str">
        <f t="shared" si="144"/>
        <v/>
      </c>
      <c r="BY69" s="24" t="str">
        <f t="shared" si="145"/>
        <v/>
      </c>
      <c r="BZ69" s="24" t="str">
        <f t="shared" si="146"/>
        <v/>
      </c>
      <c r="CA69" s="24" t="str">
        <f t="shared" si="147"/>
        <v/>
      </c>
      <c r="CB69" s="24" t="str">
        <f t="shared" si="148"/>
        <v/>
      </c>
      <c r="CC69" s="24" t="str">
        <f t="shared" si="149"/>
        <v/>
      </c>
      <c r="CD69" s="24" t="str">
        <f t="shared" si="150"/>
        <v/>
      </c>
      <c r="CE69" s="24" t="str">
        <f t="shared" si="151"/>
        <v/>
      </c>
      <c r="CF69" s="24" t="str">
        <f t="shared" si="152"/>
        <v/>
      </c>
      <c r="CG69" s="24" t="str">
        <f t="shared" si="153"/>
        <v/>
      </c>
      <c r="CH69" s="24" t="str">
        <f t="shared" si="154"/>
        <v/>
      </c>
      <c r="CI69" s="24" t="str">
        <f t="shared" si="155"/>
        <v/>
      </c>
      <c r="CJ69" s="26" t="str">
        <f t="shared" si="156"/>
        <v/>
      </c>
      <c r="CK69" s="26" t="str">
        <f t="shared" si="157"/>
        <v/>
      </c>
      <c r="CL69" s="26" t="str">
        <f t="shared" si="83"/>
        <v/>
      </c>
      <c r="CM69" s="24" t="str">
        <f t="shared" si="84"/>
        <v/>
      </c>
      <c r="CN69" s="26" t="str">
        <f t="shared" si="158"/>
        <v/>
      </c>
      <c r="CO69" s="24" t="str">
        <f t="shared" si="159"/>
        <v/>
      </c>
      <c r="CP69" s="26" t="str">
        <f t="shared" si="160"/>
        <v/>
      </c>
      <c r="CQ69" s="26" t="str">
        <f t="shared" si="161"/>
        <v/>
      </c>
      <c r="CR69" s="26" t="str">
        <f t="shared" si="85"/>
        <v/>
      </c>
      <c r="CS69" s="24" t="str">
        <f t="shared" si="86"/>
        <v/>
      </c>
      <c r="CT69" s="27" t="str">
        <f t="shared" si="162"/>
        <v/>
      </c>
      <c r="CU69" s="24" t="str">
        <f t="shared" si="163"/>
        <v/>
      </c>
      <c r="CV69" s="26" t="str">
        <f t="shared" si="164"/>
        <v/>
      </c>
      <c r="CW69" s="26" t="str">
        <f t="shared" si="165"/>
        <v/>
      </c>
      <c r="CX69" s="26" t="str">
        <f t="shared" si="87"/>
        <v/>
      </c>
      <c r="CY69" s="27" t="str">
        <f t="shared" si="88"/>
        <v/>
      </c>
      <c r="CZ69" s="26" t="str">
        <f t="shared" si="166"/>
        <v/>
      </c>
      <c r="DA69" s="24" t="str">
        <f t="shared" si="167"/>
        <v/>
      </c>
      <c r="DB69" s="24" t="str">
        <f t="shared" si="168"/>
        <v/>
      </c>
      <c r="DC69" s="24" t="str">
        <f t="shared" si="169"/>
        <v/>
      </c>
      <c r="DD69" s="24" t="str">
        <f t="shared" si="170"/>
        <v/>
      </c>
      <c r="DE69" s="1"/>
      <c r="DF69" s="1"/>
      <c r="DG69" s="1"/>
      <c r="DH69" s="24" t="str">
        <f t="shared" si="171"/>
        <v/>
      </c>
      <c r="DI69" s="25" t="str">
        <f t="shared" si="172"/>
        <v/>
      </c>
      <c r="DJ69" t="str">
        <f t="shared" ref="DJ69:DJ100" si="174">IF(B69="","",$C$11)</f>
        <v/>
      </c>
      <c r="DK69" s="9"/>
      <c r="DL69" s="9"/>
      <c r="DM69" s="9"/>
      <c r="DN69" s="9"/>
      <c r="DO69" s="9"/>
      <c r="DP69" s="9"/>
      <c r="DQ69" s="136" t="b">
        <f t="shared" si="173"/>
        <v>1</v>
      </c>
    </row>
    <row r="70" spans="1:121" ht="27" customHeight="1" x14ac:dyDescent="0.95">
      <c r="A70" s="24" t="str">
        <f t="shared" si="89"/>
        <v/>
      </c>
      <c r="B70" s="9"/>
      <c r="C70" s="14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22"/>
      <c r="Q70" s="22"/>
      <c r="R70" s="22"/>
      <c r="S70" s="22"/>
      <c r="T70" s="22"/>
      <c r="U70" s="22"/>
      <c r="V70" s="22"/>
      <c r="W70" s="3" t="str">
        <f t="shared" si="91"/>
        <v/>
      </c>
      <c r="X70" s="3" t="str">
        <f t="shared" si="92"/>
        <v/>
      </c>
      <c r="Y70" s="3" t="str">
        <f t="shared" si="93"/>
        <v/>
      </c>
      <c r="Z70" s="3" t="str">
        <f t="shared" si="94"/>
        <v/>
      </c>
      <c r="AA70" s="3" t="str">
        <f t="shared" si="95"/>
        <v/>
      </c>
      <c r="AB70" s="3" t="str">
        <f t="shared" si="96"/>
        <v/>
      </c>
      <c r="AC70" s="3" t="str">
        <f t="shared" si="97"/>
        <v/>
      </c>
      <c r="AD70" s="3" t="str">
        <f t="shared" si="98"/>
        <v/>
      </c>
      <c r="AE70" s="3" t="str">
        <f t="shared" si="99"/>
        <v/>
      </c>
      <c r="AF70" s="24" t="str">
        <f t="shared" si="100"/>
        <v/>
      </c>
      <c r="AG70" s="24" t="str">
        <f t="shared" si="101"/>
        <v/>
      </c>
      <c r="AH70" s="24" t="str">
        <f t="shared" si="102"/>
        <v/>
      </c>
      <c r="AI70" s="24" t="str">
        <f t="shared" si="103"/>
        <v/>
      </c>
      <c r="AJ70" s="24" t="str">
        <f t="shared" si="104"/>
        <v/>
      </c>
      <c r="AK70" s="24" t="str">
        <f t="shared" si="105"/>
        <v/>
      </c>
      <c r="AL70" s="24" t="str">
        <f t="shared" si="106"/>
        <v/>
      </c>
      <c r="AM70" s="24" t="str">
        <f t="shared" si="107"/>
        <v/>
      </c>
      <c r="AN70" s="24" t="str">
        <f t="shared" si="108"/>
        <v/>
      </c>
      <c r="AO70" s="24" t="str">
        <f t="shared" si="109"/>
        <v/>
      </c>
      <c r="AP70" s="24" t="str">
        <f t="shared" si="110"/>
        <v/>
      </c>
      <c r="AQ70" s="24" t="str">
        <f t="shared" si="111"/>
        <v/>
      </c>
      <c r="AR70" s="24" t="str">
        <f t="shared" si="112"/>
        <v/>
      </c>
      <c r="AS70" s="24" t="str">
        <f t="shared" si="113"/>
        <v/>
      </c>
      <c r="AT70" s="24" t="str">
        <f t="shared" si="114"/>
        <v/>
      </c>
      <c r="AU70" s="24" t="str">
        <f t="shared" si="115"/>
        <v/>
      </c>
      <c r="AV70" s="24" t="str">
        <f t="shared" si="116"/>
        <v/>
      </c>
      <c r="AW70" s="24" t="str">
        <f t="shared" si="117"/>
        <v/>
      </c>
      <c r="AX70" s="24" t="str">
        <f t="shared" si="118"/>
        <v/>
      </c>
      <c r="AY70" s="24" t="str">
        <f t="shared" si="119"/>
        <v/>
      </c>
      <c r="AZ70" s="24" t="str">
        <f t="shared" si="120"/>
        <v/>
      </c>
      <c r="BA70" s="24" t="str">
        <f t="shared" si="121"/>
        <v/>
      </c>
      <c r="BB70" s="24" t="str">
        <f t="shared" si="122"/>
        <v/>
      </c>
      <c r="BC70" s="26" t="str">
        <f t="shared" si="123"/>
        <v/>
      </c>
      <c r="BD70" s="26" t="str">
        <f t="shared" si="124"/>
        <v/>
      </c>
      <c r="BE70" s="26" t="str">
        <f t="shared" si="125"/>
        <v/>
      </c>
      <c r="BF70" s="26" t="str">
        <f t="shared" si="126"/>
        <v/>
      </c>
      <c r="BG70" s="26" t="str">
        <f t="shared" si="127"/>
        <v/>
      </c>
      <c r="BH70" s="26" t="str">
        <f t="shared" si="128"/>
        <v/>
      </c>
      <c r="BI70" s="26" t="str">
        <f t="shared" si="129"/>
        <v/>
      </c>
      <c r="BJ70" s="26" t="str">
        <f t="shared" si="130"/>
        <v/>
      </c>
      <c r="BK70" s="26" t="str">
        <f t="shared" si="131"/>
        <v/>
      </c>
      <c r="BL70" s="26" t="str">
        <f t="shared" si="132"/>
        <v/>
      </c>
      <c r="BM70" s="26" t="str">
        <f t="shared" si="133"/>
        <v/>
      </c>
      <c r="BN70" s="26" t="str">
        <f t="shared" si="134"/>
        <v/>
      </c>
      <c r="BO70" s="26" t="str">
        <f t="shared" si="135"/>
        <v/>
      </c>
      <c r="BP70" s="26" t="str">
        <f t="shared" si="136"/>
        <v/>
      </c>
      <c r="BQ70" s="26" t="str">
        <f t="shared" si="137"/>
        <v/>
      </c>
      <c r="BR70" s="26" t="str">
        <f t="shared" si="138"/>
        <v/>
      </c>
      <c r="BS70" s="24" t="str">
        <f t="shared" si="139"/>
        <v/>
      </c>
      <c r="BT70" s="24" t="str">
        <f t="shared" si="140"/>
        <v/>
      </c>
      <c r="BU70" s="24" t="str">
        <f t="shared" si="141"/>
        <v/>
      </c>
      <c r="BV70" s="24" t="str">
        <f t="shared" si="142"/>
        <v/>
      </c>
      <c r="BW70" s="24" t="str">
        <f t="shared" si="143"/>
        <v/>
      </c>
      <c r="BX70" s="24" t="str">
        <f t="shared" si="144"/>
        <v/>
      </c>
      <c r="BY70" s="24" t="str">
        <f t="shared" si="145"/>
        <v/>
      </c>
      <c r="BZ70" s="24" t="str">
        <f t="shared" si="146"/>
        <v/>
      </c>
      <c r="CA70" s="24" t="str">
        <f t="shared" si="147"/>
        <v/>
      </c>
      <c r="CB70" s="24" t="str">
        <f t="shared" si="148"/>
        <v/>
      </c>
      <c r="CC70" s="24" t="str">
        <f t="shared" si="149"/>
        <v/>
      </c>
      <c r="CD70" s="24" t="str">
        <f t="shared" si="150"/>
        <v/>
      </c>
      <c r="CE70" s="24" t="str">
        <f t="shared" si="151"/>
        <v/>
      </c>
      <c r="CF70" s="24" t="str">
        <f t="shared" si="152"/>
        <v/>
      </c>
      <c r="CG70" s="24" t="str">
        <f t="shared" si="153"/>
        <v/>
      </c>
      <c r="CH70" s="24" t="str">
        <f t="shared" si="154"/>
        <v/>
      </c>
      <c r="CI70" s="24" t="str">
        <f t="shared" si="155"/>
        <v/>
      </c>
      <c r="CJ70" s="26" t="str">
        <f t="shared" si="156"/>
        <v/>
      </c>
      <c r="CK70" s="26" t="str">
        <f t="shared" si="157"/>
        <v/>
      </c>
      <c r="CL70" s="26" t="str">
        <f t="shared" si="83"/>
        <v/>
      </c>
      <c r="CM70" s="24" t="str">
        <f t="shared" si="84"/>
        <v/>
      </c>
      <c r="CN70" s="26" t="str">
        <f t="shared" si="158"/>
        <v/>
      </c>
      <c r="CO70" s="24" t="str">
        <f t="shared" si="159"/>
        <v/>
      </c>
      <c r="CP70" s="26" t="str">
        <f t="shared" si="160"/>
        <v/>
      </c>
      <c r="CQ70" s="26" t="str">
        <f t="shared" si="161"/>
        <v/>
      </c>
      <c r="CR70" s="26" t="str">
        <f t="shared" si="85"/>
        <v/>
      </c>
      <c r="CS70" s="24" t="str">
        <f t="shared" si="86"/>
        <v/>
      </c>
      <c r="CT70" s="27" t="str">
        <f t="shared" si="162"/>
        <v/>
      </c>
      <c r="CU70" s="24" t="str">
        <f t="shared" si="163"/>
        <v/>
      </c>
      <c r="CV70" s="26" t="str">
        <f t="shared" si="164"/>
        <v/>
      </c>
      <c r="CW70" s="26" t="str">
        <f t="shared" si="165"/>
        <v/>
      </c>
      <c r="CX70" s="26" t="str">
        <f t="shared" si="87"/>
        <v/>
      </c>
      <c r="CY70" s="27" t="str">
        <f t="shared" si="88"/>
        <v/>
      </c>
      <c r="CZ70" s="26" t="str">
        <f t="shared" si="166"/>
        <v/>
      </c>
      <c r="DA70" s="24" t="str">
        <f t="shared" si="167"/>
        <v/>
      </c>
      <c r="DB70" s="24" t="str">
        <f t="shared" si="168"/>
        <v/>
      </c>
      <c r="DC70" s="24" t="str">
        <f t="shared" si="169"/>
        <v/>
      </c>
      <c r="DD70" s="24" t="str">
        <f t="shared" si="170"/>
        <v/>
      </c>
      <c r="DE70" s="1"/>
      <c r="DF70" s="1"/>
      <c r="DG70" s="1"/>
      <c r="DH70" s="24" t="str">
        <f t="shared" si="171"/>
        <v/>
      </c>
      <c r="DI70" s="25" t="str">
        <f t="shared" si="172"/>
        <v/>
      </c>
      <c r="DJ70" t="str">
        <f t="shared" si="174"/>
        <v/>
      </c>
      <c r="DK70" s="9"/>
      <c r="DL70" s="9"/>
      <c r="DM70" s="9"/>
      <c r="DN70" s="9"/>
      <c r="DO70" s="9"/>
      <c r="DP70" s="9"/>
      <c r="DQ70" s="136" t="b">
        <f t="shared" si="173"/>
        <v>1</v>
      </c>
    </row>
    <row r="71" spans="1:121" ht="27" customHeight="1" x14ac:dyDescent="0.95">
      <c r="A71" s="24" t="str">
        <f t="shared" si="89"/>
        <v/>
      </c>
      <c r="B71" s="9"/>
      <c r="C71" s="14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22"/>
      <c r="Q71" s="22"/>
      <c r="R71" s="22"/>
      <c r="S71" s="22"/>
      <c r="T71" s="22"/>
      <c r="U71" s="22"/>
      <c r="V71" s="22"/>
      <c r="W71" s="3" t="str">
        <f t="shared" si="91"/>
        <v/>
      </c>
      <c r="X71" s="3" t="str">
        <f t="shared" si="92"/>
        <v/>
      </c>
      <c r="Y71" s="3" t="str">
        <f t="shared" si="93"/>
        <v/>
      </c>
      <c r="Z71" s="3" t="str">
        <f t="shared" si="94"/>
        <v/>
      </c>
      <c r="AA71" s="3" t="str">
        <f t="shared" si="95"/>
        <v/>
      </c>
      <c r="AB71" s="3" t="str">
        <f t="shared" si="96"/>
        <v/>
      </c>
      <c r="AC71" s="3" t="str">
        <f t="shared" si="97"/>
        <v/>
      </c>
      <c r="AD71" s="3" t="str">
        <f t="shared" si="98"/>
        <v/>
      </c>
      <c r="AE71" s="3" t="str">
        <f t="shared" si="99"/>
        <v/>
      </c>
      <c r="AF71" s="24" t="str">
        <f t="shared" si="100"/>
        <v/>
      </c>
      <c r="AG71" s="24" t="str">
        <f t="shared" si="101"/>
        <v/>
      </c>
      <c r="AH71" s="24" t="str">
        <f t="shared" si="102"/>
        <v/>
      </c>
      <c r="AI71" s="24" t="str">
        <f t="shared" si="103"/>
        <v/>
      </c>
      <c r="AJ71" s="24" t="str">
        <f t="shared" si="104"/>
        <v/>
      </c>
      <c r="AK71" s="24" t="str">
        <f t="shared" si="105"/>
        <v/>
      </c>
      <c r="AL71" s="24" t="str">
        <f t="shared" si="106"/>
        <v/>
      </c>
      <c r="AM71" s="24" t="str">
        <f t="shared" si="107"/>
        <v/>
      </c>
      <c r="AN71" s="24" t="str">
        <f t="shared" si="108"/>
        <v/>
      </c>
      <c r="AO71" s="24" t="str">
        <f t="shared" si="109"/>
        <v/>
      </c>
      <c r="AP71" s="24" t="str">
        <f t="shared" si="110"/>
        <v/>
      </c>
      <c r="AQ71" s="24" t="str">
        <f t="shared" si="111"/>
        <v/>
      </c>
      <c r="AR71" s="24" t="str">
        <f t="shared" si="112"/>
        <v/>
      </c>
      <c r="AS71" s="24" t="str">
        <f t="shared" si="113"/>
        <v/>
      </c>
      <c r="AT71" s="24" t="str">
        <f t="shared" si="114"/>
        <v/>
      </c>
      <c r="AU71" s="24" t="str">
        <f t="shared" si="115"/>
        <v/>
      </c>
      <c r="AV71" s="24" t="str">
        <f t="shared" si="116"/>
        <v/>
      </c>
      <c r="AW71" s="24" t="str">
        <f t="shared" si="117"/>
        <v/>
      </c>
      <c r="AX71" s="24" t="str">
        <f t="shared" si="118"/>
        <v/>
      </c>
      <c r="AY71" s="24" t="str">
        <f t="shared" si="119"/>
        <v/>
      </c>
      <c r="AZ71" s="24" t="str">
        <f t="shared" si="120"/>
        <v/>
      </c>
      <c r="BA71" s="24" t="str">
        <f t="shared" si="121"/>
        <v/>
      </c>
      <c r="BB71" s="24" t="str">
        <f t="shared" si="122"/>
        <v/>
      </c>
      <c r="BC71" s="26" t="str">
        <f t="shared" si="123"/>
        <v/>
      </c>
      <c r="BD71" s="26" t="str">
        <f t="shared" si="124"/>
        <v/>
      </c>
      <c r="BE71" s="26" t="str">
        <f t="shared" si="125"/>
        <v/>
      </c>
      <c r="BF71" s="26" t="str">
        <f t="shared" si="126"/>
        <v/>
      </c>
      <c r="BG71" s="26" t="str">
        <f t="shared" si="127"/>
        <v/>
      </c>
      <c r="BH71" s="26" t="str">
        <f t="shared" si="128"/>
        <v/>
      </c>
      <c r="BI71" s="26" t="str">
        <f t="shared" si="129"/>
        <v/>
      </c>
      <c r="BJ71" s="26" t="str">
        <f t="shared" si="130"/>
        <v/>
      </c>
      <c r="BK71" s="26" t="str">
        <f t="shared" si="131"/>
        <v/>
      </c>
      <c r="BL71" s="26" t="str">
        <f t="shared" si="132"/>
        <v/>
      </c>
      <c r="BM71" s="26" t="str">
        <f t="shared" si="133"/>
        <v/>
      </c>
      <c r="BN71" s="26" t="str">
        <f t="shared" si="134"/>
        <v/>
      </c>
      <c r="BO71" s="26" t="str">
        <f t="shared" si="135"/>
        <v/>
      </c>
      <c r="BP71" s="26" t="str">
        <f t="shared" si="136"/>
        <v/>
      </c>
      <c r="BQ71" s="26" t="str">
        <f t="shared" si="137"/>
        <v/>
      </c>
      <c r="BR71" s="26" t="str">
        <f t="shared" si="138"/>
        <v/>
      </c>
      <c r="BS71" s="24" t="str">
        <f t="shared" si="139"/>
        <v/>
      </c>
      <c r="BT71" s="24" t="str">
        <f t="shared" si="140"/>
        <v/>
      </c>
      <c r="BU71" s="24" t="str">
        <f t="shared" si="141"/>
        <v/>
      </c>
      <c r="BV71" s="24" t="str">
        <f t="shared" si="142"/>
        <v/>
      </c>
      <c r="BW71" s="24" t="str">
        <f t="shared" si="143"/>
        <v/>
      </c>
      <c r="BX71" s="24" t="str">
        <f t="shared" si="144"/>
        <v/>
      </c>
      <c r="BY71" s="24" t="str">
        <f t="shared" si="145"/>
        <v/>
      </c>
      <c r="BZ71" s="24" t="str">
        <f t="shared" si="146"/>
        <v/>
      </c>
      <c r="CA71" s="24" t="str">
        <f t="shared" si="147"/>
        <v/>
      </c>
      <c r="CB71" s="24" t="str">
        <f t="shared" si="148"/>
        <v/>
      </c>
      <c r="CC71" s="24" t="str">
        <f t="shared" si="149"/>
        <v/>
      </c>
      <c r="CD71" s="24" t="str">
        <f t="shared" si="150"/>
        <v/>
      </c>
      <c r="CE71" s="24" t="str">
        <f t="shared" si="151"/>
        <v/>
      </c>
      <c r="CF71" s="24" t="str">
        <f t="shared" si="152"/>
        <v/>
      </c>
      <c r="CG71" s="24" t="str">
        <f t="shared" si="153"/>
        <v/>
      </c>
      <c r="CH71" s="24" t="str">
        <f t="shared" si="154"/>
        <v/>
      </c>
      <c r="CI71" s="24" t="str">
        <f t="shared" si="155"/>
        <v/>
      </c>
      <c r="CJ71" s="26" t="str">
        <f t="shared" si="156"/>
        <v/>
      </c>
      <c r="CK71" s="26" t="str">
        <f t="shared" si="157"/>
        <v/>
      </c>
      <c r="CL71" s="26" t="str">
        <f t="shared" si="83"/>
        <v/>
      </c>
      <c r="CM71" s="24" t="str">
        <f t="shared" si="84"/>
        <v/>
      </c>
      <c r="CN71" s="26" t="str">
        <f t="shared" si="158"/>
        <v/>
      </c>
      <c r="CO71" s="24" t="str">
        <f t="shared" si="159"/>
        <v/>
      </c>
      <c r="CP71" s="26" t="str">
        <f t="shared" si="160"/>
        <v/>
      </c>
      <c r="CQ71" s="26" t="str">
        <f t="shared" si="161"/>
        <v/>
      </c>
      <c r="CR71" s="26" t="str">
        <f t="shared" si="85"/>
        <v/>
      </c>
      <c r="CS71" s="24" t="str">
        <f t="shared" si="86"/>
        <v/>
      </c>
      <c r="CT71" s="27" t="str">
        <f t="shared" si="162"/>
        <v/>
      </c>
      <c r="CU71" s="24" t="str">
        <f t="shared" si="163"/>
        <v/>
      </c>
      <c r="CV71" s="26" t="str">
        <f t="shared" si="164"/>
        <v/>
      </c>
      <c r="CW71" s="26" t="str">
        <f t="shared" si="165"/>
        <v/>
      </c>
      <c r="CX71" s="26" t="str">
        <f t="shared" si="87"/>
        <v/>
      </c>
      <c r="CY71" s="27" t="str">
        <f t="shared" si="88"/>
        <v/>
      </c>
      <c r="CZ71" s="26" t="str">
        <f t="shared" si="166"/>
        <v/>
      </c>
      <c r="DA71" s="24" t="str">
        <f t="shared" si="167"/>
        <v/>
      </c>
      <c r="DB71" s="24" t="str">
        <f t="shared" si="168"/>
        <v/>
      </c>
      <c r="DC71" s="24" t="str">
        <f t="shared" si="169"/>
        <v/>
      </c>
      <c r="DD71" s="24" t="str">
        <f t="shared" si="170"/>
        <v/>
      </c>
      <c r="DE71" s="1"/>
      <c r="DF71" s="1"/>
      <c r="DG71" s="1"/>
      <c r="DH71" s="24" t="str">
        <f t="shared" si="171"/>
        <v/>
      </c>
      <c r="DI71" s="25" t="str">
        <f t="shared" si="172"/>
        <v/>
      </c>
      <c r="DJ71" t="str">
        <f t="shared" si="174"/>
        <v/>
      </c>
      <c r="DK71" s="9"/>
      <c r="DL71" s="9"/>
      <c r="DM71" s="9"/>
      <c r="DN71" s="9"/>
      <c r="DO71" s="9"/>
      <c r="DP71" s="9"/>
      <c r="DQ71" s="136" t="b">
        <f t="shared" si="173"/>
        <v>1</v>
      </c>
    </row>
    <row r="72" spans="1:121" ht="27" customHeight="1" x14ac:dyDescent="0.95">
      <c r="A72" s="24" t="str">
        <f t="shared" si="89"/>
        <v/>
      </c>
      <c r="B72" s="9"/>
      <c r="C72" s="14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10"/>
      <c r="Q72" s="10"/>
      <c r="R72" s="10"/>
      <c r="S72" s="10"/>
      <c r="T72" s="10"/>
      <c r="U72" s="10"/>
      <c r="V72" s="10"/>
      <c r="W72" s="3" t="str">
        <f t="shared" si="91"/>
        <v/>
      </c>
      <c r="X72" s="3" t="str">
        <f t="shared" si="92"/>
        <v/>
      </c>
      <c r="Y72" s="3" t="str">
        <f t="shared" si="93"/>
        <v/>
      </c>
      <c r="Z72" s="3" t="str">
        <f t="shared" si="94"/>
        <v/>
      </c>
      <c r="AA72" s="3" t="str">
        <f t="shared" si="95"/>
        <v/>
      </c>
      <c r="AB72" s="3" t="str">
        <f t="shared" si="96"/>
        <v/>
      </c>
      <c r="AC72" s="3" t="str">
        <f t="shared" si="97"/>
        <v/>
      </c>
      <c r="AD72" s="3" t="str">
        <f t="shared" si="98"/>
        <v/>
      </c>
      <c r="AE72" s="3" t="str">
        <f t="shared" si="99"/>
        <v/>
      </c>
      <c r="AF72" s="24" t="str">
        <f t="shared" si="100"/>
        <v/>
      </c>
      <c r="AG72" s="24" t="str">
        <f t="shared" si="101"/>
        <v/>
      </c>
      <c r="AH72" s="24" t="str">
        <f t="shared" si="102"/>
        <v/>
      </c>
      <c r="AI72" s="24" t="str">
        <f t="shared" si="103"/>
        <v/>
      </c>
      <c r="AJ72" s="24" t="str">
        <f t="shared" si="104"/>
        <v/>
      </c>
      <c r="AK72" s="24" t="str">
        <f t="shared" si="105"/>
        <v/>
      </c>
      <c r="AL72" s="24" t="str">
        <f t="shared" si="106"/>
        <v/>
      </c>
      <c r="AM72" s="24" t="str">
        <f t="shared" si="107"/>
        <v/>
      </c>
      <c r="AN72" s="24" t="str">
        <f t="shared" si="108"/>
        <v/>
      </c>
      <c r="AO72" s="24" t="str">
        <f t="shared" si="109"/>
        <v/>
      </c>
      <c r="AP72" s="24" t="str">
        <f t="shared" si="110"/>
        <v/>
      </c>
      <c r="AQ72" s="24" t="str">
        <f t="shared" si="111"/>
        <v/>
      </c>
      <c r="AR72" s="24" t="str">
        <f t="shared" si="112"/>
        <v/>
      </c>
      <c r="AS72" s="24" t="str">
        <f t="shared" si="113"/>
        <v/>
      </c>
      <c r="AT72" s="24" t="str">
        <f t="shared" si="114"/>
        <v/>
      </c>
      <c r="AU72" s="24" t="str">
        <f t="shared" si="115"/>
        <v/>
      </c>
      <c r="AV72" s="24" t="str">
        <f t="shared" si="116"/>
        <v/>
      </c>
      <c r="AW72" s="24" t="str">
        <f t="shared" si="117"/>
        <v/>
      </c>
      <c r="AX72" s="24" t="str">
        <f t="shared" si="118"/>
        <v/>
      </c>
      <c r="AY72" s="24" t="str">
        <f t="shared" si="119"/>
        <v/>
      </c>
      <c r="AZ72" s="24" t="str">
        <f t="shared" si="120"/>
        <v/>
      </c>
      <c r="BA72" s="24" t="str">
        <f t="shared" si="121"/>
        <v/>
      </c>
      <c r="BB72" s="24" t="str">
        <f t="shared" si="122"/>
        <v/>
      </c>
      <c r="BC72" s="26" t="str">
        <f t="shared" si="123"/>
        <v/>
      </c>
      <c r="BD72" s="26" t="str">
        <f t="shared" si="124"/>
        <v/>
      </c>
      <c r="BE72" s="26" t="str">
        <f t="shared" si="125"/>
        <v/>
      </c>
      <c r="BF72" s="26" t="str">
        <f t="shared" si="126"/>
        <v/>
      </c>
      <c r="BG72" s="26" t="str">
        <f t="shared" si="127"/>
        <v/>
      </c>
      <c r="BH72" s="26" t="str">
        <f t="shared" si="128"/>
        <v/>
      </c>
      <c r="BI72" s="26" t="str">
        <f t="shared" si="129"/>
        <v/>
      </c>
      <c r="BJ72" s="26" t="str">
        <f t="shared" si="130"/>
        <v/>
      </c>
      <c r="BK72" s="26" t="str">
        <f t="shared" si="131"/>
        <v/>
      </c>
      <c r="BL72" s="26" t="str">
        <f t="shared" si="132"/>
        <v/>
      </c>
      <c r="BM72" s="26" t="str">
        <f t="shared" si="133"/>
        <v/>
      </c>
      <c r="BN72" s="26" t="str">
        <f t="shared" si="134"/>
        <v/>
      </c>
      <c r="BO72" s="26" t="str">
        <f t="shared" si="135"/>
        <v/>
      </c>
      <c r="BP72" s="26" t="str">
        <f t="shared" si="136"/>
        <v/>
      </c>
      <c r="BQ72" s="26" t="str">
        <f t="shared" si="137"/>
        <v/>
      </c>
      <c r="BR72" s="26" t="str">
        <f t="shared" si="138"/>
        <v/>
      </c>
      <c r="BS72" s="24" t="str">
        <f t="shared" si="139"/>
        <v/>
      </c>
      <c r="BT72" s="24" t="str">
        <f t="shared" si="140"/>
        <v/>
      </c>
      <c r="BU72" s="24" t="str">
        <f t="shared" si="141"/>
        <v/>
      </c>
      <c r="BV72" s="24" t="str">
        <f t="shared" si="142"/>
        <v/>
      </c>
      <c r="BW72" s="24" t="str">
        <f t="shared" si="143"/>
        <v/>
      </c>
      <c r="BX72" s="24" t="str">
        <f t="shared" si="144"/>
        <v/>
      </c>
      <c r="BY72" s="24" t="str">
        <f t="shared" si="145"/>
        <v/>
      </c>
      <c r="BZ72" s="24" t="str">
        <f t="shared" si="146"/>
        <v/>
      </c>
      <c r="CA72" s="24" t="str">
        <f t="shared" si="147"/>
        <v/>
      </c>
      <c r="CB72" s="24" t="str">
        <f t="shared" si="148"/>
        <v/>
      </c>
      <c r="CC72" s="24" t="str">
        <f t="shared" si="149"/>
        <v/>
      </c>
      <c r="CD72" s="24" t="str">
        <f t="shared" si="150"/>
        <v/>
      </c>
      <c r="CE72" s="24" t="str">
        <f t="shared" si="151"/>
        <v/>
      </c>
      <c r="CF72" s="24" t="str">
        <f t="shared" si="152"/>
        <v/>
      </c>
      <c r="CG72" s="24" t="str">
        <f t="shared" si="153"/>
        <v/>
      </c>
      <c r="CH72" s="24" t="str">
        <f t="shared" si="154"/>
        <v/>
      </c>
      <c r="CI72" s="24" t="str">
        <f t="shared" si="155"/>
        <v/>
      </c>
      <c r="CJ72" s="26" t="str">
        <f t="shared" si="156"/>
        <v/>
      </c>
      <c r="CK72" s="26" t="str">
        <f t="shared" si="157"/>
        <v/>
      </c>
      <c r="CL72" s="26" t="str">
        <f t="shared" si="83"/>
        <v/>
      </c>
      <c r="CM72" s="24" t="str">
        <f t="shared" si="84"/>
        <v/>
      </c>
      <c r="CN72" s="26" t="str">
        <f t="shared" si="158"/>
        <v/>
      </c>
      <c r="CO72" s="24" t="str">
        <f t="shared" si="159"/>
        <v/>
      </c>
      <c r="CP72" s="26" t="str">
        <f t="shared" si="160"/>
        <v/>
      </c>
      <c r="CQ72" s="26" t="str">
        <f t="shared" si="161"/>
        <v/>
      </c>
      <c r="CR72" s="26" t="str">
        <f t="shared" si="85"/>
        <v/>
      </c>
      <c r="CS72" s="24" t="str">
        <f t="shared" si="86"/>
        <v/>
      </c>
      <c r="CT72" s="27" t="str">
        <f t="shared" si="162"/>
        <v/>
      </c>
      <c r="CU72" s="24" t="str">
        <f t="shared" si="163"/>
        <v/>
      </c>
      <c r="CV72" s="26" t="str">
        <f t="shared" si="164"/>
        <v/>
      </c>
      <c r="CW72" s="26" t="str">
        <f t="shared" si="165"/>
        <v/>
      </c>
      <c r="CX72" s="26" t="str">
        <f t="shared" si="87"/>
        <v/>
      </c>
      <c r="CY72" s="27" t="str">
        <f t="shared" si="88"/>
        <v/>
      </c>
      <c r="CZ72" s="26" t="str">
        <f t="shared" si="166"/>
        <v/>
      </c>
      <c r="DA72" s="24" t="str">
        <f t="shared" si="167"/>
        <v/>
      </c>
      <c r="DB72" s="24" t="str">
        <f t="shared" si="168"/>
        <v/>
      </c>
      <c r="DC72" s="24" t="str">
        <f t="shared" si="169"/>
        <v/>
      </c>
      <c r="DD72" s="24" t="str">
        <f t="shared" si="170"/>
        <v/>
      </c>
      <c r="DE72" s="1"/>
      <c r="DF72" s="1"/>
      <c r="DG72" s="1"/>
      <c r="DH72" s="24" t="str">
        <f t="shared" si="171"/>
        <v/>
      </c>
      <c r="DI72" s="25" t="str">
        <f t="shared" si="172"/>
        <v/>
      </c>
      <c r="DJ72" t="str">
        <f t="shared" si="174"/>
        <v/>
      </c>
      <c r="DK72" s="9"/>
      <c r="DL72" s="9"/>
      <c r="DM72" s="9"/>
      <c r="DN72" s="9"/>
      <c r="DO72" s="9"/>
      <c r="DP72" s="9"/>
      <c r="DQ72" s="136" t="b">
        <f t="shared" si="173"/>
        <v>1</v>
      </c>
    </row>
    <row r="73" spans="1:121" ht="27" customHeight="1" x14ac:dyDescent="0.95">
      <c r="A73" s="24" t="str">
        <f t="shared" si="89"/>
        <v/>
      </c>
      <c r="B73" s="9"/>
      <c r="C73" s="14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10"/>
      <c r="Q73" s="10"/>
      <c r="R73" s="10"/>
      <c r="S73" s="10"/>
      <c r="T73" s="10"/>
      <c r="U73" s="10"/>
      <c r="V73" s="10"/>
      <c r="W73" s="3" t="str">
        <f t="shared" si="91"/>
        <v/>
      </c>
      <c r="X73" s="3" t="str">
        <f t="shared" si="92"/>
        <v/>
      </c>
      <c r="Y73" s="3" t="str">
        <f t="shared" si="93"/>
        <v/>
      </c>
      <c r="Z73" s="3" t="str">
        <f t="shared" si="94"/>
        <v/>
      </c>
      <c r="AA73" s="3" t="str">
        <f t="shared" si="95"/>
        <v/>
      </c>
      <c r="AB73" s="3" t="str">
        <f t="shared" si="96"/>
        <v/>
      </c>
      <c r="AC73" s="3" t="str">
        <f t="shared" si="97"/>
        <v/>
      </c>
      <c r="AD73" s="3" t="str">
        <f t="shared" si="98"/>
        <v/>
      </c>
      <c r="AE73" s="3" t="str">
        <f t="shared" si="99"/>
        <v/>
      </c>
      <c r="AF73" s="24" t="str">
        <f t="shared" si="100"/>
        <v/>
      </c>
      <c r="AG73" s="24" t="str">
        <f t="shared" si="101"/>
        <v/>
      </c>
      <c r="AH73" s="24" t="str">
        <f t="shared" si="102"/>
        <v/>
      </c>
      <c r="AI73" s="24" t="str">
        <f t="shared" si="103"/>
        <v/>
      </c>
      <c r="AJ73" s="24" t="str">
        <f t="shared" si="104"/>
        <v/>
      </c>
      <c r="AK73" s="24" t="str">
        <f t="shared" si="105"/>
        <v/>
      </c>
      <c r="AL73" s="24" t="str">
        <f t="shared" si="106"/>
        <v/>
      </c>
      <c r="AM73" s="24" t="str">
        <f t="shared" si="107"/>
        <v/>
      </c>
      <c r="AN73" s="24" t="str">
        <f t="shared" si="108"/>
        <v/>
      </c>
      <c r="AO73" s="24" t="str">
        <f t="shared" si="109"/>
        <v/>
      </c>
      <c r="AP73" s="24" t="str">
        <f t="shared" si="110"/>
        <v/>
      </c>
      <c r="AQ73" s="24" t="str">
        <f t="shared" si="111"/>
        <v/>
      </c>
      <c r="AR73" s="24" t="str">
        <f t="shared" si="112"/>
        <v/>
      </c>
      <c r="AS73" s="24" t="str">
        <f t="shared" si="113"/>
        <v/>
      </c>
      <c r="AT73" s="24" t="str">
        <f t="shared" si="114"/>
        <v/>
      </c>
      <c r="AU73" s="24" t="str">
        <f t="shared" si="115"/>
        <v/>
      </c>
      <c r="AV73" s="24" t="str">
        <f t="shared" si="116"/>
        <v/>
      </c>
      <c r="AW73" s="24" t="str">
        <f t="shared" si="117"/>
        <v/>
      </c>
      <c r="AX73" s="24" t="str">
        <f t="shared" si="118"/>
        <v/>
      </c>
      <c r="AY73" s="24" t="str">
        <f t="shared" si="119"/>
        <v/>
      </c>
      <c r="AZ73" s="24" t="str">
        <f t="shared" si="120"/>
        <v/>
      </c>
      <c r="BA73" s="24" t="str">
        <f t="shared" si="121"/>
        <v/>
      </c>
      <c r="BB73" s="24" t="str">
        <f t="shared" si="122"/>
        <v/>
      </c>
      <c r="BC73" s="26" t="str">
        <f t="shared" si="123"/>
        <v/>
      </c>
      <c r="BD73" s="26" t="str">
        <f t="shared" si="124"/>
        <v/>
      </c>
      <c r="BE73" s="26" t="str">
        <f t="shared" si="125"/>
        <v/>
      </c>
      <c r="BF73" s="26" t="str">
        <f t="shared" si="126"/>
        <v/>
      </c>
      <c r="BG73" s="26" t="str">
        <f t="shared" si="127"/>
        <v/>
      </c>
      <c r="BH73" s="26" t="str">
        <f t="shared" si="128"/>
        <v/>
      </c>
      <c r="BI73" s="26" t="str">
        <f t="shared" si="129"/>
        <v/>
      </c>
      <c r="BJ73" s="26" t="str">
        <f t="shared" si="130"/>
        <v/>
      </c>
      <c r="BK73" s="26" t="str">
        <f t="shared" si="131"/>
        <v/>
      </c>
      <c r="BL73" s="26" t="str">
        <f t="shared" si="132"/>
        <v/>
      </c>
      <c r="BM73" s="26" t="str">
        <f t="shared" si="133"/>
        <v/>
      </c>
      <c r="BN73" s="26" t="str">
        <f t="shared" si="134"/>
        <v/>
      </c>
      <c r="BO73" s="26" t="str">
        <f t="shared" si="135"/>
        <v/>
      </c>
      <c r="BP73" s="26" t="str">
        <f t="shared" si="136"/>
        <v/>
      </c>
      <c r="BQ73" s="26" t="str">
        <f t="shared" si="137"/>
        <v/>
      </c>
      <c r="BR73" s="26" t="str">
        <f t="shared" si="138"/>
        <v/>
      </c>
      <c r="BS73" s="24" t="str">
        <f t="shared" si="139"/>
        <v/>
      </c>
      <c r="BT73" s="24" t="str">
        <f t="shared" si="140"/>
        <v/>
      </c>
      <c r="BU73" s="24" t="str">
        <f t="shared" si="141"/>
        <v/>
      </c>
      <c r="BV73" s="24" t="str">
        <f t="shared" si="142"/>
        <v/>
      </c>
      <c r="BW73" s="24" t="str">
        <f t="shared" si="143"/>
        <v/>
      </c>
      <c r="BX73" s="24" t="str">
        <f t="shared" si="144"/>
        <v/>
      </c>
      <c r="BY73" s="24" t="str">
        <f t="shared" si="145"/>
        <v/>
      </c>
      <c r="BZ73" s="24" t="str">
        <f t="shared" si="146"/>
        <v/>
      </c>
      <c r="CA73" s="24" t="str">
        <f t="shared" si="147"/>
        <v/>
      </c>
      <c r="CB73" s="24" t="str">
        <f t="shared" si="148"/>
        <v/>
      </c>
      <c r="CC73" s="24" t="str">
        <f t="shared" si="149"/>
        <v/>
      </c>
      <c r="CD73" s="24" t="str">
        <f t="shared" si="150"/>
        <v/>
      </c>
      <c r="CE73" s="24" t="str">
        <f t="shared" si="151"/>
        <v/>
      </c>
      <c r="CF73" s="24" t="str">
        <f t="shared" si="152"/>
        <v/>
      </c>
      <c r="CG73" s="24" t="str">
        <f t="shared" si="153"/>
        <v/>
      </c>
      <c r="CH73" s="24" t="str">
        <f t="shared" si="154"/>
        <v/>
      </c>
      <c r="CI73" s="24" t="str">
        <f t="shared" si="155"/>
        <v/>
      </c>
      <c r="CJ73" s="26" t="str">
        <f t="shared" si="156"/>
        <v/>
      </c>
      <c r="CK73" s="26" t="str">
        <f t="shared" si="157"/>
        <v/>
      </c>
      <c r="CL73" s="26" t="str">
        <f t="shared" si="83"/>
        <v/>
      </c>
      <c r="CM73" s="24" t="str">
        <f t="shared" si="84"/>
        <v/>
      </c>
      <c r="CN73" s="26" t="str">
        <f t="shared" si="158"/>
        <v/>
      </c>
      <c r="CO73" s="24" t="str">
        <f t="shared" si="159"/>
        <v/>
      </c>
      <c r="CP73" s="26" t="str">
        <f t="shared" si="160"/>
        <v/>
      </c>
      <c r="CQ73" s="26" t="str">
        <f t="shared" si="161"/>
        <v/>
      </c>
      <c r="CR73" s="26" t="str">
        <f t="shared" si="85"/>
        <v/>
      </c>
      <c r="CS73" s="24" t="str">
        <f t="shared" si="86"/>
        <v/>
      </c>
      <c r="CT73" s="27" t="str">
        <f t="shared" si="162"/>
        <v/>
      </c>
      <c r="CU73" s="24" t="str">
        <f t="shared" si="163"/>
        <v/>
      </c>
      <c r="CV73" s="26" t="str">
        <f t="shared" si="164"/>
        <v/>
      </c>
      <c r="CW73" s="26" t="str">
        <f t="shared" si="165"/>
        <v/>
      </c>
      <c r="CX73" s="26" t="str">
        <f t="shared" si="87"/>
        <v/>
      </c>
      <c r="CY73" s="27" t="str">
        <f t="shared" si="88"/>
        <v/>
      </c>
      <c r="CZ73" s="26" t="str">
        <f t="shared" si="166"/>
        <v/>
      </c>
      <c r="DA73" s="24" t="str">
        <f t="shared" si="167"/>
        <v/>
      </c>
      <c r="DB73" s="24" t="str">
        <f t="shared" si="168"/>
        <v/>
      </c>
      <c r="DC73" s="24" t="str">
        <f t="shared" si="169"/>
        <v/>
      </c>
      <c r="DD73" s="24" t="str">
        <f t="shared" si="170"/>
        <v/>
      </c>
      <c r="DE73" s="1"/>
      <c r="DF73" s="1"/>
      <c r="DG73" s="1"/>
      <c r="DH73" s="24" t="str">
        <f t="shared" si="171"/>
        <v/>
      </c>
      <c r="DI73" s="25" t="str">
        <f t="shared" si="172"/>
        <v/>
      </c>
      <c r="DJ73" t="str">
        <f t="shared" si="174"/>
        <v/>
      </c>
      <c r="DK73" s="9"/>
      <c r="DL73" s="9"/>
      <c r="DM73" s="9"/>
      <c r="DN73" s="9"/>
      <c r="DO73" s="9"/>
      <c r="DP73" s="9"/>
      <c r="DQ73" s="136" t="b">
        <f t="shared" si="173"/>
        <v>1</v>
      </c>
    </row>
    <row r="74" spans="1:121" ht="27" customHeight="1" x14ac:dyDescent="0.95">
      <c r="A74" s="24" t="str">
        <f t="shared" si="89"/>
        <v/>
      </c>
      <c r="B74" s="9"/>
      <c r="C74" s="14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10"/>
      <c r="Q74" s="10"/>
      <c r="R74" s="10"/>
      <c r="S74" s="10"/>
      <c r="T74" s="10"/>
      <c r="U74" s="10"/>
      <c r="V74" s="10"/>
      <c r="W74" s="3" t="str">
        <f t="shared" si="91"/>
        <v/>
      </c>
      <c r="X74" s="3" t="str">
        <f t="shared" si="92"/>
        <v/>
      </c>
      <c r="Y74" s="3" t="str">
        <f t="shared" si="93"/>
        <v/>
      </c>
      <c r="Z74" s="3" t="str">
        <f t="shared" si="94"/>
        <v/>
      </c>
      <c r="AA74" s="3" t="str">
        <f t="shared" si="95"/>
        <v/>
      </c>
      <c r="AB74" s="3" t="str">
        <f t="shared" si="96"/>
        <v/>
      </c>
      <c r="AC74" s="3" t="str">
        <f t="shared" si="97"/>
        <v/>
      </c>
      <c r="AD74" s="3" t="str">
        <f t="shared" si="98"/>
        <v/>
      </c>
      <c r="AE74" s="3" t="str">
        <f t="shared" si="99"/>
        <v/>
      </c>
      <c r="AF74" s="24" t="str">
        <f t="shared" si="100"/>
        <v/>
      </c>
      <c r="AG74" s="24" t="str">
        <f t="shared" si="101"/>
        <v/>
      </c>
      <c r="AH74" s="24" t="str">
        <f t="shared" si="102"/>
        <v/>
      </c>
      <c r="AI74" s="24" t="str">
        <f t="shared" si="103"/>
        <v/>
      </c>
      <c r="AJ74" s="24" t="str">
        <f t="shared" si="104"/>
        <v/>
      </c>
      <c r="AK74" s="24" t="str">
        <f t="shared" si="105"/>
        <v/>
      </c>
      <c r="AL74" s="24" t="str">
        <f t="shared" si="106"/>
        <v/>
      </c>
      <c r="AM74" s="24" t="str">
        <f t="shared" si="107"/>
        <v/>
      </c>
      <c r="AN74" s="24" t="str">
        <f t="shared" si="108"/>
        <v/>
      </c>
      <c r="AO74" s="24" t="str">
        <f t="shared" si="109"/>
        <v/>
      </c>
      <c r="AP74" s="24" t="str">
        <f t="shared" si="110"/>
        <v/>
      </c>
      <c r="AQ74" s="24" t="str">
        <f t="shared" si="111"/>
        <v/>
      </c>
      <c r="AR74" s="24" t="str">
        <f t="shared" si="112"/>
        <v/>
      </c>
      <c r="AS74" s="24" t="str">
        <f t="shared" si="113"/>
        <v/>
      </c>
      <c r="AT74" s="24" t="str">
        <f t="shared" si="114"/>
        <v/>
      </c>
      <c r="AU74" s="24" t="str">
        <f t="shared" si="115"/>
        <v/>
      </c>
      <c r="AV74" s="24" t="str">
        <f t="shared" si="116"/>
        <v/>
      </c>
      <c r="AW74" s="24" t="str">
        <f t="shared" si="117"/>
        <v/>
      </c>
      <c r="AX74" s="24" t="str">
        <f t="shared" si="118"/>
        <v/>
      </c>
      <c r="AY74" s="24" t="str">
        <f t="shared" si="119"/>
        <v/>
      </c>
      <c r="AZ74" s="24" t="str">
        <f t="shared" si="120"/>
        <v/>
      </c>
      <c r="BA74" s="24" t="str">
        <f t="shared" si="121"/>
        <v/>
      </c>
      <c r="BB74" s="24" t="str">
        <f t="shared" si="122"/>
        <v/>
      </c>
      <c r="BC74" s="26" t="str">
        <f t="shared" si="123"/>
        <v/>
      </c>
      <c r="BD74" s="26" t="str">
        <f t="shared" si="124"/>
        <v/>
      </c>
      <c r="BE74" s="26" t="str">
        <f t="shared" si="125"/>
        <v/>
      </c>
      <c r="BF74" s="26" t="str">
        <f t="shared" si="126"/>
        <v/>
      </c>
      <c r="BG74" s="26" t="str">
        <f t="shared" si="127"/>
        <v/>
      </c>
      <c r="BH74" s="26" t="str">
        <f t="shared" si="128"/>
        <v/>
      </c>
      <c r="BI74" s="26" t="str">
        <f t="shared" si="129"/>
        <v/>
      </c>
      <c r="BJ74" s="26" t="str">
        <f t="shared" si="130"/>
        <v/>
      </c>
      <c r="BK74" s="26" t="str">
        <f t="shared" si="131"/>
        <v/>
      </c>
      <c r="BL74" s="26" t="str">
        <f t="shared" si="132"/>
        <v/>
      </c>
      <c r="BM74" s="26" t="str">
        <f t="shared" si="133"/>
        <v/>
      </c>
      <c r="BN74" s="26" t="str">
        <f t="shared" si="134"/>
        <v/>
      </c>
      <c r="BO74" s="26" t="str">
        <f t="shared" si="135"/>
        <v/>
      </c>
      <c r="BP74" s="26" t="str">
        <f t="shared" si="136"/>
        <v/>
      </c>
      <c r="BQ74" s="26" t="str">
        <f t="shared" si="137"/>
        <v/>
      </c>
      <c r="BR74" s="26" t="str">
        <f t="shared" si="138"/>
        <v/>
      </c>
      <c r="BS74" s="24" t="str">
        <f t="shared" si="139"/>
        <v/>
      </c>
      <c r="BT74" s="24" t="str">
        <f t="shared" si="140"/>
        <v/>
      </c>
      <c r="BU74" s="24" t="str">
        <f t="shared" si="141"/>
        <v/>
      </c>
      <c r="BV74" s="24" t="str">
        <f t="shared" si="142"/>
        <v/>
      </c>
      <c r="BW74" s="24" t="str">
        <f t="shared" si="143"/>
        <v/>
      </c>
      <c r="BX74" s="24" t="str">
        <f t="shared" si="144"/>
        <v/>
      </c>
      <c r="BY74" s="24" t="str">
        <f t="shared" si="145"/>
        <v/>
      </c>
      <c r="BZ74" s="24" t="str">
        <f t="shared" si="146"/>
        <v/>
      </c>
      <c r="CA74" s="24" t="str">
        <f t="shared" si="147"/>
        <v/>
      </c>
      <c r="CB74" s="24" t="str">
        <f t="shared" ref="CB74:CB100" si="175">IF(OR(AV74="",AF74=""),"",AV74*(IF(OR(AF74="A",AF74="a"),4,(IF(OR(AF583="B",AF74="b"),3,(IF(OR(AF74="C",AF74="c"),2,(IF(OR(AF74="D",AF74="d"),1.5,(IF(OR(AF74="E",AF74="e"),1,(IF(OR(AF74="F",AF74="f"),0)))))))))))))</f>
        <v/>
      </c>
      <c r="CC74" s="24" t="str">
        <f t="shared" si="149"/>
        <v/>
      </c>
      <c r="CD74" s="24" t="str">
        <f t="shared" si="150"/>
        <v/>
      </c>
      <c r="CE74" s="24"/>
      <c r="CF74" s="24" t="str">
        <f t="shared" ref="CF74:CF100" si="176">IF(OR(AZ74="",AJ74=""),"",AZ74*(IF(OR(AJ74="A",AJ74="a"),4,(IF(OR(AJ583="B",AJ74="b"),3,(IF(OR(AJ74="C",AJ74="c"),2,(IF(OR(AJ74="D",AJ74="d"),1.5,(IF(OR(AJ74="E",AJ74="e"),1,(IF(OR(AJ74="F",AJ74="f"),0)))))))))))))</f>
        <v/>
      </c>
      <c r="CG74" s="24" t="str">
        <f t="shared" si="153"/>
        <v/>
      </c>
      <c r="CH74" s="24" t="str">
        <f t="shared" si="154"/>
        <v/>
      </c>
      <c r="CI74" s="24" t="str">
        <f t="shared" si="155"/>
        <v/>
      </c>
      <c r="CJ74" s="26" t="str">
        <f t="shared" si="156"/>
        <v/>
      </c>
      <c r="CK74" s="26" t="str">
        <f t="shared" si="157"/>
        <v/>
      </c>
      <c r="CL74" s="26" t="str">
        <f t="shared" si="83"/>
        <v/>
      </c>
      <c r="CM74" s="24" t="str">
        <f t="shared" si="84"/>
        <v/>
      </c>
      <c r="CN74" s="26" t="str">
        <f t="shared" si="158"/>
        <v/>
      </c>
      <c r="CO74" s="24" t="str">
        <f t="shared" si="159"/>
        <v/>
      </c>
      <c r="CP74" s="26" t="str">
        <f t="shared" si="160"/>
        <v/>
      </c>
      <c r="CQ74" s="26" t="str">
        <f t="shared" si="161"/>
        <v/>
      </c>
      <c r="CR74" s="26" t="str">
        <f t="shared" si="85"/>
        <v/>
      </c>
      <c r="CS74" s="24" t="str">
        <f t="shared" si="86"/>
        <v/>
      </c>
      <c r="CT74" s="27" t="str">
        <f t="shared" si="162"/>
        <v/>
      </c>
      <c r="CU74" s="24" t="str">
        <f t="shared" si="163"/>
        <v/>
      </c>
      <c r="CV74" s="26" t="str">
        <f t="shared" si="164"/>
        <v/>
      </c>
      <c r="CW74" s="26" t="str">
        <f t="shared" si="165"/>
        <v/>
      </c>
      <c r="CX74" s="26" t="str">
        <f t="shared" si="87"/>
        <v/>
      </c>
      <c r="CY74" s="27" t="str">
        <f t="shared" si="88"/>
        <v/>
      </c>
      <c r="CZ74" s="26" t="str">
        <f t="shared" si="166"/>
        <v/>
      </c>
      <c r="DA74" s="24" t="str">
        <f t="shared" si="167"/>
        <v/>
      </c>
      <c r="DB74" s="24" t="str">
        <f t="shared" si="168"/>
        <v/>
      </c>
      <c r="DC74" s="24" t="str">
        <f t="shared" si="169"/>
        <v/>
      </c>
      <c r="DD74" s="24" t="str">
        <f t="shared" si="170"/>
        <v/>
      </c>
      <c r="DE74" s="1"/>
      <c r="DF74" s="1"/>
      <c r="DG74" s="1"/>
      <c r="DH74" s="24" t="str">
        <f t="shared" si="171"/>
        <v/>
      </c>
      <c r="DI74" s="25" t="str">
        <f t="shared" si="172"/>
        <v/>
      </c>
      <c r="DJ74" t="str">
        <f t="shared" si="174"/>
        <v/>
      </c>
      <c r="DK74" s="9"/>
      <c r="DL74" s="9"/>
      <c r="DM74" s="9"/>
      <c r="DN74" s="9"/>
      <c r="DO74" s="9"/>
      <c r="DP74" s="9"/>
      <c r="DQ74" s="136" t="b">
        <f t="shared" si="173"/>
        <v>1</v>
      </c>
    </row>
    <row r="75" spans="1:121" ht="27" customHeight="1" x14ac:dyDescent="0.95">
      <c r="A75" s="24" t="str">
        <f t="shared" si="89"/>
        <v/>
      </c>
      <c r="B75" s="9"/>
      <c r="C75" s="14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10"/>
      <c r="Q75" s="10"/>
      <c r="R75" s="10"/>
      <c r="S75" s="10"/>
      <c r="T75" s="10"/>
      <c r="U75" s="10"/>
      <c r="V75" s="10"/>
      <c r="W75" s="3" t="str">
        <f t="shared" si="91"/>
        <v/>
      </c>
      <c r="X75" s="3" t="str">
        <f t="shared" si="92"/>
        <v/>
      </c>
      <c r="Y75" s="3" t="str">
        <f t="shared" si="93"/>
        <v/>
      </c>
      <c r="Z75" s="3" t="str">
        <f t="shared" si="94"/>
        <v/>
      </c>
      <c r="AA75" s="3" t="str">
        <f t="shared" si="95"/>
        <v/>
      </c>
      <c r="AB75" s="3" t="str">
        <f t="shared" si="96"/>
        <v/>
      </c>
      <c r="AC75" s="3" t="str">
        <f t="shared" si="97"/>
        <v/>
      </c>
      <c r="AD75" s="3" t="str">
        <f t="shared" si="98"/>
        <v/>
      </c>
      <c r="AE75" s="3" t="str">
        <f t="shared" si="99"/>
        <v/>
      </c>
      <c r="AF75" s="24" t="str">
        <f t="shared" si="100"/>
        <v/>
      </c>
      <c r="AG75" s="24" t="str">
        <f t="shared" si="101"/>
        <v/>
      </c>
      <c r="AH75" s="24" t="str">
        <f t="shared" si="102"/>
        <v/>
      </c>
      <c r="AI75" s="24" t="str">
        <f t="shared" si="103"/>
        <v/>
      </c>
      <c r="AJ75" s="24" t="str">
        <f t="shared" si="104"/>
        <v/>
      </c>
      <c r="AK75" s="24" t="str">
        <f t="shared" si="105"/>
        <v/>
      </c>
      <c r="AL75" s="24" t="str">
        <f t="shared" si="106"/>
        <v/>
      </c>
      <c r="AM75" s="24" t="str">
        <f t="shared" si="107"/>
        <v/>
      </c>
      <c r="AN75" s="24" t="str">
        <f t="shared" si="108"/>
        <v/>
      </c>
      <c r="AO75" s="24" t="str">
        <f t="shared" si="109"/>
        <v/>
      </c>
      <c r="AP75" s="24" t="str">
        <f t="shared" si="110"/>
        <v/>
      </c>
      <c r="AQ75" s="24" t="str">
        <f t="shared" si="111"/>
        <v/>
      </c>
      <c r="AR75" s="24" t="str">
        <f t="shared" si="112"/>
        <v/>
      </c>
      <c r="AS75" s="24" t="str">
        <f t="shared" si="113"/>
        <v/>
      </c>
      <c r="AT75" s="24" t="str">
        <f t="shared" si="114"/>
        <v/>
      </c>
      <c r="AU75" s="24" t="str">
        <f t="shared" si="115"/>
        <v/>
      </c>
      <c r="AV75" s="24" t="str">
        <f t="shared" si="116"/>
        <v/>
      </c>
      <c r="AW75" s="24" t="str">
        <f t="shared" si="117"/>
        <v/>
      </c>
      <c r="AX75" s="24" t="str">
        <f t="shared" si="118"/>
        <v/>
      </c>
      <c r="AY75" s="24" t="str">
        <f t="shared" si="119"/>
        <v/>
      </c>
      <c r="AZ75" s="24" t="str">
        <f t="shared" si="120"/>
        <v/>
      </c>
      <c r="BA75" s="24" t="str">
        <f t="shared" si="121"/>
        <v/>
      </c>
      <c r="BB75" s="24" t="str">
        <f t="shared" si="122"/>
        <v/>
      </c>
      <c r="BC75" s="26" t="str">
        <f t="shared" si="123"/>
        <v/>
      </c>
      <c r="BD75" s="26" t="str">
        <f t="shared" si="124"/>
        <v/>
      </c>
      <c r="BE75" s="26" t="str">
        <f t="shared" si="125"/>
        <v/>
      </c>
      <c r="BF75" s="26" t="str">
        <f t="shared" si="126"/>
        <v/>
      </c>
      <c r="BG75" s="26" t="str">
        <f t="shared" si="127"/>
        <v/>
      </c>
      <c r="BH75" s="26" t="str">
        <f t="shared" si="128"/>
        <v/>
      </c>
      <c r="BI75" s="26" t="str">
        <f t="shared" si="129"/>
        <v/>
      </c>
      <c r="BJ75" s="26" t="str">
        <f t="shared" si="130"/>
        <v/>
      </c>
      <c r="BK75" s="26" t="str">
        <f t="shared" si="131"/>
        <v/>
      </c>
      <c r="BL75" s="26" t="str">
        <f t="shared" si="132"/>
        <v/>
      </c>
      <c r="BM75" s="26" t="str">
        <f t="shared" si="133"/>
        <v/>
      </c>
      <c r="BN75" s="26" t="str">
        <f t="shared" si="134"/>
        <v/>
      </c>
      <c r="BO75" s="26" t="str">
        <f t="shared" si="135"/>
        <v/>
      </c>
      <c r="BP75" s="26" t="str">
        <f t="shared" si="136"/>
        <v/>
      </c>
      <c r="BQ75" s="26" t="str">
        <f t="shared" si="137"/>
        <v/>
      </c>
      <c r="BR75" s="26" t="str">
        <f t="shared" si="138"/>
        <v/>
      </c>
      <c r="BS75" s="24" t="str">
        <f t="shared" si="139"/>
        <v/>
      </c>
      <c r="BT75" s="24" t="str">
        <f t="shared" si="140"/>
        <v/>
      </c>
      <c r="BU75" s="24" t="str">
        <f t="shared" si="141"/>
        <v/>
      </c>
      <c r="BV75" s="24" t="str">
        <f t="shared" si="142"/>
        <v/>
      </c>
      <c r="BW75" s="24" t="str">
        <f t="shared" si="143"/>
        <v/>
      </c>
      <c r="BX75" s="24" t="str">
        <f t="shared" si="144"/>
        <v/>
      </c>
      <c r="BY75" s="24" t="str">
        <f t="shared" si="145"/>
        <v/>
      </c>
      <c r="BZ75" s="24" t="str">
        <f t="shared" si="146"/>
        <v/>
      </c>
      <c r="CA75" s="24" t="str">
        <f t="shared" si="147"/>
        <v/>
      </c>
      <c r="CB75" s="24" t="str">
        <f t="shared" si="175"/>
        <v/>
      </c>
      <c r="CC75" s="24" t="str">
        <f t="shared" si="149"/>
        <v/>
      </c>
      <c r="CD75" s="24" t="str">
        <f t="shared" si="150"/>
        <v/>
      </c>
      <c r="CE75" s="24"/>
      <c r="CF75" s="24" t="str">
        <f t="shared" si="176"/>
        <v/>
      </c>
      <c r="CG75" s="24" t="str">
        <f t="shared" si="153"/>
        <v/>
      </c>
      <c r="CH75" s="24" t="str">
        <f t="shared" si="154"/>
        <v/>
      </c>
      <c r="CI75" s="24" t="str">
        <f t="shared" si="155"/>
        <v/>
      </c>
      <c r="CJ75" s="26" t="str">
        <f t="shared" si="156"/>
        <v/>
      </c>
      <c r="CK75" s="26" t="str">
        <f t="shared" si="157"/>
        <v/>
      </c>
      <c r="CL75" s="26" t="str">
        <f t="shared" si="83"/>
        <v/>
      </c>
      <c r="CM75" s="24" t="str">
        <f t="shared" si="84"/>
        <v/>
      </c>
      <c r="CN75" s="26" t="str">
        <f t="shared" si="158"/>
        <v/>
      </c>
      <c r="CO75" s="24" t="str">
        <f t="shared" si="159"/>
        <v/>
      </c>
      <c r="CP75" s="26" t="str">
        <f t="shared" si="160"/>
        <v/>
      </c>
      <c r="CQ75" s="26" t="str">
        <f t="shared" si="161"/>
        <v/>
      </c>
      <c r="CR75" s="26" t="str">
        <f t="shared" si="85"/>
        <v/>
      </c>
      <c r="CS75" s="24" t="str">
        <f t="shared" si="86"/>
        <v/>
      </c>
      <c r="CT75" s="27" t="str">
        <f t="shared" si="162"/>
        <v/>
      </c>
      <c r="CU75" s="24" t="str">
        <f t="shared" si="163"/>
        <v/>
      </c>
      <c r="CV75" s="26" t="str">
        <f t="shared" si="164"/>
        <v/>
      </c>
      <c r="CW75" s="26" t="str">
        <f t="shared" si="165"/>
        <v/>
      </c>
      <c r="CX75" s="26" t="str">
        <f t="shared" si="87"/>
        <v/>
      </c>
      <c r="CY75" s="27" t="str">
        <f t="shared" si="88"/>
        <v/>
      </c>
      <c r="CZ75" s="26" t="str">
        <f t="shared" si="166"/>
        <v/>
      </c>
      <c r="DA75" s="24" t="str">
        <f t="shared" si="167"/>
        <v/>
      </c>
      <c r="DB75" s="24" t="str">
        <f t="shared" si="168"/>
        <v/>
      </c>
      <c r="DC75" s="24" t="str">
        <f t="shared" si="169"/>
        <v/>
      </c>
      <c r="DD75" s="24" t="str">
        <f t="shared" si="170"/>
        <v/>
      </c>
      <c r="DE75" s="1"/>
      <c r="DF75" s="1"/>
      <c r="DG75" s="1"/>
      <c r="DH75" s="24" t="str">
        <f t="shared" si="171"/>
        <v/>
      </c>
      <c r="DI75" s="25" t="str">
        <f t="shared" si="172"/>
        <v/>
      </c>
      <c r="DJ75" t="str">
        <f t="shared" si="174"/>
        <v/>
      </c>
      <c r="DK75" s="9"/>
      <c r="DL75" s="9"/>
      <c r="DM75" s="9"/>
      <c r="DN75" s="9"/>
      <c r="DO75" s="9"/>
      <c r="DP75" s="9"/>
      <c r="DQ75" s="136" t="b">
        <f t="shared" si="173"/>
        <v>1</v>
      </c>
    </row>
    <row r="76" spans="1:121" ht="27" customHeight="1" x14ac:dyDescent="0.95">
      <c r="A76" s="24" t="str">
        <f t="shared" si="89"/>
        <v/>
      </c>
      <c r="B76" s="9"/>
      <c r="C76" s="14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10"/>
      <c r="Q76" s="10"/>
      <c r="R76" s="10"/>
      <c r="S76" s="10"/>
      <c r="T76" s="10"/>
      <c r="U76" s="10"/>
      <c r="V76" s="10"/>
      <c r="W76" s="3" t="str">
        <f t="shared" si="91"/>
        <v/>
      </c>
      <c r="X76" s="3" t="str">
        <f t="shared" si="92"/>
        <v/>
      </c>
      <c r="Y76" s="3" t="str">
        <f t="shared" si="93"/>
        <v/>
      </c>
      <c r="Z76" s="3" t="str">
        <f t="shared" si="94"/>
        <v/>
      </c>
      <c r="AA76" s="3" t="str">
        <f t="shared" si="95"/>
        <v/>
      </c>
      <c r="AB76" s="3" t="str">
        <f t="shared" si="96"/>
        <v/>
      </c>
      <c r="AC76" s="3" t="str">
        <f t="shared" si="97"/>
        <v/>
      </c>
      <c r="AD76" s="3" t="str">
        <f t="shared" si="98"/>
        <v/>
      </c>
      <c r="AE76" s="3" t="str">
        <f t="shared" si="99"/>
        <v/>
      </c>
      <c r="AF76" s="24" t="str">
        <f t="shared" si="100"/>
        <v/>
      </c>
      <c r="AG76" s="24" t="str">
        <f t="shared" si="101"/>
        <v/>
      </c>
      <c r="AH76" s="24" t="str">
        <f t="shared" si="102"/>
        <v/>
      </c>
      <c r="AI76" s="24" t="str">
        <f t="shared" si="103"/>
        <v/>
      </c>
      <c r="AJ76" s="24" t="str">
        <f t="shared" si="104"/>
        <v/>
      </c>
      <c r="AK76" s="24" t="str">
        <f t="shared" si="105"/>
        <v/>
      </c>
      <c r="AL76" s="24" t="str">
        <f t="shared" si="106"/>
        <v/>
      </c>
      <c r="AM76" s="24" t="str">
        <f t="shared" si="107"/>
        <v/>
      </c>
      <c r="AN76" s="24" t="str">
        <f t="shared" si="108"/>
        <v/>
      </c>
      <c r="AO76" s="24" t="str">
        <f t="shared" si="109"/>
        <v/>
      </c>
      <c r="AP76" s="24" t="str">
        <f t="shared" si="110"/>
        <v/>
      </c>
      <c r="AQ76" s="24" t="str">
        <f t="shared" si="111"/>
        <v/>
      </c>
      <c r="AR76" s="24" t="str">
        <f t="shared" si="112"/>
        <v/>
      </c>
      <c r="AS76" s="24" t="str">
        <f t="shared" si="113"/>
        <v/>
      </c>
      <c r="AT76" s="24" t="str">
        <f t="shared" si="114"/>
        <v/>
      </c>
      <c r="AU76" s="24" t="str">
        <f t="shared" si="115"/>
        <v/>
      </c>
      <c r="AV76" s="24" t="str">
        <f t="shared" si="116"/>
        <v/>
      </c>
      <c r="AW76" s="24" t="str">
        <f t="shared" si="117"/>
        <v/>
      </c>
      <c r="AX76" s="24" t="str">
        <f t="shared" si="118"/>
        <v/>
      </c>
      <c r="AY76" s="24" t="str">
        <f t="shared" si="119"/>
        <v/>
      </c>
      <c r="AZ76" s="24" t="str">
        <f t="shared" si="120"/>
        <v/>
      </c>
      <c r="BA76" s="24" t="str">
        <f t="shared" si="121"/>
        <v/>
      </c>
      <c r="BB76" s="24" t="str">
        <f t="shared" si="122"/>
        <v/>
      </c>
      <c r="BC76" s="26" t="str">
        <f t="shared" si="123"/>
        <v/>
      </c>
      <c r="BD76" s="26" t="str">
        <f t="shared" si="124"/>
        <v/>
      </c>
      <c r="BE76" s="26" t="str">
        <f t="shared" si="125"/>
        <v/>
      </c>
      <c r="BF76" s="26" t="str">
        <f t="shared" si="126"/>
        <v/>
      </c>
      <c r="BG76" s="26" t="str">
        <f t="shared" si="127"/>
        <v/>
      </c>
      <c r="BH76" s="26" t="str">
        <f t="shared" si="128"/>
        <v/>
      </c>
      <c r="BI76" s="26" t="str">
        <f t="shared" si="129"/>
        <v/>
      </c>
      <c r="BJ76" s="26" t="str">
        <f t="shared" si="130"/>
        <v/>
      </c>
      <c r="BK76" s="26" t="str">
        <f t="shared" si="131"/>
        <v/>
      </c>
      <c r="BL76" s="26" t="str">
        <f t="shared" si="132"/>
        <v/>
      </c>
      <c r="BM76" s="26" t="str">
        <f t="shared" si="133"/>
        <v/>
      </c>
      <c r="BN76" s="26" t="str">
        <f t="shared" si="134"/>
        <v/>
      </c>
      <c r="BO76" s="26" t="str">
        <f t="shared" si="135"/>
        <v/>
      </c>
      <c r="BP76" s="26" t="str">
        <f t="shared" si="136"/>
        <v/>
      </c>
      <c r="BQ76" s="26" t="str">
        <f t="shared" si="137"/>
        <v/>
      </c>
      <c r="BR76" s="26" t="str">
        <f t="shared" si="138"/>
        <v/>
      </c>
      <c r="BS76" s="24" t="str">
        <f t="shared" si="139"/>
        <v/>
      </c>
      <c r="BT76" s="24" t="str">
        <f t="shared" si="140"/>
        <v/>
      </c>
      <c r="BU76" s="24" t="str">
        <f t="shared" si="141"/>
        <v/>
      </c>
      <c r="BV76" s="24" t="str">
        <f t="shared" si="142"/>
        <v/>
      </c>
      <c r="BW76" s="24" t="str">
        <f t="shared" si="143"/>
        <v/>
      </c>
      <c r="BX76" s="24" t="str">
        <f t="shared" si="144"/>
        <v/>
      </c>
      <c r="BY76" s="24" t="str">
        <f t="shared" si="145"/>
        <v/>
      </c>
      <c r="BZ76" s="24" t="str">
        <f t="shared" si="146"/>
        <v/>
      </c>
      <c r="CA76" s="24" t="str">
        <f t="shared" si="147"/>
        <v/>
      </c>
      <c r="CB76" s="24" t="str">
        <f t="shared" si="175"/>
        <v/>
      </c>
      <c r="CC76" s="24" t="str">
        <f t="shared" si="149"/>
        <v/>
      </c>
      <c r="CD76" s="24" t="str">
        <f t="shared" si="150"/>
        <v/>
      </c>
      <c r="CE76" s="24"/>
      <c r="CF76" s="24" t="str">
        <f t="shared" si="176"/>
        <v/>
      </c>
      <c r="CG76" s="24" t="str">
        <f t="shared" si="153"/>
        <v/>
      </c>
      <c r="CH76" s="24" t="str">
        <f t="shared" si="154"/>
        <v/>
      </c>
      <c r="CI76" s="24" t="str">
        <f t="shared" si="155"/>
        <v/>
      </c>
      <c r="CJ76" s="26" t="str">
        <f t="shared" si="156"/>
        <v/>
      </c>
      <c r="CK76" s="26" t="str">
        <f t="shared" si="157"/>
        <v/>
      </c>
      <c r="CL76" s="26" t="str">
        <f t="shared" si="83"/>
        <v/>
      </c>
      <c r="CM76" s="24" t="str">
        <f t="shared" si="84"/>
        <v/>
      </c>
      <c r="CN76" s="26" t="str">
        <f t="shared" si="158"/>
        <v/>
      </c>
      <c r="CO76" s="24" t="str">
        <f t="shared" si="159"/>
        <v/>
      </c>
      <c r="CP76" s="26" t="str">
        <f t="shared" si="160"/>
        <v/>
      </c>
      <c r="CQ76" s="26" t="str">
        <f t="shared" si="161"/>
        <v/>
      </c>
      <c r="CR76" s="26" t="str">
        <f t="shared" si="85"/>
        <v/>
      </c>
      <c r="CS76" s="24" t="str">
        <f t="shared" si="86"/>
        <v/>
      </c>
      <c r="CT76" s="27" t="str">
        <f t="shared" si="162"/>
        <v/>
      </c>
      <c r="CU76" s="24" t="str">
        <f t="shared" si="163"/>
        <v/>
      </c>
      <c r="CV76" s="26" t="str">
        <f t="shared" si="164"/>
        <v/>
      </c>
      <c r="CW76" s="26" t="str">
        <f t="shared" si="165"/>
        <v/>
      </c>
      <c r="CX76" s="26" t="str">
        <f t="shared" si="87"/>
        <v/>
      </c>
      <c r="CY76" s="27" t="str">
        <f t="shared" si="88"/>
        <v/>
      </c>
      <c r="CZ76" s="26" t="str">
        <f t="shared" si="166"/>
        <v/>
      </c>
      <c r="DA76" s="24" t="str">
        <f t="shared" si="167"/>
        <v/>
      </c>
      <c r="DB76" s="24" t="str">
        <f t="shared" si="168"/>
        <v/>
      </c>
      <c r="DC76" s="24" t="str">
        <f t="shared" si="169"/>
        <v/>
      </c>
      <c r="DD76" s="24" t="str">
        <f t="shared" si="170"/>
        <v/>
      </c>
      <c r="DE76" s="1"/>
      <c r="DF76" s="1"/>
      <c r="DG76" s="1"/>
      <c r="DH76" s="24" t="str">
        <f t="shared" si="171"/>
        <v/>
      </c>
      <c r="DI76" s="25" t="str">
        <f t="shared" si="172"/>
        <v/>
      </c>
      <c r="DJ76" t="str">
        <f t="shared" si="174"/>
        <v/>
      </c>
      <c r="DK76" s="9"/>
      <c r="DL76" s="9"/>
      <c r="DM76" s="9"/>
      <c r="DN76" s="9"/>
      <c r="DO76" s="9"/>
      <c r="DP76" s="9"/>
      <c r="DQ76" s="136" t="b">
        <f t="shared" si="173"/>
        <v>1</v>
      </c>
    </row>
    <row r="77" spans="1:121" ht="27" customHeight="1" x14ac:dyDescent="0.95">
      <c r="A77" s="24" t="str">
        <f t="shared" si="89"/>
        <v/>
      </c>
      <c r="B77" s="9"/>
      <c r="C77" s="14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10"/>
      <c r="Q77" s="10"/>
      <c r="R77" s="10"/>
      <c r="S77" s="10"/>
      <c r="T77" s="10"/>
      <c r="U77" s="10"/>
      <c r="V77" s="10"/>
      <c r="W77" s="3" t="str">
        <f t="shared" si="91"/>
        <v/>
      </c>
      <c r="X77" s="3" t="str">
        <f t="shared" si="92"/>
        <v/>
      </c>
      <c r="Y77" s="3" t="str">
        <f t="shared" si="93"/>
        <v/>
      </c>
      <c r="Z77" s="3" t="str">
        <f t="shared" si="94"/>
        <v/>
      </c>
      <c r="AA77" s="3" t="str">
        <f t="shared" si="95"/>
        <v/>
      </c>
      <c r="AB77" s="3" t="str">
        <f t="shared" si="96"/>
        <v/>
      </c>
      <c r="AC77" s="3" t="str">
        <f t="shared" si="97"/>
        <v/>
      </c>
      <c r="AD77" s="3" t="str">
        <f t="shared" si="98"/>
        <v/>
      </c>
      <c r="AE77" s="3" t="str">
        <f t="shared" si="99"/>
        <v/>
      </c>
      <c r="AF77" s="24" t="str">
        <f t="shared" si="100"/>
        <v/>
      </c>
      <c r="AG77" s="24" t="str">
        <f t="shared" si="101"/>
        <v/>
      </c>
      <c r="AH77" s="24" t="str">
        <f t="shared" si="102"/>
        <v/>
      </c>
      <c r="AI77" s="24" t="str">
        <f t="shared" si="103"/>
        <v/>
      </c>
      <c r="AJ77" s="24" t="str">
        <f t="shared" si="104"/>
        <v/>
      </c>
      <c r="AK77" s="24" t="str">
        <f t="shared" si="105"/>
        <v/>
      </c>
      <c r="AL77" s="24" t="str">
        <f t="shared" si="106"/>
        <v/>
      </c>
      <c r="AM77" s="24" t="str">
        <f t="shared" si="107"/>
        <v/>
      </c>
      <c r="AN77" s="24" t="str">
        <f t="shared" si="108"/>
        <v/>
      </c>
      <c r="AO77" s="24" t="str">
        <f t="shared" si="109"/>
        <v/>
      </c>
      <c r="AP77" s="24" t="str">
        <f t="shared" si="110"/>
        <v/>
      </c>
      <c r="AQ77" s="24" t="str">
        <f t="shared" si="111"/>
        <v/>
      </c>
      <c r="AR77" s="24" t="str">
        <f t="shared" si="112"/>
        <v/>
      </c>
      <c r="AS77" s="24" t="str">
        <f t="shared" si="113"/>
        <v/>
      </c>
      <c r="AT77" s="24" t="str">
        <f t="shared" si="114"/>
        <v/>
      </c>
      <c r="AU77" s="24" t="str">
        <f t="shared" si="115"/>
        <v/>
      </c>
      <c r="AV77" s="24" t="str">
        <f t="shared" si="116"/>
        <v/>
      </c>
      <c r="AW77" s="24" t="str">
        <f t="shared" si="117"/>
        <v/>
      </c>
      <c r="AX77" s="24" t="str">
        <f t="shared" si="118"/>
        <v/>
      </c>
      <c r="AY77" s="24" t="str">
        <f t="shared" si="119"/>
        <v/>
      </c>
      <c r="AZ77" s="24" t="str">
        <f t="shared" si="120"/>
        <v/>
      </c>
      <c r="BA77" s="24" t="str">
        <f t="shared" si="121"/>
        <v/>
      </c>
      <c r="BB77" s="24" t="str">
        <f t="shared" si="122"/>
        <v/>
      </c>
      <c r="BC77" s="26" t="str">
        <f t="shared" si="123"/>
        <v/>
      </c>
      <c r="BD77" s="26" t="str">
        <f t="shared" si="124"/>
        <v/>
      </c>
      <c r="BE77" s="26" t="str">
        <f t="shared" si="125"/>
        <v/>
      </c>
      <c r="BF77" s="26" t="str">
        <f t="shared" si="126"/>
        <v/>
      </c>
      <c r="BG77" s="26" t="str">
        <f t="shared" si="127"/>
        <v/>
      </c>
      <c r="BH77" s="26" t="str">
        <f t="shared" si="128"/>
        <v/>
      </c>
      <c r="BI77" s="26" t="str">
        <f t="shared" si="129"/>
        <v/>
      </c>
      <c r="BJ77" s="26" t="str">
        <f t="shared" si="130"/>
        <v/>
      </c>
      <c r="BK77" s="26" t="str">
        <f t="shared" si="131"/>
        <v/>
      </c>
      <c r="BL77" s="26" t="str">
        <f t="shared" si="132"/>
        <v/>
      </c>
      <c r="BM77" s="26" t="str">
        <f t="shared" si="133"/>
        <v/>
      </c>
      <c r="BN77" s="26" t="str">
        <f t="shared" si="134"/>
        <v/>
      </c>
      <c r="BO77" s="26" t="str">
        <f t="shared" si="135"/>
        <v/>
      </c>
      <c r="BP77" s="26" t="str">
        <f t="shared" si="136"/>
        <v/>
      </c>
      <c r="BQ77" s="26" t="str">
        <f t="shared" si="137"/>
        <v/>
      </c>
      <c r="BR77" s="26" t="str">
        <f t="shared" si="138"/>
        <v/>
      </c>
      <c r="BS77" s="24" t="str">
        <f t="shared" si="139"/>
        <v/>
      </c>
      <c r="BT77" s="24" t="str">
        <f t="shared" si="140"/>
        <v/>
      </c>
      <c r="BU77" s="24" t="str">
        <f t="shared" si="141"/>
        <v/>
      </c>
      <c r="BV77" s="24" t="str">
        <f t="shared" si="142"/>
        <v/>
      </c>
      <c r="BW77" s="24" t="str">
        <f t="shared" si="143"/>
        <v/>
      </c>
      <c r="BX77" s="24" t="str">
        <f t="shared" si="144"/>
        <v/>
      </c>
      <c r="BY77" s="24" t="str">
        <f t="shared" si="145"/>
        <v/>
      </c>
      <c r="BZ77" s="24" t="str">
        <f t="shared" si="146"/>
        <v/>
      </c>
      <c r="CA77" s="24" t="str">
        <f t="shared" si="147"/>
        <v/>
      </c>
      <c r="CB77" s="24" t="str">
        <f t="shared" si="175"/>
        <v/>
      </c>
      <c r="CC77" s="24" t="str">
        <f t="shared" si="149"/>
        <v/>
      </c>
      <c r="CD77" s="24" t="str">
        <f t="shared" si="150"/>
        <v/>
      </c>
      <c r="CE77" s="24"/>
      <c r="CF77" s="24" t="str">
        <f t="shared" si="176"/>
        <v/>
      </c>
      <c r="CG77" s="24" t="str">
        <f t="shared" si="153"/>
        <v/>
      </c>
      <c r="CH77" s="24" t="str">
        <f t="shared" si="154"/>
        <v/>
      </c>
      <c r="CI77" s="24" t="str">
        <f t="shared" si="155"/>
        <v/>
      </c>
      <c r="CJ77" s="26" t="str">
        <f t="shared" si="156"/>
        <v/>
      </c>
      <c r="CK77" s="26" t="str">
        <f t="shared" si="157"/>
        <v/>
      </c>
      <c r="CL77" s="26" t="str">
        <f t="shared" si="83"/>
        <v/>
      </c>
      <c r="CM77" s="24" t="str">
        <f t="shared" si="84"/>
        <v/>
      </c>
      <c r="CN77" s="26" t="str">
        <f t="shared" si="158"/>
        <v/>
      </c>
      <c r="CO77" s="24" t="str">
        <f t="shared" si="159"/>
        <v/>
      </c>
      <c r="CP77" s="26" t="str">
        <f t="shared" si="160"/>
        <v/>
      </c>
      <c r="CQ77" s="26" t="str">
        <f t="shared" si="161"/>
        <v/>
      </c>
      <c r="CR77" s="26" t="str">
        <f t="shared" si="85"/>
        <v/>
      </c>
      <c r="CS77" s="24" t="str">
        <f t="shared" si="86"/>
        <v/>
      </c>
      <c r="CT77" s="27" t="str">
        <f t="shared" si="162"/>
        <v/>
      </c>
      <c r="CU77" s="24" t="str">
        <f t="shared" si="163"/>
        <v/>
      </c>
      <c r="CV77" s="26" t="str">
        <f t="shared" si="164"/>
        <v/>
      </c>
      <c r="CW77" s="26" t="str">
        <f t="shared" si="165"/>
        <v/>
      </c>
      <c r="CX77" s="26" t="str">
        <f t="shared" si="87"/>
        <v/>
      </c>
      <c r="CY77" s="27" t="str">
        <f t="shared" si="88"/>
        <v/>
      </c>
      <c r="CZ77" s="26" t="str">
        <f t="shared" si="166"/>
        <v/>
      </c>
      <c r="DA77" s="24" t="str">
        <f t="shared" si="167"/>
        <v/>
      </c>
      <c r="DB77" s="24" t="str">
        <f t="shared" si="168"/>
        <v/>
      </c>
      <c r="DC77" s="24" t="str">
        <f t="shared" si="169"/>
        <v/>
      </c>
      <c r="DD77" s="24" t="str">
        <f t="shared" si="170"/>
        <v/>
      </c>
      <c r="DE77" s="1"/>
      <c r="DF77" s="1"/>
      <c r="DG77" s="1"/>
      <c r="DH77" s="24" t="str">
        <f t="shared" si="171"/>
        <v/>
      </c>
      <c r="DI77" s="25" t="str">
        <f t="shared" si="172"/>
        <v/>
      </c>
      <c r="DJ77" t="str">
        <f t="shared" si="174"/>
        <v/>
      </c>
      <c r="DK77" s="9"/>
      <c r="DL77" s="9"/>
      <c r="DM77" s="9"/>
      <c r="DN77" s="9"/>
      <c r="DO77" s="9"/>
      <c r="DP77" s="9"/>
      <c r="DQ77" s="136" t="b">
        <f t="shared" si="173"/>
        <v>1</v>
      </c>
    </row>
    <row r="78" spans="1:121" ht="27" customHeight="1" x14ac:dyDescent="0.95">
      <c r="A78" s="24" t="str">
        <f t="shared" si="89"/>
        <v/>
      </c>
      <c r="B78" s="9"/>
      <c r="C78" s="14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10"/>
      <c r="Q78" s="10"/>
      <c r="R78" s="10"/>
      <c r="S78" s="10"/>
      <c r="T78" s="10"/>
      <c r="U78" s="10"/>
      <c r="V78" s="10"/>
      <c r="W78" s="3" t="str">
        <f t="shared" si="91"/>
        <v/>
      </c>
      <c r="X78" s="3" t="str">
        <f t="shared" si="92"/>
        <v/>
      </c>
      <c r="Y78" s="3" t="str">
        <f t="shared" si="93"/>
        <v/>
      </c>
      <c r="Z78" s="3" t="str">
        <f t="shared" si="94"/>
        <v/>
      </c>
      <c r="AA78" s="3" t="str">
        <f t="shared" si="95"/>
        <v/>
      </c>
      <c r="AB78" s="3" t="str">
        <f t="shared" si="96"/>
        <v/>
      </c>
      <c r="AC78" s="3" t="str">
        <f t="shared" si="97"/>
        <v/>
      </c>
      <c r="AD78" s="3" t="str">
        <f t="shared" si="98"/>
        <v/>
      </c>
      <c r="AE78" s="3" t="str">
        <f t="shared" si="99"/>
        <v/>
      </c>
      <c r="AF78" s="24" t="str">
        <f t="shared" si="100"/>
        <v/>
      </c>
      <c r="AG78" s="24" t="str">
        <f t="shared" si="101"/>
        <v/>
      </c>
      <c r="AH78" s="24" t="str">
        <f t="shared" si="102"/>
        <v/>
      </c>
      <c r="AI78" s="24" t="str">
        <f t="shared" si="103"/>
        <v/>
      </c>
      <c r="AJ78" s="24" t="str">
        <f t="shared" si="104"/>
        <v/>
      </c>
      <c r="AK78" s="24" t="str">
        <f t="shared" si="105"/>
        <v/>
      </c>
      <c r="AL78" s="24" t="str">
        <f t="shared" si="106"/>
        <v/>
      </c>
      <c r="AM78" s="24" t="str">
        <f t="shared" si="107"/>
        <v/>
      </c>
      <c r="AN78" s="24" t="str">
        <f t="shared" si="108"/>
        <v/>
      </c>
      <c r="AO78" s="24" t="str">
        <f t="shared" si="109"/>
        <v/>
      </c>
      <c r="AP78" s="24" t="str">
        <f t="shared" si="110"/>
        <v/>
      </c>
      <c r="AQ78" s="24" t="str">
        <f t="shared" si="111"/>
        <v/>
      </c>
      <c r="AR78" s="24" t="str">
        <f t="shared" si="112"/>
        <v/>
      </c>
      <c r="AS78" s="24" t="str">
        <f t="shared" si="113"/>
        <v/>
      </c>
      <c r="AT78" s="24" t="str">
        <f t="shared" si="114"/>
        <v/>
      </c>
      <c r="AU78" s="24" t="str">
        <f t="shared" si="115"/>
        <v/>
      </c>
      <c r="AV78" s="24" t="str">
        <f t="shared" si="116"/>
        <v/>
      </c>
      <c r="AW78" s="24" t="str">
        <f t="shared" si="117"/>
        <v/>
      </c>
      <c r="AX78" s="24" t="str">
        <f t="shared" si="118"/>
        <v/>
      </c>
      <c r="AY78" s="24" t="str">
        <f t="shared" si="119"/>
        <v/>
      </c>
      <c r="AZ78" s="24" t="str">
        <f t="shared" si="120"/>
        <v/>
      </c>
      <c r="BA78" s="24" t="str">
        <f t="shared" si="121"/>
        <v/>
      </c>
      <c r="BB78" s="24" t="str">
        <f t="shared" si="122"/>
        <v/>
      </c>
      <c r="BC78" s="26" t="str">
        <f t="shared" si="123"/>
        <v/>
      </c>
      <c r="BD78" s="26" t="str">
        <f t="shared" si="124"/>
        <v/>
      </c>
      <c r="BE78" s="26" t="str">
        <f t="shared" si="125"/>
        <v/>
      </c>
      <c r="BF78" s="26" t="str">
        <f t="shared" si="126"/>
        <v/>
      </c>
      <c r="BG78" s="26" t="str">
        <f t="shared" si="127"/>
        <v/>
      </c>
      <c r="BH78" s="26" t="str">
        <f t="shared" si="128"/>
        <v/>
      </c>
      <c r="BI78" s="26" t="str">
        <f t="shared" si="129"/>
        <v/>
      </c>
      <c r="BJ78" s="26" t="str">
        <f t="shared" si="130"/>
        <v/>
      </c>
      <c r="BK78" s="26" t="str">
        <f t="shared" si="131"/>
        <v/>
      </c>
      <c r="BL78" s="26" t="str">
        <f t="shared" si="132"/>
        <v/>
      </c>
      <c r="BM78" s="26" t="str">
        <f t="shared" si="133"/>
        <v/>
      </c>
      <c r="BN78" s="26" t="str">
        <f t="shared" si="134"/>
        <v/>
      </c>
      <c r="BO78" s="26" t="str">
        <f t="shared" si="135"/>
        <v/>
      </c>
      <c r="BP78" s="26" t="str">
        <f t="shared" si="136"/>
        <v/>
      </c>
      <c r="BQ78" s="26" t="str">
        <f t="shared" si="137"/>
        <v/>
      </c>
      <c r="BR78" s="26" t="str">
        <f t="shared" si="138"/>
        <v/>
      </c>
      <c r="BS78" s="24" t="str">
        <f t="shared" si="139"/>
        <v/>
      </c>
      <c r="BT78" s="24" t="str">
        <f t="shared" si="140"/>
        <v/>
      </c>
      <c r="BU78" s="24" t="str">
        <f t="shared" si="141"/>
        <v/>
      </c>
      <c r="BV78" s="24" t="str">
        <f t="shared" si="142"/>
        <v/>
      </c>
      <c r="BW78" s="24" t="str">
        <f t="shared" si="143"/>
        <v/>
      </c>
      <c r="BX78" s="24" t="str">
        <f t="shared" si="144"/>
        <v/>
      </c>
      <c r="BY78" s="24" t="str">
        <f t="shared" si="145"/>
        <v/>
      </c>
      <c r="BZ78" s="24" t="str">
        <f t="shared" si="146"/>
        <v/>
      </c>
      <c r="CA78" s="24" t="str">
        <f t="shared" si="147"/>
        <v/>
      </c>
      <c r="CB78" s="24" t="str">
        <f t="shared" si="175"/>
        <v/>
      </c>
      <c r="CC78" s="24" t="str">
        <f t="shared" si="149"/>
        <v/>
      </c>
      <c r="CD78" s="24" t="str">
        <f t="shared" si="150"/>
        <v/>
      </c>
      <c r="CE78" s="24"/>
      <c r="CF78" s="24" t="str">
        <f t="shared" si="176"/>
        <v/>
      </c>
      <c r="CG78" s="24" t="str">
        <f t="shared" si="153"/>
        <v/>
      </c>
      <c r="CH78" s="24" t="str">
        <f t="shared" si="154"/>
        <v/>
      </c>
      <c r="CI78" s="24" t="str">
        <f t="shared" si="155"/>
        <v/>
      </c>
      <c r="CJ78" s="26" t="str">
        <f t="shared" si="156"/>
        <v/>
      </c>
      <c r="CK78" s="26" t="str">
        <f t="shared" si="157"/>
        <v/>
      </c>
      <c r="CL78" s="26" t="str">
        <f t="shared" si="83"/>
        <v/>
      </c>
      <c r="CM78" s="24" t="str">
        <f t="shared" si="84"/>
        <v/>
      </c>
      <c r="CN78" s="26" t="str">
        <f t="shared" si="158"/>
        <v/>
      </c>
      <c r="CO78" s="24" t="str">
        <f t="shared" si="159"/>
        <v/>
      </c>
      <c r="CP78" s="26" t="str">
        <f t="shared" si="160"/>
        <v/>
      </c>
      <c r="CQ78" s="26" t="str">
        <f t="shared" si="161"/>
        <v/>
      </c>
      <c r="CR78" s="26" t="str">
        <f t="shared" si="85"/>
        <v/>
      </c>
      <c r="CS78" s="24" t="str">
        <f t="shared" si="86"/>
        <v/>
      </c>
      <c r="CT78" s="27" t="str">
        <f t="shared" si="162"/>
        <v/>
      </c>
      <c r="CU78" s="24" t="str">
        <f t="shared" si="163"/>
        <v/>
      </c>
      <c r="CV78" s="26" t="str">
        <f t="shared" si="164"/>
        <v/>
      </c>
      <c r="CW78" s="26" t="str">
        <f t="shared" si="165"/>
        <v/>
      </c>
      <c r="CX78" s="26" t="str">
        <f t="shared" si="87"/>
        <v/>
      </c>
      <c r="CY78" s="27" t="str">
        <f t="shared" si="88"/>
        <v/>
      </c>
      <c r="CZ78" s="26" t="str">
        <f t="shared" si="166"/>
        <v/>
      </c>
      <c r="DA78" s="24" t="str">
        <f t="shared" si="167"/>
        <v/>
      </c>
      <c r="DB78" s="24" t="str">
        <f t="shared" si="168"/>
        <v/>
      </c>
      <c r="DC78" s="24" t="str">
        <f t="shared" si="169"/>
        <v/>
      </c>
      <c r="DD78" s="24" t="str">
        <f t="shared" si="170"/>
        <v/>
      </c>
      <c r="DE78" s="1"/>
      <c r="DF78" s="1"/>
      <c r="DG78" s="1"/>
      <c r="DH78" s="24" t="str">
        <f t="shared" si="171"/>
        <v/>
      </c>
      <c r="DI78" s="25" t="str">
        <f t="shared" si="172"/>
        <v/>
      </c>
      <c r="DJ78" t="str">
        <f t="shared" si="174"/>
        <v/>
      </c>
      <c r="DK78" s="9"/>
      <c r="DL78" s="9"/>
      <c r="DM78" s="9"/>
      <c r="DN78" s="9"/>
      <c r="DO78" s="9"/>
      <c r="DP78" s="9"/>
      <c r="DQ78" s="136" t="b">
        <f t="shared" si="173"/>
        <v>1</v>
      </c>
    </row>
    <row r="79" spans="1:121" ht="27" customHeight="1" x14ac:dyDescent="0.95">
      <c r="A79" s="24" t="str">
        <f t="shared" si="89"/>
        <v/>
      </c>
      <c r="B79" s="9"/>
      <c r="C79" s="14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10"/>
      <c r="Q79" s="10"/>
      <c r="R79" s="10"/>
      <c r="S79" s="10"/>
      <c r="T79" s="10"/>
      <c r="U79" s="10"/>
      <c r="V79" s="10"/>
      <c r="W79" s="3" t="str">
        <f t="shared" ref="W79:W93" si="177">IF(G79="","",IF(G79&gt;=90,"A",IF(G79&gt;=80,"B",IF(G79&gt;=70,"C",IF(G79&gt;=60,"D",IF(G79&gt;=50,"E",IF(G79&gt;=0,"F","")))))))</f>
        <v/>
      </c>
      <c r="X79" s="3" t="str">
        <f t="shared" ref="X79:X93" si="178">IF(H79="","",IF(H79&gt;=90,"A",IF(H79&gt;=80,"B",IF(H79&gt;=70,"C",IF(H79&gt;=60,"D",IF(H79&gt;=50,"E",IF(H79&gt;=0,"F","")))))))</f>
        <v/>
      </c>
      <c r="Y79" s="3" t="str">
        <f t="shared" ref="Y79:Y93" si="179">IF(I79="","",IF(I79&gt;=90,"A",IF(I79&gt;=80,"B",IF(I79&gt;=70,"C",IF(I79&gt;=60,"D",IF(I79&gt;=50,"E",IF(I79&gt;=0,"F","")))))))</f>
        <v/>
      </c>
      <c r="Z79" s="3" t="str">
        <f t="shared" ref="Z79:Z93" si="180">IF(J79="","",IF(J79&gt;=90,"A",IF(J79&gt;=80,"B",IF(J79&gt;=70,"C",IF(J79&gt;=60,"D",IF(J79&gt;=50,"E",IF(J79&gt;=0,"F","")))))))</f>
        <v/>
      </c>
      <c r="AA79" s="3" t="str">
        <f t="shared" ref="AA79:AA93" si="181">IF(K79="","",IF(K79&gt;=90,"A",IF(K79&gt;=80,"B",IF(K79&gt;=70,"C",IF(K79&gt;=60,"D",IF(K79&gt;=50,"E",IF(K79&gt;=0,"F","")))))))</f>
        <v/>
      </c>
      <c r="AB79" s="3" t="str">
        <f t="shared" ref="AB79:AB93" si="182">IF(L79="","",IF(L79&gt;=90,"A",IF(L79&gt;=80,"B",IF(L79&gt;=70,"C",IF(L79&gt;=60,"D",IF(L79&gt;=50,"E",IF(L79&gt;=0,"F","")))))))</f>
        <v/>
      </c>
      <c r="AC79" s="3" t="str">
        <f t="shared" ref="AC79:AC93" si="183">IF(M79="","",IF(M79&gt;=90,"A",IF(M79&gt;=80,"B",IF(M79&gt;=70,"C",IF(M79&gt;=60,"D",IF(M79&gt;=50,"E",IF(M79&gt;=0,"F","")))))))</f>
        <v/>
      </c>
      <c r="AD79" s="3" t="str">
        <f t="shared" ref="AD79:AD93" si="184">IF(N79="","",IF(N79&gt;=90,"A",IF(N79&gt;=80,"B",IF(N79&gt;=70,"C",IF(N79&gt;=60,"D",IF(N79&gt;=50,"E",IF(N79&gt;=0,"F","")))))))</f>
        <v/>
      </c>
      <c r="AE79" s="3" t="str">
        <f t="shared" ref="AE79:AE93" si="185">IF(O79="","",IF(O79&gt;=90,"A",IF(O79&gt;=80,"B",IF(O79&gt;=70,"C",IF(O79&gt;=60,"D",IF(O79&gt;=50,"E",IF(O79&gt;=0,"F","")))))))</f>
        <v/>
      </c>
      <c r="AF79" s="24" t="str">
        <f t="shared" ref="AF79:AF93" si="186">IF(P79="","",IF(P79&gt;=90,"A",IF(P79&gt;=80,"B",IF(P79&gt;=70,"C",IF(P79&gt;=60,"D",IF(P79&gt;=50,"E",IF(P79&gt;=0,"F","")))))))</f>
        <v/>
      </c>
      <c r="AG79" s="24" t="str">
        <f t="shared" ref="AG79:AG93" si="187">IF(Q79="","",IF(Q79&gt;=90,"A",IF(Q79&gt;=80,"B",IF(Q79&gt;=70,"C",IF(Q79&gt;=60,"D",IF(Q79&gt;=50,"E",IF(Q79&gt;=0,"F","")))))))</f>
        <v/>
      </c>
      <c r="AH79" s="24" t="str">
        <f t="shared" ref="AH79:AH93" si="188">IF(R79="","",IF(R79&gt;=90,"A",IF(R79&gt;=80,"B",IF(R79&gt;=70,"C",IF(R79&gt;=60,"D",IF(R79&gt;=50,"E",IF(R79&gt;=0,"F","")))))))</f>
        <v/>
      </c>
      <c r="AI79" s="24" t="str">
        <f t="shared" ref="AI79:AI93" si="189">IF(S79="","",IF(S79&gt;=90,"A",IF(S79&gt;=80,"B",IF(S79&gt;=70,"C",IF(S79&gt;=60,"D",IF(S79&gt;=50,"E",IF(S79&gt;=0,"F","")))))))</f>
        <v/>
      </c>
      <c r="AJ79" s="24" t="str">
        <f t="shared" ref="AJ79:AJ93" si="190">IF(T79="","",IF(T79&gt;=90,"A",IF(T79&gt;=80,"B",IF(T79&gt;=70,"C",IF(T79&gt;=60,"D",IF(T79&gt;=50,"E",IF(T79&gt;=0,"F","")))))))</f>
        <v/>
      </c>
      <c r="AK79" s="24" t="str">
        <f t="shared" ref="AK79:AK93" si="191">IF(U79="","",IF(U79&gt;=90,"A",IF(U79&gt;=80,"B",IF(U79&gt;=70,"C",IF(U79&gt;=60,"D",IF(U79&gt;=50,"E",IF(U79&gt;=0,"F","")))))))</f>
        <v/>
      </c>
      <c r="AL79" s="24" t="str">
        <f t="shared" ref="AL79:AL93" si="192">IF(V79="","",IF(V79&gt;=90,"A",IF(V79&gt;=80,"B",IF(V79&gt;=70,"C",IF(V79&gt;=60,"D",IF(V79&gt;=50,"E",IF(V79&gt;=0,"F","")))))))</f>
        <v/>
      </c>
      <c r="AM79" s="24" t="str">
        <f t="shared" ref="AM79:AM100" si="193">IF(G79="","",$AM$14)</f>
        <v/>
      </c>
      <c r="AN79" s="24" t="str">
        <f t="shared" ref="AN79:AN100" si="194">IF(H79="","",$AN$14)</f>
        <v/>
      </c>
      <c r="AO79" s="24" t="str">
        <f t="shared" ref="AO79:AO100" si="195">IF(I79="","",$AO$14)</f>
        <v/>
      </c>
      <c r="AP79" s="24" t="str">
        <f t="shared" ref="AP79:AP100" si="196">IF(J79="","",$AP$14)</f>
        <v/>
      </c>
      <c r="AQ79" s="24" t="str">
        <f t="shared" ref="AQ79:AQ100" si="197">IF(K79="","",$AQ$14)</f>
        <v/>
      </c>
      <c r="AR79" s="24" t="str">
        <f t="shared" ref="AR79:AR100" si="198">IF(L79="","",$AR$14)</f>
        <v/>
      </c>
      <c r="AS79" s="24" t="str">
        <f t="shared" ref="AS79:AS100" si="199">IF(M79="","",$AS$14)</f>
        <v/>
      </c>
      <c r="AT79" s="24" t="str">
        <f t="shared" ref="AT79:AT100" si="200">IF(N79="","",$AT$14)</f>
        <v/>
      </c>
      <c r="AU79" s="24" t="str">
        <f t="shared" ref="AU79:AU100" si="201">IF(O79="","",$AU$14)</f>
        <v/>
      </c>
      <c r="AV79" s="24" t="str">
        <f t="shared" ref="AV79:AV100" si="202">IF(P79="","",$AV$14)</f>
        <v/>
      </c>
      <c r="AW79" s="24" t="str">
        <f t="shared" ref="AW79:AW100" si="203">IF(Q79="","",$AW$14)</f>
        <v/>
      </c>
      <c r="AX79" s="24" t="str">
        <f t="shared" ref="AX79:AX100" si="204">IF(R79="","",$AX$14)</f>
        <v/>
      </c>
      <c r="AY79" s="24" t="str">
        <f t="shared" ref="AY79:AY90" si="205">IF(S79="","",$AY$14)</f>
        <v/>
      </c>
      <c r="AZ79" s="24" t="str">
        <f t="shared" ref="AZ79:AZ100" si="206">IF(T79="","",$AZ$14)</f>
        <v/>
      </c>
      <c r="BA79" s="24" t="str">
        <f t="shared" ref="BA79:BA100" si="207">IF(U79="","",$BA$14)</f>
        <v/>
      </c>
      <c r="BB79" s="24" t="str">
        <f t="shared" ref="BB79:BB100" si="208">IF(V79="","",$BB$14)</f>
        <v/>
      </c>
      <c r="BC79" s="26" t="str">
        <f t="shared" ref="BC79:BC90" si="209">IF(OR(G79="",AM79=""),"",PRODUCT(G79,AM79))</f>
        <v/>
      </c>
      <c r="BD79" s="26" t="str">
        <f t="shared" ref="BD79:BD90" si="210">IF(OR(H79="",AN79=""),"",PRODUCT(H79,AN79))</f>
        <v/>
      </c>
      <c r="BE79" s="26" t="str">
        <f t="shared" ref="BE79:BE90" si="211">IF(OR(I79="",AO79=""),"",PRODUCT(I79,AO79))</f>
        <v/>
      </c>
      <c r="BF79" s="26" t="str">
        <f t="shared" ref="BF79:BF90" si="212">IF(OR(J79="",AP79=""),"",PRODUCT(J79,AP79))</f>
        <v/>
      </c>
      <c r="BG79" s="26" t="str">
        <f t="shared" ref="BG79:BG90" si="213">IF(OR(K79="",AQ79=""),"",PRODUCT(K79,AQ79))</f>
        <v/>
      </c>
      <c r="BH79" s="26" t="str">
        <f t="shared" ref="BH79:BH90" si="214">IF(OR(L79="",AR79=""),"",PRODUCT(L79,AR79))</f>
        <v/>
      </c>
      <c r="BI79" s="26" t="str">
        <f t="shared" ref="BI79:BI90" si="215">IF(OR(M79="",AS79=""),"",PRODUCT(M79,AS79))</f>
        <v/>
      </c>
      <c r="BJ79" s="26" t="str">
        <f t="shared" ref="BJ79:BJ90" si="216">IF(OR(N79="",AT79=""),"",PRODUCT(N79,AT79))</f>
        <v/>
      </c>
      <c r="BK79" s="26" t="str">
        <f t="shared" ref="BK79:BK90" si="217">IF(OR(O79="",AU79=""),"",PRODUCT(O79,AU79))</f>
        <v/>
      </c>
      <c r="BL79" s="26" t="str">
        <f t="shared" ref="BL79:BL90" si="218">IF(OR(P79="",AV79=""),"",PRODUCT(P79,AV79))</f>
        <v/>
      </c>
      <c r="BM79" s="26" t="str">
        <f t="shared" ref="BM79:BM90" si="219">IF(OR(Q79="",AW79=""),"",PRODUCT(Q79,AW79))</f>
        <v/>
      </c>
      <c r="BN79" s="26" t="str">
        <f t="shared" ref="BN79:BN90" si="220">IF(OR(R79="",AX79=""),"",PRODUCT(R79,AX79))</f>
        <v/>
      </c>
      <c r="BO79" s="26" t="str">
        <f t="shared" ref="BO79:BO90" si="221">IF(OR(S79="",AY79=""),"",PRODUCT(S79,AY79))</f>
        <v/>
      </c>
      <c r="BP79" s="26" t="str">
        <f t="shared" ref="BP79:BP90" si="222">IF(OR(T79="",AZ79=""),"",PRODUCT(T79,AZ79))</f>
        <v/>
      </c>
      <c r="BQ79" s="26" t="str">
        <f t="shared" ref="BQ79:BQ90" si="223">IF(OR(U79="",BA79=""),"",PRODUCT(U79,BA79))</f>
        <v/>
      </c>
      <c r="BR79" s="26" t="str">
        <f t="shared" ref="BR79:BR90" si="224">IF(OR(V79="",BB79=""),"",PRODUCT(V79,BB79))</f>
        <v/>
      </c>
      <c r="BS79" s="24" t="str">
        <f t="shared" ref="BS79:BS100" si="225">IF(OR(AM79="",W79=""),"",AM79*(IF(OR(W79="A",W79="a"),4,(IF(OR(W585="B",W79="b"),3,(IF(OR(W79="C",W79="c"),2,(IF(OR(W79="D",W79="d"),1.5,(IF(OR(W79="E",W79="e"),1,(IF(OR(W79="F",W79="f"),0)))))))))))))</f>
        <v/>
      </c>
      <c r="BT79" s="24" t="str">
        <f t="shared" ref="BT79:BT100" si="226">IF(OR(AN79="",X79=""),"",AN79*(IF(OR(X79="A",X79="a"),4,(IF(OR(X585="B",X79="b"),3,(IF(OR(X79="C",X79="c"),2,(IF(OR(X79="D",X79="d"),1.5,(IF(OR(X79="E",X79="e"),1,(IF(OR(X79="F",X79="f"),0)))))))))))))</f>
        <v/>
      </c>
      <c r="BU79" s="24" t="str">
        <f t="shared" ref="BU79:BU100" si="227">IF(OR(AO79="",Y79=""),"",AO79*(IF(OR(Y79="A",Y79="a"),4,(IF(OR(Y585="B",Y79="b"),3,(IF(OR(Y79="C",Y79="c"),2,(IF(OR(Y79="D",Y79="d"),1.5,(IF(OR(Y79="E",Y79="e"),1,(IF(OR(Y79="F",Y79="f"),0)))))))))))))</f>
        <v/>
      </c>
      <c r="BV79" s="24" t="str">
        <f t="shared" ref="BV79:BV100" si="228">IF(OR(AP79="",Z79=""),"",AP79*(IF(OR(Z79="A",Z79="a"),4,(IF(OR(Z585="B",Z79="b"),3,(IF(OR(Z79="C",Z79="c"),2,(IF(OR(Z79="D",Z79="d"),1.5,(IF(OR(Z79="E",Z79="e"),1,(IF(OR(Z79="F",Z79="f"),0)))))))))))))</f>
        <v/>
      </c>
      <c r="BW79" s="24" t="str">
        <f t="shared" ref="BW79:BW100" si="229">IF(OR(AQ79="",AA79=""),"",AQ79*(IF(OR(AA79="A",AA79="a"),4,(IF(OR(AA585="B",AA79="b"),3,(IF(OR(AA79="C",AA79="c"),2,(IF(OR(AA79="D",AA79="d"),1.5,(IF(OR(AA79="E",AA79="e"),1,(IF(OR(AA79="F",AA79="f"),0)))))))))))))</f>
        <v/>
      </c>
      <c r="BX79" s="24" t="str">
        <f t="shared" ref="BX79:BX100" si="230">IF(OR(AR79="",AB79=""),"",AR79*(IF(OR(AB79="A",AB79="a"),4,(IF(OR(AE585="B",AB79="b"),3,(IF(OR(AB79="C",AB79="c"),2,(IF(OR(AB79="D",AB79="d"),1.5,(IF(OR(AB79="E",AB79="e"),1,(IF(OR(AB79="F",AB79="f"),0)))))))))))))</f>
        <v/>
      </c>
      <c r="BY79" s="24" t="str">
        <f t="shared" ref="BY79:BY100" si="231">IF(OR(AS79="",AC79=""),"",AS79*(IF(OR(AC79="A",AC79="a"),4,(IF(OR(AM585="B",AC79="b"),3,(IF(OR(AC79="C",AC79="c"),2,(IF(OR(AC79="D",AC79="d"),1.5,(IF(OR(AC79="E",AC79="e"),1,(IF(OR(AC79="F",AC79="f"),0)))))))))))))</f>
        <v/>
      </c>
      <c r="BZ79" s="24" t="str">
        <f t="shared" ref="BZ79:BZ100" si="232">IF(OR(AT79="",AD79=""),"",AT79*(IF(OR(AD79="A",AD79="a"),4,(IF(OR(AN585="B",AD79="b"),3,(IF(OR(AD79="C",AD79="c"),2,(IF(OR(AD79="D",AD79="d"),1.5,(IF(OR(AD79="E",AD79="e"),1,(IF(OR(AD79="F",AD79="f"),0)))))))))))))</f>
        <v/>
      </c>
      <c r="CA79" s="24" t="str">
        <f t="shared" ref="CA79:CA100" si="233">IF(OR(AU79="",AE79=""),"",AU79*(IF(OR(AE79="A",AE79="a"),4,(IF(OR(AE585="B",AE79="b"),3,(IF(OR(AE79="C",AE79="c"),2,(IF(OR(AE79="D",AE79="d"),1.5,(IF(OR(AE79="E",AE79="e"),1,(IF(OR(AE79="F",AE79="f"),0)))))))))))))</f>
        <v/>
      </c>
      <c r="CB79" s="24" t="str">
        <f t="shared" si="175"/>
        <v/>
      </c>
      <c r="CC79" s="24" t="str">
        <f t="shared" ref="CC79:CC100" si="234">IF(OR(AW79="",AG79=""),"",AW79*(IF(OR(AG79="A",AG79="a"),4,(IF(OR(AG588="B",AG79="b"),3,(IF(OR(AG79="C",AG79="c"),2,(IF(OR(AG79="D",AG79="d"),1.5,(IF(OR(AG79="E",AG79="e"),1,(IF(OR(AG79="F",AG79="f"),0)))))))))))))</f>
        <v/>
      </c>
      <c r="CD79" s="24" t="str">
        <f t="shared" ref="CD79:CD100" si="235">IF(OR(AX79="",AH79=""),"",AX79*(IF(OR(AH79="A",AH79="a"),4,(IF(OR(AH588="B",AH79="b"),3,(IF(OR(AH79="C",AH79="c"),2,(IF(OR(AH79="D",AH79="d"),1.5,(IF(OR(AH79="E",AH79="e"),1,(IF(OR(AH79="F",AH79="f"),0)))))))))))))</f>
        <v/>
      </c>
      <c r="CE79" s="24"/>
      <c r="CF79" s="24" t="str">
        <f t="shared" si="176"/>
        <v/>
      </c>
      <c r="CG79" s="24" t="str">
        <f t="shared" ref="CG79:CG100" si="236">IF(OR(BA79="",AK79=""),"",BA79*(IF(OR(AK79="A",AK79="a"),4,(IF(OR(AK588="B",AK79="b"),3,(IF(OR(AK79="C",AK79="c"),2,(IF(OR(AK79="D",AK79="d"),1.5,(IF(OR(AK79="E",AK79="e"),1,(IF(OR(AK79="F",AK79="f"),0)))))))))))))</f>
        <v/>
      </c>
      <c r="CH79" s="24" t="str">
        <f t="shared" ref="CH79:CH100" si="237">IF(OR(BB79="",AL79=""),"",BB79*(IF(OR(AL79="A",AL79="a"),4,(IF(OR(AL588="B",AL79="b"),3,(IF(OR(AL79="C",AL79="c"),2,(IF(OR(AL79="D",AL79="d"),1.5,(IF(OR(AL79="E",AL79="e"),1,(IF(OR(AL79="F",AL79="f"),0)))))))))))))</f>
        <v/>
      </c>
      <c r="CI79" s="24" t="str">
        <f t="shared" ref="CI79:CI100" si="238">IF(B79="","",SUM(AM79:AU79))</f>
        <v/>
      </c>
      <c r="CJ79" s="26" t="str">
        <f t="shared" ref="CJ79:CJ100" si="239">IF(OR(B79="",F79="I",F79="II",F79="M",F79="A"),"",IF(OR(B79="",G79=""),"",SUM(BC79:BK79)))</f>
        <v/>
      </c>
      <c r="CK79" s="26" t="str">
        <f t="shared" ref="CK79:CK100" si="240">IF(B79="","",SUM(BS79:CA79))</f>
        <v/>
      </c>
      <c r="CL79" s="26" t="str">
        <f t="shared" si="83"/>
        <v/>
      </c>
      <c r="CM79" s="24" t="str">
        <f t="shared" si="84"/>
        <v/>
      </c>
      <c r="CN79" s="26" t="str">
        <f t="shared" ref="CN79:CN100" si="241">IF(B79="","",CK79/CI79)</f>
        <v/>
      </c>
      <c r="CO79" s="24" t="str">
        <f t="shared" ref="CO79:CO100" si="242">IF(B79="","",SUM(AV79:BB79))</f>
        <v/>
      </c>
      <c r="CP79" s="26" t="str">
        <f t="shared" ref="CP79:CP100" si="243">IF(B79="","",SUM(BL79:BR79))</f>
        <v/>
      </c>
      <c r="CQ79" s="26" t="str">
        <f t="shared" ref="CQ79:CQ100" si="244">IF(B79="","",SUM(CB79:CH79))</f>
        <v/>
      </c>
      <c r="CR79" s="26" t="str">
        <f t="shared" si="85"/>
        <v/>
      </c>
      <c r="CS79" s="24" t="str">
        <f t="shared" si="86"/>
        <v/>
      </c>
      <c r="CT79" s="27" t="str">
        <f t="shared" ref="CT79:CT100" si="245">IF(B79="","",CQ79/CO79)</f>
        <v/>
      </c>
      <c r="CU79" s="24" t="str">
        <f t="shared" ref="CU79:CU100" si="246">IF(SUM(AM79:BB79)=0,"",IF(OR(B79="",F79="I",F79="II",F79="M",F79="A"),(SUM(AM79:BB79)),IF(OR(B79="",F79="III"),(SUM(CI79,CO79)))))</f>
        <v/>
      </c>
      <c r="CV79" s="26" t="str">
        <f t="shared" ref="CV79:CV100" si="247">IF(SUM(AM79:BB79)=0,"",IF(OR(B79="",F79="I",F79="II",F79="M",F79="A"),(SUM(BC79:BR79)),IF(OR(B79="",F79="III"),(SUM(CJ79,CP79)))))</f>
        <v/>
      </c>
      <c r="CW79" s="26" t="str">
        <f t="shared" ref="CW79:CW100" si="248">IF(SUM(AM79:BB79)=0,"",IF(OR(B79="",F79="I",F79="II",F79="M",F79="A"),(SUM(BS79:CH79)),IF(OR(B79="",F79="III"),(SUM(CQ79,CK79)))))</f>
        <v/>
      </c>
      <c r="CX79" s="26" t="str">
        <f t="shared" si="87"/>
        <v/>
      </c>
      <c r="CY79" s="27" t="str">
        <f t="shared" si="88"/>
        <v/>
      </c>
      <c r="CZ79" s="26" t="str">
        <f t="shared" ref="CZ79:CZ100" si="249">IF(B79="","",CW79/CU79)</f>
        <v/>
      </c>
      <c r="DA79" s="24" t="str">
        <f t="shared" ref="DA79:DA100" si="250">IF(OR(B79="",CX79=""),"",RANK(CX79,$CX$15:$CX$97))</f>
        <v/>
      </c>
      <c r="DB79" s="24" t="str">
        <f t="shared" ref="DB79:DB100" si="251">IF(B79="","",$C$9)</f>
        <v/>
      </c>
      <c r="DC79" s="24" t="str">
        <f t="shared" ref="DC79:DC100" si="252">IF(B79="","",COUNTA($B$15:$B$100))</f>
        <v/>
      </c>
      <c r="DD79" s="24" t="str">
        <f t="shared" ref="DD79:DD100" si="253">IF(B79="","",$C$8)</f>
        <v/>
      </c>
      <c r="DE79" s="1"/>
      <c r="DF79" s="1"/>
      <c r="DG79" s="1"/>
      <c r="DH79" s="24" t="str">
        <f t="shared" ref="DH79:DH100" si="254">IF(B79="","",DF79+DG79)</f>
        <v/>
      </c>
      <c r="DI79" s="25" t="str">
        <f t="shared" ref="DI79:DI100" si="255">IF(B79="","",(DD79-DH79)/DD79)</f>
        <v/>
      </c>
      <c r="DJ79" t="str">
        <f t="shared" si="174"/>
        <v/>
      </c>
      <c r="DK79" s="9"/>
      <c r="DL79" s="9"/>
      <c r="DM79" s="9"/>
      <c r="DN79" s="9"/>
      <c r="DO79" s="9"/>
      <c r="DP79" s="9"/>
      <c r="DQ79" s="136" t="b">
        <f t="shared" ref="DQ79:DQ100" si="256">EXACT(B79,DK79)</f>
        <v>1</v>
      </c>
    </row>
    <row r="80" spans="1:121" ht="27" customHeight="1" x14ac:dyDescent="0.95">
      <c r="A80" s="24" t="str">
        <f t="shared" si="89"/>
        <v/>
      </c>
      <c r="B80" s="9"/>
      <c r="C80" s="14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10"/>
      <c r="Q80" s="10"/>
      <c r="R80" s="10"/>
      <c r="S80" s="10"/>
      <c r="T80" s="10"/>
      <c r="U80" s="10"/>
      <c r="V80" s="10"/>
      <c r="W80" s="3" t="str">
        <f t="shared" si="177"/>
        <v/>
      </c>
      <c r="X80" s="3" t="str">
        <f t="shared" si="178"/>
        <v/>
      </c>
      <c r="Y80" s="3" t="str">
        <f t="shared" si="179"/>
        <v/>
      </c>
      <c r="Z80" s="3" t="str">
        <f t="shared" si="180"/>
        <v/>
      </c>
      <c r="AA80" s="3" t="str">
        <f t="shared" si="181"/>
        <v/>
      </c>
      <c r="AB80" s="3" t="str">
        <f t="shared" si="182"/>
        <v/>
      </c>
      <c r="AC80" s="3" t="str">
        <f t="shared" si="183"/>
        <v/>
      </c>
      <c r="AD80" s="3" t="str">
        <f t="shared" si="184"/>
        <v/>
      </c>
      <c r="AE80" s="3" t="str">
        <f t="shared" si="185"/>
        <v/>
      </c>
      <c r="AF80" s="24" t="str">
        <f t="shared" si="186"/>
        <v/>
      </c>
      <c r="AG80" s="24" t="str">
        <f t="shared" si="187"/>
        <v/>
      </c>
      <c r="AH80" s="24" t="str">
        <f t="shared" si="188"/>
        <v/>
      </c>
      <c r="AI80" s="24" t="str">
        <f t="shared" si="189"/>
        <v/>
      </c>
      <c r="AJ80" s="24" t="str">
        <f t="shared" si="190"/>
        <v/>
      </c>
      <c r="AK80" s="24" t="str">
        <f t="shared" si="191"/>
        <v/>
      </c>
      <c r="AL80" s="24" t="str">
        <f t="shared" si="192"/>
        <v/>
      </c>
      <c r="AM80" s="24" t="str">
        <f t="shared" si="193"/>
        <v/>
      </c>
      <c r="AN80" s="24" t="str">
        <f t="shared" si="194"/>
        <v/>
      </c>
      <c r="AO80" s="24" t="str">
        <f t="shared" si="195"/>
        <v/>
      </c>
      <c r="AP80" s="24" t="str">
        <f t="shared" si="196"/>
        <v/>
      </c>
      <c r="AQ80" s="24" t="str">
        <f t="shared" si="197"/>
        <v/>
      </c>
      <c r="AR80" s="24" t="str">
        <f t="shared" si="198"/>
        <v/>
      </c>
      <c r="AS80" s="24" t="str">
        <f t="shared" si="199"/>
        <v/>
      </c>
      <c r="AT80" s="24" t="str">
        <f t="shared" si="200"/>
        <v/>
      </c>
      <c r="AU80" s="24" t="str">
        <f t="shared" si="201"/>
        <v/>
      </c>
      <c r="AV80" s="24" t="str">
        <f t="shared" si="202"/>
        <v/>
      </c>
      <c r="AW80" s="24" t="str">
        <f t="shared" si="203"/>
        <v/>
      </c>
      <c r="AX80" s="24" t="str">
        <f t="shared" si="204"/>
        <v/>
      </c>
      <c r="AY80" s="24" t="str">
        <f t="shared" si="205"/>
        <v/>
      </c>
      <c r="AZ80" s="24" t="str">
        <f t="shared" si="206"/>
        <v/>
      </c>
      <c r="BA80" s="24" t="str">
        <f t="shared" si="207"/>
        <v/>
      </c>
      <c r="BB80" s="24" t="str">
        <f t="shared" si="208"/>
        <v/>
      </c>
      <c r="BC80" s="26" t="str">
        <f t="shared" si="209"/>
        <v/>
      </c>
      <c r="BD80" s="26" t="str">
        <f t="shared" si="210"/>
        <v/>
      </c>
      <c r="BE80" s="26" t="str">
        <f t="shared" si="211"/>
        <v/>
      </c>
      <c r="BF80" s="26" t="str">
        <f t="shared" si="212"/>
        <v/>
      </c>
      <c r="BG80" s="26" t="str">
        <f t="shared" si="213"/>
        <v/>
      </c>
      <c r="BH80" s="26" t="str">
        <f t="shared" si="214"/>
        <v/>
      </c>
      <c r="BI80" s="26" t="str">
        <f t="shared" si="215"/>
        <v/>
      </c>
      <c r="BJ80" s="26" t="str">
        <f t="shared" si="216"/>
        <v/>
      </c>
      <c r="BK80" s="26" t="str">
        <f t="shared" si="217"/>
        <v/>
      </c>
      <c r="BL80" s="26" t="str">
        <f t="shared" si="218"/>
        <v/>
      </c>
      <c r="BM80" s="26" t="str">
        <f t="shared" si="219"/>
        <v/>
      </c>
      <c r="BN80" s="26" t="str">
        <f t="shared" si="220"/>
        <v/>
      </c>
      <c r="BO80" s="26" t="str">
        <f t="shared" si="221"/>
        <v/>
      </c>
      <c r="BP80" s="26" t="str">
        <f t="shared" si="222"/>
        <v/>
      </c>
      <c r="BQ80" s="26" t="str">
        <f t="shared" si="223"/>
        <v/>
      </c>
      <c r="BR80" s="26" t="str">
        <f t="shared" si="224"/>
        <v/>
      </c>
      <c r="BS80" s="24" t="str">
        <f t="shared" si="225"/>
        <v/>
      </c>
      <c r="BT80" s="24" t="str">
        <f t="shared" si="226"/>
        <v/>
      </c>
      <c r="BU80" s="24" t="str">
        <f t="shared" si="227"/>
        <v/>
      </c>
      <c r="BV80" s="24" t="str">
        <f t="shared" si="228"/>
        <v/>
      </c>
      <c r="BW80" s="24" t="str">
        <f t="shared" si="229"/>
        <v/>
      </c>
      <c r="BX80" s="24" t="str">
        <f t="shared" si="230"/>
        <v/>
      </c>
      <c r="BY80" s="24" t="str">
        <f t="shared" si="231"/>
        <v/>
      </c>
      <c r="BZ80" s="24" t="str">
        <f t="shared" si="232"/>
        <v/>
      </c>
      <c r="CA80" s="24" t="str">
        <f t="shared" si="233"/>
        <v/>
      </c>
      <c r="CB80" s="24" t="str">
        <f t="shared" si="175"/>
        <v/>
      </c>
      <c r="CC80" s="24" t="str">
        <f t="shared" si="234"/>
        <v/>
      </c>
      <c r="CD80" s="24" t="str">
        <f t="shared" si="235"/>
        <v/>
      </c>
      <c r="CE80" s="24"/>
      <c r="CF80" s="24" t="str">
        <f t="shared" si="176"/>
        <v/>
      </c>
      <c r="CG80" s="24" t="str">
        <f t="shared" si="236"/>
        <v/>
      </c>
      <c r="CH80" s="24" t="str">
        <f t="shared" si="237"/>
        <v/>
      </c>
      <c r="CI80" s="24" t="str">
        <f t="shared" si="238"/>
        <v/>
      </c>
      <c r="CJ80" s="26" t="str">
        <f t="shared" si="239"/>
        <v/>
      </c>
      <c r="CK80" s="26" t="str">
        <f t="shared" si="240"/>
        <v/>
      </c>
      <c r="CL80" s="26" t="str">
        <f t="shared" ref="CL80:CL100" si="257">IF(OR(CI80="",CJ80=""),"",CJ80/CI80)</f>
        <v/>
      </c>
      <c r="CM80" s="24" t="str">
        <f t="shared" ref="CM80:CM100" si="258">IF(CL80="","",IF(CL80&gt;=90,"A",IF(CL80&gt;=80,"B",IF(CL80&gt;=70,"C",IF(CL80&gt;=60,"D",IF(CL80&gt;=50,"E",IF(CL80&gt;=0,"F","")))))))</f>
        <v/>
      </c>
      <c r="CN80" s="26" t="str">
        <f t="shared" si="241"/>
        <v/>
      </c>
      <c r="CO80" s="24" t="str">
        <f t="shared" si="242"/>
        <v/>
      </c>
      <c r="CP80" s="26" t="str">
        <f t="shared" si="243"/>
        <v/>
      </c>
      <c r="CQ80" s="26" t="str">
        <f t="shared" si="244"/>
        <v/>
      </c>
      <c r="CR80" s="26" t="str">
        <f t="shared" ref="CR80:CR100" si="259">IF(OR(CO80="",CP80=""),"",CP80/CO80)</f>
        <v/>
      </c>
      <c r="CS80" s="24" t="str">
        <f t="shared" ref="CS80:CS100" si="260">IF(CR80="","",IF(CR80&gt;=90,"A",IF(CR80&gt;=80,"B",IF(CR80&gt;=70,"C",IF(CR80&gt;=60,"D",IF(CR80&gt;=50,"E",IF(CR80&gt;=0,"F","")))))))</f>
        <v/>
      </c>
      <c r="CT80" s="27" t="str">
        <f t="shared" si="245"/>
        <v/>
      </c>
      <c r="CU80" s="24" t="str">
        <f t="shared" si="246"/>
        <v/>
      </c>
      <c r="CV80" s="26" t="str">
        <f t="shared" si="247"/>
        <v/>
      </c>
      <c r="CW80" s="26" t="str">
        <f t="shared" si="248"/>
        <v/>
      </c>
      <c r="CX80" s="26" t="str">
        <f t="shared" ref="CX80:CX100" si="261">IF(OR(CU80=0,CV80=0),0,IF(OR(CU80="",CV80=""),"",CV80/CU80))</f>
        <v/>
      </c>
      <c r="CY80" s="27" t="str">
        <f t="shared" ref="CY80:CY100" si="262">IF(CX80="","",IF(CX80&gt;=90,"A",IF(CX80&gt;=80,"B",IF(CX80&gt;=70,"C",IF(CX80&gt;=60,"D",IF(CX80&gt;=50,"E",IF(CX80&gt;=0,"F","")))))))</f>
        <v/>
      </c>
      <c r="CZ80" s="26" t="str">
        <f t="shared" si="249"/>
        <v/>
      </c>
      <c r="DA80" s="24" t="str">
        <f t="shared" si="250"/>
        <v/>
      </c>
      <c r="DB80" s="24" t="str">
        <f t="shared" si="251"/>
        <v/>
      </c>
      <c r="DC80" s="24" t="str">
        <f t="shared" si="252"/>
        <v/>
      </c>
      <c r="DD80" s="24" t="str">
        <f t="shared" si="253"/>
        <v/>
      </c>
      <c r="DE80" s="1"/>
      <c r="DF80" s="1"/>
      <c r="DG80" s="1"/>
      <c r="DH80" s="24" t="str">
        <f t="shared" si="254"/>
        <v/>
      </c>
      <c r="DI80" s="25" t="str">
        <f t="shared" si="255"/>
        <v/>
      </c>
      <c r="DJ80" t="str">
        <f t="shared" si="174"/>
        <v/>
      </c>
      <c r="DK80" s="9"/>
      <c r="DL80" s="9"/>
      <c r="DM80" s="9"/>
      <c r="DN80" s="9"/>
      <c r="DO80" s="9"/>
      <c r="DP80" s="9"/>
      <c r="DQ80" s="136" t="b">
        <f t="shared" si="256"/>
        <v>1</v>
      </c>
    </row>
    <row r="81" spans="1:121" ht="27" customHeight="1" x14ac:dyDescent="0.95">
      <c r="A81" s="24" t="str">
        <f t="shared" ref="A81:A100" si="263">IF(B81="","",A80+1)</f>
        <v/>
      </c>
      <c r="B81" s="9"/>
      <c r="C81" s="14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10"/>
      <c r="Q81" s="10"/>
      <c r="R81" s="10"/>
      <c r="S81" s="10"/>
      <c r="T81" s="10"/>
      <c r="U81" s="10"/>
      <c r="V81" s="10"/>
      <c r="W81" s="3" t="str">
        <f t="shared" si="177"/>
        <v/>
      </c>
      <c r="X81" s="3" t="str">
        <f t="shared" si="178"/>
        <v/>
      </c>
      <c r="Y81" s="3" t="str">
        <f t="shared" si="179"/>
        <v/>
      </c>
      <c r="Z81" s="3" t="str">
        <f t="shared" si="180"/>
        <v/>
      </c>
      <c r="AA81" s="3" t="str">
        <f t="shared" si="181"/>
        <v/>
      </c>
      <c r="AB81" s="3" t="str">
        <f t="shared" si="182"/>
        <v/>
      </c>
      <c r="AC81" s="3" t="str">
        <f t="shared" si="183"/>
        <v/>
      </c>
      <c r="AD81" s="3" t="str">
        <f t="shared" si="184"/>
        <v/>
      </c>
      <c r="AE81" s="3" t="str">
        <f t="shared" si="185"/>
        <v/>
      </c>
      <c r="AF81" s="24" t="str">
        <f t="shared" si="186"/>
        <v/>
      </c>
      <c r="AG81" s="24" t="str">
        <f t="shared" si="187"/>
        <v/>
      </c>
      <c r="AH81" s="24" t="str">
        <f t="shared" si="188"/>
        <v/>
      </c>
      <c r="AI81" s="24" t="str">
        <f t="shared" si="189"/>
        <v/>
      </c>
      <c r="AJ81" s="24" t="str">
        <f t="shared" si="190"/>
        <v/>
      </c>
      <c r="AK81" s="24" t="str">
        <f t="shared" si="191"/>
        <v/>
      </c>
      <c r="AL81" s="24" t="str">
        <f t="shared" si="192"/>
        <v/>
      </c>
      <c r="AM81" s="24" t="str">
        <f t="shared" si="193"/>
        <v/>
      </c>
      <c r="AN81" s="24" t="str">
        <f t="shared" si="194"/>
        <v/>
      </c>
      <c r="AO81" s="24" t="str">
        <f t="shared" si="195"/>
        <v/>
      </c>
      <c r="AP81" s="24" t="str">
        <f t="shared" si="196"/>
        <v/>
      </c>
      <c r="AQ81" s="24" t="str">
        <f t="shared" si="197"/>
        <v/>
      </c>
      <c r="AR81" s="24" t="str">
        <f t="shared" si="198"/>
        <v/>
      </c>
      <c r="AS81" s="24" t="str">
        <f t="shared" si="199"/>
        <v/>
      </c>
      <c r="AT81" s="24" t="str">
        <f t="shared" si="200"/>
        <v/>
      </c>
      <c r="AU81" s="24" t="str">
        <f t="shared" si="201"/>
        <v/>
      </c>
      <c r="AV81" s="24" t="str">
        <f t="shared" si="202"/>
        <v/>
      </c>
      <c r="AW81" s="24" t="str">
        <f t="shared" si="203"/>
        <v/>
      </c>
      <c r="AX81" s="24" t="str">
        <f t="shared" si="204"/>
        <v/>
      </c>
      <c r="AY81" s="24" t="str">
        <f t="shared" si="205"/>
        <v/>
      </c>
      <c r="AZ81" s="24" t="str">
        <f t="shared" si="206"/>
        <v/>
      </c>
      <c r="BA81" s="24" t="str">
        <f t="shared" si="207"/>
        <v/>
      </c>
      <c r="BB81" s="24" t="str">
        <f t="shared" si="208"/>
        <v/>
      </c>
      <c r="BC81" s="26" t="str">
        <f t="shared" si="209"/>
        <v/>
      </c>
      <c r="BD81" s="26" t="str">
        <f t="shared" si="210"/>
        <v/>
      </c>
      <c r="BE81" s="26" t="str">
        <f t="shared" si="211"/>
        <v/>
      </c>
      <c r="BF81" s="26" t="str">
        <f t="shared" si="212"/>
        <v/>
      </c>
      <c r="BG81" s="26" t="str">
        <f t="shared" si="213"/>
        <v/>
      </c>
      <c r="BH81" s="26" t="str">
        <f t="shared" si="214"/>
        <v/>
      </c>
      <c r="BI81" s="26" t="str">
        <f t="shared" si="215"/>
        <v/>
      </c>
      <c r="BJ81" s="26" t="str">
        <f t="shared" si="216"/>
        <v/>
      </c>
      <c r="BK81" s="26" t="str">
        <f t="shared" si="217"/>
        <v/>
      </c>
      <c r="BL81" s="26" t="str">
        <f t="shared" si="218"/>
        <v/>
      </c>
      <c r="BM81" s="26" t="str">
        <f t="shared" si="219"/>
        <v/>
      </c>
      <c r="BN81" s="26" t="str">
        <f t="shared" si="220"/>
        <v/>
      </c>
      <c r="BO81" s="26" t="str">
        <f t="shared" si="221"/>
        <v/>
      </c>
      <c r="BP81" s="26" t="str">
        <f t="shared" si="222"/>
        <v/>
      </c>
      <c r="BQ81" s="26" t="str">
        <f t="shared" si="223"/>
        <v/>
      </c>
      <c r="BR81" s="26" t="str">
        <f t="shared" si="224"/>
        <v/>
      </c>
      <c r="BS81" s="24" t="str">
        <f t="shared" si="225"/>
        <v/>
      </c>
      <c r="BT81" s="24" t="str">
        <f t="shared" si="226"/>
        <v/>
      </c>
      <c r="BU81" s="24" t="str">
        <f t="shared" si="227"/>
        <v/>
      </c>
      <c r="BV81" s="24" t="str">
        <f t="shared" si="228"/>
        <v/>
      </c>
      <c r="BW81" s="24" t="str">
        <f t="shared" si="229"/>
        <v/>
      </c>
      <c r="BX81" s="24" t="str">
        <f t="shared" si="230"/>
        <v/>
      </c>
      <c r="BY81" s="24" t="str">
        <f t="shared" si="231"/>
        <v/>
      </c>
      <c r="BZ81" s="24" t="str">
        <f t="shared" si="232"/>
        <v/>
      </c>
      <c r="CA81" s="24" t="str">
        <f t="shared" si="233"/>
        <v/>
      </c>
      <c r="CB81" s="24" t="str">
        <f t="shared" si="175"/>
        <v/>
      </c>
      <c r="CC81" s="24" t="str">
        <f t="shared" si="234"/>
        <v/>
      </c>
      <c r="CD81" s="24" t="str">
        <f t="shared" si="235"/>
        <v/>
      </c>
      <c r="CE81" s="24"/>
      <c r="CF81" s="24" t="str">
        <f t="shared" si="176"/>
        <v/>
      </c>
      <c r="CG81" s="24" t="str">
        <f t="shared" si="236"/>
        <v/>
      </c>
      <c r="CH81" s="24" t="str">
        <f t="shared" si="237"/>
        <v/>
      </c>
      <c r="CI81" s="24" t="str">
        <f t="shared" si="238"/>
        <v/>
      </c>
      <c r="CJ81" s="26" t="str">
        <f t="shared" si="239"/>
        <v/>
      </c>
      <c r="CK81" s="26" t="str">
        <f t="shared" si="240"/>
        <v/>
      </c>
      <c r="CL81" s="26" t="str">
        <f t="shared" si="257"/>
        <v/>
      </c>
      <c r="CM81" s="24" t="str">
        <f t="shared" si="258"/>
        <v/>
      </c>
      <c r="CN81" s="26" t="str">
        <f t="shared" si="241"/>
        <v/>
      </c>
      <c r="CO81" s="24" t="str">
        <f t="shared" si="242"/>
        <v/>
      </c>
      <c r="CP81" s="26" t="str">
        <f t="shared" si="243"/>
        <v/>
      </c>
      <c r="CQ81" s="26" t="str">
        <f t="shared" si="244"/>
        <v/>
      </c>
      <c r="CR81" s="26" t="str">
        <f t="shared" si="259"/>
        <v/>
      </c>
      <c r="CS81" s="24" t="str">
        <f t="shared" si="260"/>
        <v/>
      </c>
      <c r="CT81" s="27" t="str">
        <f t="shared" si="245"/>
        <v/>
      </c>
      <c r="CU81" s="24" t="str">
        <f t="shared" si="246"/>
        <v/>
      </c>
      <c r="CV81" s="26" t="str">
        <f t="shared" si="247"/>
        <v/>
      </c>
      <c r="CW81" s="26" t="str">
        <f t="shared" si="248"/>
        <v/>
      </c>
      <c r="CX81" s="26" t="str">
        <f t="shared" si="261"/>
        <v/>
      </c>
      <c r="CY81" s="27" t="str">
        <f t="shared" si="262"/>
        <v/>
      </c>
      <c r="CZ81" s="26" t="str">
        <f t="shared" si="249"/>
        <v/>
      </c>
      <c r="DA81" s="24" t="str">
        <f t="shared" si="250"/>
        <v/>
      </c>
      <c r="DB81" s="24" t="str">
        <f t="shared" si="251"/>
        <v/>
      </c>
      <c r="DC81" s="24" t="str">
        <f t="shared" si="252"/>
        <v/>
      </c>
      <c r="DD81" s="24" t="str">
        <f t="shared" si="253"/>
        <v/>
      </c>
      <c r="DE81" s="1"/>
      <c r="DF81" s="1"/>
      <c r="DG81" s="1"/>
      <c r="DH81" s="24" t="str">
        <f t="shared" si="254"/>
        <v/>
      </c>
      <c r="DI81" s="25" t="str">
        <f t="shared" si="255"/>
        <v/>
      </c>
      <c r="DJ81" t="str">
        <f t="shared" si="174"/>
        <v/>
      </c>
      <c r="DK81" s="9"/>
      <c r="DL81" s="9"/>
      <c r="DM81" s="9"/>
      <c r="DN81" s="9"/>
      <c r="DO81" s="9"/>
      <c r="DP81" s="9"/>
      <c r="DQ81" s="136" t="b">
        <f t="shared" si="256"/>
        <v>1</v>
      </c>
    </row>
    <row r="82" spans="1:121" ht="27" customHeight="1" x14ac:dyDescent="0.95">
      <c r="A82" s="24" t="str">
        <f t="shared" si="263"/>
        <v/>
      </c>
      <c r="B82" s="9"/>
      <c r="C82" s="14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10"/>
      <c r="Q82" s="10"/>
      <c r="R82" s="10"/>
      <c r="S82" s="10"/>
      <c r="T82" s="10"/>
      <c r="U82" s="10"/>
      <c r="V82" s="10"/>
      <c r="W82" s="3" t="str">
        <f t="shared" si="177"/>
        <v/>
      </c>
      <c r="X82" s="3" t="str">
        <f t="shared" si="178"/>
        <v/>
      </c>
      <c r="Y82" s="3" t="str">
        <f t="shared" si="179"/>
        <v/>
      </c>
      <c r="Z82" s="3" t="str">
        <f t="shared" si="180"/>
        <v/>
      </c>
      <c r="AA82" s="3" t="str">
        <f t="shared" si="181"/>
        <v/>
      </c>
      <c r="AB82" s="3" t="str">
        <f t="shared" si="182"/>
        <v/>
      </c>
      <c r="AC82" s="3" t="str">
        <f t="shared" si="183"/>
        <v/>
      </c>
      <c r="AD82" s="3" t="str">
        <f t="shared" si="184"/>
        <v/>
      </c>
      <c r="AE82" s="3" t="str">
        <f t="shared" si="185"/>
        <v/>
      </c>
      <c r="AF82" s="24" t="str">
        <f t="shared" si="186"/>
        <v/>
      </c>
      <c r="AG82" s="24" t="str">
        <f t="shared" si="187"/>
        <v/>
      </c>
      <c r="AH82" s="24" t="str">
        <f t="shared" si="188"/>
        <v/>
      </c>
      <c r="AI82" s="24" t="str">
        <f t="shared" si="189"/>
        <v/>
      </c>
      <c r="AJ82" s="24" t="str">
        <f t="shared" si="190"/>
        <v/>
      </c>
      <c r="AK82" s="24" t="str">
        <f t="shared" si="191"/>
        <v/>
      </c>
      <c r="AL82" s="24" t="str">
        <f t="shared" si="192"/>
        <v/>
      </c>
      <c r="AM82" s="24" t="str">
        <f t="shared" si="193"/>
        <v/>
      </c>
      <c r="AN82" s="24" t="str">
        <f t="shared" si="194"/>
        <v/>
      </c>
      <c r="AO82" s="24" t="str">
        <f t="shared" si="195"/>
        <v/>
      </c>
      <c r="AP82" s="24" t="str">
        <f t="shared" si="196"/>
        <v/>
      </c>
      <c r="AQ82" s="24" t="str">
        <f t="shared" si="197"/>
        <v/>
      </c>
      <c r="AR82" s="24" t="str">
        <f t="shared" si="198"/>
        <v/>
      </c>
      <c r="AS82" s="24" t="str">
        <f t="shared" si="199"/>
        <v/>
      </c>
      <c r="AT82" s="24" t="str">
        <f t="shared" si="200"/>
        <v/>
      </c>
      <c r="AU82" s="24" t="str">
        <f t="shared" si="201"/>
        <v/>
      </c>
      <c r="AV82" s="24" t="str">
        <f t="shared" si="202"/>
        <v/>
      </c>
      <c r="AW82" s="24" t="str">
        <f t="shared" si="203"/>
        <v/>
      </c>
      <c r="AX82" s="24" t="str">
        <f t="shared" si="204"/>
        <v/>
      </c>
      <c r="AY82" s="24" t="str">
        <f t="shared" si="205"/>
        <v/>
      </c>
      <c r="AZ82" s="24" t="str">
        <f t="shared" si="206"/>
        <v/>
      </c>
      <c r="BA82" s="24" t="str">
        <f t="shared" si="207"/>
        <v/>
      </c>
      <c r="BB82" s="24" t="str">
        <f t="shared" si="208"/>
        <v/>
      </c>
      <c r="BC82" s="26" t="str">
        <f t="shared" si="209"/>
        <v/>
      </c>
      <c r="BD82" s="26" t="str">
        <f t="shared" si="210"/>
        <v/>
      </c>
      <c r="BE82" s="26" t="str">
        <f t="shared" si="211"/>
        <v/>
      </c>
      <c r="BF82" s="26" t="str">
        <f t="shared" si="212"/>
        <v/>
      </c>
      <c r="BG82" s="26" t="str">
        <f t="shared" si="213"/>
        <v/>
      </c>
      <c r="BH82" s="26" t="str">
        <f t="shared" si="214"/>
        <v/>
      </c>
      <c r="BI82" s="26" t="str">
        <f t="shared" si="215"/>
        <v/>
      </c>
      <c r="BJ82" s="26" t="str">
        <f t="shared" si="216"/>
        <v/>
      </c>
      <c r="BK82" s="26" t="str">
        <f t="shared" si="217"/>
        <v/>
      </c>
      <c r="BL82" s="26" t="str">
        <f t="shared" si="218"/>
        <v/>
      </c>
      <c r="BM82" s="26" t="str">
        <f t="shared" si="219"/>
        <v/>
      </c>
      <c r="BN82" s="26" t="str">
        <f t="shared" si="220"/>
        <v/>
      </c>
      <c r="BO82" s="26" t="str">
        <f t="shared" si="221"/>
        <v/>
      </c>
      <c r="BP82" s="26" t="str">
        <f t="shared" si="222"/>
        <v/>
      </c>
      <c r="BQ82" s="26" t="str">
        <f t="shared" si="223"/>
        <v/>
      </c>
      <c r="BR82" s="26" t="str">
        <f t="shared" si="224"/>
        <v/>
      </c>
      <c r="BS82" s="24" t="str">
        <f t="shared" si="225"/>
        <v/>
      </c>
      <c r="BT82" s="24" t="str">
        <f t="shared" si="226"/>
        <v/>
      </c>
      <c r="BU82" s="24" t="str">
        <f t="shared" si="227"/>
        <v/>
      </c>
      <c r="BV82" s="24" t="str">
        <f t="shared" si="228"/>
        <v/>
      </c>
      <c r="BW82" s="24" t="str">
        <f t="shared" si="229"/>
        <v/>
      </c>
      <c r="BX82" s="24" t="str">
        <f t="shared" si="230"/>
        <v/>
      </c>
      <c r="BY82" s="24" t="str">
        <f t="shared" si="231"/>
        <v/>
      </c>
      <c r="BZ82" s="24" t="str">
        <f t="shared" si="232"/>
        <v/>
      </c>
      <c r="CA82" s="24" t="str">
        <f t="shared" si="233"/>
        <v/>
      </c>
      <c r="CB82" s="24" t="str">
        <f t="shared" si="175"/>
        <v/>
      </c>
      <c r="CC82" s="24" t="str">
        <f t="shared" si="234"/>
        <v/>
      </c>
      <c r="CD82" s="24" t="str">
        <f t="shared" si="235"/>
        <v/>
      </c>
      <c r="CE82" s="24"/>
      <c r="CF82" s="24" t="str">
        <f t="shared" si="176"/>
        <v/>
      </c>
      <c r="CG82" s="24" t="str">
        <f t="shared" si="236"/>
        <v/>
      </c>
      <c r="CH82" s="24" t="str">
        <f t="shared" si="237"/>
        <v/>
      </c>
      <c r="CI82" s="24" t="str">
        <f t="shared" si="238"/>
        <v/>
      </c>
      <c r="CJ82" s="26" t="str">
        <f t="shared" si="239"/>
        <v/>
      </c>
      <c r="CK82" s="26" t="str">
        <f t="shared" si="240"/>
        <v/>
      </c>
      <c r="CL82" s="26" t="str">
        <f t="shared" si="257"/>
        <v/>
      </c>
      <c r="CM82" s="24" t="str">
        <f t="shared" si="258"/>
        <v/>
      </c>
      <c r="CN82" s="26" t="str">
        <f t="shared" si="241"/>
        <v/>
      </c>
      <c r="CO82" s="24" t="str">
        <f t="shared" si="242"/>
        <v/>
      </c>
      <c r="CP82" s="26" t="str">
        <f t="shared" si="243"/>
        <v/>
      </c>
      <c r="CQ82" s="26" t="str">
        <f t="shared" si="244"/>
        <v/>
      </c>
      <c r="CR82" s="26" t="str">
        <f t="shared" si="259"/>
        <v/>
      </c>
      <c r="CS82" s="24" t="str">
        <f t="shared" si="260"/>
        <v/>
      </c>
      <c r="CT82" s="27" t="str">
        <f t="shared" si="245"/>
        <v/>
      </c>
      <c r="CU82" s="24" t="str">
        <f t="shared" si="246"/>
        <v/>
      </c>
      <c r="CV82" s="26" t="str">
        <f t="shared" si="247"/>
        <v/>
      </c>
      <c r="CW82" s="26" t="str">
        <f t="shared" si="248"/>
        <v/>
      </c>
      <c r="CX82" s="26" t="str">
        <f t="shared" si="261"/>
        <v/>
      </c>
      <c r="CY82" s="27" t="str">
        <f t="shared" si="262"/>
        <v/>
      </c>
      <c r="CZ82" s="26" t="str">
        <f t="shared" si="249"/>
        <v/>
      </c>
      <c r="DA82" s="24" t="str">
        <f t="shared" si="250"/>
        <v/>
      </c>
      <c r="DB82" s="24" t="str">
        <f t="shared" si="251"/>
        <v/>
      </c>
      <c r="DC82" s="24" t="str">
        <f t="shared" si="252"/>
        <v/>
      </c>
      <c r="DD82" s="24" t="str">
        <f t="shared" si="253"/>
        <v/>
      </c>
      <c r="DE82" s="1"/>
      <c r="DF82" s="1"/>
      <c r="DG82" s="1"/>
      <c r="DH82" s="24" t="str">
        <f t="shared" si="254"/>
        <v/>
      </c>
      <c r="DI82" s="25" t="str">
        <f t="shared" si="255"/>
        <v/>
      </c>
      <c r="DJ82" t="str">
        <f t="shared" si="174"/>
        <v/>
      </c>
      <c r="DK82" s="9"/>
      <c r="DL82" s="9"/>
      <c r="DM82" s="9"/>
      <c r="DN82" s="9"/>
      <c r="DO82" s="9"/>
      <c r="DP82" s="9"/>
      <c r="DQ82" s="136" t="b">
        <f t="shared" si="256"/>
        <v>1</v>
      </c>
    </row>
    <row r="83" spans="1:121" ht="27" customHeight="1" x14ac:dyDescent="0.95">
      <c r="A83" s="24" t="str">
        <f t="shared" si="263"/>
        <v/>
      </c>
      <c r="B83" s="9"/>
      <c r="C83" s="14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10"/>
      <c r="Q83" s="10"/>
      <c r="R83" s="10"/>
      <c r="S83" s="10"/>
      <c r="T83" s="10"/>
      <c r="U83" s="10"/>
      <c r="V83" s="10"/>
      <c r="W83" s="3" t="str">
        <f t="shared" si="177"/>
        <v/>
      </c>
      <c r="X83" s="3" t="str">
        <f t="shared" si="178"/>
        <v/>
      </c>
      <c r="Y83" s="3" t="str">
        <f t="shared" si="179"/>
        <v/>
      </c>
      <c r="Z83" s="3" t="str">
        <f t="shared" si="180"/>
        <v/>
      </c>
      <c r="AA83" s="3" t="str">
        <f t="shared" si="181"/>
        <v/>
      </c>
      <c r="AB83" s="3" t="str">
        <f t="shared" si="182"/>
        <v/>
      </c>
      <c r="AC83" s="3" t="str">
        <f t="shared" si="183"/>
        <v/>
      </c>
      <c r="AD83" s="3" t="str">
        <f t="shared" si="184"/>
        <v/>
      </c>
      <c r="AE83" s="3" t="str">
        <f t="shared" si="185"/>
        <v/>
      </c>
      <c r="AF83" s="24" t="str">
        <f t="shared" si="186"/>
        <v/>
      </c>
      <c r="AG83" s="24" t="str">
        <f t="shared" si="187"/>
        <v/>
      </c>
      <c r="AH83" s="24" t="str">
        <f t="shared" si="188"/>
        <v/>
      </c>
      <c r="AI83" s="24" t="str">
        <f t="shared" si="189"/>
        <v/>
      </c>
      <c r="AJ83" s="24" t="str">
        <f t="shared" si="190"/>
        <v/>
      </c>
      <c r="AK83" s="24" t="str">
        <f t="shared" si="191"/>
        <v/>
      </c>
      <c r="AL83" s="24" t="str">
        <f t="shared" si="192"/>
        <v/>
      </c>
      <c r="AM83" s="24" t="str">
        <f t="shared" si="193"/>
        <v/>
      </c>
      <c r="AN83" s="24" t="str">
        <f t="shared" si="194"/>
        <v/>
      </c>
      <c r="AO83" s="24" t="str">
        <f t="shared" si="195"/>
        <v/>
      </c>
      <c r="AP83" s="24" t="str">
        <f t="shared" si="196"/>
        <v/>
      </c>
      <c r="AQ83" s="24" t="str">
        <f t="shared" si="197"/>
        <v/>
      </c>
      <c r="AR83" s="24" t="str">
        <f t="shared" si="198"/>
        <v/>
      </c>
      <c r="AS83" s="24" t="str">
        <f t="shared" si="199"/>
        <v/>
      </c>
      <c r="AT83" s="24" t="str">
        <f t="shared" si="200"/>
        <v/>
      </c>
      <c r="AU83" s="24" t="str">
        <f t="shared" si="201"/>
        <v/>
      </c>
      <c r="AV83" s="24" t="str">
        <f t="shared" si="202"/>
        <v/>
      </c>
      <c r="AW83" s="24" t="str">
        <f t="shared" si="203"/>
        <v/>
      </c>
      <c r="AX83" s="24" t="str">
        <f t="shared" si="204"/>
        <v/>
      </c>
      <c r="AY83" s="24" t="str">
        <f t="shared" si="205"/>
        <v/>
      </c>
      <c r="AZ83" s="24" t="str">
        <f t="shared" si="206"/>
        <v/>
      </c>
      <c r="BA83" s="24" t="str">
        <f t="shared" si="207"/>
        <v/>
      </c>
      <c r="BB83" s="24" t="str">
        <f t="shared" si="208"/>
        <v/>
      </c>
      <c r="BC83" s="26" t="str">
        <f t="shared" si="209"/>
        <v/>
      </c>
      <c r="BD83" s="26" t="str">
        <f t="shared" si="210"/>
        <v/>
      </c>
      <c r="BE83" s="26" t="str">
        <f t="shared" si="211"/>
        <v/>
      </c>
      <c r="BF83" s="26" t="str">
        <f t="shared" si="212"/>
        <v/>
      </c>
      <c r="BG83" s="26" t="str">
        <f t="shared" si="213"/>
        <v/>
      </c>
      <c r="BH83" s="26" t="str">
        <f t="shared" si="214"/>
        <v/>
      </c>
      <c r="BI83" s="26" t="str">
        <f t="shared" si="215"/>
        <v/>
      </c>
      <c r="BJ83" s="26" t="str">
        <f t="shared" si="216"/>
        <v/>
      </c>
      <c r="BK83" s="26" t="str">
        <f t="shared" si="217"/>
        <v/>
      </c>
      <c r="BL83" s="26" t="str">
        <f t="shared" si="218"/>
        <v/>
      </c>
      <c r="BM83" s="26" t="str">
        <f t="shared" si="219"/>
        <v/>
      </c>
      <c r="BN83" s="26" t="str">
        <f t="shared" si="220"/>
        <v/>
      </c>
      <c r="BO83" s="26" t="str">
        <f t="shared" si="221"/>
        <v/>
      </c>
      <c r="BP83" s="26" t="str">
        <f t="shared" si="222"/>
        <v/>
      </c>
      <c r="BQ83" s="26" t="str">
        <f t="shared" si="223"/>
        <v/>
      </c>
      <c r="BR83" s="26" t="str">
        <f t="shared" si="224"/>
        <v/>
      </c>
      <c r="BS83" s="24" t="str">
        <f t="shared" si="225"/>
        <v/>
      </c>
      <c r="BT83" s="24" t="str">
        <f t="shared" si="226"/>
        <v/>
      </c>
      <c r="BU83" s="24" t="str">
        <f t="shared" si="227"/>
        <v/>
      </c>
      <c r="BV83" s="24" t="str">
        <f t="shared" si="228"/>
        <v/>
      </c>
      <c r="BW83" s="24" t="str">
        <f t="shared" si="229"/>
        <v/>
      </c>
      <c r="BX83" s="24" t="str">
        <f t="shared" si="230"/>
        <v/>
      </c>
      <c r="BY83" s="24" t="str">
        <f t="shared" si="231"/>
        <v/>
      </c>
      <c r="BZ83" s="24" t="str">
        <f t="shared" si="232"/>
        <v/>
      </c>
      <c r="CA83" s="24" t="str">
        <f t="shared" si="233"/>
        <v/>
      </c>
      <c r="CB83" s="24" t="str">
        <f t="shared" si="175"/>
        <v/>
      </c>
      <c r="CC83" s="24" t="str">
        <f t="shared" si="234"/>
        <v/>
      </c>
      <c r="CD83" s="24" t="str">
        <f t="shared" si="235"/>
        <v/>
      </c>
      <c r="CE83" s="24"/>
      <c r="CF83" s="24" t="str">
        <f t="shared" si="176"/>
        <v/>
      </c>
      <c r="CG83" s="24" t="str">
        <f t="shared" si="236"/>
        <v/>
      </c>
      <c r="CH83" s="24" t="str">
        <f t="shared" si="237"/>
        <v/>
      </c>
      <c r="CI83" s="24" t="str">
        <f t="shared" si="238"/>
        <v/>
      </c>
      <c r="CJ83" s="26" t="str">
        <f t="shared" si="239"/>
        <v/>
      </c>
      <c r="CK83" s="26" t="str">
        <f t="shared" si="240"/>
        <v/>
      </c>
      <c r="CL83" s="26" t="str">
        <f t="shared" si="257"/>
        <v/>
      </c>
      <c r="CM83" s="24" t="str">
        <f t="shared" si="258"/>
        <v/>
      </c>
      <c r="CN83" s="26" t="str">
        <f t="shared" si="241"/>
        <v/>
      </c>
      <c r="CO83" s="24" t="str">
        <f t="shared" si="242"/>
        <v/>
      </c>
      <c r="CP83" s="26" t="str">
        <f t="shared" si="243"/>
        <v/>
      </c>
      <c r="CQ83" s="26" t="str">
        <f t="shared" si="244"/>
        <v/>
      </c>
      <c r="CR83" s="26" t="str">
        <f t="shared" si="259"/>
        <v/>
      </c>
      <c r="CS83" s="24" t="str">
        <f t="shared" si="260"/>
        <v/>
      </c>
      <c r="CT83" s="27" t="str">
        <f t="shared" si="245"/>
        <v/>
      </c>
      <c r="CU83" s="24" t="str">
        <f t="shared" si="246"/>
        <v/>
      </c>
      <c r="CV83" s="26" t="str">
        <f t="shared" si="247"/>
        <v/>
      </c>
      <c r="CW83" s="26" t="str">
        <f t="shared" si="248"/>
        <v/>
      </c>
      <c r="CX83" s="26" t="str">
        <f t="shared" si="261"/>
        <v/>
      </c>
      <c r="CY83" s="27" t="str">
        <f t="shared" si="262"/>
        <v/>
      </c>
      <c r="CZ83" s="26" t="str">
        <f t="shared" si="249"/>
        <v/>
      </c>
      <c r="DA83" s="24" t="str">
        <f t="shared" si="250"/>
        <v/>
      </c>
      <c r="DB83" s="24" t="str">
        <f t="shared" si="251"/>
        <v/>
      </c>
      <c r="DC83" s="24" t="str">
        <f t="shared" si="252"/>
        <v/>
      </c>
      <c r="DD83" s="24" t="str">
        <f t="shared" si="253"/>
        <v/>
      </c>
      <c r="DE83" s="1"/>
      <c r="DF83" s="1"/>
      <c r="DG83" s="1"/>
      <c r="DH83" s="24" t="str">
        <f t="shared" si="254"/>
        <v/>
      </c>
      <c r="DI83" s="25" t="str">
        <f t="shared" si="255"/>
        <v/>
      </c>
      <c r="DJ83" t="str">
        <f t="shared" si="174"/>
        <v/>
      </c>
      <c r="DK83" s="9"/>
      <c r="DL83" s="9"/>
      <c r="DM83" s="9"/>
      <c r="DN83" s="9"/>
      <c r="DO83" s="9"/>
      <c r="DP83" s="9"/>
      <c r="DQ83" s="136" t="b">
        <f t="shared" si="256"/>
        <v>1</v>
      </c>
    </row>
    <row r="84" spans="1:121" ht="27" customHeight="1" x14ac:dyDescent="0.95">
      <c r="A84" s="24" t="str">
        <f t="shared" si="263"/>
        <v/>
      </c>
      <c r="B84" s="9"/>
      <c r="C84" s="14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10"/>
      <c r="Q84" s="10"/>
      <c r="R84" s="10"/>
      <c r="S84" s="10"/>
      <c r="T84" s="10"/>
      <c r="U84" s="10"/>
      <c r="V84" s="10"/>
      <c r="W84" s="3" t="str">
        <f t="shared" si="177"/>
        <v/>
      </c>
      <c r="X84" s="3" t="str">
        <f t="shared" si="178"/>
        <v/>
      </c>
      <c r="Y84" s="3" t="str">
        <f t="shared" si="179"/>
        <v/>
      </c>
      <c r="Z84" s="3" t="str">
        <f t="shared" si="180"/>
        <v/>
      </c>
      <c r="AA84" s="3" t="str">
        <f t="shared" si="181"/>
        <v/>
      </c>
      <c r="AB84" s="3" t="str">
        <f t="shared" si="182"/>
        <v/>
      </c>
      <c r="AC84" s="3" t="str">
        <f t="shared" si="183"/>
        <v/>
      </c>
      <c r="AD84" s="3" t="str">
        <f t="shared" si="184"/>
        <v/>
      </c>
      <c r="AE84" s="3" t="str">
        <f t="shared" si="185"/>
        <v/>
      </c>
      <c r="AF84" s="24" t="str">
        <f t="shared" si="186"/>
        <v/>
      </c>
      <c r="AG84" s="24" t="str">
        <f t="shared" si="187"/>
        <v/>
      </c>
      <c r="AH84" s="24" t="str">
        <f t="shared" si="188"/>
        <v/>
      </c>
      <c r="AI84" s="24" t="str">
        <f t="shared" si="189"/>
        <v/>
      </c>
      <c r="AJ84" s="24" t="str">
        <f t="shared" si="190"/>
        <v/>
      </c>
      <c r="AK84" s="24" t="str">
        <f t="shared" si="191"/>
        <v/>
      </c>
      <c r="AL84" s="24" t="str">
        <f t="shared" si="192"/>
        <v/>
      </c>
      <c r="AM84" s="24" t="str">
        <f t="shared" si="193"/>
        <v/>
      </c>
      <c r="AN84" s="24" t="str">
        <f t="shared" si="194"/>
        <v/>
      </c>
      <c r="AO84" s="24" t="str">
        <f t="shared" si="195"/>
        <v/>
      </c>
      <c r="AP84" s="24" t="str">
        <f t="shared" si="196"/>
        <v/>
      </c>
      <c r="AQ84" s="24" t="str">
        <f t="shared" si="197"/>
        <v/>
      </c>
      <c r="AR84" s="24" t="str">
        <f t="shared" si="198"/>
        <v/>
      </c>
      <c r="AS84" s="24" t="str">
        <f t="shared" si="199"/>
        <v/>
      </c>
      <c r="AT84" s="24" t="str">
        <f t="shared" si="200"/>
        <v/>
      </c>
      <c r="AU84" s="24" t="str">
        <f t="shared" si="201"/>
        <v/>
      </c>
      <c r="AV84" s="24" t="str">
        <f t="shared" si="202"/>
        <v/>
      </c>
      <c r="AW84" s="24" t="str">
        <f t="shared" si="203"/>
        <v/>
      </c>
      <c r="AX84" s="24" t="str">
        <f t="shared" si="204"/>
        <v/>
      </c>
      <c r="AY84" s="24" t="str">
        <f t="shared" si="205"/>
        <v/>
      </c>
      <c r="AZ84" s="24" t="str">
        <f t="shared" si="206"/>
        <v/>
      </c>
      <c r="BA84" s="24" t="str">
        <f t="shared" si="207"/>
        <v/>
      </c>
      <c r="BB84" s="24" t="str">
        <f t="shared" si="208"/>
        <v/>
      </c>
      <c r="BC84" s="26" t="str">
        <f t="shared" si="209"/>
        <v/>
      </c>
      <c r="BD84" s="26" t="str">
        <f t="shared" si="210"/>
        <v/>
      </c>
      <c r="BE84" s="26" t="str">
        <f t="shared" si="211"/>
        <v/>
      </c>
      <c r="BF84" s="26" t="str">
        <f t="shared" si="212"/>
        <v/>
      </c>
      <c r="BG84" s="26" t="str">
        <f t="shared" si="213"/>
        <v/>
      </c>
      <c r="BH84" s="26" t="str">
        <f t="shared" si="214"/>
        <v/>
      </c>
      <c r="BI84" s="26" t="str">
        <f t="shared" si="215"/>
        <v/>
      </c>
      <c r="BJ84" s="26" t="str">
        <f t="shared" si="216"/>
        <v/>
      </c>
      <c r="BK84" s="26" t="str">
        <f t="shared" si="217"/>
        <v/>
      </c>
      <c r="BL84" s="26" t="str">
        <f t="shared" si="218"/>
        <v/>
      </c>
      <c r="BM84" s="26" t="str">
        <f t="shared" si="219"/>
        <v/>
      </c>
      <c r="BN84" s="26" t="str">
        <f t="shared" si="220"/>
        <v/>
      </c>
      <c r="BO84" s="26" t="str">
        <f t="shared" si="221"/>
        <v/>
      </c>
      <c r="BP84" s="26" t="str">
        <f t="shared" si="222"/>
        <v/>
      </c>
      <c r="BQ84" s="26" t="str">
        <f t="shared" si="223"/>
        <v/>
      </c>
      <c r="BR84" s="26" t="str">
        <f t="shared" si="224"/>
        <v/>
      </c>
      <c r="BS84" s="24" t="str">
        <f t="shared" si="225"/>
        <v/>
      </c>
      <c r="BT84" s="24" t="str">
        <f t="shared" si="226"/>
        <v/>
      </c>
      <c r="BU84" s="24" t="str">
        <f t="shared" si="227"/>
        <v/>
      </c>
      <c r="BV84" s="24" t="str">
        <f t="shared" si="228"/>
        <v/>
      </c>
      <c r="BW84" s="24" t="str">
        <f t="shared" si="229"/>
        <v/>
      </c>
      <c r="BX84" s="24" t="str">
        <f t="shared" si="230"/>
        <v/>
      </c>
      <c r="BY84" s="24" t="str">
        <f t="shared" si="231"/>
        <v/>
      </c>
      <c r="BZ84" s="24" t="str">
        <f t="shared" si="232"/>
        <v/>
      </c>
      <c r="CA84" s="24" t="str">
        <f t="shared" si="233"/>
        <v/>
      </c>
      <c r="CB84" s="24" t="str">
        <f t="shared" si="175"/>
        <v/>
      </c>
      <c r="CC84" s="24" t="str">
        <f t="shared" si="234"/>
        <v/>
      </c>
      <c r="CD84" s="24" t="str">
        <f t="shared" si="235"/>
        <v/>
      </c>
      <c r="CE84" s="24"/>
      <c r="CF84" s="24" t="str">
        <f t="shared" si="176"/>
        <v/>
      </c>
      <c r="CG84" s="24" t="str">
        <f t="shared" si="236"/>
        <v/>
      </c>
      <c r="CH84" s="24" t="str">
        <f t="shared" si="237"/>
        <v/>
      </c>
      <c r="CI84" s="24" t="str">
        <f t="shared" si="238"/>
        <v/>
      </c>
      <c r="CJ84" s="26" t="str">
        <f t="shared" si="239"/>
        <v/>
      </c>
      <c r="CK84" s="26" t="str">
        <f t="shared" si="240"/>
        <v/>
      </c>
      <c r="CL84" s="26" t="str">
        <f t="shared" si="257"/>
        <v/>
      </c>
      <c r="CM84" s="24" t="str">
        <f t="shared" si="258"/>
        <v/>
      </c>
      <c r="CN84" s="26" t="str">
        <f t="shared" si="241"/>
        <v/>
      </c>
      <c r="CO84" s="24" t="str">
        <f t="shared" si="242"/>
        <v/>
      </c>
      <c r="CP84" s="26" t="str">
        <f t="shared" si="243"/>
        <v/>
      </c>
      <c r="CQ84" s="26" t="str">
        <f t="shared" si="244"/>
        <v/>
      </c>
      <c r="CR84" s="26" t="str">
        <f t="shared" si="259"/>
        <v/>
      </c>
      <c r="CS84" s="24" t="str">
        <f t="shared" si="260"/>
        <v/>
      </c>
      <c r="CT84" s="27" t="str">
        <f t="shared" si="245"/>
        <v/>
      </c>
      <c r="CU84" s="24" t="str">
        <f t="shared" si="246"/>
        <v/>
      </c>
      <c r="CV84" s="26" t="str">
        <f t="shared" si="247"/>
        <v/>
      </c>
      <c r="CW84" s="26" t="str">
        <f t="shared" si="248"/>
        <v/>
      </c>
      <c r="CX84" s="26" t="str">
        <f t="shared" si="261"/>
        <v/>
      </c>
      <c r="CY84" s="27" t="str">
        <f t="shared" si="262"/>
        <v/>
      </c>
      <c r="CZ84" s="26" t="str">
        <f t="shared" si="249"/>
        <v/>
      </c>
      <c r="DA84" s="24" t="str">
        <f t="shared" si="250"/>
        <v/>
      </c>
      <c r="DB84" s="24" t="str">
        <f t="shared" si="251"/>
        <v/>
      </c>
      <c r="DC84" s="24" t="str">
        <f t="shared" si="252"/>
        <v/>
      </c>
      <c r="DD84" s="24" t="str">
        <f t="shared" si="253"/>
        <v/>
      </c>
      <c r="DE84" s="1"/>
      <c r="DF84" s="1"/>
      <c r="DG84" s="1"/>
      <c r="DH84" s="24" t="str">
        <f t="shared" si="254"/>
        <v/>
      </c>
      <c r="DI84" s="25" t="str">
        <f t="shared" si="255"/>
        <v/>
      </c>
      <c r="DJ84" t="str">
        <f t="shared" si="174"/>
        <v/>
      </c>
      <c r="DK84" s="9"/>
      <c r="DL84" s="9"/>
      <c r="DM84" s="9"/>
      <c r="DN84" s="9"/>
      <c r="DO84" s="9"/>
      <c r="DP84" s="9"/>
      <c r="DQ84" s="136" t="b">
        <f t="shared" si="256"/>
        <v>1</v>
      </c>
    </row>
    <row r="85" spans="1:121" ht="27" customHeight="1" x14ac:dyDescent="0.95">
      <c r="A85" s="24" t="str">
        <f t="shared" si="263"/>
        <v/>
      </c>
      <c r="B85" s="9"/>
      <c r="C85" s="14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10"/>
      <c r="Q85" s="10"/>
      <c r="R85" s="10"/>
      <c r="S85" s="10"/>
      <c r="T85" s="10"/>
      <c r="U85" s="10"/>
      <c r="V85" s="10"/>
      <c r="W85" s="3" t="str">
        <f t="shared" si="177"/>
        <v/>
      </c>
      <c r="X85" s="3" t="str">
        <f t="shared" si="178"/>
        <v/>
      </c>
      <c r="Y85" s="3" t="str">
        <f t="shared" si="179"/>
        <v/>
      </c>
      <c r="Z85" s="3" t="str">
        <f t="shared" si="180"/>
        <v/>
      </c>
      <c r="AA85" s="3" t="str">
        <f t="shared" si="181"/>
        <v/>
      </c>
      <c r="AB85" s="3" t="str">
        <f t="shared" si="182"/>
        <v/>
      </c>
      <c r="AC85" s="3" t="str">
        <f t="shared" si="183"/>
        <v/>
      </c>
      <c r="AD85" s="3" t="str">
        <f t="shared" si="184"/>
        <v/>
      </c>
      <c r="AE85" s="3" t="str">
        <f t="shared" si="185"/>
        <v/>
      </c>
      <c r="AF85" s="24" t="str">
        <f t="shared" si="186"/>
        <v/>
      </c>
      <c r="AG85" s="24" t="str">
        <f t="shared" si="187"/>
        <v/>
      </c>
      <c r="AH85" s="24" t="str">
        <f t="shared" si="188"/>
        <v/>
      </c>
      <c r="AI85" s="24" t="str">
        <f t="shared" si="189"/>
        <v/>
      </c>
      <c r="AJ85" s="24" t="str">
        <f t="shared" si="190"/>
        <v/>
      </c>
      <c r="AK85" s="24" t="str">
        <f t="shared" si="191"/>
        <v/>
      </c>
      <c r="AL85" s="24" t="str">
        <f t="shared" si="192"/>
        <v/>
      </c>
      <c r="AM85" s="24" t="str">
        <f t="shared" si="193"/>
        <v/>
      </c>
      <c r="AN85" s="24" t="str">
        <f t="shared" si="194"/>
        <v/>
      </c>
      <c r="AO85" s="24" t="str">
        <f t="shared" si="195"/>
        <v/>
      </c>
      <c r="AP85" s="24" t="str">
        <f t="shared" si="196"/>
        <v/>
      </c>
      <c r="AQ85" s="24" t="str">
        <f t="shared" si="197"/>
        <v/>
      </c>
      <c r="AR85" s="24" t="str">
        <f t="shared" si="198"/>
        <v/>
      </c>
      <c r="AS85" s="24" t="str">
        <f t="shared" si="199"/>
        <v/>
      </c>
      <c r="AT85" s="24" t="str">
        <f t="shared" si="200"/>
        <v/>
      </c>
      <c r="AU85" s="24" t="str">
        <f t="shared" si="201"/>
        <v/>
      </c>
      <c r="AV85" s="24" t="str">
        <f t="shared" si="202"/>
        <v/>
      </c>
      <c r="AW85" s="24" t="str">
        <f t="shared" si="203"/>
        <v/>
      </c>
      <c r="AX85" s="24" t="str">
        <f t="shared" si="204"/>
        <v/>
      </c>
      <c r="AY85" s="24" t="str">
        <f t="shared" si="205"/>
        <v/>
      </c>
      <c r="AZ85" s="24" t="str">
        <f t="shared" si="206"/>
        <v/>
      </c>
      <c r="BA85" s="24" t="str">
        <f t="shared" si="207"/>
        <v/>
      </c>
      <c r="BB85" s="24" t="str">
        <f t="shared" si="208"/>
        <v/>
      </c>
      <c r="BC85" s="26" t="str">
        <f t="shared" si="209"/>
        <v/>
      </c>
      <c r="BD85" s="26" t="str">
        <f t="shared" si="210"/>
        <v/>
      </c>
      <c r="BE85" s="26" t="str">
        <f t="shared" si="211"/>
        <v/>
      </c>
      <c r="BF85" s="26" t="str">
        <f t="shared" si="212"/>
        <v/>
      </c>
      <c r="BG85" s="26" t="str">
        <f t="shared" si="213"/>
        <v/>
      </c>
      <c r="BH85" s="26" t="str">
        <f t="shared" si="214"/>
        <v/>
      </c>
      <c r="BI85" s="26" t="str">
        <f t="shared" si="215"/>
        <v/>
      </c>
      <c r="BJ85" s="26" t="str">
        <f t="shared" si="216"/>
        <v/>
      </c>
      <c r="BK85" s="26" t="str">
        <f t="shared" si="217"/>
        <v/>
      </c>
      <c r="BL85" s="26" t="str">
        <f t="shared" si="218"/>
        <v/>
      </c>
      <c r="BM85" s="26" t="str">
        <f t="shared" si="219"/>
        <v/>
      </c>
      <c r="BN85" s="26" t="str">
        <f t="shared" si="220"/>
        <v/>
      </c>
      <c r="BO85" s="26" t="str">
        <f t="shared" si="221"/>
        <v/>
      </c>
      <c r="BP85" s="26" t="str">
        <f t="shared" si="222"/>
        <v/>
      </c>
      <c r="BQ85" s="26" t="str">
        <f t="shared" si="223"/>
        <v/>
      </c>
      <c r="BR85" s="26" t="str">
        <f t="shared" si="224"/>
        <v/>
      </c>
      <c r="BS85" s="24" t="str">
        <f t="shared" si="225"/>
        <v/>
      </c>
      <c r="BT85" s="24" t="str">
        <f t="shared" si="226"/>
        <v/>
      </c>
      <c r="BU85" s="24" t="str">
        <f t="shared" si="227"/>
        <v/>
      </c>
      <c r="BV85" s="24" t="str">
        <f t="shared" si="228"/>
        <v/>
      </c>
      <c r="BW85" s="24" t="str">
        <f t="shared" si="229"/>
        <v/>
      </c>
      <c r="BX85" s="24" t="str">
        <f t="shared" si="230"/>
        <v/>
      </c>
      <c r="BY85" s="24" t="str">
        <f t="shared" si="231"/>
        <v/>
      </c>
      <c r="BZ85" s="24" t="str">
        <f t="shared" si="232"/>
        <v/>
      </c>
      <c r="CA85" s="24" t="str">
        <f t="shared" si="233"/>
        <v/>
      </c>
      <c r="CB85" s="24" t="str">
        <f t="shared" si="175"/>
        <v/>
      </c>
      <c r="CC85" s="24" t="str">
        <f t="shared" si="234"/>
        <v/>
      </c>
      <c r="CD85" s="24" t="str">
        <f t="shared" si="235"/>
        <v/>
      </c>
      <c r="CE85" s="24"/>
      <c r="CF85" s="24" t="str">
        <f t="shared" si="176"/>
        <v/>
      </c>
      <c r="CG85" s="24" t="str">
        <f t="shared" si="236"/>
        <v/>
      </c>
      <c r="CH85" s="24" t="str">
        <f t="shared" si="237"/>
        <v/>
      </c>
      <c r="CI85" s="24" t="str">
        <f t="shared" si="238"/>
        <v/>
      </c>
      <c r="CJ85" s="26" t="str">
        <f t="shared" si="239"/>
        <v/>
      </c>
      <c r="CK85" s="26" t="str">
        <f t="shared" si="240"/>
        <v/>
      </c>
      <c r="CL85" s="26" t="str">
        <f t="shared" si="257"/>
        <v/>
      </c>
      <c r="CM85" s="24" t="str">
        <f t="shared" si="258"/>
        <v/>
      </c>
      <c r="CN85" s="26" t="str">
        <f t="shared" si="241"/>
        <v/>
      </c>
      <c r="CO85" s="24" t="str">
        <f t="shared" si="242"/>
        <v/>
      </c>
      <c r="CP85" s="26" t="str">
        <f t="shared" si="243"/>
        <v/>
      </c>
      <c r="CQ85" s="26" t="str">
        <f t="shared" si="244"/>
        <v/>
      </c>
      <c r="CR85" s="26" t="str">
        <f t="shared" si="259"/>
        <v/>
      </c>
      <c r="CS85" s="24" t="str">
        <f t="shared" si="260"/>
        <v/>
      </c>
      <c r="CT85" s="27" t="str">
        <f t="shared" si="245"/>
        <v/>
      </c>
      <c r="CU85" s="24" t="str">
        <f t="shared" si="246"/>
        <v/>
      </c>
      <c r="CV85" s="26" t="str">
        <f t="shared" si="247"/>
        <v/>
      </c>
      <c r="CW85" s="26" t="str">
        <f t="shared" si="248"/>
        <v/>
      </c>
      <c r="CX85" s="26" t="str">
        <f t="shared" si="261"/>
        <v/>
      </c>
      <c r="CY85" s="27" t="str">
        <f t="shared" si="262"/>
        <v/>
      </c>
      <c r="CZ85" s="26" t="str">
        <f t="shared" si="249"/>
        <v/>
      </c>
      <c r="DA85" s="24" t="str">
        <f t="shared" si="250"/>
        <v/>
      </c>
      <c r="DB85" s="24" t="str">
        <f t="shared" si="251"/>
        <v/>
      </c>
      <c r="DC85" s="24" t="str">
        <f t="shared" si="252"/>
        <v/>
      </c>
      <c r="DD85" s="24" t="str">
        <f t="shared" si="253"/>
        <v/>
      </c>
      <c r="DE85" s="1"/>
      <c r="DF85" s="1"/>
      <c r="DG85" s="1"/>
      <c r="DH85" s="24" t="str">
        <f t="shared" si="254"/>
        <v/>
      </c>
      <c r="DI85" s="25" t="str">
        <f t="shared" si="255"/>
        <v/>
      </c>
      <c r="DJ85" t="str">
        <f t="shared" si="174"/>
        <v/>
      </c>
      <c r="DK85" s="9"/>
      <c r="DL85" s="9"/>
      <c r="DM85" s="9"/>
      <c r="DN85" s="9"/>
      <c r="DO85" s="9"/>
      <c r="DP85" s="9"/>
      <c r="DQ85" s="136" t="b">
        <f t="shared" si="256"/>
        <v>1</v>
      </c>
    </row>
    <row r="86" spans="1:121" ht="27" customHeight="1" x14ac:dyDescent="0.95">
      <c r="A86" s="24" t="str">
        <f t="shared" si="263"/>
        <v/>
      </c>
      <c r="B86" s="9"/>
      <c r="C86" s="14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10"/>
      <c r="Q86" s="10"/>
      <c r="R86" s="10"/>
      <c r="S86" s="10"/>
      <c r="T86" s="10"/>
      <c r="U86" s="10"/>
      <c r="V86" s="10"/>
      <c r="W86" s="3" t="str">
        <f t="shared" si="177"/>
        <v/>
      </c>
      <c r="X86" s="3" t="str">
        <f t="shared" si="178"/>
        <v/>
      </c>
      <c r="Y86" s="3" t="str">
        <f t="shared" si="179"/>
        <v/>
      </c>
      <c r="Z86" s="3" t="str">
        <f t="shared" si="180"/>
        <v/>
      </c>
      <c r="AA86" s="3" t="str">
        <f t="shared" si="181"/>
        <v/>
      </c>
      <c r="AB86" s="3" t="str">
        <f t="shared" si="182"/>
        <v/>
      </c>
      <c r="AC86" s="3" t="str">
        <f t="shared" si="183"/>
        <v/>
      </c>
      <c r="AD86" s="3" t="str">
        <f t="shared" si="184"/>
        <v/>
      </c>
      <c r="AE86" s="3" t="str">
        <f t="shared" si="185"/>
        <v/>
      </c>
      <c r="AF86" s="24" t="str">
        <f t="shared" si="186"/>
        <v/>
      </c>
      <c r="AG86" s="24" t="str">
        <f t="shared" si="187"/>
        <v/>
      </c>
      <c r="AH86" s="24" t="str">
        <f t="shared" si="188"/>
        <v/>
      </c>
      <c r="AI86" s="24" t="str">
        <f t="shared" si="189"/>
        <v/>
      </c>
      <c r="AJ86" s="24" t="str">
        <f t="shared" si="190"/>
        <v/>
      </c>
      <c r="AK86" s="24" t="str">
        <f t="shared" si="191"/>
        <v/>
      </c>
      <c r="AL86" s="24" t="str">
        <f t="shared" si="192"/>
        <v/>
      </c>
      <c r="AM86" s="24" t="str">
        <f t="shared" si="193"/>
        <v/>
      </c>
      <c r="AN86" s="24" t="str">
        <f t="shared" si="194"/>
        <v/>
      </c>
      <c r="AO86" s="24" t="str">
        <f t="shared" si="195"/>
        <v/>
      </c>
      <c r="AP86" s="24" t="str">
        <f t="shared" si="196"/>
        <v/>
      </c>
      <c r="AQ86" s="24" t="str">
        <f t="shared" si="197"/>
        <v/>
      </c>
      <c r="AR86" s="24" t="str">
        <f t="shared" si="198"/>
        <v/>
      </c>
      <c r="AS86" s="24" t="str">
        <f t="shared" si="199"/>
        <v/>
      </c>
      <c r="AT86" s="24" t="str">
        <f t="shared" si="200"/>
        <v/>
      </c>
      <c r="AU86" s="24" t="str">
        <f t="shared" si="201"/>
        <v/>
      </c>
      <c r="AV86" s="24" t="str">
        <f t="shared" si="202"/>
        <v/>
      </c>
      <c r="AW86" s="24" t="str">
        <f t="shared" si="203"/>
        <v/>
      </c>
      <c r="AX86" s="24" t="str">
        <f t="shared" si="204"/>
        <v/>
      </c>
      <c r="AY86" s="24" t="str">
        <f t="shared" si="205"/>
        <v/>
      </c>
      <c r="AZ86" s="24" t="str">
        <f t="shared" si="206"/>
        <v/>
      </c>
      <c r="BA86" s="24" t="str">
        <f t="shared" si="207"/>
        <v/>
      </c>
      <c r="BB86" s="24" t="str">
        <f t="shared" si="208"/>
        <v/>
      </c>
      <c r="BC86" s="26" t="str">
        <f t="shared" si="209"/>
        <v/>
      </c>
      <c r="BD86" s="26" t="str">
        <f t="shared" si="210"/>
        <v/>
      </c>
      <c r="BE86" s="26" t="str">
        <f t="shared" si="211"/>
        <v/>
      </c>
      <c r="BF86" s="26" t="str">
        <f t="shared" si="212"/>
        <v/>
      </c>
      <c r="BG86" s="26" t="str">
        <f t="shared" si="213"/>
        <v/>
      </c>
      <c r="BH86" s="26" t="str">
        <f t="shared" si="214"/>
        <v/>
      </c>
      <c r="BI86" s="26" t="str">
        <f t="shared" si="215"/>
        <v/>
      </c>
      <c r="BJ86" s="26" t="str">
        <f t="shared" si="216"/>
        <v/>
      </c>
      <c r="BK86" s="26" t="str">
        <f t="shared" si="217"/>
        <v/>
      </c>
      <c r="BL86" s="26" t="str">
        <f t="shared" si="218"/>
        <v/>
      </c>
      <c r="BM86" s="26" t="str">
        <f t="shared" si="219"/>
        <v/>
      </c>
      <c r="BN86" s="26" t="str">
        <f t="shared" si="220"/>
        <v/>
      </c>
      <c r="BO86" s="26" t="str">
        <f t="shared" si="221"/>
        <v/>
      </c>
      <c r="BP86" s="26" t="str">
        <f t="shared" si="222"/>
        <v/>
      </c>
      <c r="BQ86" s="26" t="str">
        <f t="shared" si="223"/>
        <v/>
      </c>
      <c r="BR86" s="26" t="str">
        <f t="shared" si="224"/>
        <v/>
      </c>
      <c r="BS86" s="24" t="str">
        <f t="shared" si="225"/>
        <v/>
      </c>
      <c r="BT86" s="24" t="str">
        <f t="shared" si="226"/>
        <v/>
      </c>
      <c r="BU86" s="24" t="str">
        <f t="shared" si="227"/>
        <v/>
      </c>
      <c r="BV86" s="24" t="str">
        <f t="shared" si="228"/>
        <v/>
      </c>
      <c r="BW86" s="24" t="str">
        <f t="shared" si="229"/>
        <v/>
      </c>
      <c r="BX86" s="24" t="str">
        <f t="shared" si="230"/>
        <v/>
      </c>
      <c r="BY86" s="24" t="str">
        <f t="shared" si="231"/>
        <v/>
      </c>
      <c r="BZ86" s="24" t="str">
        <f t="shared" si="232"/>
        <v/>
      </c>
      <c r="CA86" s="24" t="str">
        <f t="shared" si="233"/>
        <v/>
      </c>
      <c r="CB86" s="24" t="str">
        <f t="shared" si="175"/>
        <v/>
      </c>
      <c r="CC86" s="24" t="str">
        <f t="shared" si="234"/>
        <v/>
      </c>
      <c r="CD86" s="24" t="str">
        <f t="shared" si="235"/>
        <v/>
      </c>
      <c r="CE86" s="24"/>
      <c r="CF86" s="24" t="str">
        <f t="shared" si="176"/>
        <v/>
      </c>
      <c r="CG86" s="24" t="str">
        <f t="shared" si="236"/>
        <v/>
      </c>
      <c r="CH86" s="24" t="str">
        <f t="shared" si="237"/>
        <v/>
      </c>
      <c r="CI86" s="24" t="str">
        <f t="shared" si="238"/>
        <v/>
      </c>
      <c r="CJ86" s="26" t="str">
        <f t="shared" si="239"/>
        <v/>
      </c>
      <c r="CK86" s="26" t="str">
        <f t="shared" si="240"/>
        <v/>
      </c>
      <c r="CL86" s="26" t="str">
        <f t="shared" si="257"/>
        <v/>
      </c>
      <c r="CM86" s="24" t="str">
        <f t="shared" si="258"/>
        <v/>
      </c>
      <c r="CN86" s="26" t="str">
        <f t="shared" si="241"/>
        <v/>
      </c>
      <c r="CO86" s="24" t="str">
        <f t="shared" si="242"/>
        <v/>
      </c>
      <c r="CP86" s="26" t="str">
        <f t="shared" si="243"/>
        <v/>
      </c>
      <c r="CQ86" s="26" t="str">
        <f t="shared" si="244"/>
        <v/>
      </c>
      <c r="CR86" s="26" t="str">
        <f t="shared" si="259"/>
        <v/>
      </c>
      <c r="CS86" s="24" t="str">
        <f t="shared" si="260"/>
        <v/>
      </c>
      <c r="CT86" s="27" t="str">
        <f t="shared" si="245"/>
        <v/>
      </c>
      <c r="CU86" s="24" t="str">
        <f t="shared" si="246"/>
        <v/>
      </c>
      <c r="CV86" s="26" t="str">
        <f t="shared" si="247"/>
        <v/>
      </c>
      <c r="CW86" s="26" t="str">
        <f t="shared" si="248"/>
        <v/>
      </c>
      <c r="CX86" s="26" t="str">
        <f t="shared" si="261"/>
        <v/>
      </c>
      <c r="CY86" s="27" t="str">
        <f t="shared" si="262"/>
        <v/>
      </c>
      <c r="CZ86" s="26" t="str">
        <f t="shared" si="249"/>
        <v/>
      </c>
      <c r="DA86" s="24" t="str">
        <f t="shared" si="250"/>
        <v/>
      </c>
      <c r="DB86" s="24" t="str">
        <f t="shared" si="251"/>
        <v/>
      </c>
      <c r="DC86" s="24" t="str">
        <f t="shared" si="252"/>
        <v/>
      </c>
      <c r="DD86" s="24" t="str">
        <f t="shared" si="253"/>
        <v/>
      </c>
      <c r="DE86" s="1"/>
      <c r="DF86" s="1"/>
      <c r="DG86" s="1"/>
      <c r="DH86" s="24" t="str">
        <f t="shared" si="254"/>
        <v/>
      </c>
      <c r="DI86" s="25" t="str">
        <f t="shared" si="255"/>
        <v/>
      </c>
      <c r="DJ86" t="str">
        <f t="shared" si="174"/>
        <v/>
      </c>
      <c r="DK86" s="9"/>
      <c r="DL86" s="9"/>
      <c r="DM86" s="9"/>
      <c r="DN86" s="9"/>
      <c r="DO86" s="9"/>
      <c r="DP86" s="9"/>
      <c r="DQ86" s="136" t="b">
        <f t="shared" si="256"/>
        <v>1</v>
      </c>
    </row>
    <row r="87" spans="1:121" ht="27" customHeight="1" x14ac:dyDescent="0.95">
      <c r="A87" s="24" t="str">
        <f t="shared" si="263"/>
        <v/>
      </c>
      <c r="B87" s="9"/>
      <c r="C87" s="1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10"/>
      <c r="Q87" s="10"/>
      <c r="R87" s="10"/>
      <c r="S87" s="10"/>
      <c r="T87" s="10"/>
      <c r="U87" s="10"/>
      <c r="V87" s="10"/>
      <c r="W87" s="3" t="str">
        <f t="shared" si="177"/>
        <v/>
      </c>
      <c r="X87" s="3" t="str">
        <f t="shared" si="178"/>
        <v/>
      </c>
      <c r="Y87" s="3" t="str">
        <f t="shared" si="179"/>
        <v/>
      </c>
      <c r="Z87" s="3" t="str">
        <f t="shared" si="180"/>
        <v/>
      </c>
      <c r="AA87" s="3" t="str">
        <f t="shared" si="181"/>
        <v/>
      </c>
      <c r="AB87" s="3" t="str">
        <f t="shared" si="182"/>
        <v/>
      </c>
      <c r="AC87" s="3" t="str">
        <f t="shared" si="183"/>
        <v/>
      </c>
      <c r="AD87" s="3" t="str">
        <f t="shared" si="184"/>
        <v/>
      </c>
      <c r="AE87" s="3" t="str">
        <f t="shared" si="185"/>
        <v/>
      </c>
      <c r="AF87" s="24" t="str">
        <f t="shared" si="186"/>
        <v/>
      </c>
      <c r="AG87" s="24" t="str">
        <f t="shared" si="187"/>
        <v/>
      </c>
      <c r="AH87" s="24" t="str">
        <f t="shared" si="188"/>
        <v/>
      </c>
      <c r="AI87" s="24" t="str">
        <f t="shared" si="189"/>
        <v/>
      </c>
      <c r="AJ87" s="24" t="str">
        <f t="shared" si="190"/>
        <v/>
      </c>
      <c r="AK87" s="24" t="str">
        <f t="shared" si="191"/>
        <v/>
      </c>
      <c r="AL87" s="24" t="str">
        <f t="shared" si="192"/>
        <v/>
      </c>
      <c r="AM87" s="24" t="str">
        <f t="shared" si="193"/>
        <v/>
      </c>
      <c r="AN87" s="24" t="str">
        <f t="shared" si="194"/>
        <v/>
      </c>
      <c r="AO87" s="24" t="str">
        <f t="shared" si="195"/>
        <v/>
      </c>
      <c r="AP87" s="24" t="str">
        <f t="shared" si="196"/>
        <v/>
      </c>
      <c r="AQ87" s="24" t="str">
        <f t="shared" si="197"/>
        <v/>
      </c>
      <c r="AR87" s="24" t="str">
        <f t="shared" si="198"/>
        <v/>
      </c>
      <c r="AS87" s="24" t="str">
        <f t="shared" si="199"/>
        <v/>
      </c>
      <c r="AT87" s="24" t="str">
        <f t="shared" si="200"/>
        <v/>
      </c>
      <c r="AU87" s="24" t="str">
        <f t="shared" si="201"/>
        <v/>
      </c>
      <c r="AV87" s="24" t="str">
        <f t="shared" si="202"/>
        <v/>
      </c>
      <c r="AW87" s="24" t="str">
        <f t="shared" si="203"/>
        <v/>
      </c>
      <c r="AX87" s="24" t="str">
        <f t="shared" si="204"/>
        <v/>
      </c>
      <c r="AY87" s="24" t="str">
        <f t="shared" si="205"/>
        <v/>
      </c>
      <c r="AZ87" s="24" t="str">
        <f t="shared" si="206"/>
        <v/>
      </c>
      <c r="BA87" s="24" t="str">
        <f t="shared" si="207"/>
        <v/>
      </c>
      <c r="BB87" s="24" t="str">
        <f t="shared" si="208"/>
        <v/>
      </c>
      <c r="BC87" s="26" t="str">
        <f t="shared" si="209"/>
        <v/>
      </c>
      <c r="BD87" s="26" t="str">
        <f t="shared" si="210"/>
        <v/>
      </c>
      <c r="BE87" s="26" t="str">
        <f t="shared" si="211"/>
        <v/>
      </c>
      <c r="BF87" s="26" t="str">
        <f t="shared" si="212"/>
        <v/>
      </c>
      <c r="BG87" s="26" t="str">
        <f t="shared" si="213"/>
        <v/>
      </c>
      <c r="BH87" s="26" t="str">
        <f t="shared" si="214"/>
        <v/>
      </c>
      <c r="BI87" s="26" t="str">
        <f t="shared" si="215"/>
        <v/>
      </c>
      <c r="BJ87" s="26" t="str">
        <f t="shared" si="216"/>
        <v/>
      </c>
      <c r="BK87" s="26" t="str">
        <f t="shared" si="217"/>
        <v/>
      </c>
      <c r="BL87" s="26" t="str">
        <f t="shared" si="218"/>
        <v/>
      </c>
      <c r="BM87" s="26" t="str">
        <f t="shared" si="219"/>
        <v/>
      </c>
      <c r="BN87" s="26" t="str">
        <f t="shared" si="220"/>
        <v/>
      </c>
      <c r="BO87" s="26" t="str">
        <f t="shared" si="221"/>
        <v/>
      </c>
      <c r="BP87" s="26" t="str">
        <f t="shared" si="222"/>
        <v/>
      </c>
      <c r="BQ87" s="26" t="str">
        <f t="shared" si="223"/>
        <v/>
      </c>
      <c r="BR87" s="26" t="str">
        <f t="shared" si="224"/>
        <v/>
      </c>
      <c r="BS87" s="24" t="str">
        <f t="shared" si="225"/>
        <v/>
      </c>
      <c r="BT87" s="24" t="str">
        <f t="shared" si="226"/>
        <v/>
      </c>
      <c r="BU87" s="24" t="str">
        <f t="shared" si="227"/>
        <v/>
      </c>
      <c r="BV87" s="24" t="str">
        <f t="shared" si="228"/>
        <v/>
      </c>
      <c r="BW87" s="24" t="str">
        <f t="shared" si="229"/>
        <v/>
      </c>
      <c r="BX87" s="24" t="str">
        <f t="shared" si="230"/>
        <v/>
      </c>
      <c r="BY87" s="24" t="str">
        <f t="shared" si="231"/>
        <v/>
      </c>
      <c r="BZ87" s="24" t="str">
        <f t="shared" si="232"/>
        <v/>
      </c>
      <c r="CA87" s="24" t="str">
        <f t="shared" si="233"/>
        <v/>
      </c>
      <c r="CB87" s="24" t="str">
        <f t="shared" si="175"/>
        <v/>
      </c>
      <c r="CC87" s="24" t="str">
        <f t="shared" si="234"/>
        <v/>
      </c>
      <c r="CD87" s="24" t="str">
        <f t="shared" si="235"/>
        <v/>
      </c>
      <c r="CE87" s="24"/>
      <c r="CF87" s="24" t="str">
        <f t="shared" si="176"/>
        <v/>
      </c>
      <c r="CG87" s="24" t="str">
        <f t="shared" si="236"/>
        <v/>
      </c>
      <c r="CH87" s="24" t="str">
        <f t="shared" si="237"/>
        <v/>
      </c>
      <c r="CI87" s="24" t="str">
        <f t="shared" si="238"/>
        <v/>
      </c>
      <c r="CJ87" s="26" t="str">
        <f t="shared" si="239"/>
        <v/>
      </c>
      <c r="CK87" s="26" t="str">
        <f t="shared" si="240"/>
        <v/>
      </c>
      <c r="CL87" s="26" t="str">
        <f t="shared" si="257"/>
        <v/>
      </c>
      <c r="CM87" s="24" t="str">
        <f t="shared" si="258"/>
        <v/>
      </c>
      <c r="CN87" s="26" t="str">
        <f t="shared" si="241"/>
        <v/>
      </c>
      <c r="CO87" s="24" t="str">
        <f t="shared" si="242"/>
        <v/>
      </c>
      <c r="CP87" s="26" t="str">
        <f t="shared" si="243"/>
        <v/>
      </c>
      <c r="CQ87" s="26" t="str">
        <f t="shared" si="244"/>
        <v/>
      </c>
      <c r="CR87" s="26" t="str">
        <f t="shared" si="259"/>
        <v/>
      </c>
      <c r="CS87" s="24" t="str">
        <f t="shared" si="260"/>
        <v/>
      </c>
      <c r="CT87" s="27" t="str">
        <f t="shared" si="245"/>
        <v/>
      </c>
      <c r="CU87" s="24" t="str">
        <f t="shared" si="246"/>
        <v/>
      </c>
      <c r="CV87" s="26" t="str">
        <f t="shared" si="247"/>
        <v/>
      </c>
      <c r="CW87" s="26" t="str">
        <f t="shared" si="248"/>
        <v/>
      </c>
      <c r="CX87" s="26" t="str">
        <f t="shared" si="261"/>
        <v/>
      </c>
      <c r="CY87" s="27" t="str">
        <f t="shared" si="262"/>
        <v/>
      </c>
      <c r="CZ87" s="26" t="str">
        <f t="shared" si="249"/>
        <v/>
      </c>
      <c r="DA87" s="24" t="str">
        <f t="shared" si="250"/>
        <v/>
      </c>
      <c r="DB87" s="24" t="str">
        <f t="shared" si="251"/>
        <v/>
      </c>
      <c r="DC87" s="24" t="str">
        <f t="shared" si="252"/>
        <v/>
      </c>
      <c r="DD87" s="24" t="str">
        <f t="shared" si="253"/>
        <v/>
      </c>
      <c r="DE87" s="1"/>
      <c r="DF87" s="1"/>
      <c r="DG87" s="1"/>
      <c r="DH87" s="24" t="str">
        <f t="shared" si="254"/>
        <v/>
      </c>
      <c r="DI87" s="25" t="str">
        <f t="shared" si="255"/>
        <v/>
      </c>
      <c r="DJ87" t="str">
        <f t="shared" si="174"/>
        <v/>
      </c>
      <c r="DK87" s="9"/>
      <c r="DL87" s="9"/>
      <c r="DM87" s="9"/>
      <c r="DN87" s="9"/>
      <c r="DO87" s="9"/>
      <c r="DP87" s="9"/>
      <c r="DQ87" s="136" t="b">
        <f t="shared" si="256"/>
        <v>1</v>
      </c>
    </row>
    <row r="88" spans="1:121" ht="27" customHeight="1" x14ac:dyDescent="0.95">
      <c r="A88" s="24" t="str">
        <f t="shared" si="263"/>
        <v/>
      </c>
      <c r="B88" s="9"/>
      <c r="C88" s="14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10"/>
      <c r="Q88" s="10"/>
      <c r="R88" s="10"/>
      <c r="S88" s="10"/>
      <c r="T88" s="10"/>
      <c r="U88" s="10"/>
      <c r="V88" s="10"/>
      <c r="W88" s="3" t="str">
        <f t="shared" si="177"/>
        <v/>
      </c>
      <c r="X88" s="3" t="str">
        <f t="shared" si="178"/>
        <v/>
      </c>
      <c r="Y88" s="3" t="str">
        <f t="shared" si="179"/>
        <v/>
      </c>
      <c r="Z88" s="3" t="str">
        <f t="shared" si="180"/>
        <v/>
      </c>
      <c r="AA88" s="3" t="str">
        <f t="shared" si="181"/>
        <v/>
      </c>
      <c r="AB88" s="3" t="str">
        <f t="shared" si="182"/>
        <v/>
      </c>
      <c r="AC88" s="3" t="str">
        <f t="shared" si="183"/>
        <v/>
      </c>
      <c r="AD88" s="3" t="str">
        <f t="shared" si="184"/>
        <v/>
      </c>
      <c r="AE88" s="3" t="str">
        <f t="shared" si="185"/>
        <v/>
      </c>
      <c r="AF88" s="24" t="str">
        <f t="shared" si="186"/>
        <v/>
      </c>
      <c r="AG88" s="24" t="str">
        <f t="shared" si="187"/>
        <v/>
      </c>
      <c r="AH88" s="24" t="str">
        <f t="shared" si="188"/>
        <v/>
      </c>
      <c r="AI88" s="24" t="str">
        <f t="shared" si="189"/>
        <v/>
      </c>
      <c r="AJ88" s="24" t="str">
        <f t="shared" si="190"/>
        <v/>
      </c>
      <c r="AK88" s="24" t="str">
        <f t="shared" si="191"/>
        <v/>
      </c>
      <c r="AL88" s="24" t="str">
        <f t="shared" si="192"/>
        <v/>
      </c>
      <c r="AM88" s="24" t="str">
        <f t="shared" si="193"/>
        <v/>
      </c>
      <c r="AN88" s="24" t="str">
        <f t="shared" si="194"/>
        <v/>
      </c>
      <c r="AO88" s="24" t="str">
        <f t="shared" si="195"/>
        <v/>
      </c>
      <c r="AP88" s="24" t="str">
        <f t="shared" si="196"/>
        <v/>
      </c>
      <c r="AQ88" s="24" t="str">
        <f t="shared" si="197"/>
        <v/>
      </c>
      <c r="AR88" s="24" t="str">
        <f t="shared" si="198"/>
        <v/>
      </c>
      <c r="AS88" s="24" t="str">
        <f t="shared" si="199"/>
        <v/>
      </c>
      <c r="AT88" s="24" t="str">
        <f t="shared" si="200"/>
        <v/>
      </c>
      <c r="AU88" s="24" t="str">
        <f t="shared" si="201"/>
        <v/>
      </c>
      <c r="AV88" s="24" t="str">
        <f t="shared" si="202"/>
        <v/>
      </c>
      <c r="AW88" s="24" t="str">
        <f t="shared" si="203"/>
        <v/>
      </c>
      <c r="AX88" s="24" t="str">
        <f t="shared" si="204"/>
        <v/>
      </c>
      <c r="AY88" s="24" t="str">
        <f t="shared" si="205"/>
        <v/>
      </c>
      <c r="AZ88" s="24" t="str">
        <f t="shared" si="206"/>
        <v/>
      </c>
      <c r="BA88" s="24" t="str">
        <f t="shared" si="207"/>
        <v/>
      </c>
      <c r="BB88" s="24" t="str">
        <f t="shared" si="208"/>
        <v/>
      </c>
      <c r="BC88" s="26" t="str">
        <f t="shared" si="209"/>
        <v/>
      </c>
      <c r="BD88" s="26" t="str">
        <f t="shared" si="210"/>
        <v/>
      </c>
      <c r="BE88" s="26" t="str">
        <f t="shared" si="211"/>
        <v/>
      </c>
      <c r="BF88" s="26" t="str">
        <f t="shared" si="212"/>
        <v/>
      </c>
      <c r="BG88" s="26" t="str">
        <f t="shared" si="213"/>
        <v/>
      </c>
      <c r="BH88" s="26" t="str">
        <f t="shared" si="214"/>
        <v/>
      </c>
      <c r="BI88" s="26" t="str">
        <f t="shared" si="215"/>
        <v/>
      </c>
      <c r="BJ88" s="26" t="str">
        <f t="shared" si="216"/>
        <v/>
      </c>
      <c r="BK88" s="26" t="str">
        <f t="shared" si="217"/>
        <v/>
      </c>
      <c r="BL88" s="26" t="str">
        <f t="shared" si="218"/>
        <v/>
      </c>
      <c r="BM88" s="26" t="str">
        <f t="shared" si="219"/>
        <v/>
      </c>
      <c r="BN88" s="26" t="str">
        <f t="shared" si="220"/>
        <v/>
      </c>
      <c r="BO88" s="26" t="str">
        <f t="shared" si="221"/>
        <v/>
      </c>
      <c r="BP88" s="26" t="str">
        <f t="shared" si="222"/>
        <v/>
      </c>
      <c r="BQ88" s="26" t="str">
        <f t="shared" si="223"/>
        <v/>
      </c>
      <c r="BR88" s="26" t="str">
        <f t="shared" si="224"/>
        <v/>
      </c>
      <c r="BS88" s="24" t="str">
        <f t="shared" si="225"/>
        <v/>
      </c>
      <c r="BT88" s="24" t="str">
        <f t="shared" si="226"/>
        <v/>
      </c>
      <c r="BU88" s="24" t="str">
        <f t="shared" si="227"/>
        <v/>
      </c>
      <c r="BV88" s="24" t="str">
        <f t="shared" si="228"/>
        <v/>
      </c>
      <c r="BW88" s="24" t="str">
        <f t="shared" si="229"/>
        <v/>
      </c>
      <c r="BX88" s="24" t="str">
        <f t="shared" si="230"/>
        <v/>
      </c>
      <c r="BY88" s="24" t="str">
        <f t="shared" si="231"/>
        <v/>
      </c>
      <c r="BZ88" s="24" t="str">
        <f t="shared" si="232"/>
        <v/>
      </c>
      <c r="CA88" s="24" t="str">
        <f t="shared" si="233"/>
        <v/>
      </c>
      <c r="CB88" s="24" t="str">
        <f t="shared" si="175"/>
        <v/>
      </c>
      <c r="CC88" s="24" t="str">
        <f t="shared" si="234"/>
        <v/>
      </c>
      <c r="CD88" s="24" t="str">
        <f t="shared" si="235"/>
        <v/>
      </c>
      <c r="CE88" s="24"/>
      <c r="CF88" s="24" t="str">
        <f t="shared" si="176"/>
        <v/>
      </c>
      <c r="CG88" s="24" t="str">
        <f t="shared" si="236"/>
        <v/>
      </c>
      <c r="CH88" s="24" t="str">
        <f t="shared" si="237"/>
        <v/>
      </c>
      <c r="CI88" s="24" t="str">
        <f t="shared" si="238"/>
        <v/>
      </c>
      <c r="CJ88" s="26" t="str">
        <f t="shared" si="239"/>
        <v/>
      </c>
      <c r="CK88" s="26" t="str">
        <f t="shared" si="240"/>
        <v/>
      </c>
      <c r="CL88" s="26" t="str">
        <f t="shared" si="257"/>
        <v/>
      </c>
      <c r="CM88" s="24" t="str">
        <f t="shared" si="258"/>
        <v/>
      </c>
      <c r="CN88" s="26" t="str">
        <f t="shared" si="241"/>
        <v/>
      </c>
      <c r="CO88" s="24" t="str">
        <f t="shared" si="242"/>
        <v/>
      </c>
      <c r="CP88" s="26" t="str">
        <f t="shared" si="243"/>
        <v/>
      </c>
      <c r="CQ88" s="26" t="str">
        <f t="shared" si="244"/>
        <v/>
      </c>
      <c r="CR88" s="26" t="str">
        <f t="shared" si="259"/>
        <v/>
      </c>
      <c r="CS88" s="24" t="str">
        <f t="shared" si="260"/>
        <v/>
      </c>
      <c r="CT88" s="27" t="str">
        <f t="shared" si="245"/>
        <v/>
      </c>
      <c r="CU88" s="24" t="str">
        <f t="shared" si="246"/>
        <v/>
      </c>
      <c r="CV88" s="26" t="str">
        <f t="shared" si="247"/>
        <v/>
      </c>
      <c r="CW88" s="26" t="str">
        <f t="shared" si="248"/>
        <v/>
      </c>
      <c r="CX88" s="26" t="str">
        <f t="shared" si="261"/>
        <v/>
      </c>
      <c r="CY88" s="27" t="str">
        <f t="shared" si="262"/>
        <v/>
      </c>
      <c r="CZ88" s="26" t="str">
        <f t="shared" si="249"/>
        <v/>
      </c>
      <c r="DA88" s="24" t="str">
        <f t="shared" si="250"/>
        <v/>
      </c>
      <c r="DB88" s="24" t="str">
        <f t="shared" si="251"/>
        <v/>
      </c>
      <c r="DC88" s="24" t="str">
        <f t="shared" si="252"/>
        <v/>
      </c>
      <c r="DD88" s="24" t="str">
        <f t="shared" si="253"/>
        <v/>
      </c>
      <c r="DE88" s="1"/>
      <c r="DF88" s="1"/>
      <c r="DG88" s="1"/>
      <c r="DH88" s="24" t="str">
        <f t="shared" si="254"/>
        <v/>
      </c>
      <c r="DI88" s="25" t="str">
        <f t="shared" si="255"/>
        <v/>
      </c>
      <c r="DJ88" t="str">
        <f t="shared" si="174"/>
        <v/>
      </c>
      <c r="DK88" s="9"/>
      <c r="DL88" s="9"/>
      <c r="DM88" s="9"/>
      <c r="DN88" s="9"/>
      <c r="DO88" s="9"/>
      <c r="DP88" s="9"/>
      <c r="DQ88" s="136" t="b">
        <f t="shared" si="256"/>
        <v>1</v>
      </c>
    </row>
    <row r="89" spans="1:121" ht="27" customHeight="1" x14ac:dyDescent="0.95">
      <c r="A89" s="24" t="str">
        <f t="shared" si="263"/>
        <v/>
      </c>
      <c r="B89" s="9"/>
      <c r="C89" s="14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10"/>
      <c r="Q89" s="10"/>
      <c r="R89" s="10"/>
      <c r="S89" s="10"/>
      <c r="T89" s="10"/>
      <c r="U89" s="10"/>
      <c r="V89" s="10"/>
      <c r="W89" s="3" t="str">
        <f t="shared" si="177"/>
        <v/>
      </c>
      <c r="X89" s="3" t="str">
        <f t="shared" si="178"/>
        <v/>
      </c>
      <c r="Y89" s="3" t="str">
        <f t="shared" si="179"/>
        <v/>
      </c>
      <c r="Z89" s="3" t="str">
        <f t="shared" si="180"/>
        <v/>
      </c>
      <c r="AA89" s="3" t="str">
        <f t="shared" si="181"/>
        <v/>
      </c>
      <c r="AB89" s="3" t="str">
        <f t="shared" si="182"/>
        <v/>
      </c>
      <c r="AC89" s="3" t="str">
        <f t="shared" si="183"/>
        <v/>
      </c>
      <c r="AD89" s="3" t="str">
        <f t="shared" si="184"/>
        <v/>
      </c>
      <c r="AE89" s="3" t="str">
        <f t="shared" si="185"/>
        <v/>
      </c>
      <c r="AF89" s="24" t="str">
        <f t="shared" si="186"/>
        <v/>
      </c>
      <c r="AG89" s="24" t="str">
        <f t="shared" si="187"/>
        <v/>
      </c>
      <c r="AH89" s="24" t="str">
        <f t="shared" si="188"/>
        <v/>
      </c>
      <c r="AI89" s="24" t="str">
        <f t="shared" si="189"/>
        <v/>
      </c>
      <c r="AJ89" s="24" t="str">
        <f t="shared" si="190"/>
        <v/>
      </c>
      <c r="AK89" s="24" t="str">
        <f t="shared" si="191"/>
        <v/>
      </c>
      <c r="AL89" s="24" t="str">
        <f t="shared" si="192"/>
        <v/>
      </c>
      <c r="AM89" s="24" t="str">
        <f t="shared" si="193"/>
        <v/>
      </c>
      <c r="AN89" s="24" t="str">
        <f t="shared" si="194"/>
        <v/>
      </c>
      <c r="AO89" s="24" t="str">
        <f t="shared" si="195"/>
        <v/>
      </c>
      <c r="AP89" s="24" t="str">
        <f t="shared" si="196"/>
        <v/>
      </c>
      <c r="AQ89" s="24" t="str">
        <f t="shared" si="197"/>
        <v/>
      </c>
      <c r="AR89" s="24" t="str">
        <f t="shared" si="198"/>
        <v/>
      </c>
      <c r="AS89" s="24" t="str">
        <f t="shared" si="199"/>
        <v/>
      </c>
      <c r="AT89" s="24" t="str">
        <f t="shared" si="200"/>
        <v/>
      </c>
      <c r="AU89" s="24" t="str">
        <f t="shared" si="201"/>
        <v/>
      </c>
      <c r="AV89" s="24" t="str">
        <f t="shared" si="202"/>
        <v/>
      </c>
      <c r="AW89" s="24" t="str">
        <f t="shared" si="203"/>
        <v/>
      </c>
      <c r="AX89" s="24" t="str">
        <f t="shared" si="204"/>
        <v/>
      </c>
      <c r="AY89" s="24" t="str">
        <f t="shared" si="205"/>
        <v/>
      </c>
      <c r="AZ89" s="24" t="str">
        <f t="shared" si="206"/>
        <v/>
      </c>
      <c r="BA89" s="24" t="str">
        <f t="shared" si="207"/>
        <v/>
      </c>
      <c r="BB89" s="24" t="str">
        <f t="shared" si="208"/>
        <v/>
      </c>
      <c r="BC89" s="26" t="str">
        <f t="shared" si="209"/>
        <v/>
      </c>
      <c r="BD89" s="26" t="str">
        <f t="shared" si="210"/>
        <v/>
      </c>
      <c r="BE89" s="26" t="str">
        <f t="shared" si="211"/>
        <v/>
      </c>
      <c r="BF89" s="26" t="str">
        <f t="shared" si="212"/>
        <v/>
      </c>
      <c r="BG89" s="26" t="str">
        <f t="shared" si="213"/>
        <v/>
      </c>
      <c r="BH89" s="26" t="str">
        <f t="shared" si="214"/>
        <v/>
      </c>
      <c r="BI89" s="26" t="str">
        <f t="shared" si="215"/>
        <v/>
      </c>
      <c r="BJ89" s="26" t="str">
        <f t="shared" si="216"/>
        <v/>
      </c>
      <c r="BK89" s="26" t="str">
        <f t="shared" si="217"/>
        <v/>
      </c>
      <c r="BL89" s="26" t="str">
        <f t="shared" si="218"/>
        <v/>
      </c>
      <c r="BM89" s="26" t="str">
        <f t="shared" si="219"/>
        <v/>
      </c>
      <c r="BN89" s="26" t="str">
        <f t="shared" si="220"/>
        <v/>
      </c>
      <c r="BO89" s="26" t="str">
        <f t="shared" si="221"/>
        <v/>
      </c>
      <c r="BP89" s="26" t="str">
        <f t="shared" si="222"/>
        <v/>
      </c>
      <c r="BQ89" s="26" t="str">
        <f t="shared" si="223"/>
        <v/>
      </c>
      <c r="BR89" s="26" t="str">
        <f t="shared" si="224"/>
        <v/>
      </c>
      <c r="BS89" s="24" t="str">
        <f t="shared" si="225"/>
        <v/>
      </c>
      <c r="BT89" s="24" t="str">
        <f t="shared" si="226"/>
        <v/>
      </c>
      <c r="BU89" s="24" t="str">
        <f t="shared" si="227"/>
        <v/>
      </c>
      <c r="BV89" s="24" t="str">
        <f t="shared" si="228"/>
        <v/>
      </c>
      <c r="BW89" s="24" t="str">
        <f t="shared" si="229"/>
        <v/>
      </c>
      <c r="BX89" s="24" t="str">
        <f t="shared" si="230"/>
        <v/>
      </c>
      <c r="BY89" s="24" t="str">
        <f t="shared" si="231"/>
        <v/>
      </c>
      <c r="BZ89" s="24" t="str">
        <f t="shared" si="232"/>
        <v/>
      </c>
      <c r="CA89" s="24" t="str">
        <f t="shared" si="233"/>
        <v/>
      </c>
      <c r="CB89" s="24" t="str">
        <f t="shared" si="175"/>
        <v/>
      </c>
      <c r="CC89" s="24" t="str">
        <f t="shared" si="234"/>
        <v/>
      </c>
      <c r="CD89" s="24" t="str">
        <f t="shared" si="235"/>
        <v/>
      </c>
      <c r="CE89" s="24"/>
      <c r="CF89" s="24" t="str">
        <f t="shared" si="176"/>
        <v/>
      </c>
      <c r="CG89" s="24" t="str">
        <f t="shared" si="236"/>
        <v/>
      </c>
      <c r="CH89" s="24" t="str">
        <f t="shared" si="237"/>
        <v/>
      </c>
      <c r="CI89" s="24" t="str">
        <f t="shared" si="238"/>
        <v/>
      </c>
      <c r="CJ89" s="26" t="str">
        <f t="shared" si="239"/>
        <v/>
      </c>
      <c r="CK89" s="26" t="str">
        <f t="shared" si="240"/>
        <v/>
      </c>
      <c r="CL89" s="26" t="str">
        <f t="shared" si="257"/>
        <v/>
      </c>
      <c r="CM89" s="24" t="str">
        <f t="shared" si="258"/>
        <v/>
      </c>
      <c r="CN89" s="26" t="str">
        <f t="shared" si="241"/>
        <v/>
      </c>
      <c r="CO89" s="24" t="str">
        <f t="shared" si="242"/>
        <v/>
      </c>
      <c r="CP89" s="26" t="str">
        <f t="shared" si="243"/>
        <v/>
      </c>
      <c r="CQ89" s="26" t="str">
        <f t="shared" si="244"/>
        <v/>
      </c>
      <c r="CR89" s="26" t="str">
        <f t="shared" si="259"/>
        <v/>
      </c>
      <c r="CS89" s="24" t="str">
        <f t="shared" si="260"/>
        <v/>
      </c>
      <c r="CT89" s="27" t="str">
        <f t="shared" si="245"/>
        <v/>
      </c>
      <c r="CU89" s="24" t="str">
        <f t="shared" si="246"/>
        <v/>
      </c>
      <c r="CV89" s="26" t="str">
        <f t="shared" si="247"/>
        <v/>
      </c>
      <c r="CW89" s="26" t="str">
        <f t="shared" si="248"/>
        <v/>
      </c>
      <c r="CX89" s="26" t="str">
        <f t="shared" si="261"/>
        <v/>
      </c>
      <c r="CY89" s="27" t="str">
        <f t="shared" si="262"/>
        <v/>
      </c>
      <c r="CZ89" s="26" t="str">
        <f t="shared" si="249"/>
        <v/>
      </c>
      <c r="DA89" s="24" t="str">
        <f t="shared" si="250"/>
        <v/>
      </c>
      <c r="DB89" s="24" t="str">
        <f t="shared" si="251"/>
        <v/>
      </c>
      <c r="DC89" s="24" t="str">
        <f t="shared" si="252"/>
        <v/>
      </c>
      <c r="DD89" s="24" t="str">
        <f t="shared" si="253"/>
        <v/>
      </c>
      <c r="DE89" s="1"/>
      <c r="DF89" s="1"/>
      <c r="DG89" s="1"/>
      <c r="DH89" s="24" t="str">
        <f t="shared" si="254"/>
        <v/>
      </c>
      <c r="DI89" s="25" t="str">
        <f t="shared" si="255"/>
        <v/>
      </c>
      <c r="DJ89" t="str">
        <f t="shared" si="174"/>
        <v/>
      </c>
      <c r="DK89" s="9"/>
      <c r="DL89" s="9"/>
      <c r="DM89" s="9"/>
      <c r="DN89" s="9"/>
      <c r="DO89" s="9"/>
      <c r="DP89" s="9"/>
      <c r="DQ89" s="136" t="b">
        <f t="shared" si="256"/>
        <v>1</v>
      </c>
    </row>
    <row r="90" spans="1:121" ht="27" customHeight="1" x14ac:dyDescent="0.95">
      <c r="A90" s="24" t="str">
        <f t="shared" si="263"/>
        <v/>
      </c>
      <c r="B90" s="9"/>
      <c r="C90" s="14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10"/>
      <c r="Q90" s="10"/>
      <c r="R90" s="10"/>
      <c r="S90" s="10"/>
      <c r="T90" s="10"/>
      <c r="U90" s="10"/>
      <c r="V90" s="10"/>
      <c r="W90" s="3" t="str">
        <f t="shared" si="177"/>
        <v/>
      </c>
      <c r="X90" s="3" t="str">
        <f t="shared" si="178"/>
        <v/>
      </c>
      <c r="Y90" s="3" t="str">
        <f t="shared" si="179"/>
        <v/>
      </c>
      <c r="Z90" s="3" t="str">
        <f t="shared" si="180"/>
        <v/>
      </c>
      <c r="AA90" s="3" t="str">
        <f t="shared" si="181"/>
        <v/>
      </c>
      <c r="AB90" s="3" t="str">
        <f t="shared" si="182"/>
        <v/>
      </c>
      <c r="AC90" s="3" t="str">
        <f t="shared" si="183"/>
        <v/>
      </c>
      <c r="AD90" s="3" t="str">
        <f t="shared" si="184"/>
        <v/>
      </c>
      <c r="AE90" s="3" t="str">
        <f t="shared" si="185"/>
        <v/>
      </c>
      <c r="AF90" s="24" t="str">
        <f t="shared" si="186"/>
        <v/>
      </c>
      <c r="AG90" s="24" t="str">
        <f t="shared" si="187"/>
        <v/>
      </c>
      <c r="AH90" s="24" t="str">
        <f t="shared" si="188"/>
        <v/>
      </c>
      <c r="AI90" s="24" t="str">
        <f t="shared" si="189"/>
        <v/>
      </c>
      <c r="AJ90" s="24" t="str">
        <f t="shared" si="190"/>
        <v/>
      </c>
      <c r="AK90" s="24" t="str">
        <f t="shared" si="191"/>
        <v/>
      </c>
      <c r="AL90" s="24" t="str">
        <f t="shared" si="192"/>
        <v/>
      </c>
      <c r="AM90" s="24" t="str">
        <f t="shared" si="193"/>
        <v/>
      </c>
      <c r="AN90" s="24" t="str">
        <f t="shared" si="194"/>
        <v/>
      </c>
      <c r="AO90" s="24" t="str">
        <f t="shared" si="195"/>
        <v/>
      </c>
      <c r="AP90" s="24" t="str">
        <f t="shared" si="196"/>
        <v/>
      </c>
      <c r="AQ90" s="24" t="str">
        <f t="shared" si="197"/>
        <v/>
      </c>
      <c r="AR90" s="24" t="str">
        <f t="shared" si="198"/>
        <v/>
      </c>
      <c r="AS90" s="24" t="str">
        <f t="shared" si="199"/>
        <v/>
      </c>
      <c r="AT90" s="24" t="str">
        <f t="shared" si="200"/>
        <v/>
      </c>
      <c r="AU90" s="24" t="str">
        <f t="shared" si="201"/>
        <v/>
      </c>
      <c r="AV90" s="24" t="str">
        <f t="shared" si="202"/>
        <v/>
      </c>
      <c r="AW90" s="24" t="str">
        <f t="shared" si="203"/>
        <v/>
      </c>
      <c r="AX90" s="24" t="str">
        <f t="shared" si="204"/>
        <v/>
      </c>
      <c r="AY90" s="24" t="str">
        <f t="shared" si="205"/>
        <v/>
      </c>
      <c r="AZ90" s="24" t="str">
        <f t="shared" si="206"/>
        <v/>
      </c>
      <c r="BA90" s="24" t="str">
        <f t="shared" si="207"/>
        <v/>
      </c>
      <c r="BB90" s="24" t="str">
        <f t="shared" si="208"/>
        <v/>
      </c>
      <c r="BC90" s="26" t="str">
        <f t="shared" si="209"/>
        <v/>
      </c>
      <c r="BD90" s="26" t="str">
        <f t="shared" si="210"/>
        <v/>
      </c>
      <c r="BE90" s="26" t="str">
        <f t="shared" si="211"/>
        <v/>
      </c>
      <c r="BF90" s="26" t="str">
        <f t="shared" si="212"/>
        <v/>
      </c>
      <c r="BG90" s="26" t="str">
        <f t="shared" si="213"/>
        <v/>
      </c>
      <c r="BH90" s="26" t="str">
        <f t="shared" si="214"/>
        <v/>
      </c>
      <c r="BI90" s="26" t="str">
        <f t="shared" si="215"/>
        <v/>
      </c>
      <c r="BJ90" s="26" t="str">
        <f t="shared" si="216"/>
        <v/>
      </c>
      <c r="BK90" s="26" t="str">
        <f t="shared" si="217"/>
        <v/>
      </c>
      <c r="BL90" s="26" t="str">
        <f t="shared" si="218"/>
        <v/>
      </c>
      <c r="BM90" s="26" t="str">
        <f t="shared" si="219"/>
        <v/>
      </c>
      <c r="BN90" s="26" t="str">
        <f t="shared" si="220"/>
        <v/>
      </c>
      <c r="BO90" s="26" t="str">
        <f t="shared" si="221"/>
        <v/>
      </c>
      <c r="BP90" s="26" t="str">
        <f t="shared" si="222"/>
        <v/>
      </c>
      <c r="BQ90" s="26" t="str">
        <f t="shared" si="223"/>
        <v/>
      </c>
      <c r="BR90" s="26" t="str">
        <f t="shared" si="224"/>
        <v/>
      </c>
      <c r="BS90" s="24" t="str">
        <f t="shared" si="225"/>
        <v/>
      </c>
      <c r="BT90" s="24" t="str">
        <f t="shared" si="226"/>
        <v/>
      </c>
      <c r="BU90" s="24" t="str">
        <f t="shared" si="227"/>
        <v/>
      </c>
      <c r="BV90" s="24" t="str">
        <f t="shared" si="228"/>
        <v/>
      </c>
      <c r="BW90" s="24" t="str">
        <f t="shared" si="229"/>
        <v/>
      </c>
      <c r="BX90" s="24" t="str">
        <f t="shared" si="230"/>
        <v/>
      </c>
      <c r="BY90" s="24" t="str">
        <f t="shared" si="231"/>
        <v/>
      </c>
      <c r="BZ90" s="24" t="str">
        <f t="shared" si="232"/>
        <v/>
      </c>
      <c r="CA90" s="24" t="str">
        <f t="shared" si="233"/>
        <v/>
      </c>
      <c r="CB90" s="24" t="str">
        <f t="shared" si="175"/>
        <v/>
      </c>
      <c r="CC90" s="24" t="str">
        <f t="shared" si="234"/>
        <v/>
      </c>
      <c r="CD90" s="24" t="str">
        <f t="shared" si="235"/>
        <v/>
      </c>
      <c r="CE90" s="24"/>
      <c r="CF90" s="24" t="str">
        <f t="shared" si="176"/>
        <v/>
      </c>
      <c r="CG90" s="24" t="str">
        <f t="shared" si="236"/>
        <v/>
      </c>
      <c r="CH90" s="24" t="str">
        <f t="shared" si="237"/>
        <v/>
      </c>
      <c r="CI90" s="24" t="str">
        <f t="shared" si="238"/>
        <v/>
      </c>
      <c r="CJ90" s="26" t="str">
        <f t="shared" si="239"/>
        <v/>
      </c>
      <c r="CK90" s="26" t="str">
        <f t="shared" si="240"/>
        <v/>
      </c>
      <c r="CL90" s="26" t="str">
        <f t="shared" si="257"/>
        <v/>
      </c>
      <c r="CM90" s="24" t="str">
        <f t="shared" si="258"/>
        <v/>
      </c>
      <c r="CN90" s="26" t="str">
        <f t="shared" si="241"/>
        <v/>
      </c>
      <c r="CO90" s="24" t="str">
        <f t="shared" si="242"/>
        <v/>
      </c>
      <c r="CP90" s="26" t="str">
        <f t="shared" si="243"/>
        <v/>
      </c>
      <c r="CQ90" s="26" t="str">
        <f t="shared" si="244"/>
        <v/>
      </c>
      <c r="CR90" s="26" t="str">
        <f t="shared" si="259"/>
        <v/>
      </c>
      <c r="CS90" s="24" t="str">
        <f t="shared" si="260"/>
        <v/>
      </c>
      <c r="CT90" s="27" t="str">
        <f t="shared" si="245"/>
        <v/>
      </c>
      <c r="CU90" s="24" t="str">
        <f t="shared" si="246"/>
        <v/>
      </c>
      <c r="CV90" s="26" t="str">
        <f t="shared" si="247"/>
        <v/>
      </c>
      <c r="CW90" s="26" t="str">
        <f t="shared" si="248"/>
        <v/>
      </c>
      <c r="CX90" s="26" t="str">
        <f t="shared" si="261"/>
        <v/>
      </c>
      <c r="CY90" s="27" t="str">
        <f t="shared" si="262"/>
        <v/>
      </c>
      <c r="CZ90" s="26" t="str">
        <f t="shared" si="249"/>
        <v/>
      </c>
      <c r="DA90" s="24" t="str">
        <f t="shared" si="250"/>
        <v/>
      </c>
      <c r="DB90" s="24" t="str">
        <f t="shared" si="251"/>
        <v/>
      </c>
      <c r="DC90" s="24" t="str">
        <f t="shared" si="252"/>
        <v/>
      </c>
      <c r="DD90" s="24" t="str">
        <f t="shared" si="253"/>
        <v/>
      </c>
      <c r="DE90" s="1"/>
      <c r="DF90" s="1"/>
      <c r="DG90" s="1"/>
      <c r="DH90" s="24" t="str">
        <f t="shared" si="254"/>
        <v/>
      </c>
      <c r="DI90" s="25" t="str">
        <f t="shared" si="255"/>
        <v/>
      </c>
      <c r="DJ90" t="str">
        <f t="shared" si="174"/>
        <v/>
      </c>
      <c r="DK90" s="9"/>
      <c r="DL90" s="9"/>
      <c r="DM90" s="9"/>
      <c r="DN90" s="9"/>
      <c r="DO90" s="9"/>
      <c r="DP90" s="9"/>
      <c r="DQ90" s="136" t="b">
        <f t="shared" si="256"/>
        <v>1</v>
      </c>
    </row>
    <row r="91" spans="1:121" ht="27" customHeight="1" x14ac:dyDescent="0.95">
      <c r="A91" s="24" t="str">
        <f t="shared" si="263"/>
        <v/>
      </c>
      <c r="B91" s="9"/>
      <c r="C91" s="14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10"/>
      <c r="Q91" s="10"/>
      <c r="R91" s="10"/>
      <c r="S91" s="10"/>
      <c r="T91" s="10"/>
      <c r="U91" s="10"/>
      <c r="V91" s="10"/>
      <c r="W91" s="3" t="str">
        <f t="shared" si="177"/>
        <v/>
      </c>
      <c r="X91" s="3" t="str">
        <f t="shared" si="178"/>
        <v/>
      </c>
      <c r="Y91" s="3" t="str">
        <f t="shared" si="179"/>
        <v/>
      </c>
      <c r="Z91" s="3" t="str">
        <f t="shared" si="180"/>
        <v/>
      </c>
      <c r="AA91" s="3" t="str">
        <f t="shared" si="181"/>
        <v/>
      </c>
      <c r="AB91" s="3" t="str">
        <f t="shared" si="182"/>
        <v/>
      </c>
      <c r="AC91" s="3" t="str">
        <f t="shared" si="183"/>
        <v/>
      </c>
      <c r="AD91" s="3" t="str">
        <f t="shared" si="184"/>
        <v/>
      </c>
      <c r="AE91" s="3" t="str">
        <f t="shared" si="185"/>
        <v/>
      </c>
      <c r="AF91" s="24" t="str">
        <f t="shared" si="186"/>
        <v/>
      </c>
      <c r="AG91" s="24" t="str">
        <f t="shared" si="187"/>
        <v/>
      </c>
      <c r="AH91" s="24" t="str">
        <f t="shared" si="188"/>
        <v/>
      </c>
      <c r="AI91" s="24" t="str">
        <f t="shared" si="189"/>
        <v/>
      </c>
      <c r="AJ91" s="24" t="str">
        <f t="shared" si="190"/>
        <v/>
      </c>
      <c r="AK91" s="24" t="str">
        <f t="shared" si="191"/>
        <v/>
      </c>
      <c r="AL91" s="24" t="str">
        <f t="shared" si="192"/>
        <v/>
      </c>
      <c r="AM91" s="24" t="str">
        <f t="shared" si="193"/>
        <v/>
      </c>
      <c r="AN91" s="24" t="str">
        <f t="shared" si="194"/>
        <v/>
      </c>
      <c r="AO91" s="24" t="str">
        <f t="shared" si="195"/>
        <v/>
      </c>
      <c r="AP91" s="24" t="str">
        <f t="shared" si="196"/>
        <v/>
      </c>
      <c r="AQ91" s="24" t="str">
        <f t="shared" si="197"/>
        <v/>
      </c>
      <c r="AR91" s="24" t="str">
        <f t="shared" si="198"/>
        <v/>
      </c>
      <c r="AS91" s="24" t="str">
        <f t="shared" si="199"/>
        <v/>
      </c>
      <c r="AT91" s="24" t="str">
        <f t="shared" si="200"/>
        <v/>
      </c>
      <c r="AU91" s="24" t="str">
        <f t="shared" si="201"/>
        <v/>
      </c>
      <c r="AV91" s="24" t="str">
        <f t="shared" si="202"/>
        <v/>
      </c>
      <c r="AW91" s="24" t="str">
        <f t="shared" si="203"/>
        <v/>
      </c>
      <c r="AX91" s="24" t="str">
        <f t="shared" si="204"/>
        <v/>
      </c>
      <c r="AY91" s="24"/>
      <c r="AZ91" s="24" t="str">
        <f t="shared" si="206"/>
        <v/>
      </c>
      <c r="BA91" s="24" t="str">
        <f t="shared" si="207"/>
        <v/>
      </c>
      <c r="BB91" s="24" t="str">
        <f t="shared" si="208"/>
        <v/>
      </c>
      <c r="BC91" s="26" t="str">
        <f t="shared" ref="BC91:BC100" si="264">IF(OR(G91="",AM91=""),"",PRODUCT(G91,AM91))</f>
        <v/>
      </c>
      <c r="BD91" s="26" t="str">
        <f t="shared" ref="BD91:BD100" si="265">IF(OR(H91="",AN91=""),"",PRODUCT(H91,AN91))</f>
        <v/>
      </c>
      <c r="BE91" s="26" t="str">
        <f t="shared" ref="BE91:BE100" si="266">IF(OR(I91="",AO91=""),"",PRODUCT(I91,AO91))</f>
        <v/>
      </c>
      <c r="BF91" s="26" t="str">
        <f t="shared" ref="BF91:BF100" si="267">IF(OR(J91="",AP91=""),"",PRODUCT(J91,AP91))</f>
        <v/>
      </c>
      <c r="BG91" s="26" t="str">
        <f t="shared" ref="BG91:BG100" si="268">IF(OR(K91="",AQ91=""),"",PRODUCT(K91,AQ91))</f>
        <v/>
      </c>
      <c r="BH91" s="26" t="str">
        <f t="shared" ref="BH91:BH100" si="269">IF(OR(L91="",AR91=""),"",PRODUCT(L91,AR91))</f>
        <v/>
      </c>
      <c r="BI91" s="26" t="str">
        <f t="shared" ref="BI91:BI100" si="270">IF(OR(M91="",AS91=""),"",PRODUCT(M91,AS91))</f>
        <v/>
      </c>
      <c r="BJ91" s="26" t="str">
        <f t="shared" ref="BJ91:BJ100" si="271">IF(OR(N91="",AT91=""),"",PRODUCT(N91,AT91))</f>
        <v/>
      </c>
      <c r="BK91" s="26" t="str">
        <f t="shared" ref="BK91:BK100" si="272">IF(OR(O91="",AU91=""),"",PRODUCT(O91,AU91))</f>
        <v/>
      </c>
      <c r="BL91" s="26" t="str">
        <f t="shared" ref="BL91:BL100" si="273">IF(OR(P91="",AV91=""),"",PRODUCT(P91,AV91))</f>
        <v/>
      </c>
      <c r="BM91" s="26" t="str">
        <f t="shared" ref="BM91:BM100" si="274">IF(OR(Q91="",AW91=""),"",PRODUCT(Q91,AW91))</f>
        <v/>
      </c>
      <c r="BN91" s="26" t="str">
        <f t="shared" ref="BN91:BN100" si="275">IF(OR(R91="",AX91=""),"",PRODUCT(R91,AX91))</f>
        <v/>
      </c>
      <c r="BO91" s="26"/>
      <c r="BP91" s="26" t="str">
        <f t="shared" ref="BP91:BP100" si="276">IF(OR(T91="",AZ91=""),"",PRODUCT(T91,AZ91))</f>
        <v/>
      </c>
      <c r="BQ91" s="26" t="str">
        <f t="shared" ref="BQ91:BQ100" si="277">IF(OR(U91="",BA91=""),"",PRODUCT(U91,BA91))</f>
        <v/>
      </c>
      <c r="BR91" s="26" t="str">
        <f t="shared" ref="BR91:BR100" si="278">IF(OR(V91="",BB91=""),"",PRODUCT(V91,BB91))</f>
        <v/>
      </c>
      <c r="BS91" s="24" t="str">
        <f t="shared" si="225"/>
        <v/>
      </c>
      <c r="BT91" s="24" t="str">
        <f t="shared" si="226"/>
        <v/>
      </c>
      <c r="BU91" s="24" t="str">
        <f t="shared" si="227"/>
        <v/>
      </c>
      <c r="BV91" s="24" t="str">
        <f t="shared" si="228"/>
        <v/>
      </c>
      <c r="BW91" s="24" t="str">
        <f t="shared" si="229"/>
        <v/>
      </c>
      <c r="BX91" s="24" t="str">
        <f t="shared" si="230"/>
        <v/>
      </c>
      <c r="BY91" s="24" t="str">
        <f t="shared" si="231"/>
        <v/>
      </c>
      <c r="BZ91" s="24" t="str">
        <f t="shared" si="232"/>
        <v/>
      </c>
      <c r="CA91" s="24" t="str">
        <f t="shared" si="233"/>
        <v/>
      </c>
      <c r="CB91" s="24" t="str">
        <f t="shared" si="175"/>
        <v/>
      </c>
      <c r="CC91" s="24" t="str">
        <f t="shared" si="234"/>
        <v/>
      </c>
      <c r="CD91" s="24" t="str">
        <f t="shared" si="235"/>
        <v/>
      </c>
      <c r="CE91" s="24"/>
      <c r="CF91" s="24" t="str">
        <f t="shared" si="176"/>
        <v/>
      </c>
      <c r="CG91" s="24" t="str">
        <f t="shared" si="236"/>
        <v/>
      </c>
      <c r="CH91" s="24" t="str">
        <f t="shared" si="237"/>
        <v/>
      </c>
      <c r="CI91" s="24" t="str">
        <f t="shared" si="238"/>
        <v/>
      </c>
      <c r="CJ91" s="26" t="str">
        <f t="shared" si="239"/>
        <v/>
      </c>
      <c r="CK91" s="26" t="str">
        <f t="shared" si="240"/>
        <v/>
      </c>
      <c r="CL91" s="26" t="str">
        <f t="shared" si="257"/>
        <v/>
      </c>
      <c r="CM91" s="24" t="str">
        <f t="shared" si="258"/>
        <v/>
      </c>
      <c r="CN91" s="26" t="str">
        <f t="shared" si="241"/>
        <v/>
      </c>
      <c r="CO91" s="24" t="str">
        <f t="shared" si="242"/>
        <v/>
      </c>
      <c r="CP91" s="26" t="str">
        <f t="shared" si="243"/>
        <v/>
      </c>
      <c r="CQ91" s="26" t="str">
        <f t="shared" si="244"/>
        <v/>
      </c>
      <c r="CR91" s="26" t="str">
        <f t="shared" si="259"/>
        <v/>
      </c>
      <c r="CS91" s="24" t="str">
        <f t="shared" si="260"/>
        <v/>
      </c>
      <c r="CT91" s="27" t="str">
        <f t="shared" si="245"/>
        <v/>
      </c>
      <c r="CU91" s="24" t="str">
        <f t="shared" si="246"/>
        <v/>
      </c>
      <c r="CV91" s="26" t="str">
        <f t="shared" si="247"/>
        <v/>
      </c>
      <c r="CW91" s="26" t="str">
        <f t="shared" si="248"/>
        <v/>
      </c>
      <c r="CX91" s="26" t="str">
        <f t="shared" si="261"/>
        <v/>
      </c>
      <c r="CY91" s="27" t="str">
        <f t="shared" si="262"/>
        <v/>
      </c>
      <c r="CZ91" s="26" t="str">
        <f t="shared" si="249"/>
        <v/>
      </c>
      <c r="DA91" s="24" t="str">
        <f t="shared" si="250"/>
        <v/>
      </c>
      <c r="DB91" s="24" t="str">
        <f t="shared" si="251"/>
        <v/>
      </c>
      <c r="DC91" s="24" t="str">
        <f t="shared" si="252"/>
        <v/>
      </c>
      <c r="DD91" s="24" t="str">
        <f t="shared" si="253"/>
        <v/>
      </c>
      <c r="DE91" s="1"/>
      <c r="DF91" s="1"/>
      <c r="DG91" s="1"/>
      <c r="DH91" s="24" t="str">
        <f t="shared" si="254"/>
        <v/>
      </c>
      <c r="DI91" s="25" t="str">
        <f t="shared" si="255"/>
        <v/>
      </c>
      <c r="DJ91" t="str">
        <f t="shared" si="174"/>
        <v/>
      </c>
      <c r="DK91" s="9"/>
      <c r="DL91" s="9"/>
      <c r="DM91" s="9"/>
      <c r="DN91" s="9"/>
      <c r="DO91" s="9"/>
      <c r="DP91" s="9"/>
      <c r="DQ91" s="136" t="b">
        <f t="shared" si="256"/>
        <v>1</v>
      </c>
    </row>
    <row r="92" spans="1:121" ht="27" customHeight="1" x14ac:dyDescent="0.95">
      <c r="A92" s="24" t="str">
        <f t="shared" si="263"/>
        <v/>
      </c>
      <c r="B92" s="9"/>
      <c r="C92" s="14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10"/>
      <c r="Q92" s="10"/>
      <c r="R92" s="10"/>
      <c r="S92" s="10"/>
      <c r="T92" s="10"/>
      <c r="U92" s="10"/>
      <c r="V92" s="10"/>
      <c r="W92" s="3" t="str">
        <f t="shared" si="177"/>
        <v/>
      </c>
      <c r="X92" s="3" t="str">
        <f t="shared" si="178"/>
        <v/>
      </c>
      <c r="Y92" s="3" t="str">
        <f t="shared" si="179"/>
        <v/>
      </c>
      <c r="Z92" s="3" t="str">
        <f t="shared" si="180"/>
        <v/>
      </c>
      <c r="AA92" s="3" t="str">
        <f t="shared" si="181"/>
        <v/>
      </c>
      <c r="AB92" s="3" t="str">
        <f t="shared" si="182"/>
        <v/>
      </c>
      <c r="AC92" s="3" t="str">
        <f t="shared" si="183"/>
        <v/>
      </c>
      <c r="AD92" s="3" t="str">
        <f t="shared" si="184"/>
        <v/>
      </c>
      <c r="AE92" s="3" t="str">
        <f t="shared" si="185"/>
        <v/>
      </c>
      <c r="AF92" s="24" t="str">
        <f t="shared" si="186"/>
        <v/>
      </c>
      <c r="AG92" s="24" t="str">
        <f t="shared" si="187"/>
        <v/>
      </c>
      <c r="AH92" s="24" t="str">
        <f t="shared" si="188"/>
        <v/>
      </c>
      <c r="AI92" s="24" t="str">
        <f t="shared" si="189"/>
        <v/>
      </c>
      <c r="AJ92" s="24" t="str">
        <f t="shared" si="190"/>
        <v/>
      </c>
      <c r="AK92" s="24" t="str">
        <f t="shared" si="191"/>
        <v/>
      </c>
      <c r="AL92" s="24" t="str">
        <f t="shared" si="192"/>
        <v/>
      </c>
      <c r="AM92" s="24" t="str">
        <f t="shared" si="193"/>
        <v/>
      </c>
      <c r="AN92" s="24" t="str">
        <f t="shared" si="194"/>
        <v/>
      </c>
      <c r="AO92" s="24" t="str">
        <f t="shared" si="195"/>
        <v/>
      </c>
      <c r="AP92" s="24" t="str">
        <f t="shared" si="196"/>
        <v/>
      </c>
      <c r="AQ92" s="24" t="str">
        <f t="shared" si="197"/>
        <v/>
      </c>
      <c r="AR92" s="24" t="str">
        <f t="shared" si="198"/>
        <v/>
      </c>
      <c r="AS92" s="24" t="str">
        <f t="shared" si="199"/>
        <v/>
      </c>
      <c r="AT92" s="24" t="str">
        <f t="shared" si="200"/>
        <v/>
      </c>
      <c r="AU92" s="24" t="str">
        <f t="shared" si="201"/>
        <v/>
      </c>
      <c r="AV92" s="24" t="str">
        <f t="shared" si="202"/>
        <v/>
      </c>
      <c r="AW92" s="24" t="str">
        <f t="shared" si="203"/>
        <v/>
      </c>
      <c r="AX92" s="24" t="str">
        <f t="shared" si="204"/>
        <v/>
      </c>
      <c r="AY92" s="24"/>
      <c r="AZ92" s="24" t="str">
        <f t="shared" si="206"/>
        <v/>
      </c>
      <c r="BA92" s="24" t="str">
        <f t="shared" si="207"/>
        <v/>
      </c>
      <c r="BB92" s="24" t="str">
        <f t="shared" si="208"/>
        <v/>
      </c>
      <c r="BC92" s="26" t="str">
        <f t="shared" si="264"/>
        <v/>
      </c>
      <c r="BD92" s="26" t="str">
        <f t="shared" si="265"/>
        <v/>
      </c>
      <c r="BE92" s="26" t="str">
        <f t="shared" si="266"/>
        <v/>
      </c>
      <c r="BF92" s="26" t="str">
        <f t="shared" si="267"/>
        <v/>
      </c>
      <c r="BG92" s="26" t="str">
        <f t="shared" si="268"/>
        <v/>
      </c>
      <c r="BH92" s="26" t="str">
        <f t="shared" si="269"/>
        <v/>
      </c>
      <c r="BI92" s="26" t="str">
        <f t="shared" si="270"/>
        <v/>
      </c>
      <c r="BJ92" s="26" t="str">
        <f t="shared" si="271"/>
        <v/>
      </c>
      <c r="BK92" s="26" t="str">
        <f t="shared" si="272"/>
        <v/>
      </c>
      <c r="BL92" s="26" t="str">
        <f t="shared" si="273"/>
        <v/>
      </c>
      <c r="BM92" s="26" t="str">
        <f t="shared" si="274"/>
        <v/>
      </c>
      <c r="BN92" s="26" t="str">
        <f t="shared" si="275"/>
        <v/>
      </c>
      <c r="BO92" s="26"/>
      <c r="BP92" s="26" t="str">
        <f t="shared" si="276"/>
        <v/>
      </c>
      <c r="BQ92" s="26" t="str">
        <f t="shared" si="277"/>
        <v/>
      </c>
      <c r="BR92" s="26" t="str">
        <f t="shared" si="278"/>
        <v/>
      </c>
      <c r="BS92" s="24" t="str">
        <f t="shared" si="225"/>
        <v/>
      </c>
      <c r="BT92" s="24" t="str">
        <f t="shared" si="226"/>
        <v/>
      </c>
      <c r="BU92" s="24" t="str">
        <f t="shared" si="227"/>
        <v/>
      </c>
      <c r="BV92" s="24" t="str">
        <f t="shared" si="228"/>
        <v/>
      </c>
      <c r="BW92" s="24" t="str">
        <f t="shared" si="229"/>
        <v/>
      </c>
      <c r="BX92" s="24" t="str">
        <f t="shared" si="230"/>
        <v/>
      </c>
      <c r="BY92" s="24" t="str">
        <f t="shared" si="231"/>
        <v/>
      </c>
      <c r="BZ92" s="24" t="str">
        <f t="shared" si="232"/>
        <v/>
      </c>
      <c r="CA92" s="24" t="str">
        <f t="shared" si="233"/>
        <v/>
      </c>
      <c r="CB92" s="24" t="str">
        <f t="shared" si="175"/>
        <v/>
      </c>
      <c r="CC92" s="24" t="str">
        <f t="shared" si="234"/>
        <v/>
      </c>
      <c r="CD92" s="24" t="str">
        <f t="shared" si="235"/>
        <v/>
      </c>
      <c r="CE92" s="24"/>
      <c r="CF92" s="24" t="str">
        <f t="shared" si="176"/>
        <v/>
      </c>
      <c r="CG92" s="24" t="str">
        <f t="shared" si="236"/>
        <v/>
      </c>
      <c r="CH92" s="24" t="str">
        <f t="shared" si="237"/>
        <v/>
      </c>
      <c r="CI92" s="24" t="str">
        <f t="shared" si="238"/>
        <v/>
      </c>
      <c r="CJ92" s="26" t="str">
        <f t="shared" si="239"/>
        <v/>
      </c>
      <c r="CK92" s="26" t="str">
        <f t="shared" si="240"/>
        <v/>
      </c>
      <c r="CL92" s="26" t="str">
        <f t="shared" si="257"/>
        <v/>
      </c>
      <c r="CM92" s="24" t="str">
        <f t="shared" si="258"/>
        <v/>
      </c>
      <c r="CN92" s="26" t="str">
        <f t="shared" si="241"/>
        <v/>
      </c>
      <c r="CO92" s="24" t="str">
        <f t="shared" si="242"/>
        <v/>
      </c>
      <c r="CP92" s="26" t="str">
        <f t="shared" si="243"/>
        <v/>
      </c>
      <c r="CQ92" s="26" t="str">
        <f t="shared" si="244"/>
        <v/>
      </c>
      <c r="CR92" s="26" t="str">
        <f t="shared" si="259"/>
        <v/>
      </c>
      <c r="CS92" s="24" t="str">
        <f t="shared" si="260"/>
        <v/>
      </c>
      <c r="CT92" s="27" t="str">
        <f t="shared" si="245"/>
        <v/>
      </c>
      <c r="CU92" s="24" t="str">
        <f t="shared" si="246"/>
        <v/>
      </c>
      <c r="CV92" s="26" t="str">
        <f t="shared" si="247"/>
        <v/>
      </c>
      <c r="CW92" s="26" t="str">
        <f t="shared" si="248"/>
        <v/>
      </c>
      <c r="CX92" s="26" t="str">
        <f t="shared" si="261"/>
        <v/>
      </c>
      <c r="CY92" s="27" t="str">
        <f t="shared" si="262"/>
        <v/>
      </c>
      <c r="CZ92" s="26" t="str">
        <f t="shared" si="249"/>
        <v/>
      </c>
      <c r="DA92" s="24" t="str">
        <f t="shared" si="250"/>
        <v/>
      </c>
      <c r="DB92" s="24" t="str">
        <f t="shared" si="251"/>
        <v/>
      </c>
      <c r="DC92" s="24" t="str">
        <f t="shared" si="252"/>
        <v/>
      </c>
      <c r="DD92" s="24" t="str">
        <f t="shared" si="253"/>
        <v/>
      </c>
      <c r="DE92" s="1"/>
      <c r="DF92" s="1"/>
      <c r="DG92" s="1"/>
      <c r="DH92" s="24" t="str">
        <f t="shared" si="254"/>
        <v/>
      </c>
      <c r="DI92" s="25" t="str">
        <f t="shared" si="255"/>
        <v/>
      </c>
      <c r="DJ92" t="str">
        <f t="shared" si="174"/>
        <v/>
      </c>
      <c r="DK92" s="9"/>
      <c r="DL92" s="9"/>
      <c r="DM92" s="9"/>
      <c r="DN92" s="9"/>
      <c r="DO92" s="9"/>
      <c r="DP92" s="9"/>
      <c r="DQ92" s="136" t="b">
        <f t="shared" si="256"/>
        <v>1</v>
      </c>
    </row>
    <row r="93" spans="1:121" ht="27" customHeight="1" x14ac:dyDescent="0.95">
      <c r="A93" s="24" t="str">
        <f t="shared" si="263"/>
        <v/>
      </c>
      <c r="B93" s="9"/>
      <c r="C93" s="14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10"/>
      <c r="Q93" s="10"/>
      <c r="R93" s="10"/>
      <c r="S93" s="10"/>
      <c r="T93" s="10"/>
      <c r="U93" s="10"/>
      <c r="V93" s="10"/>
      <c r="W93" s="3" t="str">
        <f t="shared" si="177"/>
        <v/>
      </c>
      <c r="X93" s="3" t="str">
        <f t="shared" si="178"/>
        <v/>
      </c>
      <c r="Y93" s="3" t="str">
        <f t="shared" si="179"/>
        <v/>
      </c>
      <c r="Z93" s="3" t="str">
        <f t="shared" si="180"/>
        <v/>
      </c>
      <c r="AA93" s="3" t="str">
        <f t="shared" si="181"/>
        <v/>
      </c>
      <c r="AB93" s="3" t="str">
        <f t="shared" si="182"/>
        <v/>
      </c>
      <c r="AC93" s="3" t="str">
        <f t="shared" si="183"/>
        <v/>
      </c>
      <c r="AD93" s="3" t="str">
        <f t="shared" si="184"/>
        <v/>
      </c>
      <c r="AE93" s="3" t="str">
        <f t="shared" si="185"/>
        <v/>
      </c>
      <c r="AF93" s="24" t="str">
        <f t="shared" si="186"/>
        <v/>
      </c>
      <c r="AG93" s="24" t="str">
        <f t="shared" si="187"/>
        <v/>
      </c>
      <c r="AH93" s="24" t="str">
        <f t="shared" si="188"/>
        <v/>
      </c>
      <c r="AI93" s="24" t="str">
        <f t="shared" si="189"/>
        <v/>
      </c>
      <c r="AJ93" s="24" t="str">
        <f t="shared" si="190"/>
        <v/>
      </c>
      <c r="AK93" s="24" t="str">
        <f t="shared" si="191"/>
        <v/>
      </c>
      <c r="AL93" s="24" t="str">
        <f t="shared" si="192"/>
        <v/>
      </c>
      <c r="AM93" s="24" t="str">
        <f t="shared" si="193"/>
        <v/>
      </c>
      <c r="AN93" s="24" t="str">
        <f t="shared" si="194"/>
        <v/>
      </c>
      <c r="AO93" s="24" t="str">
        <f t="shared" si="195"/>
        <v/>
      </c>
      <c r="AP93" s="24" t="str">
        <f t="shared" si="196"/>
        <v/>
      </c>
      <c r="AQ93" s="24" t="str">
        <f t="shared" si="197"/>
        <v/>
      </c>
      <c r="AR93" s="24" t="str">
        <f t="shared" si="198"/>
        <v/>
      </c>
      <c r="AS93" s="24" t="str">
        <f t="shared" si="199"/>
        <v/>
      </c>
      <c r="AT93" s="24" t="str">
        <f t="shared" si="200"/>
        <v/>
      </c>
      <c r="AU93" s="24" t="str">
        <f t="shared" si="201"/>
        <v/>
      </c>
      <c r="AV93" s="24" t="str">
        <f t="shared" si="202"/>
        <v/>
      </c>
      <c r="AW93" s="24" t="str">
        <f t="shared" si="203"/>
        <v/>
      </c>
      <c r="AX93" s="24" t="str">
        <f t="shared" si="204"/>
        <v/>
      </c>
      <c r="AY93" s="24"/>
      <c r="AZ93" s="24" t="str">
        <f t="shared" si="206"/>
        <v/>
      </c>
      <c r="BA93" s="24" t="str">
        <f t="shared" si="207"/>
        <v/>
      </c>
      <c r="BB93" s="24" t="str">
        <f t="shared" si="208"/>
        <v/>
      </c>
      <c r="BC93" s="26" t="str">
        <f t="shared" si="264"/>
        <v/>
      </c>
      <c r="BD93" s="26" t="str">
        <f t="shared" si="265"/>
        <v/>
      </c>
      <c r="BE93" s="26" t="str">
        <f t="shared" si="266"/>
        <v/>
      </c>
      <c r="BF93" s="26" t="str">
        <f t="shared" si="267"/>
        <v/>
      </c>
      <c r="BG93" s="26" t="str">
        <f t="shared" si="268"/>
        <v/>
      </c>
      <c r="BH93" s="26" t="str">
        <f t="shared" si="269"/>
        <v/>
      </c>
      <c r="BI93" s="26" t="str">
        <f t="shared" si="270"/>
        <v/>
      </c>
      <c r="BJ93" s="26" t="str">
        <f t="shared" si="271"/>
        <v/>
      </c>
      <c r="BK93" s="26" t="str">
        <f t="shared" si="272"/>
        <v/>
      </c>
      <c r="BL93" s="26" t="str">
        <f t="shared" si="273"/>
        <v/>
      </c>
      <c r="BM93" s="26" t="str">
        <f t="shared" si="274"/>
        <v/>
      </c>
      <c r="BN93" s="26" t="str">
        <f t="shared" si="275"/>
        <v/>
      </c>
      <c r="BO93" s="26"/>
      <c r="BP93" s="26" t="str">
        <f t="shared" si="276"/>
        <v/>
      </c>
      <c r="BQ93" s="26" t="str">
        <f t="shared" si="277"/>
        <v/>
      </c>
      <c r="BR93" s="26" t="str">
        <f t="shared" si="278"/>
        <v/>
      </c>
      <c r="BS93" s="24" t="str">
        <f t="shared" si="225"/>
        <v/>
      </c>
      <c r="BT93" s="24" t="str">
        <f t="shared" si="226"/>
        <v/>
      </c>
      <c r="BU93" s="24" t="str">
        <f t="shared" si="227"/>
        <v/>
      </c>
      <c r="BV93" s="24" t="str">
        <f t="shared" si="228"/>
        <v/>
      </c>
      <c r="BW93" s="24" t="str">
        <f t="shared" si="229"/>
        <v/>
      </c>
      <c r="BX93" s="24" t="str">
        <f t="shared" si="230"/>
        <v/>
      </c>
      <c r="BY93" s="24" t="str">
        <f t="shared" si="231"/>
        <v/>
      </c>
      <c r="BZ93" s="24" t="str">
        <f t="shared" si="232"/>
        <v/>
      </c>
      <c r="CA93" s="24" t="str">
        <f t="shared" si="233"/>
        <v/>
      </c>
      <c r="CB93" s="24" t="str">
        <f t="shared" si="175"/>
        <v/>
      </c>
      <c r="CC93" s="24" t="str">
        <f t="shared" si="234"/>
        <v/>
      </c>
      <c r="CD93" s="24" t="str">
        <f t="shared" si="235"/>
        <v/>
      </c>
      <c r="CE93" s="24"/>
      <c r="CF93" s="24" t="str">
        <f t="shared" si="176"/>
        <v/>
      </c>
      <c r="CG93" s="24" t="str">
        <f t="shared" si="236"/>
        <v/>
      </c>
      <c r="CH93" s="24" t="str">
        <f t="shared" si="237"/>
        <v/>
      </c>
      <c r="CI93" s="24" t="str">
        <f t="shared" si="238"/>
        <v/>
      </c>
      <c r="CJ93" s="26" t="str">
        <f t="shared" si="239"/>
        <v/>
      </c>
      <c r="CK93" s="26" t="str">
        <f t="shared" si="240"/>
        <v/>
      </c>
      <c r="CL93" s="26" t="str">
        <f t="shared" si="257"/>
        <v/>
      </c>
      <c r="CM93" s="24" t="str">
        <f t="shared" si="258"/>
        <v/>
      </c>
      <c r="CN93" s="26" t="str">
        <f t="shared" si="241"/>
        <v/>
      </c>
      <c r="CO93" s="24" t="str">
        <f t="shared" si="242"/>
        <v/>
      </c>
      <c r="CP93" s="26" t="str">
        <f t="shared" si="243"/>
        <v/>
      </c>
      <c r="CQ93" s="26" t="str">
        <f t="shared" si="244"/>
        <v/>
      </c>
      <c r="CR93" s="26" t="str">
        <f t="shared" si="259"/>
        <v/>
      </c>
      <c r="CS93" s="24" t="str">
        <f t="shared" si="260"/>
        <v/>
      </c>
      <c r="CT93" s="27" t="str">
        <f t="shared" si="245"/>
        <v/>
      </c>
      <c r="CU93" s="24" t="str">
        <f t="shared" si="246"/>
        <v/>
      </c>
      <c r="CV93" s="26" t="str">
        <f t="shared" si="247"/>
        <v/>
      </c>
      <c r="CW93" s="26" t="str">
        <f t="shared" si="248"/>
        <v/>
      </c>
      <c r="CX93" s="26" t="str">
        <f t="shared" si="261"/>
        <v/>
      </c>
      <c r="CY93" s="27" t="str">
        <f t="shared" si="262"/>
        <v/>
      </c>
      <c r="CZ93" s="26" t="str">
        <f t="shared" si="249"/>
        <v/>
      </c>
      <c r="DA93" s="24" t="str">
        <f t="shared" si="250"/>
        <v/>
      </c>
      <c r="DB93" s="24" t="str">
        <f t="shared" si="251"/>
        <v/>
      </c>
      <c r="DC93" s="24" t="str">
        <f t="shared" si="252"/>
        <v/>
      </c>
      <c r="DD93" s="24" t="str">
        <f t="shared" si="253"/>
        <v/>
      </c>
      <c r="DE93" s="1"/>
      <c r="DF93" s="1"/>
      <c r="DG93" s="1"/>
      <c r="DH93" s="24" t="str">
        <f t="shared" si="254"/>
        <v/>
      </c>
      <c r="DI93" s="25" t="str">
        <f t="shared" si="255"/>
        <v/>
      </c>
      <c r="DJ93" t="str">
        <f t="shared" si="174"/>
        <v/>
      </c>
      <c r="DK93" s="9"/>
      <c r="DL93" s="9"/>
      <c r="DM93" s="9"/>
      <c r="DN93" s="9"/>
      <c r="DO93" s="9"/>
      <c r="DP93" s="9"/>
      <c r="DQ93" s="136" t="b">
        <f t="shared" si="256"/>
        <v>1</v>
      </c>
    </row>
    <row r="94" spans="1:121" ht="27" customHeight="1" x14ac:dyDescent="0.95">
      <c r="A94" s="24" t="str">
        <f t="shared" si="263"/>
        <v/>
      </c>
      <c r="B94" s="9"/>
      <c r="C94" s="14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10"/>
      <c r="Q94" s="10"/>
      <c r="R94" s="10"/>
      <c r="S94" s="10"/>
      <c r="T94" s="10"/>
      <c r="U94" s="10"/>
      <c r="V94" s="10"/>
      <c r="W94" s="3" t="str">
        <f t="shared" ref="W94:AH100" si="279">IF(G94="","",IF(G94&gt;=90,"A",IF(G94&gt;=80,"B",IF(G94&gt;=70,"C",IF(G94&gt;=60,"D",IF(G94&gt;=50,"E",IF(G94&gt;=0,"F","")))))))</f>
        <v/>
      </c>
      <c r="X94" s="3" t="str">
        <f t="shared" si="279"/>
        <v/>
      </c>
      <c r="Y94" s="3" t="str">
        <f t="shared" si="279"/>
        <v/>
      </c>
      <c r="Z94" s="3" t="str">
        <f t="shared" si="279"/>
        <v/>
      </c>
      <c r="AA94" s="3" t="str">
        <f t="shared" si="279"/>
        <v/>
      </c>
      <c r="AB94" s="3" t="str">
        <f t="shared" si="279"/>
        <v/>
      </c>
      <c r="AC94" s="3" t="str">
        <f t="shared" si="279"/>
        <v/>
      </c>
      <c r="AD94" s="3" t="str">
        <f t="shared" si="279"/>
        <v/>
      </c>
      <c r="AE94" s="3" t="str">
        <f t="shared" si="279"/>
        <v/>
      </c>
      <c r="AF94" s="24" t="str">
        <f t="shared" si="279"/>
        <v/>
      </c>
      <c r="AG94" s="24" t="str">
        <f t="shared" si="279"/>
        <v/>
      </c>
      <c r="AH94" s="24" t="str">
        <f t="shared" si="279"/>
        <v/>
      </c>
      <c r="AI94" s="24"/>
      <c r="AJ94" s="24" t="str">
        <f t="shared" ref="AJ94:AL100" si="280">IF(T94="","",IF(T94&gt;=90,"A",IF(T94&gt;=80,"B",IF(T94&gt;=70,"C",IF(T94&gt;=60,"D",IF(T94&gt;=50,"E",IF(T94&gt;=0,"F","")))))))</f>
        <v/>
      </c>
      <c r="AK94" s="24" t="str">
        <f t="shared" si="280"/>
        <v/>
      </c>
      <c r="AL94" s="24" t="str">
        <f t="shared" si="280"/>
        <v/>
      </c>
      <c r="AM94" s="24" t="str">
        <f t="shared" si="193"/>
        <v/>
      </c>
      <c r="AN94" s="24" t="str">
        <f t="shared" si="194"/>
        <v/>
      </c>
      <c r="AO94" s="24" t="str">
        <f t="shared" si="195"/>
        <v/>
      </c>
      <c r="AP94" s="24" t="str">
        <f t="shared" si="196"/>
        <v/>
      </c>
      <c r="AQ94" s="24" t="str">
        <f t="shared" si="197"/>
        <v/>
      </c>
      <c r="AR94" s="24" t="str">
        <f t="shared" si="198"/>
        <v/>
      </c>
      <c r="AS94" s="24" t="str">
        <f t="shared" si="199"/>
        <v/>
      </c>
      <c r="AT94" s="24" t="str">
        <f t="shared" si="200"/>
        <v/>
      </c>
      <c r="AU94" s="24" t="str">
        <f t="shared" si="201"/>
        <v/>
      </c>
      <c r="AV94" s="24" t="str">
        <f t="shared" si="202"/>
        <v/>
      </c>
      <c r="AW94" s="24" t="str">
        <f t="shared" si="203"/>
        <v/>
      </c>
      <c r="AX94" s="24" t="str">
        <f t="shared" si="204"/>
        <v/>
      </c>
      <c r="AY94" s="24"/>
      <c r="AZ94" s="24" t="str">
        <f t="shared" si="206"/>
        <v/>
      </c>
      <c r="BA94" s="24" t="str">
        <f t="shared" si="207"/>
        <v/>
      </c>
      <c r="BB94" s="24" t="str">
        <f t="shared" si="208"/>
        <v/>
      </c>
      <c r="BC94" s="26" t="str">
        <f t="shared" si="264"/>
        <v/>
      </c>
      <c r="BD94" s="26" t="str">
        <f t="shared" si="265"/>
        <v/>
      </c>
      <c r="BE94" s="26" t="str">
        <f t="shared" si="266"/>
        <v/>
      </c>
      <c r="BF94" s="26" t="str">
        <f t="shared" si="267"/>
        <v/>
      </c>
      <c r="BG94" s="26" t="str">
        <f t="shared" si="268"/>
        <v/>
      </c>
      <c r="BH94" s="26" t="str">
        <f t="shared" si="269"/>
        <v/>
      </c>
      <c r="BI94" s="26" t="str">
        <f t="shared" si="270"/>
        <v/>
      </c>
      <c r="BJ94" s="26" t="str">
        <f t="shared" si="271"/>
        <v/>
      </c>
      <c r="BK94" s="26" t="str">
        <f t="shared" si="272"/>
        <v/>
      </c>
      <c r="BL94" s="26" t="str">
        <f t="shared" si="273"/>
        <v/>
      </c>
      <c r="BM94" s="26" t="str">
        <f t="shared" si="274"/>
        <v/>
      </c>
      <c r="BN94" s="26" t="str">
        <f t="shared" si="275"/>
        <v/>
      </c>
      <c r="BO94" s="26"/>
      <c r="BP94" s="26" t="str">
        <f t="shared" si="276"/>
        <v/>
      </c>
      <c r="BQ94" s="26" t="str">
        <f t="shared" si="277"/>
        <v/>
      </c>
      <c r="BR94" s="26" t="str">
        <f t="shared" si="278"/>
        <v/>
      </c>
      <c r="BS94" s="24" t="str">
        <f t="shared" si="225"/>
        <v/>
      </c>
      <c r="BT94" s="24" t="str">
        <f t="shared" si="226"/>
        <v/>
      </c>
      <c r="BU94" s="24" t="str">
        <f t="shared" si="227"/>
        <v/>
      </c>
      <c r="BV94" s="24" t="str">
        <f t="shared" si="228"/>
        <v/>
      </c>
      <c r="BW94" s="24" t="str">
        <f t="shared" si="229"/>
        <v/>
      </c>
      <c r="BX94" s="24" t="str">
        <f t="shared" si="230"/>
        <v/>
      </c>
      <c r="BY94" s="24" t="str">
        <f t="shared" si="231"/>
        <v/>
      </c>
      <c r="BZ94" s="24" t="str">
        <f t="shared" si="232"/>
        <v/>
      </c>
      <c r="CA94" s="24" t="str">
        <f t="shared" si="233"/>
        <v/>
      </c>
      <c r="CB94" s="24" t="str">
        <f t="shared" si="175"/>
        <v/>
      </c>
      <c r="CC94" s="24" t="str">
        <f t="shared" si="234"/>
        <v/>
      </c>
      <c r="CD94" s="24" t="str">
        <f t="shared" si="235"/>
        <v/>
      </c>
      <c r="CE94" s="24"/>
      <c r="CF94" s="24" t="str">
        <f t="shared" si="176"/>
        <v/>
      </c>
      <c r="CG94" s="24" t="str">
        <f t="shared" si="236"/>
        <v/>
      </c>
      <c r="CH94" s="24" t="str">
        <f t="shared" si="237"/>
        <v/>
      </c>
      <c r="CI94" s="24" t="str">
        <f t="shared" si="238"/>
        <v/>
      </c>
      <c r="CJ94" s="26" t="str">
        <f t="shared" si="239"/>
        <v/>
      </c>
      <c r="CK94" s="26" t="str">
        <f t="shared" si="240"/>
        <v/>
      </c>
      <c r="CL94" s="26" t="str">
        <f t="shared" si="257"/>
        <v/>
      </c>
      <c r="CM94" s="24" t="str">
        <f t="shared" si="258"/>
        <v/>
      </c>
      <c r="CN94" s="26" t="str">
        <f t="shared" si="241"/>
        <v/>
      </c>
      <c r="CO94" s="24" t="str">
        <f t="shared" si="242"/>
        <v/>
      </c>
      <c r="CP94" s="26" t="str">
        <f t="shared" si="243"/>
        <v/>
      </c>
      <c r="CQ94" s="26" t="str">
        <f t="shared" si="244"/>
        <v/>
      </c>
      <c r="CR94" s="26" t="str">
        <f t="shared" si="259"/>
        <v/>
      </c>
      <c r="CS94" s="24" t="str">
        <f t="shared" si="260"/>
        <v/>
      </c>
      <c r="CT94" s="27" t="str">
        <f t="shared" si="245"/>
        <v/>
      </c>
      <c r="CU94" s="24" t="str">
        <f t="shared" si="246"/>
        <v/>
      </c>
      <c r="CV94" s="26" t="str">
        <f t="shared" si="247"/>
        <v/>
      </c>
      <c r="CW94" s="26" t="str">
        <f t="shared" si="248"/>
        <v/>
      </c>
      <c r="CX94" s="26" t="str">
        <f t="shared" si="261"/>
        <v/>
      </c>
      <c r="CY94" s="27" t="str">
        <f t="shared" si="262"/>
        <v/>
      </c>
      <c r="CZ94" s="26" t="str">
        <f t="shared" si="249"/>
        <v/>
      </c>
      <c r="DA94" s="24" t="str">
        <f t="shared" si="250"/>
        <v/>
      </c>
      <c r="DB94" s="24" t="str">
        <f t="shared" si="251"/>
        <v/>
      </c>
      <c r="DC94" s="24" t="str">
        <f t="shared" si="252"/>
        <v/>
      </c>
      <c r="DD94" s="24" t="str">
        <f t="shared" si="253"/>
        <v/>
      </c>
      <c r="DE94" s="1"/>
      <c r="DF94" s="1"/>
      <c r="DG94" s="1"/>
      <c r="DH94" s="24" t="str">
        <f t="shared" si="254"/>
        <v/>
      </c>
      <c r="DI94" s="25" t="str">
        <f t="shared" si="255"/>
        <v/>
      </c>
      <c r="DJ94" t="str">
        <f t="shared" si="174"/>
        <v/>
      </c>
      <c r="DK94" s="9"/>
      <c r="DL94" s="9"/>
      <c r="DM94" s="9"/>
      <c r="DN94" s="9"/>
      <c r="DO94" s="9"/>
      <c r="DP94" s="9"/>
      <c r="DQ94" s="136" t="b">
        <f t="shared" si="256"/>
        <v>1</v>
      </c>
    </row>
    <row r="95" spans="1:121" ht="27" customHeight="1" x14ac:dyDescent="0.95">
      <c r="A95" s="24" t="str">
        <f t="shared" si="263"/>
        <v/>
      </c>
      <c r="B95" s="9"/>
      <c r="C95" s="14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10"/>
      <c r="Q95" s="10"/>
      <c r="R95" s="10"/>
      <c r="S95" s="10"/>
      <c r="T95" s="10"/>
      <c r="U95" s="10"/>
      <c r="V95" s="10"/>
      <c r="W95" s="3" t="str">
        <f t="shared" si="279"/>
        <v/>
      </c>
      <c r="X95" s="3" t="str">
        <f t="shared" si="279"/>
        <v/>
      </c>
      <c r="Y95" s="3" t="str">
        <f t="shared" si="279"/>
        <v/>
      </c>
      <c r="Z95" s="3" t="str">
        <f t="shared" si="279"/>
        <v/>
      </c>
      <c r="AA95" s="3" t="str">
        <f t="shared" si="279"/>
        <v/>
      </c>
      <c r="AB95" s="3" t="str">
        <f t="shared" si="279"/>
        <v/>
      </c>
      <c r="AC95" s="3" t="str">
        <f t="shared" si="279"/>
        <v/>
      </c>
      <c r="AD95" s="3" t="str">
        <f t="shared" si="279"/>
        <v/>
      </c>
      <c r="AE95" s="3" t="str">
        <f t="shared" si="279"/>
        <v/>
      </c>
      <c r="AF95" s="24" t="str">
        <f t="shared" si="279"/>
        <v/>
      </c>
      <c r="AG95" s="24" t="str">
        <f t="shared" si="279"/>
        <v/>
      </c>
      <c r="AH95" s="24" t="str">
        <f t="shared" si="279"/>
        <v/>
      </c>
      <c r="AI95" s="24"/>
      <c r="AJ95" s="24" t="str">
        <f t="shared" si="280"/>
        <v/>
      </c>
      <c r="AK95" s="24" t="str">
        <f t="shared" si="280"/>
        <v/>
      </c>
      <c r="AL95" s="24" t="str">
        <f t="shared" si="280"/>
        <v/>
      </c>
      <c r="AM95" s="24" t="str">
        <f t="shared" si="193"/>
        <v/>
      </c>
      <c r="AN95" s="24" t="str">
        <f t="shared" si="194"/>
        <v/>
      </c>
      <c r="AO95" s="24" t="str">
        <f t="shared" si="195"/>
        <v/>
      </c>
      <c r="AP95" s="24" t="str">
        <f t="shared" si="196"/>
        <v/>
      </c>
      <c r="AQ95" s="24" t="str">
        <f t="shared" si="197"/>
        <v/>
      </c>
      <c r="AR95" s="24" t="str">
        <f t="shared" si="198"/>
        <v/>
      </c>
      <c r="AS95" s="24" t="str">
        <f t="shared" si="199"/>
        <v/>
      </c>
      <c r="AT95" s="24" t="str">
        <f t="shared" si="200"/>
        <v/>
      </c>
      <c r="AU95" s="24" t="str">
        <f t="shared" si="201"/>
        <v/>
      </c>
      <c r="AV95" s="24" t="str">
        <f t="shared" si="202"/>
        <v/>
      </c>
      <c r="AW95" s="24" t="str">
        <f t="shared" si="203"/>
        <v/>
      </c>
      <c r="AX95" s="24" t="str">
        <f t="shared" si="204"/>
        <v/>
      </c>
      <c r="AY95" s="24"/>
      <c r="AZ95" s="24" t="str">
        <f t="shared" si="206"/>
        <v/>
      </c>
      <c r="BA95" s="24" t="str">
        <f t="shared" si="207"/>
        <v/>
      </c>
      <c r="BB95" s="24" t="str">
        <f t="shared" si="208"/>
        <v/>
      </c>
      <c r="BC95" s="26" t="str">
        <f t="shared" si="264"/>
        <v/>
      </c>
      <c r="BD95" s="26" t="str">
        <f t="shared" si="265"/>
        <v/>
      </c>
      <c r="BE95" s="26" t="str">
        <f t="shared" si="266"/>
        <v/>
      </c>
      <c r="BF95" s="26" t="str">
        <f t="shared" si="267"/>
        <v/>
      </c>
      <c r="BG95" s="26" t="str">
        <f t="shared" si="268"/>
        <v/>
      </c>
      <c r="BH95" s="26" t="str">
        <f t="shared" si="269"/>
        <v/>
      </c>
      <c r="BI95" s="26" t="str">
        <f t="shared" si="270"/>
        <v/>
      </c>
      <c r="BJ95" s="26" t="str">
        <f t="shared" si="271"/>
        <v/>
      </c>
      <c r="BK95" s="26" t="str">
        <f t="shared" si="272"/>
        <v/>
      </c>
      <c r="BL95" s="26" t="str">
        <f t="shared" si="273"/>
        <v/>
      </c>
      <c r="BM95" s="26" t="str">
        <f t="shared" si="274"/>
        <v/>
      </c>
      <c r="BN95" s="26" t="str">
        <f t="shared" si="275"/>
        <v/>
      </c>
      <c r="BO95" s="26"/>
      <c r="BP95" s="26" t="str">
        <f t="shared" si="276"/>
        <v/>
      </c>
      <c r="BQ95" s="26" t="str">
        <f t="shared" si="277"/>
        <v/>
      </c>
      <c r="BR95" s="26" t="str">
        <f t="shared" si="278"/>
        <v/>
      </c>
      <c r="BS95" s="24" t="str">
        <f t="shared" si="225"/>
        <v/>
      </c>
      <c r="BT95" s="24" t="str">
        <f t="shared" si="226"/>
        <v/>
      </c>
      <c r="BU95" s="24" t="str">
        <f t="shared" si="227"/>
        <v/>
      </c>
      <c r="BV95" s="24" t="str">
        <f t="shared" si="228"/>
        <v/>
      </c>
      <c r="BW95" s="24" t="str">
        <f t="shared" si="229"/>
        <v/>
      </c>
      <c r="BX95" s="24" t="str">
        <f t="shared" si="230"/>
        <v/>
      </c>
      <c r="BY95" s="24" t="str">
        <f t="shared" si="231"/>
        <v/>
      </c>
      <c r="BZ95" s="24" t="str">
        <f t="shared" si="232"/>
        <v/>
      </c>
      <c r="CA95" s="24" t="str">
        <f t="shared" si="233"/>
        <v/>
      </c>
      <c r="CB95" s="24" t="str">
        <f t="shared" si="175"/>
        <v/>
      </c>
      <c r="CC95" s="24" t="str">
        <f t="shared" si="234"/>
        <v/>
      </c>
      <c r="CD95" s="24" t="str">
        <f t="shared" si="235"/>
        <v/>
      </c>
      <c r="CE95" s="24"/>
      <c r="CF95" s="24" t="str">
        <f t="shared" si="176"/>
        <v/>
      </c>
      <c r="CG95" s="24" t="str">
        <f t="shared" si="236"/>
        <v/>
      </c>
      <c r="CH95" s="24" t="str">
        <f t="shared" si="237"/>
        <v/>
      </c>
      <c r="CI95" s="24" t="str">
        <f t="shared" si="238"/>
        <v/>
      </c>
      <c r="CJ95" s="26" t="str">
        <f t="shared" si="239"/>
        <v/>
      </c>
      <c r="CK95" s="26" t="str">
        <f t="shared" si="240"/>
        <v/>
      </c>
      <c r="CL95" s="26" t="str">
        <f t="shared" si="257"/>
        <v/>
      </c>
      <c r="CM95" s="24" t="str">
        <f t="shared" si="258"/>
        <v/>
      </c>
      <c r="CN95" s="26" t="str">
        <f t="shared" si="241"/>
        <v/>
      </c>
      <c r="CO95" s="24" t="str">
        <f t="shared" si="242"/>
        <v/>
      </c>
      <c r="CP95" s="26" t="str">
        <f t="shared" si="243"/>
        <v/>
      </c>
      <c r="CQ95" s="26" t="str">
        <f t="shared" si="244"/>
        <v/>
      </c>
      <c r="CR95" s="26" t="str">
        <f t="shared" si="259"/>
        <v/>
      </c>
      <c r="CS95" s="24" t="str">
        <f t="shared" si="260"/>
        <v/>
      </c>
      <c r="CT95" s="27" t="str">
        <f t="shared" si="245"/>
        <v/>
      </c>
      <c r="CU95" s="24" t="str">
        <f t="shared" si="246"/>
        <v/>
      </c>
      <c r="CV95" s="26" t="str">
        <f t="shared" si="247"/>
        <v/>
      </c>
      <c r="CW95" s="26" t="str">
        <f t="shared" si="248"/>
        <v/>
      </c>
      <c r="CX95" s="26" t="str">
        <f t="shared" si="261"/>
        <v/>
      </c>
      <c r="CY95" s="27" t="str">
        <f t="shared" si="262"/>
        <v/>
      </c>
      <c r="CZ95" s="26" t="str">
        <f t="shared" si="249"/>
        <v/>
      </c>
      <c r="DA95" s="24" t="str">
        <f t="shared" si="250"/>
        <v/>
      </c>
      <c r="DB95" s="24" t="str">
        <f t="shared" si="251"/>
        <v/>
      </c>
      <c r="DC95" s="24" t="str">
        <f t="shared" si="252"/>
        <v/>
      </c>
      <c r="DD95" s="24" t="str">
        <f t="shared" si="253"/>
        <v/>
      </c>
      <c r="DE95" s="1"/>
      <c r="DF95" s="1"/>
      <c r="DG95" s="1"/>
      <c r="DH95" s="24" t="str">
        <f t="shared" si="254"/>
        <v/>
      </c>
      <c r="DI95" s="25" t="str">
        <f t="shared" si="255"/>
        <v/>
      </c>
      <c r="DJ95" t="str">
        <f t="shared" si="174"/>
        <v/>
      </c>
      <c r="DK95" s="9"/>
      <c r="DL95" s="9"/>
      <c r="DM95" s="9"/>
      <c r="DN95" s="9"/>
      <c r="DO95" s="9"/>
      <c r="DP95" s="9"/>
      <c r="DQ95" s="136" t="b">
        <f t="shared" si="256"/>
        <v>1</v>
      </c>
    </row>
    <row r="96" spans="1:121" ht="27" customHeight="1" x14ac:dyDescent="0.95">
      <c r="A96" s="24" t="str">
        <f t="shared" si="263"/>
        <v/>
      </c>
      <c r="B96" s="9"/>
      <c r="C96" s="14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10"/>
      <c r="Q96" s="10"/>
      <c r="R96" s="10"/>
      <c r="S96" s="10"/>
      <c r="T96" s="10"/>
      <c r="U96" s="10"/>
      <c r="V96" s="10"/>
      <c r="W96" s="3" t="str">
        <f t="shared" si="279"/>
        <v/>
      </c>
      <c r="X96" s="3" t="str">
        <f t="shared" si="279"/>
        <v/>
      </c>
      <c r="Y96" s="3" t="str">
        <f t="shared" si="279"/>
        <v/>
      </c>
      <c r="Z96" s="3" t="str">
        <f t="shared" si="279"/>
        <v/>
      </c>
      <c r="AA96" s="3" t="str">
        <f t="shared" si="279"/>
        <v/>
      </c>
      <c r="AB96" s="3" t="str">
        <f t="shared" si="279"/>
        <v/>
      </c>
      <c r="AC96" s="3" t="str">
        <f t="shared" si="279"/>
        <v/>
      </c>
      <c r="AD96" s="3" t="str">
        <f t="shared" si="279"/>
        <v/>
      </c>
      <c r="AE96" s="3" t="str">
        <f t="shared" si="279"/>
        <v/>
      </c>
      <c r="AF96" s="24" t="str">
        <f t="shared" si="279"/>
        <v/>
      </c>
      <c r="AG96" s="24" t="str">
        <f t="shared" si="279"/>
        <v/>
      </c>
      <c r="AH96" s="24" t="str">
        <f t="shared" si="279"/>
        <v/>
      </c>
      <c r="AI96" s="24"/>
      <c r="AJ96" s="24" t="str">
        <f t="shared" si="280"/>
        <v/>
      </c>
      <c r="AK96" s="24" t="str">
        <f t="shared" si="280"/>
        <v/>
      </c>
      <c r="AL96" s="24" t="str">
        <f t="shared" si="280"/>
        <v/>
      </c>
      <c r="AM96" s="24" t="str">
        <f t="shared" si="193"/>
        <v/>
      </c>
      <c r="AN96" s="24" t="str">
        <f t="shared" si="194"/>
        <v/>
      </c>
      <c r="AO96" s="24" t="str">
        <f t="shared" si="195"/>
        <v/>
      </c>
      <c r="AP96" s="24" t="str">
        <f t="shared" si="196"/>
        <v/>
      </c>
      <c r="AQ96" s="24" t="str">
        <f t="shared" si="197"/>
        <v/>
      </c>
      <c r="AR96" s="24" t="str">
        <f t="shared" si="198"/>
        <v/>
      </c>
      <c r="AS96" s="24" t="str">
        <f t="shared" si="199"/>
        <v/>
      </c>
      <c r="AT96" s="24" t="str">
        <f t="shared" si="200"/>
        <v/>
      </c>
      <c r="AU96" s="24" t="str">
        <f t="shared" si="201"/>
        <v/>
      </c>
      <c r="AV96" s="24" t="str">
        <f t="shared" si="202"/>
        <v/>
      </c>
      <c r="AW96" s="24" t="str">
        <f t="shared" si="203"/>
        <v/>
      </c>
      <c r="AX96" s="24" t="str">
        <f t="shared" si="204"/>
        <v/>
      </c>
      <c r="AY96" s="24"/>
      <c r="AZ96" s="24" t="str">
        <f t="shared" si="206"/>
        <v/>
      </c>
      <c r="BA96" s="24" t="str">
        <f t="shared" si="207"/>
        <v/>
      </c>
      <c r="BB96" s="24" t="str">
        <f t="shared" si="208"/>
        <v/>
      </c>
      <c r="BC96" s="26" t="str">
        <f t="shared" si="264"/>
        <v/>
      </c>
      <c r="BD96" s="26" t="str">
        <f t="shared" si="265"/>
        <v/>
      </c>
      <c r="BE96" s="26" t="str">
        <f t="shared" si="266"/>
        <v/>
      </c>
      <c r="BF96" s="26" t="str">
        <f t="shared" si="267"/>
        <v/>
      </c>
      <c r="BG96" s="26" t="str">
        <f t="shared" si="268"/>
        <v/>
      </c>
      <c r="BH96" s="26" t="str">
        <f t="shared" si="269"/>
        <v/>
      </c>
      <c r="BI96" s="26" t="str">
        <f t="shared" si="270"/>
        <v/>
      </c>
      <c r="BJ96" s="26" t="str">
        <f t="shared" si="271"/>
        <v/>
      </c>
      <c r="BK96" s="26" t="str">
        <f t="shared" si="272"/>
        <v/>
      </c>
      <c r="BL96" s="26" t="str">
        <f t="shared" si="273"/>
        <v/>
      </c>
      <c r="BM96" s="26" t="str">
        <f t="shared" si="274"/>
        <v/>
      </c>
      <c r="BN96" s="26" t="str">
        <f t="shared" si="275"/>
        <v/>
      </c>
      <c r="BO96" s="26"/>
      <c r="BP96" s="26" t="str">
        <f t="shared" si="276"/>
        <v/>
      </c>
      <c r="BQ96" s="26" t="str">
        <f t="shared" si="277"/>
        <v/>
      </c>
      <c r="BR96" s="26" t="str">
        <f t="shared" si="278"/>
        <v/>
      </c>
      <c r="BS96" s="24" t="str">
        <f t="shared" si="225"/>
        <v/>
      </c>
      <c r="BT96" s="24" t="str">
        <f t="shared" si="226"/>
        <v/>
      </c>
      <c r="BU96" s="24" t="str">
        <f t="shared" si="227"/>
        <v/>
      </c>
      <c r="BV96" s="24" t="str">
        <f t="shared" si="228"/>
        <v/>
      </c>
      <c r="BW96" s="24" t="str">
        <f t="shared" si="229"/>
        <v/>
      </c>
      <c r="BX96" s="24" t="str">
        <f t="shared" si="230"/>
        <v/>
      </c>
      <c r="BY96" s="24" t="str">
        <f t="shared" si="231"/>
        <v/>
      </c>
      <c r="BZ96" s="24" t="str">
        <f t="shared" si="232"/>
        <v/>
      </c>
      <c r="CA96" s="24" t="str">
        <f t="shared" si="233"/>
        <v/>
      </c>
      <c r="CB96" s="24" t="str">
        <f t="shared" si="175"/>
        <v/>
      </c>
      <c r="CC96" s="24" t="str">
        <f t="shared" si="234"/>
        <v/>
      </c>
      <c r="CD96" s="24" t="str">
        <f t="shared" si="235"/>
        <v/>
      </c>
      <c r="CE96" s="24"/>
      <c r="CF96" s="24" t="str">
        <f t="shared" si="176"/>
        <v/>
      </c>
      <c r="CG96" s="24" t="str">
        <f t="shared" si="236"/>
        <v/>
      </c>
      <c r="CH96" s="24" t="str">
        <f t="shared" si="237"/>
        <v/>
      </c>
      <c r="CI96" s="24" t="str">
        <f t="shared" si="238"/>
        <v/>
      </c>
      <c r="CJ96" s="26" t="str">
        <f t="shared" si="239"/>
        <v/>
      </c>
      <c r="CK96" s="26" t="str">
        <f t="shared" si="240"/>
        <v/>
      </c>
      <c r="CL96" s="26" t="str">
        <f t="shared" si="257"/>
        <v/>
      </c>
      <c r="CM96" s="24" t="str">
        <f t="shared" si="258"/>
        <v/>
      </c>
      <c r="CN96" s="26" t="str">
        <f t="shared" si="241"/>
        <v/>
      </c>
      <c r="CO96" s="24" t="str">
        <f t="shared" si="242"/>
        <v/>
      </c>
      <c r="CP96" s="26" t="str">
        <f t="shared" si="243"/>
        <v/>
      </c>
      <c r="CQ96" s="26" t="str">
        <f t="shared" si="244"/>
        <v/>
      </c>
      <c r="CR96" s="26" t="str">
        <f t="shared" si="259"/>
        <v/>
      </c>
      <c r="CS96" s="24" t="str">
        <f t="shared" si="260"/>
        <v/>
      </c>
      <c r="CT96" s="27" t="str">
        <f t="shared" si="245"/>
        <v/>
      </c>
      <c r="CU96" s="24" t="str">
        <f t="shared" si="246"/>
        <v/>
      </c>
      <c r="CV96" s="26" t="str">
        <f t="shared" si="247"/>
        <v/>
      </c>
      <c r="CW96" s="26" t="str">
        <f t="shared" si="248"/>
        <v/>
      </c>
      <c r="CX96" s="26" t="str">
        <f t="shared" si="261"/>
        <v/>
      </c>
      <c r="CY96" s="27" t="str">
        <f t="shared" si="262"/>
        <v/>
      </c>
      <c r="CZ96" s="26" t="str">
        <f t="shared" si="249"/>
        <v/>
      </c>
      <c r="DA96" s="24" t="str">
        <f t="shared" si="250"/>
        <v/>
      </c>
      <c r="DB96" s="24" t="str">
        <f t="shared" si="251"/>
        <v/>
      </c>
      <c r="DC96" s="24" t="str">
        <f t="shared" si="252"/>
        <v/>
      </c>
      <c r="DD96" s="24" t="str">
        <f t="shared" si="253"/>
        <v/>
      </c>
      <c r="DE96" s="1"/>
      <c r="DF96" s="1"/>
      <c r="DG96" s="1"/>
      <c r="DH96" s="24" t="str">
        <f t="shared" si="254"/>
        <v/>
      </c>
      <c r="DI96" s="25" t="str">
        <f t="shared" si="255"/>
        <v/>
      </c>
      <c r="DJ96" t="str">
        <f t="shared" si="174"/>
        <v/>
      </c>
      <c r="DK96" s="9"/>
      <c r="DL96" s="9"/>
      <c r="DM96" s="9"/>
      <c r="DN96" s="9"/>
      <c r="DO96" s="9"/>
      <c r="DP96" s="9"/>
      <c r="DQ96" s="136" t="b">
        <f t="shared" si="256"/>
        <v>1</v>
      </c>
    </row>
    <row r="97" spans="1:121" ht="27" customHeight="1" x14ac:dyDescent="0.95">
      <c r="A97" s="24" t="str">
        <f t="shared" si="263"/>
        <v/>
      </c>
      <c r="B97" s="9"/>
      <c r="C97" s="14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10"/>
      <c r="Q97" s="10"/>
      <c r="R97" s="10"/>
      <c r="S97" s="10"/>
      <c r="T97" s="10"/>
      <c r="U97" s="10"/>
      <c r="V97" s="10"/>
      <c r="W97" s="3" t="str">
        <f t="shared" si="279"/>
        <v/>
      </c>
      <c r="X97" s="3" t="str">
        <f t="shared" si="279"/>
        <v/>
      </c>
      <c r="Y97" s="3" t="str">
        <f t="shared" si="279"/>
        <v/>
      </c>
      <c r="Z97" s="3" t="str">
        <f t="shared" si="279"/>
        <v/>
      </c>
      <c r="AA97" s="3" t="str">
        <f t="shared" si="279"/>
        <v/>
      </c>
      <c r="AB97" s="3" t="str">
        <f t="shared" si="279"/>
        <v/>
      </c>
      <c r="AC97" s="3" t="str">
        <f t="shared" si="279"/>
        <v/>
      </c>
      <c r="AD97" s="3" t="str">
        <f t="shared" si="279"/>
        <v/>
      </c>
      <c r="AE97" s="3" t="str">
        <f t="shared" si="279"/>
        <v/>
      </c>
      <c r="AF97" s="24" t="str">
        <f t="shared" si="279"/>
        <v/>
      </c>
      <c r="AG97" s="24" t="str">
        <f t="shared" si="279"/>
        <v/>
      </c>
      <c r="AH97" s="24" t="str">
        <f t="shared" si="279"/>
        <v/>
      </c>
      <c r="AI97" s="24"/>
      <c r="AJ97" s="24" t="str">
        <f t="shared" si="280"/>
        <v/>
      </c>
      <c r="AK97" s="24" t="str">
        <f t="shared" si="280"/>
        <v/>
      </c>
      <c r="AL97" s="24" t="str">
        <f t="shared" si="280"/>
        <v/>
      </c>
      <c r="AM97" s="24" t="str">
        <f t="shared" si="193"/>
        <v/>
      </c>
      <c r="AN97" s="24" t="str">
        <f t="shared" si="194"/>
        <v/>
      </c>
      <c r="AO97" s="24" t="str">
        <f t="shared" si="195"/>
        <v/>
      </c>
      <c r="AP97" s="24" t="str">
        <f t="shared" si="196"/>
        <v/>
      </c>
      <c r="AQ97" s="24" t="str">
        <f t="shared" si="197"/>
        <v/>
      </c>
      <c r="AR97" s="24" t="str">
        <f t="shared" si="198"/>
        <v/>
      </c>
      <c r="AS97" s="24" t="str">
        <f t="shared" si="199"/>
        <v/>
      </c>
      <c r="AT97" s="24" t="str">
        <f t="shared" si="200"/>
        <v/>
      </c>
      <c r="AU97" s="24" t="str">
        <f t="shared" si="201"/>
        <v/>
      </c>
      <c r="AV97" s="24" t="str">
        <f t="shared" si="202"/>
        <v/>
      </c>
      <c r="AW97" s="24" t="str">
        <f t="shared" si="203"/>
        <v/>
      </c>
      <c r="AX97" s="24" t="str">
        <f t="shared" si="204"/>
        <v/>
      </c>
      <c r="AY97" s="24"/>
      <c r="AZ97" s="24" t="str">
        <f t="shared" si="206"/>
        <v/>
      </c>
      <c r="BA97" s="24" t="str">
        <f t="shared" si="207"/>
        <v/>
      </c>
      <c r="BB97" s="24" t="str">
        <f t="shared" si="208"/>
        <v/>
      </c>
      <c r="BC97" s="26" t="str">
        <f t="shared" si="264"/>
        <v/>
      </c>
      <c r="BD97" s="26" t="str">
        <f t="shared" si="265"/>
        <v/>
      </c>
      <c r="BE97" s="26" t="str">
        <f t="shared" si="266"/>
        <v/>
      </c>
      <c r="BF97" s="26" t="str">
        <f t="shared" si="267"/>
        <v/>
      </c>
      <c r="BG97" s="26" t="str">
        <f t="shared" si="268"/>
        <v/>
      </c>
      <c r="BH97" s="26" t="str">
        <f t="shared" si="269"/>
        <v/>
      </c>
      <c r="BI97" s="26" t="str">
        <f t="shared" si="270"/>
        <v/>
      </c>
      <c r="BJ97" s="26" t="str">
        <f t="shared" si="271"/>
        <v/>
      </c>
      <c r="BK97" s="26" t="str">
        <f t="shared" si="272"/>
        <v/>
      </c>
      <c r="BL97" s="26" t="str">
        <f t="shared" si="273"/>
        <v/>
      </c>
      <c r="BM97" s="26" t="str">
        <f t="shared" si="274"/>
        <v/>
      </c>
      <c r="BN97" s="26" t="str">
        <f t="shared" si="275"/>
        <v/>
      </c>
      <c r="BO97" s="26"/>
      <c r="BP97" s="26" t="str">
        <f t="shared" si="276"/>
        <v/>
      </c>
      <c r="BQ97" s="26" t="str">
        <f t="shared" si="277"/>
        <v/>
      </c>
      <c r="BR97" s="26" t="str">
        <f t="shared" si="278"/>
        <v/>
      </c>
      <c r="BS97" s="24" t="str">
        <f t="shared" si="225"/>
        <v/>
      </c>
      <c r="BT97" s="24" t="str">
        <f t="shared" si="226"/>
        <v/>
      </c>
      <c r="BU97" s="24" t="str">
        <f t="shared" si="227"/>
        <v/>
      </c>
      <c r="BV97" s="24" t="str">
        <f t="shared" si="228"/>
        <v/>
      </c>
      <c r="BW97" s="24" t="str">
        <f t="shared" si="229"/>
        <v/>
      </c>
      <c r="BX97" s="24" t="str">
        <f t="shared" si="230"/>
        <v/>
      </c>
      <c r="BY97" s="24" t="str">
        <f t="shared" si="231"/>
        <v/>
      </c>
      <c r="BZ97" s="24" t="str">
        <f t="shared" si="232"/>
        <v/>
      </c>
      <c r="CA97" s="24" t="str">
        <f t="shared" si="233"/>
        <v/>
      </c>
      <c r="CB97" s="24" t="str">
        <f t="shared" si="175"/>
        <v/>
      </c>
      <c r="CC97" s="24" t="str">
        <f t="shared" si="234"/>
        <v/>
      </c>
      <c r="CD97" s="24" t="str">
        <f t="shared" si="235"/>
        <v/>
      </c>
      <c r="CE97" s="24"/>
      <c r="CF97" s="24" t="str">
        <f t="shared" si="176"/>
        <v/>
      </c>
      <c r="CG97" s="24" t="str">
        <f t="shared" si="236"/>
        <v/>
      </c>
      <c r="CH97" s="24" t="str">
        <f t="shared" si="237"/>
        <v/>
      </c>
      <c r="CI97" s="24" t="str">
        <f t="shared" si="238"/>
        <v/>
      </c>
      <c r="CJ97" s="26" t="str">
        <f t="shared" si="239"/>
        <v/>
      </c>
      <c r="CK97" s="26" t="str">
        <f t="shared" si="240"/>
        <v/>
      </c>
      <c r="CL97" s="26" t="str">
        <f t="shared" si="257"/>
        <v/>
      </c>
      <c r="CM97" s="24" t="str">
        <f t="shared" si="258"/>
        <v/>
      </c>
      <c r="CN97" s="26" t="str">
        <f t="shared" si="241"/>
        <v/>
      </c>
      <c r="CO97" s="24" t="str">
        <f t="shared" si="242"/>
        <v/>
      </c>
      <c r="CP97" s="26" t="str">
        <f t="shared" si="243"/>
        <v/>
      </c>
      <c r="CQ97" s="26" t="str">
        <f t="shared" si="244"/>
        <v/>
      </c>
      <c r="CR97" s="26" t="str">
        <f t="shared" si="259"/>
        <v/>
      </c>
      <c r="CS97" s="24" t="str">
        <f t="shared" si="260"/>
        <v/>
      </c>
      <c r="CT97" s="27" t="str">
        <f t="shared" si="245"/>
        <v/>
      </c>
      <c r="CU97" s="24" t="str">
        <f t="shared" si="246"/>
        <v/>
      </c>
      <c r="CV97" s="26" t="str">
        <f t="shared" si="247"/>
        <v/>
      </c>
      <c r="CW97" s="26" t="str">
        <f t="shared" si="248"/>
        <v/>
      </c>
      <c r="CX97" s="26" t="str">
        <f t="shared" si="261"/>
        <v/>
      </c>
      <c r="CY97" s="27" t="str">
        <f t="shared" si="262"/>
        <v/>
      </c>
      <c r="CZ97" s="26" t="str">
        <f t="shared" si="249"/>
        <v/>
      </c>
      <c r="DA97" s="24" t="str">
        <f t="shared" si="250"/>
        <v/>
      </c>
      <c r="DB97" s="24" t="str">
        <f t="shared" si="251"/>
        <v/>
      </c>
      <c r="DC97" s="24" t="str">
        <f t="shared" si="252"/>
        <v/>
      </c>
      <c r="DD97" s="24" t="str">
        <f t="shared" si="253"/>
        <v/>
      </c>
      <c r="DE97" s="1"/>
      <c r="DF97" s="1"/>
      <c r="DG97" s="1"/>
      <c r="DH97" s="24" t="str">
        <f t="shared" si="254"/>
        <v/>
      </c>
      <c r="DI97" s="25" t="str">
        <f t="shared" si="255"/>
        <v/>
      </c>
      <c r="DJ97" t="str">
        <f t="shared" si="174"/>
        <v/>
      </c>
      <c r="DK97" s="9"/>
      <c r="DL97" s="9"/>
      <c r="DM97" s="9"/>
      <c r="DN97" s="9"/>
      <c r="DO97" s="9"/>
      <c r="DP97" s="9"/>
      <c r="DQ97" s="136" t="b">
        <f t="shared" si="256"/>
        <v>1</v>
      </c>
    </row>
    <row r="98" spans="1:121" ht="27" customHeight="1" x14ac:dyDescent="0.95">
      <c r="A98" s="24" t="str">
        <f t="shared" si="263"/>
        <v/>
      </c>
      <c r="B98" s="9"/>
      <c r="C98" s="14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10"/>
      <c r="Q98" s="10"/>
      <c r="R98" s="10"/>
      <c r="S98" s="10"/>
      <c r="T98" s="10"/>
      <c r="U98" s="10"/>
      <c r="V98" s="10"/>
      <c r="W98" s="3" t="str">
        <f t="shared" si="279"/>
        <v/>
      </c>
      <c r="X98" s="3" t="str">
        <f t="shared" si="279"/>
        <v/>
      </c>
      <c r="Y98" s="3" t="str">
        <f t="shared" si="279"/>
        <v/>
      </c>
      <c r="Z98" s="3" t="str">
        <f t="shared" si="279"/>
        <v/>
      </c>
      <c r="AA98" s="3" t="str">
        <f t="shared" si="279"/>
        <v/>
      </c>
      <c r="AB98" s="3" t="str">
        <f t="shared" si="279"/>
        <v/>
      </c>
      <c r="AC98" s="3" t="str">
        <f t="shared" si="279"/>
        <v/>
      </c>
      <c r="AD98" s="3" t="str">
        <f t="shared" si="279"/>
        <v/>
      </c>
      <c r="AE98" s="3" t="str">
        <f t="shared" si="279"/>
        <v/>
      </c>
      <c r="AF98" s="24" t="str">
        <f t="shared" si="279"/>
        <v/>
      </c>
      <c r="AG98" s="24" t="str">
        <f t="shared" si="279"/>
        <v/>
      </c>
      <c r="AH98" s="24" t="str">
        <f t="shared" si="279"/>
        <v/>
      </c>
      <c r="AI98" s="24"/>
      <c r="AJ98" s="24" t="str">
        <f t="shared" si="280"/>
        <v/>
      </c>
      <c r="AK98" s="24" t="str">
        <f t="shared" si="280"/>
        <v/>
      </c>
      <c r="AL98" s="24" t="str">
        <f t="shared" si="280"/>
        <v/>
      </c>
      <c r="AM98" s="24" t="str">
        <f t="shared" si="193"/>
        <v/>
      </c>
      <c r="AN98" s="24" t="str">
        <f t="shared" si="194"/>
        <v/>
      </c>
      <c r="AO98" s="24" t="str">
        <f t="shared" si="195"/>
        <v/>
      </c>
      <c r="AP98" s="24" t="str">
        <f t="shared" si="196"/>
        <v/>
      </c>
      <c r="AQ98" s="24" t="str">
        <f t="shared" si="197"/>
        <v/>
      </c>
      <c r="AR98" s="24" t="str">
        <f t="shared" si="198"/>
        <v/>
      </c>
      <c r="AS98" s="24" t="str">
        <f t="shared" si="199"/>
        <v/>
      </c>
      <c r="AT98" s="24" t="str">
        <f t="shared" si="200"/>
        <v/>
      </c>
      <c r="AU98" s="24" t="str">
        <f t="shared" si="201"/>
        <v/>
      </c>
      <c r="AV98" s="24" t="str">
        <f t="shared" si="202"/>
        <v/>
      </c>
      <c r="AW98" s="24" t="str">
        <f t="shared" si="203"/>
        <v/>
      </c>
      <c r="AX98" s="24" t="str">
        <f t="shared" si="204"/>
        <v/>
      </c>
      <c r="AY98" s="24"/>
      <c r="AZ98" s="24" t="str">
        <f t="shared" si="206"/>
        <v/>
      </c>
      <c r="BA98" s="24" t="str">
        <f t="shared" si="207"/>
        <v/>
      </c>
      <c r="BB98" s="24" t="str">
        <f t="shared" si="208"/>
        <v/>
      </c>
      <c r="BC98" s="26" t="str">
        <f t="shared" si="264"/>
        <v/>
      </c>
      <c r="BD98" s="26" t="str">
        <f t="shared" si="265"/>
        <v/>
      </c>
      <c r="BE98" s="26" t="str">
        <f t="shared" si="266"/>
        <v/>
      </c>
      <c r="BF98" s="26" t="str">
        <f t="shared" si="267"/>
        <v/>
      </c>
      <c r="BG98" s="26" t="str">
        <f t="shared" si="268"/>
        <v/>
      </c>
      <c r="BH98" s="26" t="str">
        <f t="shared" si="269"/>
        <v/>
      </c>
      <c r="BI98" s="26" t="str">
        <f t="shared" si="270"/>
        <v/>
      </c>
      <c r="BJ98" s="26" t="str">
        <f t="shared" si="271"/>
        <v/>
      </c>
      <c r="BK98" s="26" t="str">
        <f t="shared" si="272"/>
        <v/>
      </c>
      <c r="BL98" s="26" t="str">
        <f t="shared" si="273"/>
        <v/>
      </c>
      <c r="BM98" s="26" t="str">
        <f t="shared" si="274"/>
        <v/>
      </c>
      <c r="BN98" s="26" t="str">
        <f t="shared" si="275"/>
        <v/>
      </c>
      <c r="BO98" s="26"/>
      <c r="BP98" s="26" t="str">
        <f t="shared" si="276"/>
        <v/>
      </c>
      <c r="BQ98" s="26" t="str">
        <f t="shared" si="277"/>
        <v/>
      </c>
      <c r="BR98" s="26" t="str">
        <f t="shared" si="278"/>
        <v/>
      </c>
      <c r="BS98" s="24" t="str">
        <f t="shared" si="225"/>
        <v/>
      </c>
      <c r="BT98" s="24" t="str">
        <f t="shared" si="226"/>
        <v/>
      </c>
      <c r="BU98" s="24" t="str">
        <f t="shared" si="227"/>
        <v/>
      </c>
      <c r="BV98" s="24" t="str">
        <f t="shared" si="228"/>
        <v/>
      </c>
      <c r="BW98" s="24" t="str">
        <f t="shared" si="229"/>
        <v/>
      </c>
      <c r="BX98" s="24" t="str">
        <f t="shared" si="230"/>
        <v/>
      </c>
      <c r="BY98" s="24" t="str">
        <f t="shared" si="231"/>
        <v/>
      </c>
      <c r="BZ98" s="24" t="str">
        <f t="shared" si="232"/>
        <v/>
      </c>
      <c r="CA98" s="24" t="str">
        <f t="shared" si="233"/>
        <v/>
      </c>
      <c r="CB98" s="24" t="str">
        <f t="shared" si="175"/>
        <v/>
      </c>
      <c r="CC98" s="24" t="str">
        <f t="shared" si="234"/>
        <v/>
      </c>
      <c r="CD98" s="24" t="str">
        <f t="shared" si="235"/>
        <v/>
      </c>
      <c r="CE98" s="24"/>
      <c r="CF98" s="24" t="str">
        <f t="shared" si="176"/>
        <v/>
      </c>
      <c r="CG98" s="24" t="str">
        <f t="shared" si="236"/>
        <v/>
      </c>
      <c r="CH98" s="24" t="str">
        <f t="shared" si="237"/>
        <v/>
      </c>
      <c r="CI98" s="24" t="str">
        <f t="shared" si="238"/>
        <v/>
      </c>
      <c r="CJ98" s="26" t="str">
        <f t="shared" si="239"/>
        <v/>
      </c>
      <c r="CK98" s="26" t="str">
        <f t="shared" si="240"/>
        <v/>
      </c>
      <c r="CL98" s="26" t="str">
        <f t="shared" si="257"/>
        <v/>
      </c>
      <c r="CM98" s="24" t="str">
        <f t="shared" si="258"/>
        <v/>
      </c>
      <c r="CN98" s="26" t="str">
        <f t="shared" si="241"/>
        <v/>
      </c>
      <c r="CO98" s="24" t="str">
        <f t="shared" si="242"/>
        <v/>
      </c>
      <c r="CP98" s="26" t="str">
        <f t="shared" si="243"/>
        <v/>
      </c>
      <c r="CQ98" s="26" t="str">
        <f t="shared" si="244"/>
        <v/>
      </c>
      <c r="CR98" s="26" t="str">
        <f t="shared" si="259"/>
        <v/>
      </c>
      <c r="CS98" s="24" t="str">
        <f t="shared" si="260"/>
        <v/>
      </c>
      <c r="CT98" s="27" t="str">
        <f t="shared" si="245"/>
        <v/>
      </c>
      <c r="CU98" s="24" t="str">
        <f t="shared" si="246"/>
        <v/>
      </c>
      <c r="CV98" s="26" t="str">
        <f t="shared" si="247"/>
        <v/>
      </c>
      <c r="CW98" s="26" t="str">
        <f t="shared" si="248"/>
        <v/>
      </c>
      <c r="CX98" s="26" t="str">
        <f t="shared" si="261"/>
        <v/>
      </c>
      <c r="CY98" s="27" t="str">
        <f t="shared" si="262"/>
        <v/>
      </c>
      <c r="CZ98" s="26" t="str">
        <f t="shared" si="249"/>
        <v/>
      </c>
      <c r="DA98" s="24" t="str">
        <f t="shared" si="250"/>
        <v/>
      </c>
      <c r="DB98" s="24" t="str">
        <f t="shared" si="251"/>
        <v/>
      </c>
      <c r="DC98" s="24" t="str">
        <f t="shared" si="252"/>
        <v/>
      </c>
      <c r="DD98" s="24" t="str">
        <f t="shared" si="253"/>
        <v/>
      </c>
      <c r="DE98" s="1"/>
      <c r="DF98" s="1"/>
      <c r="DG98" s="1"/>
      <c r="DH98" s="24" t="str">
        <f t="shared" si="254"/>
        <v/>
      </c>
      <c r="DI98" s="25" t="str">
        <f t="shared" si="255"/>
        <v/>
      </c>
      <c r="DJ98" t="str">
        <f t="shared" si="174"/>
        <v/>
      </c>
      <c r="DK98" s="9"/>
      <c r="DL98" s="9"/>
      <c r="DM98" s="9"/>
      <c r="DN98" s="9"/>
      <c r="DO98" s="9"/>
      <c r="DP98" s="9"/>
      <c r="DQ98" s="136" t="b">
        <f t="shared" si="256"/>
        <v>1</v>
      </c>
    </row>
    <row r="99" spans="1:121" ht="27" customHeight="1" x14ac:dyDescent="0.95">
      <c r="A99" s="24" t="str">
        <f t="shared" si="263"/>
        <v/>
      </c>
      <c r="B99" s="9"/>
      <c r="C99" s="14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10"/>
      <c r="Q99" s="10"/>
      <c r="R99" s="10"/>
      <c r="S99" s="10"/>
      <c r="T99" s="10"/>
      <c r="U99" s="10"/>
      <c r="V99" s="10"/>
      <c r="W99" s="3" t="str">
        <f t="shared" si="279"/>
        <v/>
      </c>
      <c r="X99" s="3" t="str">
        <f t="shared" si="279"/>
        <v/>
      </c>
      <c r="Y99" s="3" t="str">
        <f t="shared" si="279"/>
        <v/>
      </c>
      <c r="Z99" s="3" t="str">
        <f t="shared" si="279"/>
        <v/>
      </c>
      <c r="AA99" s="3" t="str">
        <f t="shared" si="279"/>
        <v/>
      </c>
      <c r="AB99" s="3" t="str">
        <f t="shared" si="279"/>
        <v/>
      </c>
      <c r="AC99" s="3" t="str">
        <f t="shared" si="279"/>
        <v/>
      </c>
      <c r="AD99" s="3" t="str">
        <f t="shared" si="279"/>
        <v/>
      </c>
      <c r="AE99" s="3" t="str">
        <f t="shared" si="279"/>
        <v/>
      </c>
      <c r="AF99" s="24" t="str">
        <f t="shared" si="279"/>
        <v/>
      </c>
      <c r="AG99" s="24" t="str">
        <f t="shared" si="279"/>
        <v/>
      </c>
      <c r="AH99" s="24" t="str">
        <f t="shared" si="279"/>
        <v/>
      </c>
      <c r="AI99" s="24"/>
      <c r="AJ99" s="24" t="str">
        <f t="shared" si="280"/>
        <v/>
      </c>
      <c r="AK99" s="24" t="str">
        <f t="shared" si="280"/>
        <v/>
      </c>
      <c r="AL99" s="24" t="str">
        <f t="shared" si="280"/>
        <v/>
      </c>
      <c r="AM99" s="24" t="str">
        <f t="shared" si="193"/>
        <v/>
      </c>
      <c r="AN99" s="24" t="str">
        <f t="shared" si="194"/>
        <v/>
      </c>
      <c r="AO99" s="24" t="str">
        <f t="shared" si="195"/>
        <v/>
      </c>
      <c r="AP99" s="24" t="str">
        <f t="shared" si="196"/>
        <v/>
      </c>
      <c r="AQ99" s="24" t="str">
        <f t="shared" si="197"/>
        <v/>
      </c>
      <c r="AR99" s="24" t="str">
        <f t="shared" si="198"/>
        <v/>
      </c>
      <c r="AS99" s="24" t="str">
        <f t="shared" si="199"/>
        <v/>
      </c>
      <c r="AT99" s="24" t="str">
        <f t="shared" si="200"/>
        <v/>
      </c>
      <c r="AU99" s="24" t="str">
        <f t="shared" si="201"/>
        <v/>
      </c>
      <c r="AV99" s="24" t="str">
        <f t="shared" si="202"/>
        <v/>
      </c>
      <c r="AW99" s="24" t="str">
        <f t="shared" si="203"/>
        <v/>
      </c>
      <c r="AX99" s="24" t="str">
        <f t="shared" si="204"/>
        <v/>
      </c>
      <c r="AY99" s="24"/>
      <c r="AZ99" s="24" t="str">
        <f t="shared" si="206"/>
        <v/>
      </c>
      <c r="BA99" s="24" t="str">
        <f t="shared" si="207"/>
        <v/>
      </c>
      <c r="BB99" s="24" t="str">
        <f t="shared" si="208"/>
        <v/>
      </c>
      <c r="BC99" s="26" t="str">
        <f t="shared" si="264"/>
        <v/>
      </c>
      <c r="BD99" s="26" t="str">
        <f t="shared" si="265"/>
        <v/>
      </c>
      <c r="BE99" s="26" t="str">
        <f t="shared" si="266"/>
        <v/>
      </c>
      <c r="BF99" s="26" t="str">
        <f t="shared" si="267"/>
        <v/>
      </c>
      <c r="BG99" s="26" t="str">
        <f t="shared" si="268"/>
        <v/>
      </c>
      <c r="BH99" s="26" t="str">
        <f t="shared" si="269"/>
        <v/>
      </c>
      <c r="BI99" s="26" t="str">
        <f t="shared" si="270"/>
        <v/>
      </c>
      <c r="BJ99" s="26" t="str">
        <f t="shared" si="271"/>
        <v/>
      </c>
      <c r="BK99" s="26" t="str">
        <f t="shared" si="272"/>
        <v/>
      </c>
      <c r="BL99" s="26" t="str">
        <f t="shared" si="273"/>
        <v/>
      </c>
      <c r="BM99" s="26" t="str">
        <f t="shared" si="274"/>
        <v/>
      </c>
      <c r="BN99" s="26" t="str">
        <f t="shared" si="275"/>
        <v/>
      </c>
      <c r="BO99" s="26"/>
      <c r="BP99" s="26" t="str">
        <f t="shared" si="276"/>
        <v/>
      </c>
      <c r="BQ99" s="26" t="str">
        <f t="shared" si="277"/>
        <v/>
      </c>
      <c r="BR99" s="26" t="str">
        <f t="shared" si="278"/>
        <v/>
      </c>
      <c r="BS99" s="24" t="str">
        <f t="shared" si="225"/>
        <v/>
      </c>
      <c r="BT99" s="24" t="str">
        <f t="shared" si="226"/>
        <v/>
      </c>
      <c r="BU99" s="24" t="str">
        <f t="shared" si="227"/>
        <v/>
      </c>
      <c r="BV99" s="24" t="str">
        <f t="shared" si="228"/>
        <v/>
      </c>
      <c r="BW99" s="24" t="str">
        <f t="shared" si="229"/>
        <v/>
      </c>
      <c r="BX99" s="24" t="str">
        <f t="shared" si="230"/>
        <v/>
      </c>
      <c r="BY99" s="24" t="str">
        <f t="shared" si="231"/>
        <v/>
      </c>
      <c r="BZ99" s="24" t="str">
        <f t="shared" si="232"/>
        <v/>
      </c>
      <c r="CA99" s="24" t="str">
        <f t="shared" si="233"/>
        <v/>
      </c>
      <c r="CB99" s="24" t="str">
        <f t="shared" si="175"/>
        <v/>
      </c>
      <c r="CC99" s="24" t="str">
        <f t="shared" si="234"/>
        <v/>
      </c>
      <c r="CD99" s="24" t="str">
        <f t="shared" si="235"/>
        <v/>
      </c>
      <c r="CE99" s="24"/>
      <c r="CF99" s="24" t="str">
        <f t="shared" si="176"/>
        <v/>
      </c>
      <c r="CG99" s="24" t="str">
        <f t="shared" si="236"/>
        <v/>
      </c>
      <c r="CH99" s="24" t="str">
        <f t="shared" si="237"/>
        <v/>
      </c>
      <c r="CI99" s="24" t="str">
        <f t="shared" si="238"/>
        <v/>
      </c>
      <c r="CJ99" s="26" t="str">
        <f t="shared" si="239"/>
        <v/>
      </c>
      <c r="CK99" s="26" t="str">
        <f t="shared" si="240"/>
        <v/>
      </c>
      <c r="CL99" s="26" t="str">
        <f t="shared" si="257"/>
        <v/>
      </c>
      <c r="CM99" s="24" t="str">
        <f t="shared" si="258"/>
        <v/>
      </c>
      <c r="CN99" s="26" t="str">
        <f t="shared" si="241"/>
        <v/>
      </c>
      <c r="CO99" s="24" t="str">
        <f t="shared" si="242"/>
        <v/>
      </c>
      <c r="CP99" s="26" t="str">
        <f t="shared" si="243"/>
        <v/>
      </c>
      <c r="CQ99" s="26" t="str">
        <f t="shared" si="244"/>
        <v/>
      </c>
      <c r="CR99" s="26" t="str">
        <f t="shared" si="259"/>
        <v/>
      </c>
      <c r="CS99" s="24" t="str">
        <f t="shared" si="260"/>
        <v/>
      </c>
      <c r="CT99" s="27" t="str">
        <f t="shared" si="245"/>
        <v/>
      </c>
      <c r="CU99" s="24" t="str">
        <f t="shared" si="246"/>
        <v/>
      </c>
      <c r="CV99" s="26" t="str">
        <f t="shared" si="247"/>
        <v/>
      </c>
      <c r="CW99" s="26" t="str">
        <f t="shared" si="248"/>
        <v/>
      </c>
      <c r="CX99" s="26" t="str">
        <f t="shared" si="261"/>
        <v/>
      </c>
      <c r="CY99" s="27" t="str">
        <f t="shared" si="262"/>
        <v/>
      </c>
      <c r="CZ99" s="26" t="str">
        <f t="shared" si="249"/>
        <v/>
      </c>
      <c r="DA99" s="24" t="str">
        <f t="shared" si="250"/>
        <v/>
      </c>
      <c r="DB99" s="24" t="str">
        <f t="shared" si="251"/>
        <v/>
      </c>
      <c r="DC99" s="24" t="str">
        <f t="shared" si="252"/>
        <v/>
      </c>
      <c r="DD99" s="24" t="str">
        <f t="shared" si="253"/>
        <v/>
      </c>
      <c r="DE99" s="1"/>
      <c r="DF99" s="1"/>
      <c r="DG99" s="1"/>
      <c r="DH99" s="24" t="str">
        <f t="shared" si="254"/>
        <v/>
      </c>
      <c r="DI99" s="25" t="str">
        <f t="shared" si="255"/>
        <v/>
      </c>
      <c r="DJ99" t="str">
        <f t="shared" si="174"/>
        <v/>
      </c>
      <c r="DK99" s="9"/>
      <c r="DL99" s="9"/>
      <c r="DM99" s="9"/>
      <c r="DN99" s="9"/>
      <c r="DO99" s="9"/>
      <c r="DP99" s="9"/>
      <c r="DQ99" s="136" t="b">
        <f t="shared" si="256"/>
        <v>1</v>
      </c>
    </row>
    <row r="100" spans="1:121" ht="27" customHeight="1" x14ac:dyDescent="0.95">
      <c r="A100" s="24" t="str">
        <f t="shared" si="263"/>
        <v/>
      </c>
      <c r="B100" s="9"/>
      <c r="C100" s="14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10"/>
      <c r="Q100" s="10"/>
      <c r="R100" s="10"/>
      <c r="S100" s="10"/>
      <c r="T100" s="10"/>
      <c r="U100" s="10"/>
      <c r="V100" s="10"/>
      <c r="W100" s="3" t="str">
        <f t="shared" si="279"/>
        <v/>
      </c>
      <c r="X100" s="3" t="str">
        <f t="shared" si="279"/>
        <v/>
      </c>
      <c r="Y100" s="3" t="str">
        <f t="shared" si="279"/>
        <v/>
      </c>
      <c r="Z100" s="3" t="str">
        <f t="shared" si="279"/>
        <v/>
      </c>
      <c r="AA100" s="3" t="str">
        <f t="shared" si="279"/>
        <v/>
      </c>
      <c r="AB100" s="3" t="str">
        <f t="shared" si="279"/>
        <v/>
      </c>
      <c r="AC100" s="3" t="str">
        <f t="shared" si="279"/>
        <v/>
      </c>
      <c r="AD100" s="3" t="str">
        <f t="shared" si="279"/>
        <v/>
      </c>
      <c r="AE100" s="3" t="str">
        <f t="shared" si="279"/>
        <v/>
      </c>
      <c r="AF100" s="24" t="str">
        <f t="shared" si="279"/>
        <v/>
      </c>
      <c r="AG100" s="24" t="str">
        <f t="shared" si="279"/>
        <v/>
      </c>
      <c r="AH100" s="24" t="str">
        <f t="shared" si="279"/>
        <v/>
      </c>
      <c r="AI100" s="24"/>
      <c r="AJ100" s="24" t="str">
        <f t="shared" si="280"/>
        <v/>
      </c>
      <c r="AK100" s="24" t="str">
        <f t="shared" si="280"/>
        <v/>
      </c>
      <c r="AL100" s="24" t="str">
        <f t="shared" si="280"/>
        <v/>
      </c>
      <c r="AM100" s="24" t="str">
        <f t="shared" si="193"/>
        <v/>
      </c>
      <c r="AN100" s="24" t="str">
        <f t="shared" si="194"/>
        <v/>
      </c>
      <c r="AO100" s="24" t="str">
        <f t="shared" si="195"/>
        <v/>
      </c>
      <c r="AP100" s="24" t="str">
        <f t="shared" si="196"/>
        <v/>
      </c>
      <c r="AQ100" s="24" t="str">
        <f t="shared" si="197"/>
        <v/>
      </c>
      <c r="AR100" s="24" t="str">
        <f t="shared" si="198"/>
        <v/>
      </c>
      <c r="AS100" s="24" t="str">
        <f t="shared" si="199"/>
        <v/>
      </c>
      <c r="AT100" s="24" t="str">
        <f t="shared" si="200"/>
        <v/>
      </c>
      <c r="AU100" s="24" t="str">
        <f t="shared" si="201"/>
        <v/>
      </c>
      <c r="AV100" s="24" t="str">
        <f t="shared" si="202"/>
        <v/>
      </c>
      <c r="AW100" s="24" t="str">
        <f t="shared" si="203"/>
        <v/>
      </c>
      <c r="AX100" s="24" t="str">
        <f t="shared" si="204"/>
        <v/>
      </c>
      <c r="AY100" s="24"/>
      <c r="AZ100" s="24" t="str">
        <f t="shared" si="206"/>
        <v/>
      </c>
      <c r="BA100" s="24" t="str">
        <f t="shared" si="207"/>
        <v/>
      </c>
      <c r="BB100" s="24" t="str">
        <f t="shared" si="208"/>
        <v/>
      </c>
      <c r="BC100" s="26" t="str">
        <f t="shared" si="264"/>
        <v/>
      </c>
      <c r="BD100" s="26" t="str">
        <f t="shared" si="265"/>
        <v/>
      </c>
      <c r="BE100" s="26" t="str">
        <f t="shared" si="266"/>
        <v/>
      </c>
      <c r="BF100" s="26" t="str">
        <f t="shared" si="267"/>
        <v/>
      </c>
      <c r="BG100" s="26" t="str">
        <f t="shared" si="268"/>
        <v/>
      </c>
      <c r="BH100" s="26" t="str">
        <f t="shared" si="269"/>
        <v/>
      </c>
      <c r="BI100" s="26" t="str">
        <f t="shared" si="270"/>
        <v/>
      </c>
      <c r="BJ100" s="26" t="str">
        <f t="shared" si="271"/>
        <v/>
      </c>
      <c r="BK100" s="26" t="str">
        <f t="shared" si="272"/>
        <v/>
      </c>
      <c r="BL100" s="26" t="str">
        <f t="shared" si="273"/>
        <v/>
      </c>
      <c r="BM100" s="26" t="str">
        <f t="shared" si="274"/>
        <v/>
      </c>
      <c r="BN100" s="26" t="str">
        <f t="shared" si="275"/>
        <v/>
      </c>
      <c r="BO100" s="26"/>
      <c r="BP100" s="26" t="str">
        <f t="shared" si="276"/>
        <v/>
      </c>
      <c r="BQ100" s="26" t="str">
        <f t="shared" si="277"/>
        <v/>
      </c>
      <c r="BR100" s="26" t="str">
        <f t="shared" si="278"/>
        <v/>
      </c>
      <c r="BS100" s="24" t="str">
        <f t="shared" si="225"/>
        <v/>
      </c>
      <c r="BT100" s="24" t="str">
        <f t="shared" si="226"/>
        <v/>
      </c>
      <c r="BU100" s="24" t="str">
        <f t="shared" si="227"/>
        <v/>
      </c>
      <c r="BV100" s="24" t="str">
        <f t="shared" si="228"/>
        <v/>
      </c>
      <c r="BW100" s="24" t="str">
        <f t="shared" si="229"/>
        <v/>
      </c>
      <c r="BX100" s="24" t="str">
        <f t="shared" si="230"/>
        <v/>
      </c>
      <c r="BY100" s="24" t="str">
        <f t="shared" si="231"/>
        <v/>
      </c>
      <c r="BZ100" s="24" t="str">
        <f t="shared" si="232"/>
        <v/>
      </c>
      <c r="CA100" s="24" t="str">
        <f t="shared" si="233"/>
        <v/>
      </c>
      <c r="CB100" s="24" t="str">
        <f t="shared" si="175"/>
        <v/>
      </c>
      <c r="CC100" s="24" t="str">
        <f t="shared" si="234"/>
        <v/>
      </c>
      <c r="CD100" s="24" t="str">
        <f t="shared" si="235"/>
        <v/>
      </c>
      <c r="CE100" s="24"/>
      <c r="CF100" s="24" t="str">
        <f t="shared" si="176"/>
        <v/>
      </c>
      <c r="CG100" s="24" t="str">
        <f t="shared" si="236"/>
        <v/>
      </c>
      <c r="CH100" s="24" t="str">
        <f t="shared" si="237"/>
        <v/>
      </c>
      <c r="CI100" s="24" t="str">
        <f t="shared" si="238"/>
        <v/>
      </c>
      <c r="CJ100" s="26" t="str">
        <f t="shared" si="239"/>
        <v/>
      </c>
      <c r="CK100" s="26" t="str">
        <f t="shared" si="240"/>
        <v/>
      </c>
      <c r="CL100" s="26" t="str">
        <f t="shared" si="257"/>
        <v/>
      </c>
      <c r="CM100" s="24" t="str">
        <f t="shared" si="258"/>
        <v/>
      </c>
      <c r="CN100" s="26" t="str">
        <f t="shared" si="241"/>
        <v/>
      </c>
      <c r="CO100" s="24" t="str">
        <f t="shared" si="242"/>
        <v/>
      </c>
      <c r="CP100" s="26" t="str">
        <f t="shared" si="243"/>
        <v/>
      </c>
      <c r="CQ100" s="26" t="str">
        <f t="shared" si="244"/>
        <v/>
      </c>
      <c r="CR100" s="26" t="str">
        <f t="shared" si="259"/>
        <v/>
      </c>
      <c r="CS100" s="24" t="str">
        <f t="shared" si="260"/>
        <v/>
      </c>
      <c r="CT100" s="27" t="str">
        <f t="shared" si="245"/>
        <v/>
      </c>
      <c r="CU100" s="24" t="str">
        <f t="shared" si="246"/>
        <v/>
      </c>
      <c r="CV100" s="26" t="str">
        <f t="shared" si="247"/>
        <v/>
      </c>
      <c r="CW100" s="26" t="str">
        <f t="shared" si="248"/>
        <v/>
      </c>
      <c r="CX100" s="26" t="str">
        <f t="shared" si="261"/>
        <v/>
      </c>
      <c r="CY100" s="27" t="str">
        <f t="shared" si="262"/>
        <v/>
      </c>
      <c r="CZ100" s="26" t="str">
        <f t="shared" si="249"/>
        <v/>
      </c>
      <c r="DA100" s="24" t="str">
        <f t="shared" si="250"/>
        <v/>
      </c>
      <c r="DB100" s="24" t="str">
        <f t="shared" si="251"/>
        <v/>
      </c>
      <c r="DC100" s="24" t="str">
        <f t="shared" si="252"/>
        <v/>
      </c>
      <c r="DD100" s="24" t="str">
        <f t="shared" si="253"/>
        <v/>
      </c>
      <c r="DE100" s="1"/>
      <c r="DF100" s="1"/>
      <c r="DG100" s="1"/>
      <c r="DH100" s="24" t="str">
        <f t="shared" si="254"/>
        <v/>
      </c>
      <c r="DI100" s="25" t="str">
        <f t="shared" si="255"/>
        <v/>
      </c>
      <c r="DJ100" t="str">
        <f t="shared" si="174"/>
        <v/>
      </c>
      <c r="DK100" s="9"/>
      <c r="DL100" s="9"/>
      <c r="DM100" s="9"/>
      <c r="DN100" s="9"/>
      <c r="DO100" s="9"/>
      <c r="DP100" s="9"/>
      <c r="DQ100" s="136" t="b">
        <f t="shared" si="256"/>
        <v>1</v>
      </c>
    </row>
  </sheetData>
  <mergeCells count="120">
    <mergeCell ref="DK12:DP12"/>
    <mergeCell ref="DQ12:DQ14"/>
    <mergeCell ref="DK13:DK14"/>
    <mergeCell ref="DL13:DL14"/>
    <mergeCell ref="DM13:DM14"/>
    <mergeCell ref="DN13:DN14"/>
    <mergeCell ref="DO13:DO14"/>
    <mergeCell ref="DP13:DP14"/>
    <mergeCell ref="BK13:BK14"/>
    <mergeCell ref="BS12:CA12"/>
    <mergeCell ref="BS13:BS14"/>
    <mergeCell ref="BT13:BT14"/>
    <mergeCell ref="BU13:BU14"/>
    <mergeCell ref="BV13:BV14"/>
    <mergeCell ref="BW13:BW14"/>
    <mergeCell ref="BX13:BX14"/>
    <mergeCell ref="BY13:BY14"/>
    <mergeCell ref="BZ13:BZ14"/>
    <mergeCell ref="CA13:CA14"/>
    <mergeCell ref="CB12:CH12"/>
    <mergeCell ref="DE12:DI12"/>
    <mergeCell ref="DA13:DA14"/>
    <mergeCell ref="DB13:DB14"/>
    <mergeCell ref="DC13:DC14"/>
    <mergeCell ref="G12:O12"/>
    <mergeCell ref="G13:G14"/>
    <mergeCell ref="H13:H14"/>
    <mergeCell ref="I13:I14"/>
    <mergeCell ref="J13:J14"/>
    <mergeCell ref="K13:K14"/>
    <mergeCell ref="L13:L14"/>
    <mergeCell ref="M13:M14"/>
    <mergeCell ref="N13:N14"/>
    <mergeCell ref="O13:O14"/>
    <mergeCell ref="DG13:DG14"/>
    <mergeCell ref="DH13:DH14"/>
    <mergeCell ref="CI12:CN12"/>
    <mergeCell ref="CH13:CH14"/>
    <mergeCell ref="CE13:CE14"/>
    <mergeCell ref="CU14:CZ14"/>
    <mergeCell ref="CU12:DD12"/>
    <mergeCell ref="CO12:CT12"/>
    <mergeCell ref="CI13:CI14"/>
    <mergeCell ref="CJ13:CJ14"/>
    <mergeCell ref="CK13:CK14"/>
    <mergeCell ref="CL13:CL14"/>
    <mergeCell ref="CM13:CM14"/>
    <mergeCell ref="CN13:CN14"/>
    <mergeCell ref="AB13:AB14"/>
    <mergeCell ref="AC13:AC14"/>
    <mergeCell ref="AD13:AD14"/>
    <mergeCell ref="AE13:AE14"/>
    <mergeCell ref="DI13:DI14"/>
    <mergeCell ref="BL13:BL14"/>
    <mergeCell ref="BM13:BM14"/>
    <mergeCell ref="BN13:BN14"/>
    <mergeCell ref="AK13:AK14"/>
    <mergeCell ref="AL13:AL14"/>
    <mergeCell ref="BQ13:BQ14"/>
    <mergeCell ref="BR13:BR14"/>
    <mergeCell ref="BO13:BO14"/>
    <mergeCell ref="BC13:BC14"/>
    <mergeCell ref="BD13:BD14"/>
    <mergeCell ref="BE13:BE14"/>
    <mergeCell ref="BF13:BF14"/>
    <mergeCell ref="BG13:BG14"/>
    <mergeCell ref="BH13:BH14"/>
    <mergeCell ref="BI13:BI14"/>
    <mergeCell ref="BJ13:BJ14"/>
    <mergeCell ref="DD13:DD14"/>
    <mergeCell ref="DE13:DE14"/>
    <mergeCell ref="DF13:DF14"/>
    <mergeCell ref="A8:B8"/>
    <mergeCell ref="CS13:CS14"/>
    <mergeCell ref="CT13:CT14"/>
    <mergeCell ref="CF13:CF14"/>
    <mergeCell ref="CO13:CO14"/>
    <mergeCell ref="CP13:CP14"/>
    <mergeCell ref="CQ13:CQ14"/>
    <mergeCell ref="CR13:CR14"/>
    <mergeCell ref="BP13:BP14"/>
    <mergeCell ref="CB13:CB14"/>
    <mergeCell ref="CC13:CC14"/>
    <mergeCell ref="CD13:CD14"/>
    <mergeCell ref="T13:T14"/>
    <mergeCell ref="A9:B9"/>
    <mergeCell ref="A12:F12"/>
    <mergeCell ref="A13:A14"/>
    <mergeCell ref="B13:B14"/>
    <mergeCell ref="C13:C14"/>
    <mergeCell ref="D13:D14"/>
    <mergeCell ref="E13:E14"/>
    <mergeCell ref="A10:B10"/>
    <mergeCell ref="BL11:BR11"/>
    <mergeCell ref="P12:V12"/>
    <mergeCell ref="AF12:AL12"/>
    <mergeCell ref="A11:B11"/>
    <mergeCell ref="F13:F14"/>
    <mergeCell ref="P13:P14"/>
    <mergeCell ref="Q13:Q14"/>
    <mergeCell ref="CG13:CG14"/>
    <mergeCell ref="U13:U14"/>
    <mergeCell ref="V13:V14"/>
    <mergeCell ref="R13:R14"/>
    <mergeCell ref="S13:S14"/>
    <mergeCell ref="AV12:BB12"/>
    <mergeCell ref="BL12:BR12"/>
    <mergeCell ref="W12:AE12"/>
    <mergeCell ref="AM12:AU12"/>
    <mergeCell ref="BC12:BK12"/>
    <mergeCell ref="AF13:AF14"/>
    <mergeCell ref="AG13:AG14"/>
    <mergeCell ref="AH13:AH14"/>
    <mergeCell ref="AJ13:AJ14"/>
    <mergeCell ref="AI13:AI14"/>
    <mergeCell ref="W13:W14"/>
    <mergeCell ref="X13:X14"/>
    <mergeCell ref="Y13:Y14"/>
    <mergeCell ref="Z13:Z14"/>
    <mergeCell ref="AA13:AA14"/>
  </mergeCells>
  <conditionalFormatting sqref="CR15:CR100">
    <cfRule type="cellIs" dxfId="9" priority="3" operator="lessThan">
      <formula>50</formula>
    </cfRule>
  </conditionalFormatting>
  <conditionalFormatting sqref="CS15:CS100">
    <cfRule type="cellIs" dxfId="8" priority="2" operator="equal">
      <formula>"F"</formula>
    </cfRule>
  </conditionalFormatting>
  <conditionalFormatting sqref="DQ15:DQ100">
    <cfRule type="cellIs" dxfId="7" priority="1" stopIfTrue="1" operator="equal">
      <formula>FALSE</formula>
    </cfRule>
  </conditionalFormatting>
  <dataValidations count="1">
    <dataValidation allowBlank="1" showInputMessage="1" showErrorMessage="1" promptTitle="Creadit" prompt="Please insert credit here!" sqref="G14:J14 BS14:BV14 BC14:BF14 W14:Z14" xr:uid="{00000000-0002-0000-0700-000000000000}"/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2060"/>
  </sheetPr>
  <dimension ref="A1:CA67"/>
  <sheetViews>
    <sheetView topLeftCell="O1" zoomScale="85" zoomScaleNormal="85" workbookViewId="0">
      <selection activeCell="AF14" sqref="AF14"/>
    </sheetView>
  </sheetViews>
  <sheetFormatPr defaultColWidth="9.1796875" defaultRowHeight="23" x14ac:dyDescent="0.95"/>
  <cols>
    <col min="1" max="1" width="8.7265625" customWidth="1"/>
    <col min="2" max="2" width="28.1796875" style="105" customWidth="1"/>
    <col min="3" max="3" width="25.7265625" style="108" customWidth="1"/>
    <col min="4" max="4" width="16.453125" style="33" customWidth="1"/>
    <col min="5" max="6" width="8.7265625"/>
    <col min="7" max="7" width="12.54296875" customWidth="1"/>
    <col min="8" max="9" width="8.7265625"/>
    <col min="10" max="10" width="12.26953125" bestFit="1" customWidth="1"/>
    <col min="11" max="31" width="8.7265625"/>
    <col min="32" max="32" width="10.7265625" bestFit="1" customWidth="1"/>
    <col min="33" max="79" width="8.7265625" customWidth="1"/>
    <col min="80" max="16384" width="9.1796875" style="137"/>
  </cols>
  <sheetData>
    <row r="1" spans="1:79" ht="23.5" thickBot="1" x14ac:dyDescent="1">
      <c r="A1" s="137"/>
      <c r="B1" s="142"/>
      <c r="C1" s="143"/>
      <c r="D1" s="139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</row>
    <row r="2" spans="1:79" ht="20.5" thickBot="1" x14ac:dyDescent="0.4">
      <c r="A2" s="277" t="s">
        <v>21</v>
      </c>
      <c r="B2" s="277"/>
      <c r="C2" s="278" t="s">
        <v>56</v>
      </c>
      <c r="D2" s="278"/>
      <c r="E2" s="138"/>
      <c r="F2" s="139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9"/>
      <c r="AN2" s="139"/>
      <c r="AO2" s="139"/>
      <c r="AP2" s="139"/>
      <c r="AQ2" s="139"/>
      <c r="AR2" s="139"/>
      <c r="AS2" s="139"/>
      <c r="AT2" s="139"/>
      <c r="AU2" s="139"/>
      <c r="AV2" s="139"/>
      <c r="AW2" s="139"/>
      <c r="AX2" s="139"/>
      <c r="AY2" s="137"/>
      <c r="AZ2" s="137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40"/>
      <c r="BV2" s="140"/>
      <c r="BW2" s="140"/>
      <c r="BX2" s="140"/>
      <c r="BY2" s="140"/>
      <c r="BZ2" s="140"/>
      <c r="CA2" s="140"/>
    </row>
    <row r="3" spans="1:79" ht="20.5" thickBot="1" x14ac:dyDescent="0.4">
      <c r="A3" s="277" t="s">
        <v>108</v>
      </c>
      <c r="B3" s="277"/>
      <c r="C3" s="278" t="s">
        <v>109</v>
      </c>
      <c r="D3" s="278"/>
      <c r="E3" s="138"/>
      <c r="F3" s="139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37"/>
      <c r="AZ3" s="137"/>
      <c r="BA3" s="139"/>
      <c r="BB3" s="139"/>
      <c r="BC3" s="139"/>
      <c r="BD3" s="139"/>
      <c r="BE3" s="139"/>
      <c r="BF3" s="139"/>
      <c r="BG3" s="139"/>
      <c r="BH3" s="139"/>
      <c r="BI3" s="139"/>
      <c r="BJ3" s="139"/>
      <c r="BK3" s="139"/>
      <c r="BL3" s="139"/>
      <c r="BM3" s="139"/>
      <c r="BN3" s="139"/>
      <c r="BO3" s="139"/>
      <c r="BP3" s="139"/>
      <c r="BQ3" s="139"/>
      <c r="BR3" s="139"/>
      <c r="BS3" s="139"/>
      <c r="BT3" s="139"/>
      <c r="BU3" s="140"/>
      <c r="BV3" s="140"/>
      <c r="BW3" s="140"/>
      <c r="BX3" s="140"/>
      <c r="BY3" s="140"/>
      <c r="BZ3" s="140"/>
      <c r="CA3" s="140"/>
    </row>
    <row r="4" spans="1:79" ht="29" thickBot="1" x14ac:dyDescent="0.4">
      <c r="A4" s="280" t="s">
        <v>86</v>
      </c>
      <c r="B4" s="280"/>
      <c r="C4" s="279" t="str">
        <f>""&amp;'Q1'!C11</f>
        <v>2025-2026</v>
      </c>
      <c r="D4" s="279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/>
      <c r="AU4" s="141"/>
      <c r="AV4" s="141"/>
      <c r="AW4" s="141"/>
      <c r="AX4" s="141"/>
      <c r="AY4" s="141"/>
      <c r="AZ4" s="141"/>
      <c r="BA4" s="141"/>
      <c r="BB4" s="141"/>
      <c r="BC4" s="141"/>
      <c r="BD4" s="141"/>
      <c r="BE4" s="141"/>
      <c r="BF4" s="141"/>
      <c r="BG4" s="141"/>
      <c r="BH4" s="141"/>
      <c r="BI4" s="141"/>
      <c r="BJ4" s="141"/>
      <c r="BK4" s="141"/>
      <c r="BL4" s="141"/>
      <c r="BM4" s="141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</row>
    <row r="5" spans="1:79" ht="34" hidden="1" thickTop="1" thickBot="1" x14ac:dyDescent="0.4">
      <c r="A5" s="87"/>
      <c r="B5" s="88"/>
      <c r="C5" s="106"/>
      <c r="D5" s="103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87"/>
      <c r="BM5" s="87"/>
      <c r="BN5" s="87"/>
      <c r="BO5" s="87"/>
      <c r="BP5" s="87"/>
      <c r="BQ5" s="87"/>
      <c r="BR5" s="87"/>
      <c r="BS5" s="87"/>
      <c r="BT5" s="87"/>
      <c r="BU5" s="87"/>
      <c r="BV5" s="87"/>
      <c r="BW5" s="87"/>
      <c r="BX5" s="87"/>
      <c r="BY5" s="87"/>
      <c r="BZ5" s="87"/>
      <c r="CA5" s="87"/>
    </row>
    <row r="6" spans="1:79" ht="27.75" customHeight="1" x14ac:dyDescent="0.35">
      <c r="A6" s="158" t="s">
        <v>0</v>
      </c>
      <c r="B6" s="160" t="s">
        <v>1</v>
      </c>
      <c r="C6" s="162" t="s">
        <v>84</v>
      </c>
      <c r="D6" s="164" t="s">
        <v>3</v>
      </c>
      <c r="E6" s="166" t="s">
        <v>4</v>
      </c>
      <c r="F6" s="166" t="s">
        <v>5</v>
      </c>
      <c r="G6" s="275" t="s">
        <v>99</v>
      </c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O6" s="276"/>
      <c r="AP6" s="276"/>
      <c r="AQ6" s="275" t="s">
        <v>100</v>
      </c>
      <c r="AR6" s="276"/>
      <c r="AS6" s="276"/>
      <c r="AT6" s="276"/>
      <c r="AU6" s="276"/>
      <c r="AV6" s="276"/>
      <c r="AW6" s="276"/>
      <c r="AX6" s="276"/>
      <c r="AY6" s="276"/>
      <c r="AZ6" s="276"/>
      <c r="BA6" s="276"/>
      <c r="BB6" s="276"/>
      <c r="BC6" s="276"/>
      <c r="BD6" s="276"/>
      <c r="BE6" s="276"/>
      <c r="BF6" s="276"/>
      <c r="BG6" s="276"/>
      <c r="BH6" s="276"/>
      <c r="BI6" s="276"/>
      <c r="BJ6" s="276"/>
      <c r="BK6" s="276"/>
      <c r="BL6" s="276"/>
      <c r="BM6" s="276"/>
      <c r="BN6" s="276"/>
      <c r="BO6" s="276"/>
      <c r="BP6" s="276"/>
      <c r="BQ6" s="276"/>
      <c r="BR6" s="276"/>
      <c r="BS6" s="276"/>
      <c r="BT6" s="276"/>
      <c r="BU6" s="276"/>
      <c r="BV6" s="276"/>
      <c r="BW6" s="276"/>
      <c r="BX6" s="276"/>
      <c r="BY6" s="276"/>
      <c r="BZ6" s="276"/>
      <c r="CA6" s="89"/>
    </row>
    <row r="7" spans="1:79" ht="117.75" customHeight="1" x14ac:dyDescent="0.35">
      <c r="A7" s="159"/>
      <c r="B7" s="161"/>
      <c r="C7" s="163"/>
      <c r="D7" s="165"/>
      <c r="E7" s="167"/>
      <c r="F7" s="167"/>
      <c r="G7" s="109" t="s">
        <v>8</v>
      </c>
      <c r="H7" s="110" t="s">
        <v>9</v>
      </c>
      <c r="I7" s="111" t="s">
        <v>10</v>
      </c>
      <c r="J7" s="112" t="s">
        <v>11</v>
      </c>
      <c r="K7" s="109" t="s">
        <v>8</v>
      </c>
      <c r="L7" s="110" t="s">
        <v>9</v>
      </c>
      <c r="M7" s="111" t="s">
        <v>10</v>
      </c>
      <c r="N7" s="112" t="s">
        <v>11</v>
      </c>
      <c r="O7" s="109" t="s">
        <v>8</v>
      </c>
      <c r="P7" s="110" t="s">
        <v>9</v>
      </c>
      <c r="Q7" s="111" t="s">
        <v>10</v>
      </c>
      <c r="R7" s="112" t="s">
        <v>11</v>
      </c>
      <c r="S7" s="109" t="s">
        <v>8</v>
      </c>
      <c r="T7" s="110" t="s">
        <v>9</v>
      </c>
      <c r="U7" s="111" t="s">
        <v>10</v>
      </c>
      <c r="V7" s="112" t="s">
        <v>11</v>
      </c>
      <c r="W7" s="109" t="s">
        <v>8</v>
      </c>
      <c r="X7" s="110" t="s">
        <v>9</v>
      </c>
      <c r="Y7" s="111" t="s">
        <v>10</v>
      </c>
      <c r="Z7" s="112" t="s">
        <v>11</v>
      </c>
      <c r="AA7" s="109" t="s">
        <v>8</v>
      </c>
      <c r="AB7" s="110" t="s">
        <v>9</v>
      </c>
      <c r="AC7" s="111" t="s">
        <v>10</v>
      </c>
      <c r="AD7" s="112" t="s">
        <v>11</v>
      </c>
      <c r="AE7" s="109" t="s">
        <v>8</v>
      </c>
      <c r="AF7" s="110" t="s">
        <v>9</v>
      </c>
      <c r="AG7" s="111" t="s">
        <v>10</v>
      </c>
      <c r="AH7" s="112" t="s">
        <v>11</v>
      </c>
      <c r="AI7" s="109" t="s">
        <v>8</v>
      </c>
      <c r="AJ7" s="110" t="s">
        <v>9</v>
      </c>
      <c r="AK7" s="111" t="s">
        <v>10</v>
      </c>
      <c r="AL7" s="112" t="s">
        <v>11</v>
      </c>
      <c r="AM7" s="109" t="s">
        <v>8</v>
      </c>
      <c r="AN7" s="110" t="s">
        <v>9</v>
      </c>
      <c r="AO7" s="111" t="s">
        <v>10</v>
      </c>
      <c r="AP7" s="112" t="s">
        <v>11</v>
      </c>
      <c r="AQ7" s="113" t="s">
        <v>8</v>
      </c>
      <c r="AR7" s="114" t="s">
        <v>9</v>
      </c>
      <c r="AS7" s="115" t="s">
        <v>10</v>
      </c>
      <c r="AT7" s="116" t="s">
        <v>11</v>
      </c>
      <c r="AU7" s="113" t="s">
        <v>8</v>
      </c>
      <c r="AV7" s="114" t="s">
        <v>9</v>
      </c>
      <c r="AW7" s="115" t="s">
        <v>10</v>
      </c>
      <c r="AX7" s="116" t="s">
        <v>11</v>
      </c>
      <c r="AY7" s="113" t="s">
        <v>8</v>
      </c>
      <c r="AZ7" s="114" t="s">
        <v>9</v>
      </c>
      <c r="BA7" s="115" t="s">
        <v>10</v>
      </c>
      <c r="BB7" s="116" t="s">
        <v>11</v>
      </c>
      <c r="BC7" s="113" t="s">
        <v>8</v>
      </c>
      <c r="BD7" s="114" t="s">
        <v>9</v>
      </c>
      <c r="BE7" s="115" t="s">
        <v>10</v>
      </c>
      <c r="BF7" s="116" t="s">
        <v>11</v>
      </c>
      <c r="BG7" s="113" t="s">
        <v>8</v>
      </c>
      <c r="BH7" s="114" t="s">
        <v>9</v>
      </c>
      <c r="BI7" s="115" t="s">
        <v>10</v>
      </c>
      <c r="BJ7" s="116" t="s">
        <v>11</v>
      </c>
      <c r="BK7" s="113" t="s">
        <v>8</v>
      </c>
      <c r="BL7" s="114" t="s">
        <v>9</v>
      </c>
      <c r="BM7" s="115" t="s">
        <v>10</v>
      </c>
      <c r="BN7" s="116" t="s">
        <v>11</v>
      </c>
      <c r="BO7" s="113" t="s">
        <v>8</v>
      </c>
      <c r="BP7" s="114" t="s">
        <v>9</v>
      </c>
      <c r="BQ7" s="115" t="s">
        <v>10</v>
      </c>
      <c r="BR7" s="116" t="s">
        <v>11</v>
      </c>
      <c r="BS7" s="113" t="s">
        <v>8</v>
      </c>
      <c r="BT7" s="114" t="s">
        <v>9</v>
      </c>
      <c r="BU7" s="115" t="s">
        <v>10</v>
      </c>
      <c r="BV7" s="116" t="s">
        <v>11</v>
      </c>
      <c r="BW7" s="113" t="s">
        <v>8</v>
      </c>
      <c r="BX7" s="114" t="s">
        <v>9</v>
      </c>
      <c r="BY7" s="115" t="s">
        <v>10</v>
      </c>
      <c r="BZ7" s="116" t="s">
        <v>11</v>
      </c>
      <c r="CA7" s="266" t="s">
        <v>85</v>
      </c>
    </row>
    <row r="8" spans="1:79" ht="24" customHeight="1" thickBot="1" x14ac:dyDescent="0.4">
      <c r="A8" s="159"/>
      <c r="B8" s="161"/>
      <c r="C8" s="163"/>
      <c r="D8" s="165"/>
      <c r="E8" s="167"/>
      <c r="F8" s="168"/>
      <c r="G8" s="267" t="s">
        <v>6</v>
      </c>
      <c r="H8" s="268"/>
      <c r="I8" s="268"/>
      <c r="J8" s="269"/>
      <c r="K8" s="267" t="s">
        <v>87</v>
      </c>
      <c r="L8" s="268"/>
      <c r="M8" s="268"/>
      <c r="N8" s="269"/>
      <c r="O8" s="267" t="s">
        <v>88</v>
      </c>
      <c r="P8" s="268"/>
      <c r="Q8" s="268"/>
      <c r="R8" s="269"/>
      <c r="S8" s="267" t="s">
        <v>51</v>
      </c>
      <c r="T8" s="268"/>
      <c r="U8" s="268"/>
      <c r="V8" s="269"/>
      <c r="W8" s="267" t="s">
        <v>89</v>
      </c>
      <c r="X8" s="268"/>
      <c r="Y8" s="268"/>
      <c r="Z8" s="269"/>
      <c r="AA8" s="267" t="s">
        <v>31</v>
      </c>
      <c r="AB8" s="268"/>
      <c r="AC8" s="268"/>
      <c r="AD8" s="269"/>
      <c r="AE8" s="267" t="s">
        <v>7</v>
      </c>
      <c r="AF8" s="268"/>
      <c r="AG8" s="268"/>
      <c r="AH8" s="269"/>
      <c r="AI8" s="273" t="s">
        <v>90</v>
      </c>
      <c r="AJ8" s="271"/>
      <c r="AK8" s="271"/>
      <c r="AL8" s="274"/>
      <c r="AM8" s="273" t="s">
        <v>91</v>
      </c>
      <c r="AN8" s="271"/>
      <c r="AO8" s="271"/>
      <c r="AP8" s="274"/>
      <c r="AQ8" s="273" t="s">
        <v>92</v>
      </c>
      <c r="AR8" s="271"/>
      <c r="AS8" s="271"/>
      <c r="AT8" s="274"/>
      <c r="AU8" s="273" t="s">
        <v>101</v>
      </c>
      <c r="AV8" s="271"/>
      <c r="AW8" s="271"/>
      <c r="AX8" s="274"/>
      <c r="AY8" s="273" t="s">
        <v>93</v>
      </c>
      <c r="AZ8" s="271"/>
      <c r="BA8" s="271"/>
      <c r="BB8" s="271"/>
      <c r="BC8" s="271" t="s">
        <v>94</v>
      </c>
      <c r="BD8" s="271"/>
      <c r="BE8" s="271"/>
      <c r="BF8" s="272"/>
      <c r="BG8" s="270" t="s">
        <v>95</v>
      </c>
      <c r="BH8" s="271"/>
      <c r="BI8" s="271"/>
      <c r="BJ8" s="272"/>
      <c r="BK8" s="270" t="s">
        <v>97</v>
      </c>
      <c r="BL8" s="271"/>
      <c r="BM8" s="271"/>
      <c r="BN8" s="129"/>
      <c r="BO8" s="271" t="s">
        <v>96</v>
      </c>
      <c r="BP8" s="271"/>
      <c r="BQ8" s="271"/>
      <c r="BR8" s="272"/>
      <c r="BS8" s="270" t="s">
        <v>98</v>
      </c>
      <c r="BT8" s="271"/>
      <c r="BU8" s="271"/>
      <c r="BV8" s="272"/>
      <c r="BW8" s="273" t="s">
        <v>103</v>
      </c>
      <c r="BX8" s="271"/>
      <c r="BY8" s="271"/>
      <c r="BZ8" s="272"/>
      <c r="CA8" s="266"/>
    </row>
    <row r="9" spans="1:79" ht="21.75" customHeight="1" x14ac:dyDescent="0.35">
      <c r="A9" s="90">
        <f>IF('Q4'!A15="","",'Q4'!A15)</f>
        <v>1</v>
      </c>
      <c r="B9" s="90" t="str">
        <f>IF('Q4'!B15="","",'Q4'!B15)</f>
        <v>Sor Ketryawin</v>
      </c>
      <c r="C9" s="90" t="str">
        <f>IF('Q4'!C15="","",'Q4'!C15)</f>
        <v>ស កេតទ្រីយ៉ាវីន</v>
      </c>
      <c r="D9" s="90" t="str">
        <f>IF('Q4'!D15="","",'Q4'!D15)</f>
        <v>F</v>
      </c>
      <c r="E9" s="90">
        <f>IF('Q4'!E15="","",'Q4'!E15)</f>
        <v>691</v>
      </c>
      <c r="F9" s="90" t="str">
        <f>IF('Q4'!F15="","",'Q4'!F15)</f>
        <v>I</v>
      </c>
      <c r="G9" s="117" t="s">
        <v>196</v>
      </c>
      <c r="H9" s="118" t="s">
        <v>197</v>
      </c>
      <c r="I9" s="117" t="s">
        <v>221</v>
      </c>
      <c r="J9" s="118" t="s">
        <v>164</v>
      </c>
      <c r="K9" s="119" t="s">
        <v>262</v>
      </c>
      <c r="L9" s="118" t="s">
        <v>176</v>
      </c>
      <c r="M9" s="119" t="s">
        <v>273</v>
      </c>
      <c r="N9" s="118" t="s">
        <v>268</v>
      </c>
      <c r="O9" s="119" t="s">
        <v>187</v>
      </c>
      <c r="P9" s="118" t="s">
        <v>188</v>
      </c>
      <c r="Q9" s="119" t="s">
        <v>189</v>
      </c>
      <c r="R9" s="118" t="s">
        <v>190</v>
      </c>
      <c r="S9" s="119" t="s">
        <v>196</v>
      </c>
      <c r="T9" s="118" t="s">
        <v>220</v>
      </c>
      <c r="U9" s="119" t="s">
        <v>195</v>
      </c>
      <c r="V9" s="118" t="s">
        <v>277</v>
      </c>
      <c r="W9" s="119"/>
      <c r="X9" s="118"/>
      <c r="Y9" s="119"/>
      <c r="Z9" s="118"/>
      <c r="AA9" s="119" t="s">
        <v>278</v>
      </c>
      <c r="AB9" s="118" t="s">
        <v>270</v>
      </c>
      <c r="AC9" s="120" t="s">
        <v>271</v>
      </c>
      <c r="AD9" s="121" t="s">
        <v>279</v>
      </c>
      <c r="AE9" s="122" t="s">
        <v>196</v>
      </c>
      <c r="AF9" s="121" t="s">
        <v>220</v>
      </c>
      <c r="AG9" s="123" t="s">
        <v>195</v>
      </c>
      <c r="AH9" s="124" t="s">
        <v>277</v>
      </c>
      <c r="AI9" s="117" t="s">
        <v>196</v>
      </c>
      <c r="AJ9" s="118" t="s">
        <v>197</v>
      </c>
      <c r="AK9" s="119" t="s">
        <v>221</v>
      </c>
      <c r="AL9" s="118" t="s">
        <v>164</v>
      </c>
      <c r="AM9" s="119"/>
      <c r="AN9" s="118"/>
      <c r="AO9" s="119"/>
      <c r="AP9" s="118"/>
      <c r="AQ9" s="119" t="s">
        <v>146</v>
      </c>
      <c r="AR9" s="118" t="s">
        <v>252</v>
      </c>
      <c r="AS9" s="119" t="s">
        <v>253</v>
      </c>
      <c r="AT9" s="118" t="s">
        <v>254</v>
      </c>
      <c r="AU9" s="119" t="s">
        <v>146</v>
      </c>
      <c r="AV9" s="118" t="s">
        <v>252</v>
      </c>
      <c r="AW9" s="119" t="s">
        <v>253</v>
      </c>
      <c r="AX9" s="118" t="s">
        <v>254</v>
      </c>
      <c r="AY9" s="119" t="s">
        <v>146</v>
      </c>
      <c r="AZ9" s="118" t="s">
        <v>252</v>
      </c>
      <c r="BA9" s="119" t="s">
        <v>253</v>
      </c>
      <c r="BB9" s="118" t="s">
        <v>254</v>
      </c>
      <c r="BC9" s="119" t="s">
        <v>146</v>
      </c>
      <c r="BD9" s="118" t="s">
        <v>252</v>
      </c>
      <c r="BE9" s="119" t="s">
        <v>253</v>
      </c>
      <c r="BF9" s="118" t="s">
        <v>254</v>
      </c>
      <c r="BG9" s="119" t="s">
        <v>146</v>
      </c>
      <c r="BH9" s="118" t="s">
        <v>252</v>
      </c>
      <c r="BI9" s="119" t="s">
        <v>253</v>
      </c>
      <c r="BJ9" s="118" t="s">
        <v>254</v>
      </c>
      <c r="BK9" s="119" t="s">
        <v>146</v>
      </c>
      <c r="BL9" s="118" t="s">
        <v>252</v>
      </c>
      <c r="BM9" s="119" t="s">
        <v>253</v>
      </c>
      <c r="BN9" s="118" t="s">
        <v>254</v>
      </c>
      <c r="BO9" s="119" t="s">
        <v>146</v>
      </c>
      <c r="BP9" s="118" t="s">
        <v>252</v>
      </c>
      <c r="BQ9" s="119" t="s">
        <v>253</v>
      </c>
      <c r="BR9" s="118" t="s">
        <v>254</v>
      </c>
      <c r="BS9" s="119" t="s">
        <v>146</v>
      </c>
      <c r="BT9" s="118" t="s">
        <v>252</v>
      </c>
      <c r="BU9" s="119" t="s">
        <v>253</v>
      </c>
      <c r="BV9" s="118" t="s">
        <v>254</v>
      </c>
      <c r="BW9" s="119" t="s">
        <v>146</v>
      </c>
      <c r="BX9" s="118" t="s">
        <v>252</v>
      </c>
      <c r="BY9" s="119" t="s">
        <v>253</v>
      </c>
      <c r="BZ9" s="118" t="s">
        <v>254</v>
      </c>
      <c r="CA9" s="128" t="str">
        <f>IF(OR(B9="",$C$2=""),"",$C$2)</f>
        <v>1A</v>
      </c>
    </row>
    <row r="10" spans="1:79" ht="30" customHeight="1" x14ac:dyDescent="0.35">
      <c r="A10" s="90">
        <f>IF('Q4'!A16="","",'Q4'!A16)</f>
        <v>2</v>
      </c>
      <c r="B10" s="90" t="str">
        <f>IF('Q4'!B16="","",'Q4'!B16)</f>
        <v>Ly Sovannarith</v>
      </c>
      <c r="C10" s="107" t="str">
        <f>IF('Q4'!C16="","",'Q4'!C16)</f>
        <v>លី សុវណ្ណារិទ្ធ</v>
      </c>
      <c r="D10" s="104" t="str">
        <f>IF('Q4'!D16="","",'Q4'!D16)</f>
        <v>M</v>
      </c>
      <c r="E10" s="90">
        <f>IF('Q4'!E16="","",'Q4'!E16)</f>
        <v>689</v>
      </c>
      <c r="F10" s="90" t="str">
        <f>IF('Q4'!F16="","",'Q4'!F16)</f>
        <v>I</v>
      </c>
      <c r="G10" s="117" t="s">
        <v>196</v>
      </c>
      <c r="H10" s="118" t="s">
        <v>205</v>
      </c>
      <c r="I10" s="117" t="s">
        <v>221</v>
      </c>
      <c r="J10" s="118" t="s">
        <v>164</v>
      </c>
      <c r="K10" s="119" t="s">
        <v>262</v>
      </c>
      <c r="L10" s="118" t="s">
        <v>176</v>
      </c>
      <c r="M10" s="119" t="s">
        <v>273</v>
      </c>
      <c r="N10" s="118" t="s">
        <v>268</v>
      </c>
      <c r="O10" s="119" t="s">
        <v>206</v>
      </c>
      <c r="P10" s="118" t="s">
        <v>188</v>
      </c>
      <c r="Q10" s="119" t="s">
        <v>192</v>
      </c>
      <c r="R10" s="118" t="s">
        <v>190</v>
      </c>
      <c r="S10" s="119" t="s">
        <v>196</v>
      </c>
      <c r="T10" s="118" t="s">
        <v>220</v>
      </c>
      <c r="U10" s="119" t="s">
        <v>195</v>
      </c>
      <c r="V10" s="118" t="s">
        <v>277</v>
      </c>
      <c r="W10" s="119"/>
      <c r="X10" s="118"/>
      <c r="Y10" s="119"/>
      <c r="Z10" s="118"/>
      <c r="AA10" s="119" t="s">
        <v>278</v>
      </c>
      <c r="AB10" s="118" t="s">
        <v>270</v>
      </c>
      <c r="AC10" s="120" t="s">
        <v>271</v>
      </c>
      <c r="AD10" s="121" t="s">
        <v>279</v>
      </c>
      <c r="AE10" s="122" t="s">
        <v>196</v>
      </c>
      <c r="AF10" s="121" t="s">
        <v>220</v>
      </c>
      <c r="AG10" s="123" t="s">
        <v>195</v>
      </c>
      <c r="AH10" s="124" t="s">
        <v>277</v>
      </c>
      <c r="AI10" s="117" t="s">
        <v>196</v>
      </c>
      <c r="AJ10" s="118" t="s">
        <v>205</v>
      </c>
      <c r="AK10" s="119" t="s">
        <v>221</v>
      </c>
      <c r="AL10" s="118" t="s">
        <v>164</v>
      </c>
      <c r="AM10" s="119"/>
      <c r="AN10" s="118"/>
      <c r="AO10" s="119"/>
      <c r="AP10" s="118"/>
      <c r="AQ10" s="119" t="s">
        <v>146</v>
      </c>
      <c r="AR10" s="118" t="s">
        <v>255</v>
      </c>
      <c r="AS10" s="119" t="s">
        <v>256</v>
      </c>
      <c r="AT10" s="118" t="s">
        <v>254</v>
      </c>
      <c r="AU10" s="119" t="s">
        <v>146</v>
      </c>
      <c r="AV10" s="118" t="s">
        <v>255</v>
      </c>
      <c r="AW10" s="119" t="s">
        <v>256</v>
      </c>
      <c r="AX10" s="118" t="s">
        <v>254</v>
      </c>
      <c r="AY10" s="119" t="s">
        <v>146</v>
      </c>
      <c r="AZ10" s="118" t="s">
        <v>255</v>
      </c>
      <c r="BA10" s="119" t="s">
        <v>256</v>
      </c>
      <c r="BB10" s="118" t="s">
        <v>254</v>
      </c>
      <c r="BC10" s="119" t="s">
        <v>146</v>
      </c>
      <c r="BD10" s="118" t="s">
        <v>255</v>
      </c>
      <c r="BE10" s="119" t="s">
        <v>256</v>
      </c>
      <c r="BF10" s="118" t="s">
        <v>254</v>
      </c>
      <c r="BG10" s="119" t="s">
        <v>146</v>
      </c>
      <c r="BH10" s="118" t="s">
        <v>255</v>
      </c>
      <c r="BI10" s="119" t="s">
        <v>256</v>
      </c>
      <c r="BJ10" s="118" t="s">
        <v>254</v>
      </c>
      <c r="BK10" s="119" t="s">
        <v>146</v>
      </c>
      <c r="BL10" s="118" t="s">
        <v>255</v>
      </c>
      <c r="BM10" s="119" t="s">
        <v>256</v>
      </c>
      <c r="BN10" s="118" t="s">
        <v>254</v>
      </c>
      <c r="BO10" s="119" t="s">
        <v>146</v>
      </c>
      <c r="BP10" s="118" t="s">
        <v>255</v>
      </c>
      <c r="BQ10" s="119" t="s">
        <v>256</v>
      </c>
      <c r="BR10" s="118" t="s">
        <v>254</v>
      </c>
      <c r="BS10" s="119" t="s">
        <v>146</v>
      </c>
      <c r="BT10" s="118" t="s">
        <v>255</v>
      </c>
      <c r="BU10" s="119" t="s">
        <v>256</v>
      </c>
      <c r="BV10" s="118" t="s">
        <v>254</v>
      </c>
      <c r="BW10" s="119" t="s">
        <v>146</v>
      </c>
      <c r="BX10" s="118" t="s">
        <v>255</v>
      </c>
      <c r="BY10" s="119" t="s">
        <v>256</v>
      </c>
      <c r="BZ10" s="118" t="s">
        <v>254</v>
      </c>
      <c r="CA10" s="128" t="str">
        <f t="shared" ref="CA10:CA60" si="0">IF(OR(B10="",$C$2=""),"",$C$2)</f>
        <v>1A</v>
      </c>
    </row>
    <row r="11" spans="1:79" ht="30" customHeight="1" x14ac:dyDescent="0.35">
      <c r="A11" s="90">
        <f>IF('Q4'!A17="","",'Q4'!A17)</f>
        <v>3</v>
      </c>
      <c r="B11" s="90" t="str">
        <f>IF('Q4'!B17="","",'Q4'!B17)</f>
        <v>Phal Mengly</v>
      </c>
      <c r="C11" s="107" t="str">
        <f>IF('Q4'!C17="","",'Q4'!C17)</f>
        <v>ផល ម៉េងលី</v>
      </c>
      <c r="D11" s="104" t="str">
        <f>IF('Q4'!D17="","",'Q4'!D17)</f>
        <v>M</v>
      </c>
      <c r="E11" s="90">
        <f>IF('Q4'!E17="","",'Q4'!E17)</f>
        <v>688</v>
      </c>
      <c r="F11" s="90" t="str">
        <f>IF('Q4'!F17="","",'Q4'!F17)</f>
        <v>I</v>
      </c>
      <c r="G11" s="117" t="s">
        <v>191</v>
      </c>
      <c r="H11" s="118" t="s">
        <v>188</v>
      </c>
      <c r="I11" s="117" t="s">
        <v>221</v>
      </c>
      <c r="J11" s="118" t="s">
        <v>164</v>
      </c>
      <c r="K11" s="119" t="s">
        <v>263</v>
      </c>
      <c r="L11" s="118" t="s">
        <v>176</v>
      </c>
      <c r="M11" s="119" t="s">
        <v>273</v>
      </c>
      <c r="N11" s="118" t="s">
        <v>268</v>
      </c>
      <c r="O11" s="119" t="s">
        <v>193</v>
      </c>
      <c r="P11" s="118" t="s">
        <v>276</v>
      </c>
      <c r="Q11" s="119" t="s">
        <v>195</v>
      </c>
      <c r="R11" s="118" t="s">
        <v>190</v>
      </c>
      <c r="S11" s="119" t="s">
        <v>196</v>
      </c>
      <c r="T11" s="118" t="s">
        <v>220</v>
      </c>
      <c r="U11" s="119" t="s">
        <v>195</v>
      </c>
      <c r="V11" s="118" t="s">
        <v>277</v>
      </c>
      <c r="W11" s="119"/>
      <c r="X11" s="118"/>
      <c r="Y11" s="119"/>
      <c r="Z11" s="118"/>
      <c r="AA11" s="119" t="s">
        <v>278</v>
      </c>
      <c r="AB11" s="118" t="s">
        <v>270</v>
      </c>
      <c r="AC11" s="120" t="s">
        <v>271</v>
      </c>
      <c r="AD11" s="121" t="s">
        <v>279</v>
      </c>
      <c r="AE11" s="122" t="s">
        <v>196</v>
      </c>
      <c r="AF11" s="121" t="s">
        <v>220</v>
      </c>
      <c r="AG11" s="123" t="s">
        <v>195</v>
      </c>
      <c r="AH11" s="124" t="s">
        <v>277</v>
      </c>
      <c r="AI11" s="117" t="s">
        <v>191</v>
      </c>
      <c r="AJ11" s="118" t="s">
        <v>188</v>
      </c>
      <c r="AK11" s="119" t="s">
        <v>221</v>
      </c>
      <c r="AL11" s="118" t="s">
        <v>164</v>
      </c>
      <c r="AM11" s="119"/>
      <c r="AN11" s="118"/>
      <c r="AO11" s="119"/>
      <c r="AP11" s="118"/>
      <c r="AQ11" s="119" t="s">
        <v>146</v>
      </c>
      <c r="AR11" s="118" t="s">
        <v>255</v>
      </c>
      <c r="AS11" s="119" t="s">
        <v>256</v>
      </c>
      <c r="AT11" s="118" t="s">
        <v>254</v>
      </c>
      <c r="AU11" s="119" t="s">
        <v>146</v>
      </c>
      <c r="AV11" s="118" t="s">
        <v>255</v>
      </c>
      <c r="AW11" s="119" t="s">
        <v>256</v>
      </c>
      <c r="AX11" s="118" t="s">
        <v>254</v>
      </c>
      <c r="AY11" s="119" t="s">
        <v>146</v>
      </c>
      <c r="AZ11" s="118" t="s">
        <v>255</v>
      </c>
      <c r="BA11" s="119" t="s">
        <v>256</v>
      </c>
      <c r="BB11" s="118" t="s">
        <v>254</v>
      </c>
      <c r="BC11" s="119" t="s">
        <v>146</v>
      </c>
      <c r="BD11" s="118" t="s">
        <v>255</v>
      </c>
      <c r="BE11" s="119" t="s">
        <v>256</v>
      </c>
      <c r="BF11" s="118" t="s">
        <v>254</v>
      </c>
      <c r="BG11" s="119" t="s">
        <v>146</v>
      </c>
      <c r="BH11" s="118" t="s">
        <v>255</v>
      </c>
      <c r="BI11" s="119" t="s">
        <v>256</v>
      </c>
      <c r="BJ11" s="118" t="s">
        <v>254</v>
      </c>
      <c r="BK11" s="119" t="s">
        <v>146</v>
      </c>
      <c r="BL11" s="118" t="s">
        <v>255</v>
      </c>
      <c r="BM11" s="119" t="s">
        <v>256</v>
      </c>
      <c r="BN11" s="118" t="s">
        <v>254</v>
      </c>
      <c r="BO11" s="119" t="s">
        <v>146</v>
      </c>
      <c r="BP11" s="118" t="s">
        <v>255</v>
      </c>
      <c r="BQ11" s="119" t="s">
        <v>256</v>
      </c>
      <c r="BR11" s="118" t="s">
        <v>254</v>
      </c>
      <c r="BS11" s="119" t="s">
        <v>146</v>
      </c>
      <c r="BT11" s="118" t="s">
        <v>255</v>
      </c>
      <c r="BU11" s="119" t="s">
        <v>256</v>
      </c>
      <c r="BV11" s="118" t="s">
        <v>254</v>
      </c>
      <c r="BW11" s="119" t="s">
        <v>146</v>
      </c>
      <c r="BX11" s="118" t="s">
        <v>255</v>
      </c>
      <c r="BY11" s="119" t="s">
        <v>256</v>
      </c>
      <c r="BZ11" s="118" t="s">
        <v>254</v>
      </c>
      <c r="CA11" s="128" t="str">
        <f t="shared" si="0"/>
        <v>1A</v>
      </c>
    </row>
    <row r="12" spans="1:79" ht="30" customHeight="1" x14ac:dyDescent="0.35">
      <c r="A12" s="90">
        <f>IF('Q4'!A18="","",'Q4'!A18)</f>
        <v>4</v>
      </c>
      <c r="B12" s="90" t="str">
        <f>IF('Q4'!B18="","",'Q4'!B18)</f>
        <v>Song Santharasatya</v>
      </c>
      <c r="C12" s="107" t="str">
        <f>IF('Q4'!C18="","",'Q4'!C18)</f>
        <v>សុង សន្ទរសត្យា</v>
      </c>
      <c r="D12" s="104" t="str">
        <f>IF('Q4'!D18="","",'Q4'!D18)</f>
        <v>M</v>
      </c>
      <c r="E12" s="90">
        <f>IF('Q4'!E18="","",'Q4'!E18)</f>
        <v>693</v>
      </c>
      <c r="F12" s="90" t="str">
        <f>IF('Q4'!F18="","",'Q4'!F18)</f>
        <v>I</v>
      </c>
      <c r="G12" s="117" t="s">
        <v>196</v>
      </c>
      <c r="H12" s="118" t="s">
        <v>197</v>
      </c>
      <c r="I12" s="117" t="s">
        <v>221</v>
      </c>
      <c r="J12" s="118" t="s">
        <v>164</v>
      </c>
      <c r="K12" s="119" t="s">
        <v>263</v>
      </c>
      <c r="L12" s="118" t="s">
        <v>176</v>
      </c>
      <c r="M12" s="119" t="s">
        <v>273</v>
      </c>
      <c r="N12" s="118" t="s">
        <v>268</v>
      </c>
      <c r="O12" s="119" t="s">
        <v>196</v>
      </c>
      <c r="P12" s="118" t="s">
        <v>160</v>
      </c>
      <c r="Q12" s="119" t="s">
        <v>198</v>
      </c>
      <c r="R12" s="118" t="s">
        <v>190</v>
      </c>
      <c r="S12" s="119" t="s">
        <v>196</v>
      </c>
      <c r="T12" s="118" t="s">
        <v>220</v>
      </c>
      <c r="U12" s="119" t="s">
        <v>195</v>
      </c>
      <c r="V12" s="118" t="s">
        <v>277</v>
      </c>
      <c r="W12" s="119"/>
      <c r="X12" s="118"/>
      <c r="Y12" s="119"/>
      <c r="Z12" s="118"/>
      <c r="AA12" s="119" t="s">
        <v>278</v>
      </c>
      <c r="AB12" s="118" t="s">
        <v>270</v>
      </c>
      <c r="AC12" s="120" t="s">
        <v>271</v>
      </c>
      <c r="AD12" s="121" t="s">
        <v>279</v>
      </c>
      <c r="AE12" s="122" t="s">
        <v>196</v>
      </c>
      <c r="AF12" s="121" t="s">
        <v>220</v>
      </c>
      <c r="AG12" s="123" t="s">
        <v>195</v>
      </c>
      <c r="AH12" s="124" t="s">
        <v>277</v>
      </c>
      <c r="AI12" s="117" t="s">
        <v>196</v>
      </c>
      <c r="AJ12" s="118" t="s">
        <v>197</v>
      </c>
      <c r="AK12" s="119" t="s">
        <v>221</v>
      </c>
      <c r="AL12" s="118" t="s">
        <v>164</v>
      </c>
      <c r="AM12" s="119"/>
      <c r="AN12" s="118"/>
      <c r="AO12" s="119"/>
      <c r="AP12" s="118"/>
      <c r="AQ12" s="119" t="s">
        <v>146</v>
      </c>
      <c r="AR12" s="118" t="s">
        <v>252</v>
      </c>
      <c r="AS12" s="119" t="s">
        <v>257</v>
      </c>
      <c r="AT12" s="118" t="s">
        <v>254</v>
      </c>
      <c r="AU12" s="119" t="s">
        <v>146</v>
      </c>
      <c r="AV12" s="118" t="s">
        <v>252</v>
      </c>
      <c r="AW12" s="119" t="s">
        <v>257</v>
      </c>
      <c r="AX12" s="118" t="s">
        <v>254</v>
      </c>
      <c r="AY12" s="119" t="s">
        <v>146</v>
      </c>
      <c r="AZ12" s="118" t="s">
        <v>252</v>
      </c>
      <c r="BA12" s="119" t="s">
        <v>257</v>
      </c>
      <c r="BB12" s="118" t="s">
        <v>254</v>
      </c>
      <c r="BC12" s="119" t="s">
        <v>146</v>
      </c>
      <c r="BD12" s="118" t="s">
        <v>252</v>
      </c>
      <c r="BE12" s="119" t="s">
        <v>257</v>
      </c>
      <c r="BF12" s="118" t="s">
        <v>254</v>
      </c>
      <c r="BG12" s="119" t="s">
        <v>146</v>
      </c>
      <c r="BH12" s="118" t="s">
        <v>252</v>
      </c>
      <c r="BI12" s="119" t="s">
        <v>257</v>
      </c>
      <c r="BJ12" s="118" t="s">
        <v>254</v>
      </c>
      <c r="BK12" s="119" t="s">
        <v>146</v>
      </c>
      <c r="BL12" s="118" t="s">
        <v>252</v>
      </c>
      <c r="BM12" s="119" t="s">
        <v>257</v>
      </c>
      <c r="BN12" s="118" t="s">
        <v>254</v>
      </c>
      <c r="BO12" s="119" t="s">
        <v>146</v>
      </c>
      <c r="BP12" s="118" t="s">
        <v>252</v>
      </c>
      <c r="BQ12" s="119" t="s">
        <v>257</v>
      </c>
      <c r="BR12" s="118" t="s">
        <v>254</v>
      </c>
      <c r="BS12" s="119" t="s">
        <v>146</v>
      </c>
      <c r="BT12" s="118" t="s">
        <v>252</v>
      </c>
      <c r="BU12" s="119" t="s">
        <v>257</v>
      </c>
      <c r="BV12" s="118" t="s">
        <v>254</v>
      </c>
      <c r="BW12" s="119" t="s">
        <v>146</v>
      </c>
      <c r="BX12" s="118" t="s">
        <v>252</v>
      </c>
      <c r="BY12" s="119" t="s">
        <v>257</v>
      </c>
      <c r="BZ12" s="118" t="s">
        <v>254</v>
      </c>
      <c r="CA12" s="128" t="str">
        <f t="shared" si="0"/>
        <v>1A</v>
      </c>
    </row>
    <row r="13" spans="1:79" ht="30" customHeight="1" x14ac:dyDescent="0.35">
      <c r="A13" s="90">
        <f>IF('Q4'!A19="","",'Q4'!A19)</f>
        <v>5</v>
      </c>
      <c r="B13" s="90" t="str">
        <f>IF('Q4'!B19="","",'Q4'!B19)</f>
        <v>Heng Bunpiseth</v>
      </c>
      <c r="C13" s="107" t="str">
        <f>IF('Q4'!C19="","",'Q4'!C19)</f>
        <v>ហេង ប៊ុនពិសិដ្ឋ</v>
      </c>
      <c r="D13" s="104" t="str">
        <f>IF('Q4'!D19="","",'Q4'!D19)</f>
        <v>M</v>
      </c>
      <c r="E13" s="90">
        <f>IF('Q4'!E19="","",'Q4'!E19)</f>
        <v>694</v>
      </c>
      <c r="F13" s="90" t="str">
        <f>IF('Q4'!F19="","",'Q4'!F19)</f>
        <v>I</v>
      </c>
      <c r="G13" s="117" t="s">
        <v>191</v>
      </c>
      <c r="H13" s="118" t="s">
        <v>205</v>
      </c>
      <c r="I13" s="117" t="s">
        <v>272</v>
      </c>
      <c r="J13" s="118" t="s">
        <v>164</v>
      </c>
      <c r="K13" s="119" t="s">
        <v>233</v>
      </c>
      <c r="L13" s="118" t="s">
        <v>176</v>
      </c>
      <c r="M13" s="119" t="s">
        <v>273</v>
      </c>
      <c r="N13" s="118" t="s">
        <v>268</v>
      </c>
      <c r="O13" s="119" t="s">
        <v>199</v>
      </c>
      <c r="P13" s="118" t="s">
        <v>200</v>
      </c>
      <c r="Q13" s="119" t="s">
        <v>192</v>
      </c>
      <c r="R13" s="118" t="s">
        <v>190</v>
      </c>
      <c r="S13" s="119" t="s">
        <v>196</v>
      </c>
      <c r="T13" s="118" t="s">
        <v>220</v>
      </c>
      <c r="U13" s="119" t="s">
        <v>195</v>
      </c>
      <c r="V13" s="118" t="s">
        <v>277</v>
      </c>
      <c r="W13" s="119"/>
      <c r="X13" s="118"/>
      <c r="Y13" s="119"/>
      <c r="Z13" s="118"/>
      <c r="AA13" s="119" t="s">
        <v>278</v>
      </c>
      <c r="AB13" s="118" t="s">
        <v>270</v>
      </c>
      <c r="AC13" s="120" t="s">
        <v>271</v>
      </c>
      <c r="AD13" s="121" t="s">
        <v>279</v>
      </c>
      <c r="AE13" s="122" t="s">
        <v>196</v>
      </c>
      <c r="AF13" s="121" t="s">
        <v>220</v>
      </c>
      <c r="AG13" s="123" t="s">
        <v>195</v>
      </c>
      <c r="AH13" s="124" t="s">
        <v>277</v>
      </c>
      <c r="AI13" s="117" t="s">
        <v>191</v>
      </c>
      <c r="AJ13" s="118" t="s">
        <v>205</v>
      </c>
      <c r="AK13" s="119" t="s">
        <v>272</v>
      </c>
      <c r="AL13" s="118" t="s">
        <v>164</v>
      </c>
      <c r="AM13" s="119"/>
      <c r="AN13" s="118"/>
      <c r="AO13" s="119"/>
      <c r="AP13" s="118"/>
      <c r="AQ13" s="119" t="s">
        <v>145</v>
      </c>
      <c r="AR13" s="118" t="s">
        <v>255</v>
      </c>
      <c r="AS13" s="119" t="s">
        <v>256</v>
      </c>
      <c r="AT13" s="118" t="s">
        <v>254</v>
      </c>
      <c r="AU13" s="119" t="s">
        <v>145</v>
      </c>
      <c r="AV13" s="118" t="s">
        <v>255</v>
      </c>
      <c r="AW13" s="119" t="s">
        <v>256</v>
      </c>
      <c r="AX13" s="118" t="s">
        <v>254</v>
      </c>
      <c r="AY13" s="119" t="s">
        <v>145</v>
      </c>
      <c r="AZ13" s="118" t="s">
        <v>255</v>
      </c>
      <c r="BA13" s="119" t="s">
        <v>256</v>
      </c>
      <c r="BB13" s="118" t="s">
        <v>254</v>
      </c>
      <c r="BC13" s="119" t="s">
        <v>145</v>
      </c>
      <c r="BD13" s="118" t="s">
        <v>255</v>
      </c>
      <c r="BE13" s="119" t="s">
        <v>256</v>
      </c>
      <c r="BF13" s="118" t="s">
        <v>254</v>
      </c>
      <c r="BG13" s="119" t="s">
        <v>145</v>
      </c>
      <c r="BH13" s="118" t="s">
        <v>255</v>
      </c>
      <c r="BI13" s="119" t="s">
        <v>256</v>
      </c>
      <c r="BJ13" s="118" t="s">
        <v>254</v>
      </c>
      <c r="BK13" s="119" t="s">
        <v>145</v>
      </c>
      <c r="BL13" s="118" t="s">
        <v>255</v>
      </c>
      <c r="BM13" s="119" t="s">
        <v>256</v>
      </c>
      <c r="BN13" s="118" t="s">
        <v>254</v>
      </c>
      <c r="BO13" s="119" t="s">
        <v>145</v>
      </c>
      <c r="BP13" s="118" t="s">
        <v>255</v>
      </c>
      <c r="BQ13" s="119" t="s">
        <v>256</v>
      </c>
      <c r="BR13" s="118" t="s">
        <v>254</v>
      </c>
      <c r="BS13" s="119" t="s">
        <v>145</v>
      </c>
      <c r="BT13" s="118" t="s">
        <v>255</v>
      </c>
      <c r="BU13" s="119" t="s">
        <v>256</v>
      </c>
      <c r="BV13" s="118" t="s">
        <v>254</v>
      </c>
      <c r="BW13" s="119" t="s">
        <v>145</v>
      </c>
      <c r="BX13" s="118" t="s">
        <v>255</v>
      </c>
      <c r="BY13" s="119" t="s">
        <v>256</v>
      </c>
      <c r="BZ13" s="118" t="s">
        <v>254</v>
      </c>
      <c r="CA13" s="128" t="str">
        <f t="shared" si="0"/>
        <v>1A</v>
      </c>
    </row>
    <row r="14" spans="1:79" ht="30" customHeight="1" x14ac:dyDescent="0.35">
      <c r="A14" s="90">
        <f>IF('Q4'!A20="","",'Q4'!A20)</f>
        <v>6</v>
      </c>
      <c r="B14" s="90" t="str">
        <f>IF('Q4'!B20="","",'Q4'!B20)</f>
        <v>Pheng Meili</v>
      </c>
      <c r="C14" s="107" t="str">
        <f>IF('Q4'!C20="","",'Q4'!C20)</f>
        <v>ផេង ម៉ីលី</v>
      </c>
      <c r="D14" s="104" t="str">
        <f>IF('Q4'!D20="","",'Q4'!D20)</f>
        <v>F</v>
      </c>
      <c r="E14" s="90">
        <f>IF('Q4'!E20="","",'Q4'!E20)</f>
        <v>720</v>
      </c>
      <c r="F14" s="90" t="str">
        <f>IF('Q4'!F20="","",'Q4'!F20)</f>
        <v>I</v>
      </c>
      <c r="G14" s="117" t="s">
        <v>201</v>
      </c>
      <c r="H14" s="118" t="s">
        <v>205</v>
      </c>
      <c r="I14" s="117" t="s">
        <v>221</v>
      </c>
      <c r="J14" s="118" t="s">
        <v>164</v>
      </c>
      <c r="K14" s="119" t="s">
        <v>262</v>
      </c>
      <c r="L14" s="118" t="s">
        <v>176</v>
      </c>
      <c r="M14" s="119" t="s">
        <v>273</v>
      </c>
      <c r="N14" s="118" t="s">
        <v>268</v>
      </c>
      <c r="O14" s="119" t="s">
        <v>201</v>
      </c>
      <c r="P14" s="118" t="s">
        <v>202</v>
      </c>
      <c r="Q14" s="119" t="s">
        <v>203</v>
      </c>
      <c r="R14" s="118" t="s">
        <v>190</v>
      </c>
      <c r="S14" s="119" t="s">
        <v>196</v>
      </c>
      <c r="T14" s="118" t="s">
        <v>220</v>
      </c>
      <c r="U14" s="119" t="s">
        <v>195</v>
      </c>
      <c r="V14" s="118" t="s">
        <v>277</v>
      </c>
      <c r="W14" s="119"/>
      <c r="X14" s="118"/>
      <c r="Y14" s="119"/>
      <c r="Z14" s="118"/>
      <c r="AA14" s="119" t="s">
        <v>278</v>
      </c>
      <c r="AB14" s="118" t="s">
        <v>270</v>
      </c>
      <c r="AC14" s="120" t="s">
        <v>271</v>
      </c>
      <c r="AD14" s="121" t="s">
        <v>279</v>
      </c>
      <c r="AE14" s="122" t="s">
        <v>196</v>
      </c>
      <c r="AF14" s="121" t="s">
        <v>220</v>
      </c>
      <c r="AG14" s="123" t="s">
        <v>195</v>
      </c>
      <c r="AH14" s="124" t="s">
        <v>277</v>
      </c>
      <c r="AI14" s="117" t="s">
        <v>201</v>
      </c>
      <c r="AJ14" s="118" t="s">
        <v>205</v>
      </c>
      <c r="AK14" s="119" t="s">
        <v>221</v>
      </c>
      <c r="AL14" s="118" t="s">
        <v>164</v>
      </c>
      <c r="AM14" s="119"/>
      <c r="AN14" s="118"/>
      <c r="AO14" s="119"/>
      <c r="AP14" s="118"/>
      <c r="AQ14" s="119" t="s">
        <v>146</v>
      </c>
      <c r="AR14" s="118" t="s">
        <v>258</v>
      </c>
      <c r="AS14" s="119" t="s">
        <v>259</v>
      </c>
      <c r="AT14" s="118" t="s">
        <v>254</v>
      </c>
      <c r="AU14" s="119" t="s">
        <v>146</v>
      </c>
      <c r="AV14" s="118" t="s">
        <v>258</v>
      </c>
      <c r="AW14" s="119" t="s">
        <v>259</v>
      </c>
      <c r="AX14" s="118" t="s">
        <v>254</v>
      </c>
      <c r="AY14" s="119" t="s">
        <v>146</v>
      </c>
      <c r="AZ14" s="118" t="s">
        <v>258</v>
      </c>
      <c r="BA14" s="119" t="s">
        <v>259</v>
      </c>
      <c r="BB14" s="118" t="s">
        <v>254</v>
      </c>
      <c r="BC14" s="119" t="s">
        <v>146</v>
      </c>
      <c r="BD14" s="118" t="s">
        <v>258</v>
      </c>
      <c r="BE14" s="119" t="s">
        <v>259</v>
      </c>
      <c r="BF14" s="118" t="s">
        <v>254</v>
      </c>
      <c r="BG14" s="119" t="s">
        <v>146</v>
      </c>
      <c r="BH14" s="118" t="s">
        <v>258</v>
      </c>
      <c r="BI14" s="119" t="s">
        <v>259</v>
      </c>
      <c r="BJ14" s="118" t="s">
        <v>254</v>
      </c>
      <c r="BK14" s="119" t="s">
        <v>146</v>
      </c>
      <c r="BL14" s="118" t="s">
        <v>258</v>
      </c>
      <c r="BM14" s="119" t="s">
        <v>259</v>
      </c>
      <c r="BN14" s="118" t="s">
        <v>254</v>
      </c>
      <c r="BO14" s="119" t="s">
        <v>146</v>
      </c>
      <c r="BP14" s="118" t="s">
        <v>258</v>
      </c>
      <c r="BQ14" s="119" t="s">
        <v>259</v>
      </c>
      <c r="BR14" s="118" t="s">
        <v>254</v>
      </c>
      <c r="BS14" s="119" t="s">
        <v>146</v>
      </c>
      <c r="BT14" s="118" t="s">
        <v>258</v>
      </c>
      <c r="BU14" s="119" t="s">
        <v>259</v>
      </c>
      <c r="BV14" s="118" t="s">
        <v>254</v>
      </c>
      <c r="BW14" s="119" t="s">
        <v>146</v>
      </c>
      <c r="BX14" s="118" t="s">
        <v>258</v>
      </c>
      <c r="BY14" s="119" t="s">
        <v>259</v>
      </c>
      <c r="BZ14" s="118" t="s">
        <v>254</v>
      </c>
      <c r="CA14" s="128" t="str">
        <f t="shared" si="0"/>
        <v>1A</v>
      </c>
    </row>
    <row r="15" spans="1:79" ht="30" customHeight="1" x14ac:dyDescent="0.35">
      <c r="A15" s="90">
        <f>IF('Q4'!A21="","",'Q4'!A21)</f>
        <v>7</v>
      </c>
      <c r="B15" s="90" t="str">
        <f>IF('Q4'!B21="","",'Q4'!B21)</f>
        <v>Vuthy Eanvisal</v>
      </c>
      <c r="C15" s="107" t="str">
        <f>IF('Q4'!C21="","",'Q4'!C21)</f>
        <v>វុទ្ធី អ៊ានវិសាល</v>
      </c>
      <c r="D15" s="104" t="str">
        <f>IF('Q4'!D21="","",'Q4'!D21)</f>
        <v>M</v>
      </c>
      <c r="E15" s="90">
        <f>IF('Q4'!E21="","",'Q4'!E21)</f>
        <v>690</v>
      </c>
      <c r="F15" s="90" t="str">
        <f>IF('Q4'!F21="","",'Q4'!F21)</f>
        <v>I</v>
      </c>
      <c r="G15" s="117" t="s">
        <v>191</v>
      </c>
      <c r="H15" s="118" t="s">
        <v>205</v>
      </c>
      <c r="I15" s="117" t="s">
        <v>272</v>
      </c>
      <c r="J15" s="118" t="s">
        <v>164</v>
      </c>
      <c r="K15" s="119" t="s">
        <v>262</v>
      </c>
      <c r="L15" s="118" t="s">
        <v>176</v>
      </c>
      <c r="M15" s="119" t="s">
        <v>273</v>
      </c>
      <c r="N15" s="118" t="s">
        <v>268</v>
      </c>
      <c r="O15" s="119" t="s">
        <v>204</v>
      </c>
      <c r="P15" s="118" t="s">
        <v>205</v>
      </c>
      <c r="Q15" s="119" t="s">
        <v>198</v>
      </c>
      <c r="R15" s="118" t="s">
        <v>190</v>
      </c>
      <c r="S15" s="119" t="s">
        <v>196</v>
      </c>
      <c r="T15" s="118" t="s">
        <v>220</v>
      </c>
      <c r="U15" s="119" t="s">
        <v>195</v>
      </c>
      <c r="V15" s="118" t="s">
        <v>277</v>
      </c>
      <c r="W15" s="119"/>
      <c r="X15" s="118"/>
      <c r="Y15" s="119"/>
      <c r="Z15" s="118"/>
      <c r="AA15" s="119" t="s">
        <v>278</v>
      </c>
      <c r="AB15" s="118" t="s">
        <v>270</v>
      </c>
      <c r="AC15" s="120" t="s">
        <v>271</v>
      </c>
      <c r="AD15" s="121" t="s">
        <v>279</v>
      </c>
      <c r="AE15" s="122" t="s">
        <v>196</v>
      </c>
      <c r="AF15" s="121" t="s">
        <v>220</v>
      </c>
      <c r="AG15" s="123" t="s">
        <v>195</v>
      </c>
      <c r="AH15" s="124" t="s">
        <v>277</v>
      </c>
      <c r="AI15" s="117" t="s">
        <v>191</v>
      </c>
      <c r="AJ15" s="118" t="s">
        <v>205</v>
      </c>
      <c r="AK15" s="119" t="s">
        <v>272</v>
      </c>
      <c r="AL15" s="118" t="s">
        <v>164</v>
      </c>
      <c r="AM15" s="119"/>
      <c r="AN15" s="118"/>
      <c r="AO15" s="119"/>
      <c r="AP15" s="118"/>
      <c r="AQ15" s="119" t="s">
        <v>146</v>
      </c>
      <c r="AR15" s="118" t="s">
        <v>258</v>
      </c>
      <c r="AS15" s="119" t="s">
        <v>259</v>
      </c>
      <c r="AT15" s="118" t="s">
        <v>254</v>
      </c>
      <c r="AU15" s="119" t="s">
        <v>146</v>
      </c>
      <c r="AV15" s="118" t="s">
        <v>258</v>
      </c>
      <c r="AW15" s="119" t="s">
        <v>259</v>
      </c>
      <c r="AX15" s="118" t="s">
        <v>254</v>
      </c>
      <c r="AY15" s="119" t="s">
        <v>146</v>
      </c>
      <c r="AZ15" s="118" t="s">
        <v>258</v>
      </c>
      <c r="BA15" s="119" t="s">
        <v>259</v>
      </c>
      <c r="BB15" s="118" t="s">
        <v>254</v>
      </c>
      <c r="BC15" s="119" t="s">
        <v>146</v>
      </c>
      <c r="BD15" s="118" t="s">
        <v>258</v>
      </c>
      <c r="BE15" s="119" t="s">
        <v>259</v>
      </c>
      <c r="BF15" s="118" t="s">
        <v>254</v>
      </c>
      <c r="BG15" s="119" t="s">
        <v>146</v>
      </c>
      <c r="BH15" s="118" t="s">
        <v>258</v>
      </c>
      <c r="BI15" s="119" t="s">
        <v>259</v>
      </c>
      <c r="BJ15" s="118" t="s">
        <v>254</v>
      </c>
      <c r="BK15" s="119" t="s">
        <v>146</v>
      </c>
      <c r="BL15" s="118" t="s">
        <v>258</v>
      </c>
      <c r="BM15" s="119" t="s">
        <v>259</v>
      </c>
      <c r="BN15" s="118" t="s">
        <v>254</v>
      </c>
      <c r="BO15" s="119" t="s">
        <v>146</v>
      </c>
      <c r="BP15" s="118" t="s">
        <v>258</v>
      </c>
      <c r="BQ15" s="119" t="s">
        <v>259</v>
      </c>
      <c r="BR15" s="118" t="s">
        <v>254</v>
      </c>
      <c r="BS15" s="119" t="s">
        <v>146</v>
      </c>
      <c r="BT15" s="118" t="s">
        <v>258</v>
      </c>
      <c r="BU15" s="119" t="s">
        <v>259</v>
      </c>
      <c r="BV15" s="118" t="s">
        <v>254</v>
      </c>
      <c r="BW15" s="119" t="s">
        <v>146</v>
      </c>
      <c r="BX15" s="118" t="s">
        <v>258</v>
      </c>
      <c r="BY15" s="119" t="s">
        <v>259</v>
      </c>
      <c r="BZ15" s="118" t="s">
        <v>254</v>
      </c>
      <c r="CA15" s="128" t="str">
        <f t="shared" si="0"/>
        <v>1A</v>
      </c>
    </row>
    <row r="16" spans="1:79" ht="30" customHeight="1" x14ac:dyDescent="0.35">
      <c r="A16" s="90">
        <f>IF('Q4'!A22="","",'Q4'!A22)</f>
        <v>8</v>
      </c>
      <c r="B16" s="90" t="str">
        <f>IF('Q4'!B22="","",'Q4'!B22)</f>
        <v>Dyna Sovanysa</v>
      </c>
      <c r="C16" s="107" t="str">
        <f>IF('Q4'!C22="","",'Q4'!C22)</f>
        <v>ឌីណា សុវណ្ណីហ្សា</v>
      </c>
      <c r="D16" s="104" t="str">
        <f>IF('Q4'!D22="","",'Q4'!D22)</f>
        <v>F</v>
      </c>
      <c r="E16" s="90">
        <f>IF('Q4'!E22="","",'Q4'!E22)</f>
        <v>687</v>
      </c>
      <c r="F16" s="90" t="str">
        <f>IF('Q4'!F22="","",'Q4'!F22)</f>
        <v>I</v>
      </c>
      <c r="G16" s="117" t="s">
        <v>196</v>
      </c>
      <c r="H16" s="118" t="s">
        <v>197</v>
      </c>
      <c r="I16" s="117" t="s">
        <v>221</v>
      </c>
      <c r="J16" s="118" t="s">
        <v>164</v>
      </c>
      <c r="K16" s="119" t="s">
        <v>274</v>
      </c>
      <c r="L16" s="118" t="s">
        <v>176</v>
      </c>
      <c r="M16" s="119" t="s">
        <v>273</v>
      </c>
      <c r="N16" s="118" t="s">
        <v>268</v>
      </c>
      <c r="O16" s="119" t="s">
        <v>204</v>
      </c>
      <c r="P16" s="118" t="s">
        <v>188</v>
      </c>
      <c r="Q16" s="119" t="s">
        <v>198</v>
      </c>
      <c r="R16" s="118" t="s">
        <v>190</v>
      </c>
      <c r="S16" s="119" t="s">
        <v>196</v>
      </c>
      <c r="T16" s="118" t="s">
        <v>220</v>
      </c>
      <c r="U16" s="119" t="s">
        <v>195</v>
      </c>
      <c r="V16" s="118" t="s">
        <v>277</v>
      </c>
      <c r="W16" s="119"/>
      <c r="X16" s="118"/>
      <c r="Y16" s="119"/>
      <c r="Z16" s="118"/>
      <c r="AA16" s="119" t="s">
        <v>278</v>
      </c>
      <c r="AB16" s="118" t="s">
        <v>270</v>
      </c>
      <c r="AC16" s="120" t="s">
        <v>271</v>
      </c>
      <c r="AD16" s="121" t="s">
        <v>279</v>
      </c>
      <c r="AE16" s="122" t="s">
        <v>196</v>
      </c>
      <c r="AF16" s="121" t="s">
        <v>220</v>
      </c>
      <c r="AG16" s="123" t="s">
        <v>195</v>
      </c>
      <c r="AH16" s="124" t="s">
        <v>277</v>
      </c>
      <c r="AI16" s="117" t="s">
        <v>196</v>
      </c>
      <c r="AJ16" s="118" t="s">
        <v>197</v>
      </c>
      <c r="AK16" s="119" t="s">
        <v>221</v>
      </c>
      <c r="AL16" s="118" t="s">
        <v>164</v>
      </c>
      <c r="AM16" s="119"/>
      <c r="AN16" s="118"/>
      <c r="AO16" s="119"/>
      <c r="AP16" s="118"/>
      <c r="AQ16" s="119" t="s">
        <v>146</v>
      </c>
      <c r="AR16" s="118" t="s">
        <v>252</v>
      </c>
      <c r="AS16" s="119" t="s">
        <v>257</v>
      </c>
      <c r="AT16" s="118" t="s">
        <v>254</v>
      </c>
      <c r="AU16" s="119" t="s">
        <v>146</v>
      </c>
      <c r="AV16" s="118" t="s">
        <v>252</v>
      </c>
      <c r="AW16" s="119" t="s">
        <v>257</v>
      </c>
      <c r="AX16" s="118" t="s">
        <v>254</v>
      </c>
      <c r="AY16" s="119" t="s">
        <v>146</v>
      </c>
      <c r="AZ16" s="118" t="s">
        <v>252</v>
      </c>
      <c r="BA16" s="119" t="s">
        <v>257</v>
      </c>
      <c r="BB16" s="118" t="s">
        <v>254</v>
      </c>
      <c r="BC16" s="119" t="s">
        <v>146</v>
      </c>
      <c r="BD16" s="118" t="s">
        <v>252</v>
      </c>
      <c r="BE16" s="119" t="s">
        <v>257</v>
      </c>
      <c r="BF16" s="118" t="s">
        <v>254</v>
      </c>
      <c r="BG16" s="119" t="s">
        <v>146</v>
      </c>
      <c r="BH16" s="118" t="s">
        <v>252</v>
      </c>
      <c r="BI16" s="119" t="s">
        <v>257</v>
      </c>
      <c r="BJ16" s="118" t="s">
        <v>254</v>
      </c>
      <c r="BK16" s="119" t="s">
        <v>146</v>
      </c>
      <c r="BL16" s="118" t="s">
        <v>252</v>
      </c>
      <c r="BM16" s="119" t="s">
        <v>257</v>
      </c>
      <c r="BN16" s="118" t="s">
        <v>254</v>
      </c>
      <c r="BO16" s="119" t="s">
        <v>146</v>
      </c>
      <c r="BP16" s="118" t="s">
        <v>252</v>
      </c>
      <c r="BQ16" s="119" t="s">
        <v>257</v>
      </c>
      <c r="BR16" s="118" t="s">
        <v>254</v>
      </c>
      <c r="BS16" s="119" t="s">
        <v>146</v>
      </c>
      <c r="BT16" s="118" t="s">
        <v>252</v>
      </c>
      <c r="BU16" s="119" t="s">
        <v>257</v>
      </c>
      <c r="BV16" s="118" t="s">
        <v>254</v>
      </c>
      <c r="BW16" s="119" t="s">
        <v>146</v>
      </c>
      <c r="BX16" s="118" t="s">
        <v>252</v>
      </c>
      <c r="BY16" s="119" t="s">
        <v>257</v>
      </c>
      <c r="BZ16" s="118" t="s">
        <v>254</v>
      </c>
      <c r="CA16" s="128" t="str">
        <f t="shared" si="0"/>
        <v>1A</v>
      </c>
    </row>
    <row r="17" spans="1:79" ht="30" customHeight="1" x14ac:dyDescent="0.35">
      <c r="A17" s="90">
        <f>IF('Q4'!A23="","",'Q4'!A23)</f>
        <v>9</v>
      </c>
      <c r="B17" s="90" t="str">
        <f>IF('Q4'!B23="","",'Q4'!B23)</f>
        <v>Sann Visorth</v>
      </c>
      <c r="C17" s="107" t="str">
        <f>IF('Q4'!C23="","",'Q4'!C23)</f>
        <v>សាន វីសុទ្ធ</v>
      </c>
      <c r="D17" s="104" t="str">
        <f>IF('Q4'!D23="","",'Q4'!D23)</f>
        <v>M</v>
      </c>
      <c r="E17" s="90">
        <f>IF('Q4'!E23="","",'Q4'!E23)</f>
        <v>692</v>
      </c>
      <c r="F17" s="90" t="str">
        <f>IF('Q4'!F23="","",'Q4'!F23)</f>
        <v>I</v>
      </c>
      <c r="G17" s="117" t="s">
        <v>191</v>
      </c>
      <c r="H17" s="118" t="s">
        <v>188</v>
      </c>
      <c r="I17" s="117" t="s">
        <v>272</v>
      </c>
      <c r="J17" s="118" t="s">
        <v>164</v>
      </c>
      <c r="K17" s="119" t="s">
        <v>233</v>
      </c>
      <c r="L17" s="118" t="s">
        <v>176</v>
      </c>
      <c r="M17" s="119" t="s">
        <v>273</v>
      </c>
      <c r="N17" s="118" t="s">
        <v>268</v>
      </c>
      <c r="O17" s="119" t="s">
        <v>207</v>
      </c>
      <c r="P17" s="118" t="s">
        <v>208</v>
      </c>
      <c r="Q17" s="119" t="s">
        <v>209</v>
      </c>
      <c r="R17" s="118" t="s">
        <v>190</v>
      </c>
      <c r="S17" s="119" t="s">
        <v>196</v>
      </c>
      <c r="T17" s="118" t="s">
        <v>220</v>
      </c>
      <c r="U17" s="119" t="s">
        <v>195</v>
      </c>
      <c r="V17" s="118" t="s">
        <v>277</v>
      </c>
      <c r="W17" s="119"/>
      <c r="X17" s="118"/>
      <c r="Y17" s="119"/>
      <c r="Z17" s="118"/>
      <c r="AA17" s="119" t="s">
        <v>278</v>
      </c>
      <c r="AB17" s="118" t="s">
        <v>270</v>
      </c>
      <c r="AC17" s="120" t="s">
        <v>271</v>
      </c>
      <c r="AD17" s="121" t="s">
        <v>279</v>
      </c>
      <c r="AE17" s="122" t="s">
        <v>196</v>
      </c>
      <c r="AF17" s="121" t="s">
        <v>220</v>
      </c>
      <c r="AG17" s="123" t="s">
        <v>195</v>
      </c>
      <c r="AH17" s="124" t="s">
        <v>277</v>
      </c>
      <c r="AI17" s="117" t="s">
        <v>191</v>
      </c>
      <c r="AJ17" s="118" t="s">
        <v>188</v>
      </c>
      <c r="AK17" s="119" t="s">
        <v>272</v>
      </c>
      <c r="AL17" s="118" t="s">
        <v>164</v>
      </c>
      <c r="AM17" s="119"/>
      <c r="AN17" s="118"/>
      <c r="AO17" s="119"/>
      <c r="AP17" s="118"/>
      <c r="AQ17" s="119" t="s">
        <v>146</v>
      </c>
      <c r="AR17" s="118" t="s">
        <v>255</v>
      </c>
      <c r="AS17" s="119" t="s">
        <v>256</v>
      </c>
      <c r="AT17" s="118" t="s">
        <v>254</v>
      </c>
      <c r="AU17" s="119" t="s">
        <v>146</v>
      </c>
      <c r="AV17" s="118" t="s">
        <v>255</v>
      </c>
      <c r="AW17" s="119" t="s">
        <v>256</v>
      </c>
      <c r="AX17" s="118" t="s">
        <v>254</v>
      </c>
      <c r="AY17" s="119" t="s">
        <v>146</v>
      </c>
      <c r="AZ17" s="118" t="s">
        <v>255</v>
      </c>
      <c r="BA17" s="119" t="s">
        <v>256</v>
      </c>
      <c r="BB17" s="118" t="s">
        <v>254</v>
      </c>
      <c r="BC17" s="119" t="s">
        <v>146</v>
      </c>
      <c r="BD17" s="118" t="s">
        <v>255</v>
      </c>
      <c r="BE17" s="119" t="s">
        <v>256</v>
      </c>
      <c r="BF17" s="118" t="s">
        <v>254</v>
      </c>
      <c r="BG17" s="119" t="s">
        <v>146</v>
      </c>
      <c r="BH17" s="118" t="s">
        <v>255</v>
      </c>
      <c r="BI17" s="119" t="s">
        <v>256</v>
      </c>
      <c r="BJ17" s="118" t="s">
        <v>254</v>
      </c>
      <c r="BK17" s="119" t="s">
        <v>146</v>
      </c>
      <c r="BL17" s="118" t="s">
        <v>255</v>
      </c>
      <c r="BM17" s="119" t="s">
        <v>256</v>
      </c>
      <c r="BN17" s="118" t="s">
        <v>254</v>
      </c>
      <c r="BO17" s="119" t="s">
        <v>146</v>
      </c>
      <c r="BP17" s="118" t="s">
        <v>255</v>
      </c>
      <c r="BQ17" s="119" t="s">
        <v>256</v>
      </c>
      <c r="BR17" s="118" t="s">
        <v>254</v>
      </c>
      <c r="BS17" s="119" t="s">
        <v>146</v>
      </c>
      <c r="BT17" s="118" t="s">
        <v>255</v>
      </c>
      <c r="BU17" s="119" t="s">
        <v>256</v>
      </c>
      <c r="BV17" s="118" t="s">
        <v>254</v>
      </c>
      <c r="BW17" s="119" t="s">
        <v>146</v>
      </c>
      <c r="BX17" s="118" t="s">
        <v>255</v>
      </c>
      <c r="BY17" s="119" t="s">
        <v>256</v>
      </c>
      <c r="BZ17" s="118" t="s">
        <v>254</v>
      </c>
      <c r="CA17" s="128" t="str">
        <f t="shared" si="0"/>
        <v>1A</v>
      </c>
    </row>
    <row r="18" spans="1:79" ht="30" customHeight="1" x14ac:dyDescent="0.35">
      <c r="A18" s="90">
        <f>IF('Q4'!A24="","",'Q4'!A24)</f>
        <v>10</v>
      </c>
      <c r="B18" s="90" t="str">
        <f>IF('Q4'!B24="","",'Q4'!B24)</f>
        <v xml:space="preserve">Danong Kellen </v>
      </c>
      <c r="C18" s="107" t="str">
        <f>IF('Q4'!C24="","",'Q4'!C24)</f>
        <v>ដាណង់ ខេលេន</v>
      </c>
      <c r="D18" s="104" t="str">
        <f>IF('Q4'!D24="","",'Q4'!D24)</f>
        <v>M</v>
      </c>
      <c r="E18" s="90">
        <f>IF('Q4'!E24="","",'Q4'!E24)</f>
        <v>686</v>
      </c>
      <c r="F18" s="90" t="str">
        <f>IF('Q4'!F24="","",'Q4'!F24)</f>
        <v>I</v>
      </c>
      <c r="G18" s="117" t="s">
        <v>196</v>
      </c>
      <c r="H18" s="118" t="s">
        <v>197</v>
      </c>
      <c r="I18" s="117" t="s">
        <v>221</v>
      </c>
      <c r="J18" s="118" t="s">
        <v>164</v>
      </c>
      <c r="K18" s="119" t="s">
        <v>275</v>
      </c>
      <c r="L18" s="118" t="s">
        <v>176</v>
      </c>
      <c r="M18" s="119" t="s">
        <v>273</v>
      </c>
      <c r="N18" s="118" t="s">
        <v>268</v>
      </c>
      <c r="O18" s="119" t="s">
        <v>207</v>
      </c>
      <c r="P18" s="118" t="s">
        <v>208</v>
      </c>
      <c r="Q18" s="119" t="s">
        <v>209</v>
      </c>
      <c r="R18" s="118" t="s">
        <v>190</v>
      </c>
      <c r="S18" s="119" t="s">
        <v>196</v>
      </c>
      <c r="T18" s="118" t="s">
        <v>220</v>
      </c>
      <c r="U18" s="119" t="s">
        <v>195</v>
      </c>
      <c r="V18" s="118" t="s">
        <v>277</v>
      </c>
      <c r="W18" s="119"/>
      <c r="X18" s="118"/>
      <c r="Y18" s="119"/>
      <c r="Z18" s="118"/>
      <c r="AA18" s="119" t="s">
        <v>278</v>
      </c>
      <c r="AB18" s="118" t="s">
        <v>270</v>
      </c>
      <c r="AC18" s="120" t="s">
        <v>271</v>
      </c>
      <c r="AD18" s="121" t="s">
        <v>279</v>
      </c>
      <c r="AE18" s="122" t="s">
        <v>196</v>
      </c>
      <c r="AF18" s="121" t="s">
        <v>220</v>
      </c>
      <c r="AG18" s="123" t="s">
        <v>195</v>
      </c>
      <c r="AH18" s="124" t="s">
        <v>277</v>
      </c>
      <c r="AI18" s="117" t="s">
        <v>196</v>
      </c>
      <c r="AJ18" s="118" t="s">
        <v>197</v>
      </c>
      <c r="AK18" s="119" t="s">
        <v>221</v>
      </c>
      <c r="AL18" s="118" t="s">
        <v>164</v>
      </c>
      <c r="AM18" s="119"/>
      <c r="AN18" s="118"/>
      <c r="AO18" s="119"/>
      <c r="AP18" s="118"/>
      <c r="AQ18" s="119" t="s">
        <v>145</v>
      </c>
      <c r="AR18" s="118" t="s">
        <v>258</v>
      </c>
      <c r="AS18" s="119" t="s">
        <v>259</v>
      </c>
      <c r="AT18" s="118" t="s">
        <v>254</v>
      </c>
      <c r="AU18" s="119" t="s">
        <v>145</v>
      </c>
      <c r="AV18" s="118" t="s">
        <v>258</v>
      </c>
      <c r="AW18" s="119" t="s">
        <v>259</v>
      </c>
      <c r="AX18" s="118" t="s">
        <v>254</v>
      </c>
      <c r="AY18" s="119" t="s">
        <v>145</v>
      </c>
      <c r="AZ18" s="118" t="s">
        <v>258</v>
      </c>
      <c r="BA18" s="119" t="s">
        <v>259</v>
      </c>
      <c r="BB18" s="118" t="s">
        <v>254</v>
      </c>
      <c r="BC18" s="119" t="s">
        <v>145</v>
      </c>
      <c r="BD18" s="118" t="s">
        <v>258</v>
      </c>
      <c r="BE18" s="119" t="s">
        <v>259</v>
      </c>
      <c r="BF18" s="118" t="s">
        <v>254</v>
      </c>
      <c r="BG18" s="119" t="s">
        <v>145</v>
      </c>
      <c r="BH18" s="118" t="s">
        <v>258</v>
      </c>
      <c r="BI18" s="119" t="s">
        <v>259</v>
      </c>
      <c r="BJ18" s="118" t="s">
        <v>254</v>
      </c>
      <c r="BK18" s="119" t="s">
        <v>145</v>
      </c>
      <c r="BL18" s="118" t="s">
        <v>258</v>
      </c>
      <c r="BM18" s="119" t="s">
        <v>259</v>
      </c>
      <c r="BN18" s="118" t="s">
        <v>254</v>
      </c>
      <c r="BO18" s="119" t="s">
        <v>145</v>
      </c>
      <c r="BP18" s="118" t="s">
        <v>258</v>
      </c>
      <c r="BQ18" s="119" t="s">
        <v>259</v>
      </c>
      <c r="BR18" s="118" t="s">
        <v>254</v>
      </c>
      <c r="BS18" s="119" t="s">
        <v>145</v>
      </c>
      <c r="BT18" s="118" t="s">
        <v>258</v>
      </c>
      <c r="BU18" s="119" t="s">
        <v>259</v>
      </c>
      <c r="BV18" s="118" t="s">
        <v>254</v>
      </c>
      <c r="BW18" s="119" t="s">
        <v>145</v>
      </c>
      <c r="BX18" s="118" t="s">
        <v>258</v>
      </c>
      <c r="BY18" s="119" t="s">
        <v>259</v>
      </c>
      <c r="BZ18" s="118" t="s">
        <v>254</v>
      </c>
      <c r="CA18" s="128" t="str">
        <f t="shared" si="0"/>
        <v>1A</v>
      </c>
    </row>
    <row r="19" spans="1:79" ht="30" customHeight="1" x14ac:dyDescent="0.35">
      <c r="A19" s="90">
        <f>IF('Q4'!A25="","",'Q4'!A25)</f>
        <v>11</v>
      </c>
      <c r="B19" s="90" t="str">
        <f>IF('Q4'!B25="","",'Q4'!B25)</f>
        <v>Reaksmey Vorakbot</v>
      </c>
      <c r="C19" s="107" t="str">
        <f>IF('Q4'!C25="","",'Q4'!C25)</f>
        <v>រស្មី វរបុត្រ</v>
      </c>
      <c r="D19" s="104" t="str">
        <f>IF('Q4'!D25="","",'Q4'!D25)</f>
        <v>M</v>
      </c>
      <c r="E19" s="90">
        <f>IF('Q4'!E25="","",'Q4'!E25)</f>
        <v>789</v>
      </c>
      <c r="F19" s="90" t="str">
        <f>IF('Q4'!F25="","",'Q4'!F25)</f>
        <v>I</v>
      </c>
      <c r="G19" s="117" t="s">
        <v>191</v>
      </c>
      <c r="H19" s="118" t="s">
        <v>188</v>
      </c>
      <c r="I19" s="117" t="s">
        <v>272</v>
      </c>
      <c r="J19" s="118" t="s">
        <v>164</v>
      </c>
      <c r="K19" s="119" t="s">
        <v>232</v>
      </c>
      <c r="L19" s="118" t="s">
        <v>176</v>
      </c>
      <c r="M19" s="119" t="s">
        <v>273</v>
      </c>
      <c r="N19" s="118" t="s">
        <v>268</v>
      </c>
      <c r="O19" s="119" t="s">
        <v>207</v>
      </c>
      <c r="P19" s="118" t="s">
        <v>208</v>
      </c>
      <c r="Q19" s="119" t="s">
        <v>209</v>
      </c>
      <c r="R19" s="118" t="s">
        <v>190</v>
      </c>
      <c r="S19" s="119" t="s">
        <v>196</v>
      </c>
      <c r="T19" s="118" t="s">
        <v>220</v>
      </c>
      <c r="U19" s="119" t="s">
        <v>195</v>
      </c>
      <c r="V19" s="118" t="s">
        <v>277</v>
      </c>
      <c r="W19" s="119"/>
      <c r="X19" s="118"/>
      <c r="Y19" s="119"/>
      <c r="Z19" s="118"/>
      <c r="AA19" s="119" t="s">
        <v>278</v>
      </c>
      <c r="AB19" s="118" t="s">
        <v>270</v>
      </c>
      <c r="AC19" s="120" t="s">
        <v>271</v>
      </c>
      <c r="AD19" s="121" t="s">
        <v>279</v>
      </c>
      <c r="AE19" s="122" t="s">
        <v>196</v>
      </c>
      <c r="AF19" s="121" t="s">
        <v>220</v>
      </c>
      <c r="AG19" s="123" t="s">
        <v>195</v>
      </c>
      <c r="AH19" s="124" t="s">
        <v>277</v>
      </c>
      <c r="AI19" s="117" t="s">
        <v>191</v>
      </c>
      <c r="AJ19" s="118" t="s">
        <v>188</v>
      </c>
      <c r="AK19" s="119" t="s">
        <v>272</v>
      </c>
      <c r="AL19" s="118" t="s">
        <v>164</v>
      </c>
      <c r="AM19" s="119"/>
      <c r="AN19" s="118"/>
      <c r="AO19" s="119"/>
      <c r="AP19" s="118"/>
      <c r="AQ19" s="119" t="s">
        <v>145</v>
      </c>
      <c r="AR19" s="118" t="s">
        <v>260</v>
      </c>
      <c r="AS19" s="119" t="s">
        <v>261</v>
      </c>
      <c r="AT19" s="118" t="s">
        <v>254</v>
      </c>
      <c r="AU19" s="119" t="s">
        <v>145</v>
      </c>
      <c r="AV19" s="118" t="s">
        <v>260</v>
      </c>
      <c r="AW19" s="119" t="s">
        <v>261</v>
      </c>
      <c r="AX19" s="118" t="s">
        <v>254</v>
      </c>
      <c r="AY19" s="119" t="s">
        <v>145</v>
      </c>
      <c r="AZ19" s="118" t="s">
        <v>260</v>
      </c>
      <c r="BA19" s="119" t="s">
        <v>261</v>
      </c>
      <c r="BB19" s="118" t="s">
        <v>254</v>
      </c>
      <c r="BC19" s="119" t="s">
        <v>145</v>
      </c>
      <c r="BD19" s="118" t="s">
        <v>260</v>
      </c>
      <c r="BE19" s="119" t="s">
        <v>261</v>
      </c>
      <c r="BF19" s="118" t="s">
        <v>254</v>
      </c>
      <c r="BG19" s="119" t="s">
        <v>145</v>
      </c>
      <c r="BH19" s="118" t="s">
        <v>260</v>
      </c>
      <c r="BI19" s="119" t="s">
        <v>261</v>
      </c>
      <c r="BJ19" s="118" t="s">
        <v>254</v>
      </c>
      <c r="BK19" s="119" t="s">
        <v>145</v>
      </c>
      <c r="BL19" s="118" t="s">
        <v>260</v>
      </c>
      <c r="BM19" s="119" t="s">
        <v>261</v>
      </c>
      <c r="BN19" s="118" t="s">
        <v>254</v>
      </c>
      <c r="BO19" s="119" t="s">
        <v>145</v>
      </c>
      <c r="BP19" s="118" t="s">
        <v>260</v>
      </c>
      <c r="BQ19" s="119" t="s">
        <v>261</v>
      </c>
      <c r="BR19" s="118" t="s">
        <v>254</v>
      </c>
      <c r="BS19" s="119" t="s">
        <v>145</v>
      </c>
      <c r="BT19" s="118" t="s">
        <v>260</v>
      </c>
      <c r="BU19" s="119" t="s">
        <v>261</v>
      </c>
      <c r="BV19" s="118" t="s">
        <v>254</v>
      </c>
      <c r="BW19" s="119" t="s">
        <v>145</v>
      </c>
      <c r="BX19" s="118" t="s">
        <v>260</v>
      </c>
      <c r="BY19" s="119" t="s">
        <v>261</v>
      </c>
      <c r="BZ19" s="118" t="s">
        <v>254</v>
      </c>
      <c r="CA19" s="128" t="str">
        <f t="shared" si="0"/>
        <v>1A</v>
      </c>
    </row>
    <row r="20" spans="1:79" ht="30" customHeight="1" x14ac:dyDescent="0.35">
      <c r="A20" s="90">
        <f>IF('Q4'!A26="","",'Q4'!A26)</f>
        <v>12</v>
      </c>
      <c r="B20" s="90" t="str">
        <f>IF('Q4'!B26="","",'Q4'!B26)</f>
        <v>Nean Lyhour</v>
      </c>
      <c r="C20" s="107" t="str">
        <f>IF('Q4'!C26="","",'Q4'!C26)</f>
        <v>នាន លីហួរ</v>
      </c>
      <c r="D20" s="104" t="str">
        <f>IF('Q4'!D26="","",'Q4'!D26)</f>
        <v>M</v>
      </c>
      <c r="E20" s="90">
        <f>IF('Q4'!E26="","",'Q4'!E26)</f>
        <v>769</v>
      </c>
      <c r="F20" s="90" t="str">
        <f>IF('Q4'!F26="","",'Q4'!F26)</f>
        <v>I</v>
      </c>
      <c r="G20" s="117" t="s">
        <v>201</v>
      </c>
      <c r="H20" s="118" t="s">
        <v>205</v>
      </c>
      <c r="I20" s="117" t="s">
        <v>272</v>
      </c>
      <c r="J20" s="118" t="s">
        <v>164</v>
      </c>
      <c r="K20" s="119" t="s">
        <v>274</v>
      </c>
      <c r="L20" s="118" t="s">
        <v>176</v>
      </c>
      <c r="M20" s="119" t="s">
        <v>273</v>
      </c>
      <c r="N20" s="118" t="s">
        <v>268</v>
      </c>
      <c r="O20" s="119" t="s">
        <v>201</v>
      </c>
      <c r="P20" s="118" t="s">
        <v>200</v>
      </c>
      <c r="Q20" s="119" t="s">
        <v>198</v>
      </c>
      <c r="R20" s="118" t="s">
        <v>190</v>
      </c>
      <c r="S20" s="119" t="s">
        <v>196</v>
      </c>
      <c r="T20" s="118" t="s">
        <v>220</v>
      </c>
      <c r="U20" s="119" t="s">
        <v>195</v>
      </c>
      <c r="V20" s="118" t="s">
        <v>277</v>
      </c>
      <c r="W20" s="119"/>
      <c r="X20" s="118"/>
      <c r="Y20" s="119"/>
      <c r="Z20" s="118"/>
      <c r="AA20" s="119" t="s">
        <v>278</v>
      </c>
      <c r="AB20" s="118" t="s">
        <v>270</v>
      </c>
      <c r="AC20" s="120" t="s">
        <v>271</v>
      </c>
      <c r="AD20" s="121" t="s">
        <v>279</v>
      </c>
      <c r="AE20" s="122" t="s">
        <v>196</v>
      </c>
      <c r="AF20" s="121" t="s">
        <v>220</v>
      </c>
      <c r="AG20" s="123" t="s">
        <v>195</v>
      </c>
      <c r="AH20" s="124" t="s">
        <v>277</v>
      </c>
      <c r="AI20" s="117" t="s">
        <v>201</v>
      </c>
      <c r="AJ20" s="118" t="s">
        <v>205</v>
      </c>
      <c r="AK20" s="119" t="s">
        <v>272</v>
      </c>
      <c r="AL20" s="118" t="s">
        <v>164</v>
      </c>
      <c r="AM20" s="119"/>
      <c r="AN20" s="118"/>
      <c r="AO20" s="119"/>
      <c r="AP20" s="118"/>
      <c r="AQ20" s="119" t="s">
        <v>146</v>
      </c>
      <c r="AR20" s="118" t="s">
        <v>252</v>
      </c>
      <c r="AS20" s="119" t="s">
        <v>257</v>
      </c>
      <c r="AT20" s="118" t="s">
        <v>254</v>
      </c>
      <c r="AU20" s="119" t="s">
        <v>146</v>
      </c>
      <c r="AV20" s="118" t="s">
        <v>252</v>
      </c>
      <c r="AW20" s="119" t="s">
        <v>257</v>
      </c>
      <c r="AX20" s="118" t="s">
        <v>254</v>
      </c>
      <c r="AY20" s="119" t="s">
        <v>146</v>
      </c>
      <c r="AZ20" s="118" t="s">
        <v>252</v>
      </c>
      <c r="BA20" s="119" t="s">
        <v>257</v>
      </c>
      <c r="BB20" s="118" t="s">
        <v>254</v>
      </c>
      <c r="BC20" s="119" t="s">
        <v>146</v>
      </c>
      <c r="BD20" s="118" t="s">
        <v>252</v>
      </c>
      <c r="BE20" s="119" t="s">
        <v>257</v>
      </c>
      <c r="BF20" s="118" t="s">
        <v>254</v>
      </c>
      <c r="BG20" s="119" t="s">
        <v>146</v>
      </c>
      <c r="BH20" s="118" t="s">
        <v>252</v>
      </c>
      <c r="BI20" s="119" t="s">
        <v>257</v>
      </c>
      <c r="BJ20" s="118" t="s">
        <v>254</v>
      </c>
      <c r="BK20" s="119" t="s">
        <v>146</v>
      </c>
      <c r="BL20" s="118" t="s">
        <v>252</v>
      </c>
      <c r="BM20" s="119" t="s">
        <v>257</v>
      </c>
      <c r="BN20" s="118" t="s">
        <v>254</v>
      </c>
      <c r="BO20" s="119" t="s">
        <v>146</v>
      </c>
      <c r="BP20" s="118" t="s">
        <v>252</v>
      </c>
      <c r="BQ20" s="119" t="s">
        <v>257</v>
      </c>
      <c r="BR20" s="118" t="s">
        <v>254</v>
      </c>
      <c r="BS20" s="119" t="s">
        <v>146</v>
      </c>
      <c r="BT20" s="118" t="s">
        <v>252</v>
      </c>
      <c r="BU20" s="119" t="s">
        <v>257</v>
      </c>
      <c r="BV20" s="118" t="s">
        <v>254</v>
      </c>
      <c r="BW20" s="119" t="s">
        <v>146</v>
      </c>
      <c r="BX20" s="118" t="s">
        <v>252</v>
      </c>
      <c r="BY20" s="119" t="s">
        <v>257</v>
      </c>
      <c r="BZ20" s="118" t="s">
        <v>254</v>
      </c>
      <c r="CA20" s="128" t="str">
        <f t="shared" si="0"/>
        <v>1A</v>
      </c>
    </row>
    <row r="21" spans="1:79" ht="30" customHeight="1" x14ac:dyDescent="0.35">
      <c r="A21" s="90">
        <f>IF('Q4'!A27="","",'Q4'!A27)</f>
        <v>13</v>
      </c>
      <c r="B21" s="90" t="str">
        <f>IF('Q4'!B27="","",'Q4'!B27)</f>
        <v>Pheng Udomveha</v>
      </c>
      <c r="C21" s="107" t="str">
        <f>IF('Q4'!C27="","",'Q4'!C27)</f>
        <v>ផេង ឧត្តមវេហា</v>
      </c>
      <c r="D21" s="104" t="str">
        <f>IF('Q4'!D27="","",'Q4'!D27)</f>
        <v>M</v>
      </c>
      <c r="E21" s="90">
        <f>IF('Q4'!E27="","",'Q4'!E27)</f>
        <v>773</v>
      </c>
      <c r="F21" s="90" t="str">
        <f>IF('Q4'!F27="","",'Q4'!F27)</f>
        <v>I</v>
      </c>
      <c r="G21" s="117" t="s">
        <v>191</v>
      </c>
      <c r="H21" s="118" t="s">
        <v>188</v>
      </c>
      <c r="I21" s="117" t="s">
        <v>272</v>
      </c>
      <c r="J21" s="118" t="s">
        <v>164</v>
      </c>
      <c r="K21" s="119" t="s">
        <v>233</v>
      </c>
      <c r="L21" s="118" t="s">
        <v>176</v>
      </c>
      <c r="M21" s="119" t="s">
        <v>273</v>
      </c>
      <c r="N21" s="118" t="s">
        <v>268</v>
      </c>
      <c r="O21" s="119" t="s">
        <v>191</v>
      </c>
      <c r="P21" s="118" t="s">
        <v>200</v>
      </c>
      <c r="Q21" s="119" t="s">
        <v>192</v>
      </c>
      <c r="R21" s="118" t="s">
        <v>190</v>
      </c>
      <c r="S21" s="119" t="s">
        <v>196</v>
      </c>
      <c r="T21" s="118" t="s">
        <v>220</v>
      </c>
      <c r="U21" s="119" t="s">
        <v>195</v>
      </c>
      <c r="V21" s="118" t="s">
        <v>277</v>
      </c>
      <c r="W21" s="119"/>
      <c r="X21" s="118"/>
      <c r="Y21" s="119"/>
      <c r="Z21" s="118"/>
      <c r="AA21" s="119" t="s">
        <v>278</v>
      </c>
      <c r="AB21" s="118" t="s">
        <v>270</v>
      </c>
      <c r="AC21" s="120" t="s">
        <v>271</v>
      </c>
      <c r="AD21" s="121" t="s">
        <v>279</v>
      </c>
      <c r="AE21" s="122" t="s">
        <v>196</v>
      </c>
      <c r="AF21" s="121" t="s">
        <v>220</v>
      </c>
      <c r="AG21" s="123" t="s">
        <v>195</v>
      </c>
      <c r="AH21" s="124" t="s">
        <v>277</v>
      </c>
      <c r="AI21" s="117" t="s">
        <v>191</v>
      </c>
      <c r="AJ21" s="118" t="s">
        <v>188</v>
      </c>
      <c r="AK21" s="119" t="s">
        <v>272</v>
      </c>
      <c r="AL21" s="118" t="s">
        <v>164</v>
      </c>
      <c r="AM21" s="119"/>
      <c r="AN21" s="118"/>
      <c r="AO21" s="119"/>
      <c r="AP21" s="118"/>
      <c r="AQ21" s="119" t="s">
        <v>146</v>
      </c>
      <c r="AR21" s="118" t="s">
        <v>252</v>
      </c>
      <c r="AS21" s="119" t="s">
        <v>257</v>
      </c>
      <c r="AT21" s="118" t="s">
        <v>254</v>
      </c>
      <c r="AU21" s="119" t="s">
        <v>146</v>
      </c>
      <c r="AV21" s="118" t="s">
        <v>252</v>
      </c>
      <c r="AW21" s="119" t="s">
        <v>257</v>
      </c>
      <c r="AX21" s="118" t="s">
        <v>254</v>
      </c>
      <c r="AY21" s="119" t="s">
        <v>146</v>
      </c>
      <c r="AZ21" s="118" t="s">
        <v>252</v>
      </c>
      <c r="BA21" s="119" t="s">
        <v>257</v>
      </c>
      <c r="BB21" s="118" t="s">
        <v>254</v>
      </c>
      <c r="BC21" s="119" t="s">
        <v>146</v>
      </c>
      <c r="BD21" s="118" t="s">
        <v>252</v>
      </c>
      <c r="BE21" s="119" t="s">
        <v>257</v>
      </c>
      <c r="BF21" s="118" t="s">
        <v>254</v>
      </c>
      <c r="BG21" s="119" t="s">
        <v>146</v>
      </c>
      <c r="BH21" s="118" t="s">
        <v>252</v>
      </c>
      <c r="BI21" s="119" t="s">
        <v>257</v>
      </c>
      <c r="BJ21" s="118" t="s">
        <v>254</v>
      </c>
      <c r="BK21" s="119" t="s">
        <v>146</v>
      </c>
      <c r="BL21" s="118" t="s">
        <v>252</v>
      </c>
      <c r="BM21" s="119" t="s">
        <v>257</v>
      </c>
      <c r="BN21" s="118" t="s">
        <v>254</v>
      </c>
      <c r="BO21" s="119" t="s">
        <v>146</v>
      </c>
      <c r="BP21" s="118" t="s">
        <v>252</v>
      </c>
      <c r="BQ21" s="119" t="s">
        <v>257</v>
      </c>
      <c r="BR21" s="118" t="s">
        <v>254</v>
      </c>
      <c r="BS21" s="119" t="s">
        <v>146</v>
      </c>
      <c r="BT21" s="118" t="s">
        <v>252</v>
      </c>
      <c r="BU21" s="119" t="s">
        <v>257</v>
      </c>
      <c r="BV21" s="118" t="s">
        <v>254</v>
      </c>
      <c r="BW21" s="119" t="s">
        <v>146</v>
      </c>
      <c r="BX21" s="118" t="s">
        <v>252</v>
      </c>
      <c r="BY21" s="119" t="s">
        <v>257</v>
      </c>
      <c r="BZ21" s="118" t="s">
        <v>254</v>
      </c>
      <c r="CA21" s="128" t="str">
        <f t="shared" si="0"/>
        <v>1A</v>
      </c>
    </row>
    <row r="22" spans="1:79" ht="30" customHeight="1" x14ac:dyDescent="0.35">
      <c r="A22" s="90" t="str">
        <f>IF('Q4'!A28="","",'Q4'!A28)</f>
        <v/>
      </c>
      <c r="B22" s="90" t="str">
        <f>IF('Q4'!B28="","",'Q4'!B28)</f>
        <v/>
      </c>
      <c r="C22" s="107" t="str">
        <f>IF('Q4'!C28="","",'Q4'!C28)</f>
        <v/>
      </c>
      <c r="D22" s="104" t="str">
        <f>IF('Q4'!D28="","",'Q4'!D28)</f>
        <v/>
      </c>
      <c r="E22" s="90" t="str">
        <f>IF('Q4'!E28="","",'Q4'!E28)</f>
        <v/>
      </c>
      <c r="F22" s="90" t="str">
        <f>IF('Q4'!F28="","",'Q4'!F28)</f>
        <v/>
      </c>
      <c r="G22" s="117"/>
      <c r="H22" s="118"/>
      <c r="I22" s="117"/>
      <c r="J22" s="118"/>
      <c r="K22" s="119"/>
      <c r="L22" s="118"/>
      <c r="M22" s="119"/>
      <c r="N22" s="118"/>
      <c r="O22" s="119"/>
      <c r="P22" s="118"/>
      <c r="Q22" s="119"/>
      <c r="R22" s="118"/>
      <c r="S22" s="119"/>
      <c r="T22" s="118"/>
      <c r="U22" s="119"/>
      <c r="V22" s="118"/>
      <c r="W22" s="119"/>
      <c r="X22" s="118"/>
      <c r="Y22" s="119"/>
      <c r="Z22" s="118"/>
      <c r="AA22" s="119"/>
      <c r="AB22" s="118"/>
      <c r="AC22" s="120"/>
      <c r="AD22" s="121"/>
      <c r="AE22" s="122"/>
      <c r="AF22" s="121"/>
      <c r="AG22" s="123"/>
      <c r="AH22" s="124"/>
      <c r="AI22" s="117"/>
      <c r="AJ22" s="118"/>
      <c r="AK22" s="119"/>
      <c r="AL22" s="118"/>
      <c r="AM22" s="119"/>
      <c r="AN22" s="118"/>
      <c r="AO22" s="119"/>
      <c r="AP22" s="118"/>
      <c r="AQ22" s="119"/>
      <c r="AR22" s="118"/>
      <c r="AS22" s="119"/>
      <c r="AT22" s="118"/>
      <c r="AU22" s="119"/>
      <c r="AV22" s="118"/>
      <c r="AW22" s="119"/>
      <c r="AX22" s="118"/>
      <c r="AY22" s="119"/>
      <c r="AZ22" s="118"/>
      <c r="BA22" s="119"/>
      <c r="BB22" s="118"/>
      <c r="BC22" s="119"/>
      <c r="BD22" s="118"/>
      <c r="BE22" s="120"/>
      <c r="BF22" s="121"/>
      <c r="BG22" s="122"/>
      <c r="BH22" s="121"/>
      <c r="BI22" s="123"/>
      <c r="BJ22" s="124"/>
      <c r="BK22" s="125"/>
      <c r="BL22" s="126"/>
      <c r="BM22" s="127"/>
      <c r="BN22" s="126"/>
      <c r="BO22" s="127"/>
      <c r="BP22" s="126"/>
      <c r="BQ22" s="127"/>
      <c r="BR22" s="126"/>
      <c r="BS22" s="127"/>
      <c r="BT22" s="126"/>
      <c r="BU22" s="127"/>
      <c r="BV22" s="126"/>
      <c r="BW22" s="127"/>
      <c r="BX22" s="126"/>
      <c r="BY22" s="127"/>
      <c r="BZ22" s="126"/>
      <c r="CA22" s="128" t="str">
        <f t="shared" si="0"/>
        <v/>
      </c>
    </row>
    <row r="23" spans="1:79" ht="30" customHeight="1" x14ac:dyDescent="0.35">
      <c r="A23" s="90" t="str">
        <f>IF('Q4'!A29="","",'Q4'!A29)</f>
        <v/>
      </c>
      <c r="B23" s="90" t="str">
        <f>IF('Q4'!B29="","",'Q4'!B29)</f>
        <v/>
      </c>
      <c r="C23" s="107" t="str">
        <f>IF('Q4'!C29="","",'Q4'!C29)</f>
        <v/>
      </c>
      <c r="D23" s="104" t="str">
        <f>IF('Q4'!D29="","",'Q4'!D29)</f>
        <v/>
      </c>
      <c r="E23" s="90" t="str">
        <f>IF('Q4'!E29="","",'Q4'!E29)</f>
        <v/>
      </c>
      <c r="F23" s="90" t="str">
        <f>IF('Q4'!F29="","",'Q4'!F29)</f>
        <v/>
      </c>
      <c r="G23" s="117"/>
      <c r="H23" s="118"/>
      <c r="I23" s="117"/>
      <c r="J23" s="118"/>
      <c r="K23" s="119"/>
      <c r="L23" s="118"/>
      <c r="M23" s="119"/>
      <c r="N23" s="118"/>
      <c r="O23" s="119"/>
      <c r="P23" s="118"/>
      <c r="Q23" s="119"/>
      <c r="R23" s="118"/>
      <c r="S23" s="119"/>
      <c r="T23" s="118"/>
      <c r="U23" s="119"/>
      <c r="V23" s="118"/>
      <c r="W23" s="119"/>
      <c r="X23" s="118"/>
      <c r="Y23" s="119"/>
      <c r="Z23" s="118"/>
      <c r="AA23" s="119"/>
      <c r="AB23" s="118"/>
      <c r="AC23" s="120"/>
      <c r="AD23" s="121"/>
      <c r="AE23" s="122"/>
      <c r="AF23" s="121"/>
      <c r="AG23" s="123"/>
      <c r="AH23" s="124"/>
      <c r="AI23" s="117"/>
      <c r="AJ23" s="118"/>
      <c r="AK23" s="119"/>
      <c r="AL23" s="118"/>
      <c r="AM23" s="119"/>
      <c r="AN23" s="118"/>
      <c r="AO23" s="119"/>
      <c r="AP23" s="118"/>
      <c r="AQ23" s="119"/>
      <c r="AR23" s="118"/>
      <c r="AS23" s="119"/>
      <c r="AT23" s="118"/>
      <c r="AU23" s="119"/>
      <c r="AV23" s="118"/>
      <c r="AW23" s="119"/>
      <c r="AX23" s="118"/>
      <c r="AY23" s="119"/>
      <c r="AZ23" s="118"/>
      <c r="BA23" s="119"/>
      <c r="BB23" s="118"/>
      <c r="BC23" s="119"/>
      <c r="BD23" s="118"/>
      <c r="BE23" s="120"/>
      <c r="BF23" s="121"/>
      <c r="BG23" s="122"/>
      <c r="BH23" s="121"/>
      <c r="BI23" s="123"/>
      <c r="BJ23" s="124"/>
      <c r="BK23" s="125"/>
      <c r="BL23" s="126"/>
      <c r="BM23" s="127"/>
      <c r="BN23" s="126"/>
      <c r="BO23" s="127"/>
      <c r="BP23" s="126"/>
      <c r="BQ23" s="127"/>
      <c r="BR23" s="126"/>
      <c r="BS23" s="127"/>
      <c r="BT23" s="126"/>
      <c r="BU23" s="127"/>
      <c r="BV23" s="126"/>
      <c r="BW23" s="127"/>
      <c r="BX23" s="126"/>
      <c r="BY23" s="127"/>
      <c r="BZ23" s="126"/>
      <c r="CA23" s="128" t="str">
        <f t="shared" si="0"/>
        <v/>
      </c>
    </row>
    <row r="24" spans="1:79" ht="30" customHeight="1" x14ac:dyDescent="0.35">
      <c r="A24" s="90" t="str">
        <f>IF('Q4'!A30="","",'Q4'!A30)</f>
        <v/>
      </c>
      <c r="B24" s="90" t="str">
        <f>IF('Q4'!B30="","",'Q4'!B30)</f>
        <v/>
      </c>
      <c r="C24" s="107" t="str">
        <f>IF('Q4'!C30="","",'Q4'!C30)</f>
        <v/>
      </c>
      <c r="D24" s="104" t="str">
        <f>IF('Q4'!D30="","",'Q4'!D30)</f>
        <v/>
      </c>
      <c r="E24" s="90" t="str">
        <f>IF('Q4'!E30="","",'Q4'!E30)</f>
        <v/>
      </c>
      <c r="F24" s="90" t="str">
        <f>IF('Q4'!F30="","",'Q4'!F30)</f>
        <v/>
      </c>
      <c r="G24" s="117"/>
      <c r="H24" s="118"/>
      <c r="I24" s="117"/>
      <c r="J24" s="118"/>
      <c r="K24" s="119"/>
      <c r="L24" s="118"/>
      <c r="M24" s="119"/>
      <c r="N24" s="118"/>
      <c r="O24" s="119"/>
      <c r="P24" s="118"/>
      <c r="Q24" s="119"/>
      <c r="R24" s="118"/>
      <c r="S24" s="119"/>
      <c r="T24" s="118"/>
      <c r="U24" s="119"/>
      <c r="V24" s="118"/>
      <c r="W24" s="119"/>
      <c r="X24" s="118"/>
      <c r="Y24" s="119"/>
      <c r="Z24" s="118"/>
      <c r="AA24" s="119"/>
      <c r="AB24" s="118"/>
      <c r="AC24" s="120"/>
      <c r="AD24" s="121"/>
      <c r="AE24" s="122"/>
      <c r="AF24" s="121"/>
      <c r="AG24" s="123"/>
      <c r="AH24" s="124"/>
      <c r="AI24" s="117"/>
      <c r="AJ24" s="118"/>
      <c r="AK24" s="119"/>
      <c r="AL24" s="118"/>
      <c r="AM24" s="119"/>
      <c r="AN24" s="118"/>
      <c r="AO24" s="119"/>
      <c r="AP24" s="118"/>
      <c r="AQ24" s="119"/>
      <c r="AR24" s="118"/>
      <c r="AS24" s="119"/>
      <c r="AT24" s="118"/>
      <c r="AU24" s="119"/>
      <c r="AV24" s="118"/>
      <c r="AW24" s="119"/>
      <c r="AX24" s="118"/>
      <c r="AY24" s="119"/>
      <c r="AZ24" s="118"/>
      <c r="BA24" s="119"/>
      <c r="BB24" s="118"/>
      <c r="BC24" s="119"/>
      <c r="BD24" s="118"/>
      <c r="BE24" s="120"/>
      <c r="BF24" s="121"/>
      <c r="BG24" s="122"/>
      <c r="BH24" s="121"/>
      <c r="BI24" s="123"/>
      <c r="BJ24" s="124"/>
      <c r="BK24" s="125"/>
      <c r="BL24" s="126"/>
      <c r="BM24" s="127"/>
      <c r="BN24" s="126"/>
      <c r="BO24" s="127"/>
      <c r="BP24" s="126"/>
      <c r="BQ24" s="127"/>
      <c r="BR24" s="126"/>
      <c r="BS24" s="127"/>
      <c r="BT24" s="126"/>
      <c r="BU24" s="127"/>
      <c r="BV24" s="126"/>
      <c r="BW24" s="127"/>
      <c r="BX24" s="126"/>
      <c r="BY24" s="127"/>
      <c r="BZ24" s="126"/>
      <c r="CA24" s="128" t="str">
        <f t="shared" si="0"/>
        <v/>
      </c>
    </row>
    <row r="25" spans="1:79" ht="30" customHeight="1" x14ac:dyDescent="0.35">
      <c r="A25" s="90" t="str">
        <f>IF('Q4'!A31="","",'Q4'!A31)</f>
        <v/>
      </c>
      <c r="B25" s="90" t="str">
        <f>IF('Q4'!B31="","",'Q4'!B31)</f>
        <v/>
      </c>
      <c r="C25" s="107" t="str">
        <f>IF('Q4'!C31="","",'Q4'!C31)</f>
        <v/>
      </c>
      <c r="D25" s="104" t="str">
        <f>IF('Q4'!D31="","",'Q4'!D31)</f>
        <v/>
      </c>
      <c r="E25" s="90" t="str">
        <f>IF('Q4'!E31="","",'Q4'!E31)</f>
        <v/>
      </c>
      <c r="F25" s="90" t="str">
        <f>IF('Q4'!F31="","",'Q4'!F31)</f>
        <v/>
      </c>
      <c r="G25" s="117"/>
      <c r="H25" s="118"/>
      <c r="I25" s="117"/>
      <c r="J25" s="118"/>
      <c r="K25" s="119"/>
      <c r="L25" s="118"/>
      <c r="M25" s="119"/>
      <c r="N25" s="118"/>
      <c r="O25" s="119"/>
      <c r="P25" s="118"/>
      <c r="Q25" s="119"/>
      <c r="R25" s="118"/>
      <c r="S25" s="119"/>
      <c r="T25" s="118"/>
      <c r="U25" s="119"/>
      <c r="V25" s="118"/>
      <c r="W25" s="119"/>
      <c r="X25" s="118"/>
      <c r="Y25" s="119"/>
      <c r="Z25" s="118"/>
      <c r="AA25" s="119"/>
      <c r="AB25" s="118"/>
      <c r="AC25" s="120"/>
      <c r="AD25" s="121"/>
      <c r="AE25" s="122"/>
      <c r="AF25" s="121"/>
      <c r="AG25" s="123"/>
      <c r="AH25" s="124"/>
      <c r="AI25" s="117"/>
      <c r="AJ25" s="118"/>
      <c r="AK25" s="119"/>
      <c r="AL25" s="118"/>
      <c r="AM25" s="119"/>
      <c r="AN25" s="118"/>
      <c r="AO25" s="119"/>
      <c r="AP25" s="118"/>
      <c r="AQ25" s="119"/>
      <c r="AR25" s="118"/>
      <c r="AS25" s="119"/>
      <c r="AT25" s="118"/>
      <c r="AU25" s="119"/>
      <c r="AV25" s="118"/>
      <c r="AW25" s="119"/>
      <c r="AX25" s="118"/>
      <c r="AY25" s="119"/>
      <c r="AZ25" s="118"/>
      <c r="BA25" s="119"/>
      <c r="BB25" s="118"/>
      <c r="BC25" s="119"/>
      <c r="BD25" s="118"/>
      <c r="BE25" s="120"/>
      <c r="BF25" s="121"/>
      <c r="BG25" s="122"/>
      <c r="BH25" s="121"/>
      <c r="BI25" s="123"/>
      <c r="BJ25" s="124"/>
      <c r="BK25" s="125"/>
      <c r="BL25" s="126"/>
      <c r="BM25" s="127"/>
      <c r="BN25" s="126"/>
      <c r="BO25" s="127"/>
      <c r="BP25" s="126"/>
      <c r="BQ25" s="127"/>
      <c r="BR25" s="126"/>
      <c r="BS25" s="127"/>
      <c r="BT25" s="126"/>
      <c r="BU25" s="127"/>
      <c r="BV25" s="126"/>
      <c r="BW25" s="127"/>
      <c r="BX25" s="126"/>
      <c r="BY25" s="127"/>
      <c r="BZ25" s="126"/>
      <c r="CA25" s="128" t="str">
        <f t="shared" si="0"/>
        <v/>
      </c>
    </row>
    <row r="26" spans="1:79" ht="30" customHeight="1" x14ac:dyDescent="0.35">
      <c r="A26" s="90" t="str">
        <f>IF('Q4'!A32="","",'Q4'!A32)</f>
        <v/>
      </c>
      <c r="B26" s="90" t="str">
        <f>IF('Q4'!B32="","",'Q4'!B32)</f>
        <v/>
      </c>
      <c r="C26" s="107" t="str">
        <f>IF('Q4'!C32="","",'Q4'!C32)</f>
        <v/>
      </c>
      <c r="D26" s="104" t="str">
        <f>IF('Q4'!D32="","",'Q4'!D32)</f>
        <v/>
      </c>
      <c r="E26" s="90" t="str">
        <f>IF('Q4'!E32="","",'Q4'!E32)</f>
        <v/>
      </c>
      <c r="F26" s="90" t="str">
        <f>IF('Q4'!F32="","",'Q4'!F32)</f>
        <v/>
      </c>
      <c r="G26" s="117"/>
      <c r="H26" s="118"/>
      <c r="I26" s="117"/>
      <c r="J26" s="118"/>
      <c r="K26" s="119"/>
      <c r="L26" s="118"/>
      <c r="M26" s="119"/>
      <c r="N26" s="118"/>
      <c r="O26" s="119"/>
      <c r="P26" s="118"/>
      <c r="Q26" s="119"/>
      <c r="R26" s="118"/>
      <c r="S26" s="119"/>
      <c r="T26" s="118"/>
      <c r="U26" s="119"/>
      <c r="V26" s="118"/>
      <c r="W26" s="119"/>
      <c r="X26" s="118"/>
      <c r="Y26" s="119"/>
      <c r="Z26" s="118"/>
      <c r="AA26" s="119"/>
      <c r="AB26" s="118"/>
      <c r="AC26" s="120"/>
      <c r="AD26" s="121"/>
      <c r="AE26" s="122"/>
      <c r="AF26" s="121"/>
      <c r="AG26" s="123"/>
      <c r="AH26" s="124"/>
      <c r="AI26" s="117"/>
      <c r="AJ26" s="118"/>
      <c r="AK26" s="119"/>
      <c r="AL26" s="118"/>
      <c r="AM26" s="119"/>
      <c r="AN26" s="118"/>
      <c r="AO26" s="119"/>
      <c r="AP26" s="118"/>
      <c r="AQ26" s="119"/>
      <c r="AR26" s="118"/>
      <c r="AS26" s="119"/>
      <c r="AT26" s="118"/>
      <c r="AU26" s="119"/>
      <c r="AV26" s="118"/>
      <c r="AW26" s="119"/>
      <c r="AX26" s="118"/>
      <c r="AY26" s="119"/>
      <c r="AZ26" s="118"/>
      <c r="BA26" s="119"/>
      <c r="BB26" s="118"/>
      <c r="BC26" s="119"/>
      <c r="BD26" s="118"/>
      <c r="BE26" s="120"/>
      <c r="BF26" s="121"/>
      <c r="BG26" s="122"/>
      <c r="BH26" s="121"/>
      <c r="BI26" s="123"/>
      <c r="BJ26" s="124"/>
      <c r="BK26" s="125"/>
      <c r="BL26" s="126"/>
      <c r="BM26" s="127"/>
      <c r="BN26" s="126"/>
      <c r="BO26" s="127"/>
      <c r="BP26" s="126"/>
      <c r="BQ26" s="127"/>
      <c r="BR26" s="126"/>
      <c r="BS26" s="127"/>
      <c r="BT26" s="126"/>
      <c r="BU26" s="127"/>
      <c r="BV26" s="126"/>
      <c r="BW26" s="127"/>
      <c r="BX26" s="126"/>
      <c r="BY26" s="127"/>
      <c r="BZ26" s="126"/>
      <c r="CA26" s="128" t="str">
        <f t="shared" si="0"/>
        <v/>
      </c>
    </row>
    <row r="27" spans="1:79" ht="30" customHeight="1" x14ac:dyDescent="0.35">
      <c r="A27" s="90" t="str">
        <f>IF('Q4'!A33="","",'Q4'!A33)</f>
        <v/>
      </c>
      <c r="B27" s="90" t="str">
        <f>IF('Q4'!B33="","",'Q4'!B33)</f>
        <v/>
      </c>
      <c r="C27" s="107" t="str">
        <f>IF('Q4'!C33="","",'Q4'!C33)</f>
        <v/>
      </c>
      <c r="D27" s="104" t="str">
        <f>IF('Q4'!D33="","",'Q4'!D33)</f>
        <v/>
      </c>
      <c r="E27" s="90" t="str">
        <f>IF('Q4'!E33="","",'Q4'!E33)</f>
        <v/>
      </c>
      <c r="F27" s="90" t="str">
        <f>IF('Q4'!F33="","",'Q4'!F33)</f>
        <v/>
      </c>
      <c r="G27" s="117"/>
      <c r="H27" s="118"/>
      <c r="I27" s="117"/>
      <c r="J27" s="118"/>
      <c r="K27" s="119"/>
      <c r="L27" s="118"/>
      <c r="M27" s="119"/>
      <c r="N27" s="118"/>
      <c r="O27" s="119"/>
      <c r="P27" s="118"/>
      <c r="Q27" s="119"/>
      <c r="R27" s="118"/>
      <c r="S27" s="119"/>
      <c r="T27" s="118"/>
      <c r="U27" s="119"/>
      <c r="V27" s="118"/>
      <c r="W27" s="119"/>
      <c r="X27" s="118"/>
      <c r="Y27" s="119"/>
      <c r="Z27" s="118"/>
      <c r="AA27" s="119"/>
      <c r="AB27" s="118"/>
      <c r="AC27" s="120"/>
      <c r="AD27" s="121"/>
      <c r="AE27" s="122"/>
      <c r="AF27" s="121"/>
      <c r="AG27" s="123"/>
      <c r="AH27" s="124"/>
      <c r="AI27" s="117"/>
      <c r="AJ27" s="118"/>
      <c r="AK27" s="119"/>
      <c r="AL27" s="118"/>
      <c r="AM27" s="119"/>
      <c r="AN27" s="118"/>
      <c r="AO27" s="119"/>
      <c r="AP27" s="118"/>
      <c r="AQ27" s="119"/>
      <c r="AR27" s="118"/>
      <c r="AS27" s="119"/>
      <c r="AT27" s="118"/>
      <c r="AU27" s="119"/>
      <c r="AV27" s="118"/>
      <c r="AW27" s="119"/>
      <c r="AX27" s="118"/>
      <c r="AY27" s="119"/>
      <c r="AZ27" s="118"/>
      <c r="BA27" s="119"/>
      <c r="BB27" s="118"/>
      <c r="BC27" s="119"/>
      <c r="BD27" s="118"/>
      <c r="BE27" s="120"/>
      <c r="BF27" s="121"/>
      <c r="BG27" s="122"/>
      <c r="BH27" s="121"/>
      <c r="BI27" s="123"/>
      <c r="BJ27" s="124"/>
      <c r="BK27" s="125"/>
      <c r="BL27" s="126"/>
      <c r="BM27" s="127"/>
      <c r="BN27" s="126"/>
      <c r="BO27" s="127"/>
      <c r="BP27" s="126"/>
      <c r="BQ27" s="127"/>
      <c r="BR27" s="126"/>
      <c r="BS27" s="127"/>
      <c r="BT27" s="126"/>
      <c r="BU27" s="127"/>
      <c r="BV27" s="126"/>
      <c r="BW27" s="127"/>
      <c r="BX27" s="126"/>
      <c r="BY27" s="127"/>
      <c r="BZ27" s="126"/>
      <c r="CA27" s="128" t="str">
        <f t="shared" si="0"/>
        <v/>
      </c>
    </row>
    <row r="28" spans="1:79" ht="30" customHeight="1" x14ac:dyDescent="0.35">
      <c r="A28" s="90" t="str">
        <f>IF('Q4'!A34="","",'Q4'!A34)</f>
        <v/>
      </c>
      <c r="B28" s="90" t="str">
        <f>IF('Q4'!B34="","",'Q4'!B34)</f>
        <v/>
      </c>
      <c r="C28" s="107" t="str">
        <f>IF('Q4'!C34="","",'Q4'!C34)</f>
        <v/>
      </c>
      <c r="D28" s="104" t="str">
        <f>IF('Q4'!D34="","",'Q4'!D34)</f>
        <v/>
      </c>
      <c r="E28" s="90" t="str">
        <f>IF('Q4'!E34="","",'Q4'!E34)</f>
        <v/>
      </c>
      <c r="F28" s="90" t="str">
        <f>IF('Q4'!F34="","",'Q4'!F34)</f>
        <v/>
      </c>
      <c r="G28" s="117"/>
      <c r="H28" s="118"/>
      <c r="I28" s="117"/>
      <c r="J28" s="118"/>
      <c r="K28" s="119"/>
      <c r="L28" s="118"/>
      <c r="M28" s="119"/>
      <c r="N28" s="118"/>
      <c r="O28" s="119"/>
      <c r="P28" s="118"/>
      <c r="Q28" s="119"/>
      <c r="R28" s="118"/>
      <c r="S28" s="119"/>
      <c r="T28" s="118"/>
      <c r="U28" s="119"/>
      <c r="V28" s="118"/>
      <c r="W28" s="119"/>
      <c r="X28" s="118"/>
      <c r="Y28" s="119"/>
      <c r="Z28" s="118"/>
      <c r="AA28" s="119"/>
      <c r="AB28" s="118"/>
      <c r="AC28" s="120"/>
      <c r="AD28" s="121"/>
      <c r="AE28" s="122"/>
      <c r="AF28" s="121"/>
      <c r="AG28" s="123"/>
      <c r="AH28" s="124"/>
      <c r="AI28" s="117"/>
      <c r="AJ28" s="118"/>
      <c r="AK28" s="119"/>
      <c r="AL28" s="118"/>
      <c r="AM28" s="119"/>
      <c r="AN28" s="118"/>
      <c r="AO28" s="119"/>
      <c r="AP28" s="118"/>
      <c r="AQ28" s="119"/>
      <c r="AR28" s="118"/>
      <c r="AS28" s="119"/>
      <c r="AT28" s="118"/>
      <c r="AU28" s="119"/>
      <c r="AV28" s="118"/>
      <c r="AW28" s="119"/>
      <c r="AX28" s="118"/>
      <c r="AY28" s="119"/>
      <c r="AZ28" s="118"/>
      <c r="BA28" s="119"/>
      <c r="BB28" s="118"/>
      <c r="BC28" s="119"/>
      <c r="BD28" s="118"/>
      <c r="BE28" s="120"/>
      <c r="BF28" s="121"/>
      <c r="BG28" s="122"/>
      <c r="BH28" s="121"/>
      <c r="BI28" s="123"/>
      <c r="BJ28" s="124"/>
      <c r="BK28" s="125"/>
      <c r="BL28" s="126"/>
      <c r="BM28" s="127"/>
      <c r="BN28" s="126"/>
      <c r="BO28" s="127"/>
      <c r="BP28" s="126"/>
      <c r="BQ28" s="127"/>
      <c r="BR28" s="126"/>
      <c r="BS28" s="127"/>
      <c r="BT28" s="126"/>
      <c r="BU28" s="127"/>
      <c r="BV28" s="126"/>
      <c r="BW28" s="127"/>
      <c r="BX28" s="126"/>
      <c r="BY28" s="127"/>
      <c r="BZ28" s="126"/>
      <c r="CA28" s="128" t="str">
        <f t="shared" si="0"/>
        <v/>
      </c>
    </row>
    <row r="29" spans="1:79" ht="30" customHeight="1" x14ac:dyDescent="0.35">
      <c r="A29" s="90" t="str">
        <f>IF('Q4'!A35="","",'Q4'!A35)</f>
        <v/>
      </c>
      <c r="B29" s="90" t="str">
        <f>IF('Q4'!B35="","",'Q4'!B35)</f>
        <v/>
      </c>
      <c r="C29" s="107" t="str">
        <f>IF('Q4'!C35="","",'Q4'!C35)</f>
        <v/>
      </c>
      <c r="D29" s="104" t="str">
        <f>IF('Q4'!D35="","",'Q4'!D35)</f>
        <v/>
      </c>
      <c r="E29" s="90" t="str">
        <f>IF('Q4'!E35="","",'Q4'!E35)</f>
        <v/>
      </c>
      <c r="F29" s="90" t="str">
        <f>IF('Q4'!F35="","",'Q4'!F35)</f>
        <v/>
      </c>
      <c r="G29" s="117"/>
      <c r="H29" s="118"/>
      <c r="I29" s="117"/>
      <c r="J29" s="118"/>
      <c r="K29" s="119"/>
      <c r="L29" s="118"/>
      <c r="M29" s="119"/>
      <c r="N29" s="118"/>
      <c r="O29" s="119"/>
      <c r="P29" s="118"/>
      <c r="Q29" s="119"/>
      <c r="R29" s="118"/>
      <c r="S29" s="119"/>
      <c r="T29" s="118"/>
      <c r="U29" s="119"/>
      <c r="V29" s="118"/>
      <c r="W29" s="119"/>
      <c r="X29" s="118"/>
      <c r="Y29" s="119"/>
      <c r="Z29" s="118"/>
      <c r="AA29" s="119"/>
      <c r="AB29" s="118"/>
      <c r="AC29" s="120"/>
      <c r="AD29" s="121"/>
      <c r="AE29" s="122"/>
      <c r="AF29" s="121"/>
      <c r="AG29" s="123"/>
      <c r="AH29" s="124"/>
      <c r="AI29" s="117"/>
      <c r="AJ29" s="118"/>
      <c r="AK29" s="119"/>
      <c r="AL29" s="118"/>
      <c r="AM29" s="119"/>
      <c r="AN29" s="118"/>
      <c r="AO29" s="119"/>
      <c r="AP29" s="118"/>
      <c r="AQ29" s="119"/>
      <c r="AR29" s="118"/>
      <c r="AS29" s="119"/>
      <c r="AT29" s="118"/>
      <c r="AU29" s="119"/>
      <c r="AV29" s="118"/>
      <c r="AW29" s="119"/>
      <c r="AX29" s="118"/>
      <c r="AY29" s="119"/>
      <c r="AZ29" s="118"/>
      <c r="BA29" s="119"/>
      <c r="BB29" s="118"/>
      <c r="BC29" s="119"/>
      <c r="BD29" s="118"/>
      <c r="BE29" s="120"/>
      <c r="BF29" s="121"/>
      <c r="BG29" s="122"/>
      <c r="BH29" s="121"/>
      <c r="BI29" s="123"/>
      <c r="BJ29" s="124"/>
      <c r="BK29" s="125"/>
      <c r="BL29" s="126"/>
      <c r="BM29" s="127"/>
      <c r="BN29" s="126"/>
      <c r="BO29" s="127"/>
      <c r="BP29" s="126"/>
      <c r="BQ29" s="127"/>
      <c r="BR29" s="126"/>
      <c r="BS29" s="127"/>
      <c r="BT29" s="126"/>
      <c r="BU29" s="127"/>
      <c r="BV29" s="126"/>
      <c r="BW29" s="127"/>
      <c r="BX29" s="126"/>
      <c r="BY29" s="127"/>
      <c r="BZ29" s="126"/>
      <c r="CA29" s="128" t="str">
        <f t="shared" si="0"/>
        <v/>
      </c>
    </row>
    <row r="30" spans="1:79" ht="30" customHeight="1" x14ac:dyDescent="0.35">
      <c r="A30" s="90" t="str">
        <f>IF('Q4'!A36="","",'Q4'!A36)</f>
        <v/>
      </c>
      <c r="B30" s="90" t="str">
        <f>IF('Q4'!B36="","",'Q4'!B36)</f>
        <v/>
      </c>
      <c r="C30" s="107" t="str">
        <f>IF('Q4'!C36="","",'Q4'!C36)</f>
        <v/>
      </c>
      <c r="D30" s="104" t="str">
        <f>IF('Q4'!D36="","",'Q4'!D36)</f>
        <v/>
      </c>
      <c r="E30" s="90" t="str">
        <f>IF('Q4'!E36="","",'Q4'!E36)</f>
        <v/>
      </c>
      <c r="F30" s="90" t="str">
        <f>IF('Q4'!F36="","",'Q4'!F36)</f>
        <v/>
      </c>
      <c r="G30" s="117"/>
      <c r="H30" s="118"/>
      <c r="I30" s="117"/>
      <c r="J30" s="118"/>
      <c r="K30" s="119"/>
      <c r="L30" s="118"/>
      <c r="M30" s="119"/>
      <c r="N30" s="118"/>
      <c r="O30" s="119"/>
      <c r="P30" s="118"/>
      <c r="Q30" s="119"/>
      <c r="R30" s="118"/>
      <c r="S30" s="119"/>
      <c r="T30" s="118"/>
      <c r="U30" s="119"/>
      <c r="V30" s="118"/>
      <c r="W30" s="119"/>
      <c r="X30" s="118"/>
      <c r="Y30" s="119"/>
      <c r="Z30" s="118"/>
      <c r="AA30" s="119"/>
      <c r="AB30" s="118"/>
      <c r="AC30" s="120"/>
      <c r="AD30" s="121"/>
      <c r="AE30" s="122"/>
      <c r="AF30" s="121"/>
      <c r="AG30" s="123"/>
      <c r="AH30" s="124"/>
      <c r="AI30" s="117"/>
      <c r="AJ30" s="118"/>
      <c r="AK30" s="119"/>
      <c r="AL30" s="118"/>
      <c r="AM30" s="119"/>
      <c r="AN30" s="118"/>
      <c r="AO30" s="119"/>
      <c r="AP30" s="118"/>
      <c r="AQ30" s="119"/>
      <c r="AR30" s="118"/>
      <c r="AS30" s="119"/>
      <c r="AT30" s="118"/>
      <c r="AU30" s="119"/>
      <c r="AV30" s="118"/>
      <c r="AW30" s="119"/>
      <c r="AX30" s="118"/>
      <c r="AY30" s="119"/>
      <c r="AZ30" s="118"/>
      <c r="BA30" s="119"/>
      <c r="BB30" s="118"/>
      <c r="BC30" s="119"/>
      <c r="BD30" s="118"/>
      <c r="BE30" s="120"/>
      <c r="BF30" s="121"/>
      <c r="BG30" s="122"/>
      <c r="BH30" s="121"/>
      <c r="BI30" s="123"/>
      <c r="BJ30" s="124"/>
      <c r="BK30" s="125"/>
      <c r="BL30" s="126"/>
      <c r="BM30" s="127"/>
      <c r="BN30" s="126"/>
      <c r="BO30" s="127"/>
      <c r="BP30" s="126"/>
      <c r="BQ30" s="127"/>
      <c r="BR30" s="126"/>
      <c r="BS30" s="127"/>
      <c r="BT30" s="126"/>
      <c r="BU30" s="127"/>
      <c r="BV30" s="126"/>
      <c r="BW30" s="127"/>
      <c r="BX30" s="126"/>
      <c r="BY30" s="127"/>
      <c r="BZ30" s="126"/>
      <c r="CA30" s="128" t="str">
        <f t="shared" si="0"/>
        <v/>
      </c>
    </row>
    <row r="31" spans="1:79" ht="30" customHeight="1" x14ac:dyDescent="0.35">
      <c r="A31" s="90" t="str">
        <f>IF('Q4'!A37="","",'Q4'!A37)</f>
        <v/>
      </c>
      <c r="B31" s="90" t="str">
        <f>IF('Q4'!B37="","",'Q4'!B37)</f>
        <v/>
      </c>
      <c r="C31" s="107" t="str">
        <f>IF('Q4'!C37="","",'Q4'!C37)</f>
        <v/>
      </c>
      <c r="D31" s="104" t="str">
        <f>IF('Q4'!D37="","",'Q4'!D37)</f>
        <v/>
      </c>
      <c r="E31" s="90" t="str">
        <f>IF('Q4'!E37="","",'Q4'!E37)</f>
        <v/>
      </c>
      <c r="F31" s="90" t="str">
        <f>IF('Q4'!F37="","",'Q4'!F37)</f>
        <v/>
      </c>
      <c r="G31" s="117"/>
      <c r="H31" s="118"/>
      <c r="I31" s="117"/>
      <c r="J31" s="118"/>
      <c r="K31" s="119"/>
      <c r="L31" s="118"/>
      <c r="M31" s="119"/>
      <c r="N31" s="118"/>
      <c r="O31" s="119"/>
      <c r="P31" s="118"/>
      <c r="Q31" s="119"/>
      <c r="R31" s="118"/>
      <c r="S31" s="119"/>
      <c r="T31" s="118"/>
      <c r="U31" s="119"/>
      <c r="V31" s="118"/>
      <c r="W31" s="119"/>
      <c r="X31" s="118"/>
      <c r="Y31" s="119"/>
      <c r="Z31" s="118"/>
      <c r="AA31" s="119"/>
      <c r="AB31" s="118"/>
      <c r="AC31" s="120"/>
      <c r="AD31" s="121"/>
      <c r="AE31" s="122"/>
      <c r="AF31" s="121"/>
      <c r="AG31" s="123"/>
      <c r="AH31" s="124"/>
      <c r="AI31" s="117"/>
      <c r="AJ31" s="118"/>
      <c r="AK31" s="119"/>
      <c r="AL31" s="118"/>
      <c r="AM31" s="119"/>
      <c r="AN31" s="118"/>
      <c r="AO31" s="119"/>
      <c r="AP31" s="118"/>
      <c r="AQ31" s="119"/>
      <c r="AR31" s="118"/>
      <c r="AS31" s="119"/>
      <c r="AT31" s="118"/>
      <c r="AU31" s="119"/>
      <c r="AV31" s="118"/>
      <c r="AW31" s="119"/>
      <c r="AX31" s="118"/>
      <c r="AY31" s="119"/>
      <c r="AZ31" s="118"/>
      <c r="BA31" s="119"/>
      <c r="BB31" s="118"/>
      <c r="BC31" s="119"/>
      <c r="BD31" s="118"/>
      <c r="BE31" s="120"/>
      <c r="BF31" s="121"/>
      <c r="BG31" s="122"/>
      <c r="BH31" s="121"/>
      <c r="BI31" s="123"/>
      <c r="BJ31" s="124"/>
      <c r="BK31" s="125"/>
      <c r="BL31" s="126"/>
      <c r="BM31" s="127"/>
      <c r="BN31" s="126"/>
      <c r="BO31" s="127"/>
      <c r="BP31" s="126"/>
      <c r="BQ31" s="127"/>
      <c r="BR31" s="126"/>
      <c r="BS31" s="127"/>
      <c r="BT31" s="126"/>
      <c r="BU31" s="127"/>
      <c r="BV31" s="126"/>
      <c r="BW31" s="127"/>
      <c r="BX31" s="126"/>
      <c r="BY31" s="127"/>
      <c r="BZ31" s="126"/>
      <c r="CA31" s="128" t="str">
        <f t="shared" si="0"/>
        <v/>
      </c>
    </row>
    <row r="32" spans="1:79" ht="30" customHeight="1" x14ac:dyDescent="0.35">
      <c r="A32" s="90" t="str">
        <f>IF('Q4'!A38="","",'Q4'!A38)</f>
        <v/>
      </c>
      <c r="B32" s="90" t="str">
        <f>IF('Q4'!B38="","",'Q4'!B38)</f>
        <v/>
      </c>
      <c r="C32" s="107" t="str">
        <f>IF('Q4'!C38="","",'Q4'!C38)</f>
        <v/>
      </c>
      <c r="D32" s="104" t="str">
        <f>IF('Q4'!D38="","",'Q4'!D38)</f>
        <v/>
      </c>
      <c r="E32" s="90" t="str">
        <f>IF('Q4'!E38="","",'Q4'!E38)</f>
        <v/>
      </c>
      <c r="F32" s="90" t="str">
        <f>IF('Q4'!F38="","",'Q4'!F38)</f>
        <v/>
      </c>
      <c r="G32" s="117"/>
      <c r="H32" s="118"/>
      <c r="I32" s="117"/>
      <c r="J32" s="118"/>
      <c r="K32" s="119"/>
      <c r="L32" s="118"/>
      <c r="M32" s="119"/>
      <c r="N32" s="118"/>
      <c r="O32" s="119"/>
      <c r="P32" s="118"/>
      <c r="Q32" s="119"/>
      <c r="R32" s="118"/>
      <c r="S32" s="119"/>
      <c r="T32" s="118"/>
      <c r="U32" s="119"/>
      <c r="V32" s="118"/>
      <c r="W32" s="119"/>
      <c r="X32" s="118"/>
      <c r="Y32" s="119"/>
      <c r="Z32" s="118"/>
      <c r="AA32" s="119"/>
      <c r="AB32" s="118"/>
      <c r="AC32" s="120"/>
      <c r="AD32" s="121"/>
      <c r="AE32" s="122"/>
      <c r="AF32" s="121"/>
      <c r="AG32" s="123"/>
      <c r="AH32" s="124"/>
      <c r="AI32" s="117"/>
      <c r="AJ32" s="118"/>
      <c r="AK32" s="119"/>
      <c r="AL32" s="118"/>
      <c r="AM32" s="119"/>
      <c r="AN32" s="118"/>
      <c r="AO32" s="119"/>
      <c r="AP32" s="118"/>
      <c r="AQ32" s="119"/>
      <c r="AR32" s="118"/>
      <c r="AS32" s="119"/>
      <c r="AT32" s="118"/>
      <c r="AU32" s="119"/>
      <c r="AV32" s="118"/>
      <c r="AW32" s="119"/>
      <c r="AX32" s="118"/>
      <c r="AY32" s="119"/>
      <c r="AZ32" s="118"/>
      <c r="BA32" s="119"/>
      <c r="BB32" s="118"/>
      <c r="BC32" s="119"/>
      <c r="BD32" s="118"/>
      <c r="BE32" s="120"/>
      <c r="BF32" s="121"/>
      <c r="BG32" s="122"/>
      <c r="BH32" s="121"/>
      <c r="BI32" s="123"/>
      <c r="BJ32" s="124"/>
      <c r="BK32" s="125"/>
      <c r="BL32" s="126"/>
      <c r="BM32" s="127"/>
      <c r="BN32" s="126"/>
      <c r="BO32" s="127"/>
      <c r="BP32" s="126"/>
      <c r="BQ32" s="127"/>
      <c r="BR32" s="126"/>
      <c r="BS32" s="127"/>
      <c r="BT32" s="126"/>
      <c r="BU32" s="127"/>
      <c r="BV32" s="126"/>
      <c r="BW32" s="127"/>
      <c r="BX32" s="126"/>
      <c r="BY32" s="127"/>
      <c r="BZ32" s="126"/>
      <c r="CA32" s="128" t="str">
        <f t="shared" si="0"/>
        <v/>
      </c>
    </row>
    <row r="33" spans="1:79" ht="30" customHeight="1" x14ac:dyDescent="0.35">
      <c r="A33" s="90" t="str">
        <f>IF('Q4'!A39="","",'Q4'!A39)</f>
        <v/>
      </c>
      <c r="B33" s="90" t="str">
        <f>IF('Q4'!B39="","",'Q4'!B39)</f>
        <v/>
      </c>
      <c r="C33" s="107" t="str">
        <f>IF('Q4'!C39="","",'Q4'!C39)</f>
        <v/>
      </c>
      <c r="D33" s="104" t="str">
        <f>IF('Q4'!D39="","",'Q4'!D39)</f>
        <v/>
      </c>
      <c r="E33" s="90" t="str">
        <f>IF('Q4'!E39="","",'Q4'!E39)</f>
        <v/>
      </c>
      <c r="F33" s="90" t="str">
        <f>IF('Q4'!F39="","",'Q4'!F39)</f>
        <v/>
      </c>
      <c r="G33" s="117"/>
      <c r="H33" s="118"/>
      <c r="I33" s="117"/>
      <c r="J33" s="118"/>
      <c r="K33" s="119"/>
      <c r="L33" s="118"/>
      <c r="M33" s="119"/>
      <c r="N33" s="118"/>
      <c r="O33" s="119"/>
      <c r="P33" s="118"/>
      <c r="Q33" s="119"/>
      <c r="R33" s="118"/>
      <c r="S33" s="119"/>
      <c r="T33" s="118"/>
      <c r="U33" s="119"/>
      <c r="V33" s="118"/>
      <c r="W33" s="119"/>
      <c r="X33" s="118"/>
      <c r="Y33" s="119"/>
      <c r="Z33" s="118"/>
      <c r="AA33" s="119"/>
      <c r="AB33" s="118"/>
      <c r="AC33" s="120"/>
      <c r="AD33" s="121"/>
      <c r="AE33" s="122"/>
      <c r="AF33" s="121"/>
      <c r="AG33" s="123"/>
      <c r="AH33" s="124"/>
      <c r="AI33" s="117"/>
      <c r="AJ33" s="118"/>
      <c r="AK33" s="119"/>
      <c r="AL33" s="118"/>
      <c r="AM33" s="119"/>
      <c r="AN33" s="118"/>
      <c r="AO33" s="119"/>
      <c r="AP33" s="118"/>
      <c r="AQ33" s="119"/>
      <c r="AR33" s="118"/>
      <c r="AS33" s="119"/>
      <c r="AT33" s="118"/>
      <c r="AU33" s="119"/>
      <c r="AV33" s="118"/>
      <c r="AW33" s="119"/>
      <c r="AX33" s="118"/>
      <c r="AY33" s="119"/>
      <c r="AZ33" s="118"/>
      <c r="BA33" s="119"/>
      <c r="BB33" s="118"/>
      <c r="BC33" s="119"/>
      <c r="BD33" s="118"/>
      <c r="BE33" s="120"/>
      <c r="BF33" s="121"/>
      <c r="BG33" s="122"/>
      <c r="BH33" s="121"/>
      <c r="BI33" s="123"/>
      <c r="BJ33" s="124"/>
      <c r="BK33" s="125"/>
      <c r="BL33" s="126"/>
      <c r="BM33" s="127"/>
      <c r="BN33" s="126"/>
      <c r="BO33" s="127"/>
      <c r="BP33" s="126"/>
      <c r="BQ33" s="127"/>
      <c r="BR33" s="126"/>
      <c r="BS33" s="127"/>
      <c r="BT33" s="126"/>
      <c r="BU33" s="127"/>
      <c r="BV33" s="126"/>
      <c r="BW33" s="127"/>
      <c r="BX33" s="126"/>
      <c r="BY33" s="127"/>
      <c r="BZ33" s="126"/>
      <c r="CA33" s="128" t="str">
        <f t="shared" si="0"/>
        <v/>
      </c>
    </row>
    <row r="34" spans="1:79" ht="30" customHeight="1" x14ac:dyDescent="0.35">
      <c r="A34" s="90" t="str">
        <f>IF('Q4'!A40="","",'Q4'!A40)</f>
        <v/>
      </c>
      <c r="B34" s="90" t="str">
        <f>IF('Q4'!B40="","",'Q4'!B40)</f>
        <v/>
      </c>
      <c r="C34" s="107" t="str">
        <f>IF('Q4'!C40="","",'Q4'!C40)</f>
        <v/>
      </c>
      <c r="D34" s="104" t="str">
        <f>IF('Q4'!D40="","",'Q4'!D40)</f>
        <v/>
      </c>
      <c r="E34" s="90" t="str">
        <f>IF('Q4'!E40="","",'Q4'!E40)</f>
        <v/>
      </c>
      <c r="F34" s="90" t="str">
        <f>IF('Q4'!F40="","",'Q4'!F40)</f>
        <v/>
      </c>
      <c r="G34" s="117"/>
      <c r="H34" s="118"/>
      <c r="I34" s="117"/>
      <c r="J34" s="118"/>
      <c r="K34" s="119"/>
      <c r="L34" s="118"/>
      <c r="M34" s="119"/>
      <c r="N34" s="118"/>
      <c r="O34" s="119"/>
      <c r="P34" s="118"/>
      <c r="Q34" s="119"/>
      <c r="R34" s="118"/>
      <c r="S34" s="119"/>
      <c r="T34" s="118"/>
      <c r="U34" s="119"/>
      <c r="V34" s="118"/>
      <c r="W34" s="119"/>
      <c r="X34" s="118"/>
      <c r="Y34" s="119"/>
      <c r="Z34" s="118"/>
      <c r="AA34" s="119"/>
      <c r="AB34" s="118"/>
      <c r="AC34" s="120"/>
      <c r="AD34" s="121"/>
      <c r="AE34" s="122"/>
      <c r="AF34" s="121"/>
      <c r="AG34" s="123"/>
      <c r="AH34" s="124"/>
      <c r="AI34" s="117"/>
      <c r="AJ34" s="118"/>
      <c r="AK34" s="119"/>
      <c r="AL34" s="118"/>
      <c r="AM34" s="119"/>
      <c r="AN34" s="118"/>
      <c r="AO34" s="119"/>
      <c r="AP34" s="118"/>
      <c r="AQ34" s="119"/>
      <c r="AR34" s="118"/>
      <c r="AS34" s="119"/>
      <c r="AT34" s="118"/>
      <c r="AU34" s="119"/>
      <c r="AV34" s="118"/>
      <c r="AW34" s="119"/>
      <c r="AX34" s="118"/>
      <c r="AY34" s="119"/>
      <c r="AZ34" s="118"/>
      <c r="BA34" s="119"/>
      <c r="BB34" s="118"/>
      <c r="BC34" s="119"/>
      <c r="BD34" s="118"/>
      <c r="BE34" s="120"/>
      <c r="BF34" s="121"/>
      <c r="BG34" s="122"/>
      <c r="BH34" s="121"/>
      <c r="BI34" s="123"/>
      <c r="BJ34" s="124"/>
      <c r="BK34" s="125"/>
      <c r="BL34" s="126"/>
      <c r="BM34" s="127"/>
      <c r="BN34" s="126"/>
      <c r="BO34" s="127"/>
      <c r="BP34" s="126"/>
      <c r="BQ34" s="127"/>
      <c r="BR34" s="126"/>
      <c r="BS34" s="127"/>
      <c r="BT34" s="126"/>
      <c r="BU34" s="127"/>
      <c r="BV34" s="126"/>
      <c r="BW34" s="127"/>
      <c r="BX34" s="126"/>
      <c r="BY34" s="127"/>
      <c r="BZ34" s="126"/>
      <c r="CA34" s="128" t="str">
        <f t="shared" si="0"/>
        <v/>
      </c>
    </row>
    <row r="35" spans="1:79" ht="30" customHeight="1" x14ac:dyDescent="0.35">
      <c r="A35" s="90" t="str">
        <f>IF('Q4'!A41="","",'Q4'!A41)</f>
        <v/>
      </c>
      <c r="B35" s="90" t="str">
        <f>IF('Q4'!B41="","",'Q4'!B41)</f>
        <v/>
      </c>
      <c r="C35" s="107" t="str">
        <f>IF('Q4'!C41="","",'Q4'!C41)</f>
        <v/>
      </c>
      <c r="D35" s="104" t="str">
        <f>IF('Q4'!D41="","",'Q4'!D41)</f>
        <v/>
      </c>
      <c r="E35" s="90" t="str">
        <f>IF('Q4'!E41="","",'Q4'!E41)</f>
        <v/>
      </c>
      <c r="F35" s="90" t="str">
        <f>IF('Q4'!F41="","",'Q4'!F41)</f>
        <v/>
      </c>
      <c r="G35" s="117"/>
      <c r="H35" s="118"/>
      <c r="I35" s="117"/>
      <c r="J35" s="118"/>
      <c r="K35" s="119"/>
      <c r="L35" s="118"/>
      <c r="M35" s="119"/>
      <c r="N35" s="118"/>
      <c r="O35" s="119"/>
      <c r="P35" s="118"/>
      <c r="Q35" s="119"/>
      <c r="R35" s="118"/>
      <c r="S35" s="119"/>
      <c r="T35" s="118"/>
      <c r="U35" s="119"/>
      <c r="V35" s="118"/>
      <c r="W35" s="119"/>
      <c r="X35" s="118"/>
      <c r="Y35" s="119"/>
      <c r="Z35" s="118"/>
      <c r="AA35" s="119"/>
      <c r="AB35" s="118"/>
      <c r="AC35" s="120"/>
      <c r="AD35" s="121"/>
      <c r="AE35" s="122"/>
      <c r="AF35" s="121"/>
      <c r="AG35" s="123"/>
      <c r="AH35" s="124"/>
      <c r="AI35" s="117"/>
      <c r="AJ35" s="118"/>
      <c r="AK35" s="119"/>
      <c r="AL35" s="118"/>
      <c r="AM35" s="119"/>
      <c r="AN35" s="118"/>
      <c r="AO35" s="119"/>
      <c r="AP35" s="118"/>
      <c r="AQ35" s="119"/>
      <c r="AR35" s="118"/>
      <c r="AS35" s="119"/>
      <c r="AT35" s="118"/>
      <c r="AU35" s="119"/>
      <c r="AV35" s="118"/>
      <c r="AW35" s="119"/>
      <c r="AX35" s="118"/>
      <c r="AY35" s="119"/>
      <c r="AZ35" s="118"/>
      <c r="BA35" s="119"/>
      <c r="BB35" s="118"/>
      <c r="BC35" s="119"/>
      <c r="BD35" s="118"/>
      <c r="BE35" s="120"/>
      <c r="BF35" s="121"/>
      <c r="BG35" s="122"/>
      <c r="BH35" s="121"/>
      <c r="BI35" s="123"/>
      <c r="BJ35" s="124"/>
      <c r="BK35" s="125"/>
      <c r="BL35" s="126"/>
      <c r="BM35" s="127"/>
      <c r="BN35" s="126"/>
      <c r="BO35" s="127"/>
      <c r="BP35" s="126"/>
      <c r="BQ35" s="127"/>
      <c r="BR35" s="126"/>
      <c r="BS35" s="127"/>
      <c r="BT35" s="126"/>
      <c r="BU35" s="127"/>
      <c r="BV35" s="126"/>
      <c r="BW35" s="127"/>
      <c r="BX35" s="126"/>
      <c r="BY35" s="127"/>
      <c r="BZ35" s="126"/>
      <c r="CA35" s="128" t="str">
        <f t="shared" si="0"/>
        <v/>
      </c>
    </row>
    <row r="36" spans="1:79" ht="30" customHeight="1" x14ac:dyDescent="0.35">
      <c r="A36" s="90" t="str">
        <f>IF('Q4'!A42="","",'Q4'!A42)</f>
        <v/>
      </c>
      <c r="B36" s="90" t="str">
        <f>IF('Q4'!B42="","",'Q4'!B42)</f>
        <v/>
      </c>
      <c r="C36" s="107" t="str">
        <f>IF('Q4'!C42="","",'Q4'!C42)</f>
        <v/>
      </c>
      <c r="D36" s="104" t="str">
        <f>IF('Q4'!D42="","",'Q4'!D42)</f>
        <v/>
      </c>
      <c r="E36" s="90" t="str">
        <f>IF('Q4'!E42="","",'Q4'!E42)</f>
        <v/>
      </c>
      <c r="F36" s="90" t="str">
        <f>IF('Q4'!F42="","",'Q4'!F42)</f>
        <v/>
      </c>
      <c r="G36" s="117"/>
      <c r="H36" s="118"/>
      <c r="I36" s="117"/>
      <c r="J36" s="118"/>
      <c r="K36" s="119"/>
      <c r="L36" s="118"/>
      <c r="M36" s="119"/>
      <c r="N36" s="118"/>
      <c r="O36" s="119"/>
      <c r="P36" s="118"/>
      <c r="Q36" s="119"/>
      <c r="R36" s="118"/>
      <c r="S36" s="119"/>
      <c r="T36" s="118"/>
      <c r="U36" s="119"/>
      <c r="V36" s="118"/>
      <c r="W36" s="119"/>
      <c r="X36" s="118"/>
      <c r="Y36" s="119"/>
      <c r="Z36" s="118"/>
      <c r="AA36" s="119"/>
      <c r="AB36" s="118"/>
      <c r="AC36" s="120"/>
      <c r="AD36" s="121"/>
      <c r="AE36" s="122"/>
      <c r="AF36" s="121"/>
      <c r="AG36" s="123"/>
      <c r="AH36" s="124"/>
      <c r="AI36" s="117"/>
      <c r="AJ36" s="118"/>
      <c r="AK36" s="119"/>
      <c r="AL36" s="118"/>
      <c r="AM36" s="119"/>
      <c r="AN36" s="118"/>
      <c r="AO36" s="119"/>
      <c r="AP36" s="118"/>
      <c r="AQ36" s="119"/>
      <c r="AR36" s="118"/>
      <c r="AS36" s="119"/>
      <c r="AT36" s="118"/>
      <c r="AU36" s="119"/>
      <c r="AV36" s="118"/>
      <c r="AW36" s="119"/>
      <c r="AX36" s="118"/>
      <c r="AY36" s="119"/>
      <c r="AZ36" s="118"/>
      <c r="BA36" s="119"/>
      <c r="BB36" s="118"/>
      <c r="BC36" s="119"/>
      <c r="BD36" s="118"/>
      <c r="BE36" s="120"/>
      <c r="BF36" s="121"/>
      <c r="BG36" s="122"/>
      <c r="BH36" s="121"/>
      <c r="BI36" s="123"/>
      <c r="BJ36" s="124"/>
      <c r="BK36" s="125"/>
      <c r="BL36" s="126"/>
      <c r="BM36" s="127"/>
      <c r="BN36" s="126"/>
      <c r="BO36" s="127"/>
      <c r="BP36" s="126"/>
      <c r="BQ36" s="127"/>
      <c r="BR36" s="126"/>
      <c r="BS36" s="127"/>
      <c r="BT36" s="126"/>
      <c r="BU36" s="127"/>
      <c r="BV36" s="126"/>
      <c r="BW36" s="127"/>
      <c r="BX36" s="126"/>
      <c r="BY36" s="127"/>
      <c r="BZ36" s="126"/>
      <c r="CA36" s="128" t="str">
        <f t="shared" si="0"/>
        <v/>
      </c>
    </row>
    <row r="37" spans="1:79" ht="30" customHeight="1" x14ac:dyDescent="0.35">
      <c r="A37" s="90" t="str">
        <f>IF('Q4'!A43="","",'Q4'!A43)</f>
        <v/>
      </c>
      <c r="B37" s="90" t="str">
        <f>IF('Q4'!B43="","",'Q4'!B43)</f>
        <v/>
      </c>
      <c r="C37" s="107" t="str">
        <f>IF('Q4'!C43="","",'Q4'!C43)</f>
        <v/>
      </c>
      <c r="D37" s="104" t="str">
        <f>IF('Q4'!D43="","",'Q4'!D43)</f>
        <v/>
      </c>
      <c r="E37" s="90" t="str">
        <f>IF('Q4'!E43="","",'Q4'!E43)</f>
        <v/>
      </c>
      <c r="F37" s="90" t="str">
        <f>IF('Q4'!F43="","",'Q4'!F43)</f>
        <v/>
      </c>
      <c r="G37" s="117"/>
      <c r="H37" s="118"/>
      <c r="I37" s="117"/>
      <c r="J37" s="118"/>
      <c r="K37" s="119"/>
      <c r="L37" s="118"/>
      <c r="M37" s="119"/>
      <c r="N37" s="118"/>
      <c r="O37" s="119"/>
      <c r="P37" s="118"/>
      <c r="Q37" s="119"/>
      <c r="R37" s="118"/>
      <c r="S37" s="119"/>
      <c r="T37" s="118"/>
      <c r="U37" s="119"/>
      <c r="V37" s="118"/>
      <c r="W37" s="119"/>
      <c r="X37" s="118"/>
      <c r="Y37" s="119"/>
      <c r="Z37" s="118"/>
      <c r="AA37" s="119"/>
      <c r="AB37" s="118"/>
      <c r="AC37" s="120"/>
      <c r="AD37" s="121"/>
      <c r="AE37" s="122"/>
      <c r="AF37" s="121"/>
      <c r="AG37" s="123"/>
      <c r="AH37" s="124"/>
      <c r="AI37" s="117"/>
      <c r="AJ37" s="118"/>
      <c r="AK37" s="119"/>
      <c r="AL37" s="118"/>
      <c r="AM37" s="119"/>
      <c r="AN37" s="118"/>
      <c r="AO37" s="119"/>
      <c r="AP37" s="118"/>
      <c r="AQ37" s="119"/>
      <c r="AR37" s="118"/>
      <c r="AS37" s="119"/>
      <c r="AT37" s="118"/>
      <c r="AU37" s="119"/>
      <c r="AV37" s="118"/>
      <c r="AW37" s="119"/>
      <c r="AX37" s="118"/>
      <c r="AY37" s="119"/>
      <c r="AZ37" s="118"/>
      <c r="BA37" s="119"/>
      <c r="BB37" s="118"/>
      <c r="BC37" s="119"/>
      <c r="BD37" s="118"/>
      <c r="BE37" s="120"/>
      <c r="BF37" s="121"/>
      <c r="BG37" s="122"/>
      <c r="BH37" s="121"/>
      <c r="BI37" s="123"/>
      <c r="BJ37" s="124"/>
      <c r="BK37" s="125"/>
      <c r="BL37" s="126"/>
      <c r="BM37" s="127"/>
      <c r="BN37" s="126"/>
      <c r="BO37" s="127"/>
      <c r="BP37" s="126"/>
      <c r="BQ37" s="127"/>
      <c r="BR37" s="126"/>
      <c r="BS37" s="127"/>
      <c r="BT37" s="126"/>
      <c r="BU37" s="127"/>
      <c r="BV37" s="126"/>
      <c r="BW37" s="127"/>
      <c r="BX37" s="126"/>
      <c r="BY37" s="127"/>
      <c r="BZ37" s="126"/>
      <c r="CA37" s="128" t="str">
        <f t="shared" si="0"/>
        <v/>
      </c>
    </row>
    <row r="38" spans="1:79" ht="30" customHeight="1" x14ac:dyDescent="0.35">
      <c r="A38" s="90" t="str">
        <f>IF('Q4'!A44="","",'Q4'!A44)</f>
        <v/>
      </c>
      <c r="B38" s="90" t="str">
        <f>IF('Q4'!B44="","",'Q4'!B44)</f>
        <v/>
      </c>
      <c r="C38" s="107" t="str">
        <f>IF('Q4'!C44="","",'Q4'!C44)</f>
        <v/>
      </c>
      <c r="D38" s="104" t="str">
        <f>IF('Q4'!D44="","",'Q4'!D44)</f>
        <v/>
      </c>
      <c r="E38" s="90" t="str">
        <f>IF('Q4'!E44="","",'Q4'!E44)</f>
        <v/>
      </c>
      <c r="F38" s="90" t="str">
        <f>IF('Q4'!F44="","",'Q4'!F44)</f>
        <v/>
      </c>
      <c r="G38" s="117"/>
      <c r="H38" s="118"/>
      <c r="I38" s="117"/>
      <c r="J38" s="118"/>
      <c r="K38" s="119"/>
      <c r="L38" s="118"/>
      <c r="M38" s="119"/>
      <c r="N38" s="118"/>
      <c r="O38" s="119"/>
      <c r="P38" s="118"/>
      <c r="Q38" s="119"/>
      <c r="R38" s="118"/>
      <c r="S38" s="119"/>
      <c r="T38" s="118"/>
      <c r="U38" s="119"/>
      <c r="V38" s="118"/>
      <c r="W38" s="119"/>
      <c r="X38" s="118"/>
      <c r="Y38" s="119"/>
      <c r="Z38" s="118"/>
      <c r="AA38" s="119"/>
      <c r="AB38" s="118"/>
      <c r="AC38" s="120"/>
      <c r="AD38" s="121"/>
      <c r="AE38" s="122"/>
      <c r="AF38" s="121"/>
      <c r="AG38" s="123"/>
      <c r="AH38" s="124"/>
      <c r="AI38" s="117"/>
      <c r="AJ38" s="118"/>
      <c r="AK38" s="119"/>
      <c r="AL38" s="118"/>
      <c r="AM38" s="119"/>
      <c r="AN38" s="118"/>
      <c r="AO38" s="119"/>
      <c r="AP38" s="118"/>
      <c r="AQ38" s="119"/>
      <c r="AR38" s="118"/>
      <c r="AS38" s="119"/>
      <c r="AT38" s="118"/>
      <c r="AU38" s="119"/>
      <c r="AV38" s="118"/>
      <c r="AW38" s="119"/>
      <c r="AX38" s="118"/>
      <c r="AY38" s="119"/>
      <c r="AZ38" s="118"/>
      <c r="BA38" s="119"/>
      <c r="BB38" s="118"/>
      <c r="BC38" s="119"/>
      <c r="BD38" s="118"/>
      <c r="BE38" s="120"/>
      <c r="BF38" s="121"/>
      <c r="BG38" s="122"/>
      <c r="BH38" s="121"/>
      <c r="BI38" s="123"/>
      <c r="BJ38" s="124"/>
      <c r="BK38" s="125"/>
      <c r="BL38" s="126"/>
      <c r="BM38" s="127"/>
      <c r="BN38" s="126"/>
      <c r="BO38" s="127"/>
      <c r="BP38" s="126"/>
      <c r="BQ38" s="127"/>
      <c r="BR38" s="126"/>
      <c r="BS38" s="127"/>
      <c r="BT38" s="126"/>
      <c r="BU38" s="127"/>
      <c r="BV38" s="126"/>
      <c r="BW38" s="127"/>
      <c r="BX38" s="126"/>
      <c r="BY38" s="127"/>
      <c r="BZ38" s="126"/>
      <c r="CA38" s="128" t="str">
        <f t="shared" si="0"/>
        <v/>
      </c>
    </row>
    <row r="39" spans="1:79" ht="30" customHeight="1" x14ac:dyDescent="0.35">
      <c r="A39" s="90" t="str">
        <f>IF('Q4'!A45="","",'Q4'!A45)</f>
        <v/>
      </c>
      <c r="B39" s="90" t="str">
        <f>IF('Q4'!B45="","",'Q4'!B45)</f>
        <v/>
      </c>
      <c r="C39" s="107" t="str">
        <f>IF('Q4'!C45="","",'Q4'!C45)</f>
        <v/>
      </c>
      <c r="D39" s="104" t="str">
        <f>IF('Q4'!D45="","",'Q4'!D45)</f>
        <v/>
      </c>
      <c r="E39" s="90" t="str">
        <f>IF('Q4'!E45="","",'Q4'!E45)</f>
        <v/>
      </c>
      <c r="F39" s="90" t="str">
        <f>IF('Q4'!F45="","",'Q4'!F45)</f>
        <v/>
      </c>
      <c r="G39" s="117"/>
      <c r="H39" s="118"/>
      <c r="I39" s="117"/>
      <c r="J39" s="118"/>
      <c r="K39" s="119"/>
      <c r="L39" s="118"/>
      <c r="M39" s="119"/>
      <c r="N39" s="118"/>
      <c r="O39" s="119"/>
      <c r="P39" s="118"/>
      <c r="Q39" s="119"/>
      <c r="R39" s="118"/>
      <c r="S39" s="119"/>
      <c r="T39" s="118"/>
      <c r="U39" s="119"/>
      <c r="V39" s="118"/>
      <c r="W39" s="119"/>
      <c r="X39" s="118"/>
      <c r="Y39" s="119"/>
      <c r="Z39" s="118"/>
      <c r="AA39" s="119"/>
      <c r="AB39" s="118"/>
      <c r="AC39" s="120"/>
      <c r="AD39" s="121"/>
      <c r="AE39" s="122"/>
      <c r="AF39" s="121"/>
      <c r="AG39" s="123"/>
      <c r="AH39" s="124"/>
      <c r="AI39" s="117"/>
      <c r="AJ39" s="118"/>
      <c r="AK39" s="119"/>
      <c r="AL39" s="118"/>
      <c r="AM39" s="119"/>
      <c r="AN39" s="118"/>
      <c r="AO39" s="119"/>
      <c r="AP39" s="118"/>
      <c r="AQ39" s="119"/>
      <c r="AR39" s="118"/>
      <c r="AS39" s="119"/>
      <c r="AT39" s="118"/>
      <c r="AU39" s="119"/>
      <c r="AV39" s="118"/>
      <c r="AW39" s="119"/>
      <c r="AX39" s="118"/>
      <c r="AY39" s="119"/>
      <c r="AZ39" s="118"/>
      <c r="BA39" s="119"/>
      <c r="BB39" s="118"/>
      <c r="BC39" s="119"/>
      <c r="BD39" s="118"/>
      <c r="BE39" s="120"/>
      <c r="BF39" s="121"/>
      <c r="BG39" s="122"/>
      <c r="BH39" s="121"/>
      <c r="BI39" s="123"/>
      <c r="BJ39" s="124"/>
      <c r="BK39" s="125"/>
      <c r="BL39" s="126"/>
      <c r="BM39" s="127"/>
      <c r="BN39" s="126"/>
      <c r="BO39" s="127"/>
      <c r="BP39" s="126"/>
      <c r="BQ39" s="127"/>
      <c r="BR39" s="126"/>
      <c r="BS39" s="127"/>
      <c r="BT39" s="126"/>
      <c r="BU39" s="127"/>
      <c r="BV39" s="126"/>
      <c r="BW39" s="127"/>
      <c r="BX39" s="126"/>
      <c r="BY39" s="127"/>
      <c r="BZ39" s="126"/>
      <c r="CA39" s="128" t="str">
        <f t="shared" si="0"/>
        <v/>
      </c>
    </row>
    <row r="40" spans="1:79" ht="30" customHeight="1" x14ac:dyDescent="0.35">
      <c r="A40" s="90" t="str">
        <f>IF('Q4'!A46="","",'Q4'!A46)</f>
        <v/>
      </c>
      <c r="B40" s="90" t="str">
        <f>IF('Q4'!B46="","",'Q4'!B46)</f>
        <v/>
      </c>
      <c r="C40" s="107" t="str">
        <f>IF('Q4'!C46="","",'Q4'!C46)</f>
        <v/>
      </c>
      <c r="D40" s="104" t="str">
        <f>IF('Q4'!D46="","",'Q4'!D46)</f>
        <v/>
      </c>
      <c r="E40" s="90" t="str">
        <f>IF('Q4'!E46="","",'Q4'!E46)</f>
        <v/>
      </c>
      <c r="F40" s="90" t="str">
        <f>IF('Q4'!F46="","",'Q4'!F46)</f>
        <v/>
      </c>
      <c r="G40" s="117"/>
      <c r="H40" s="118"/>
      <c r="I40" s="117"/>
      <c r="J40" s="118"/>
      <c r="K40" s="119"/>
      <c r="L40" s="118"/>
      <c r="M40" s="119"/>
      <c r="N40" s="118"/>
      <c r="O40" s="119"/>
      <c r="P40" s="118"/>
      <c r="Q40" s="119"/>
      <c r="R40" s="118"/>
      <c r="S40" s="119"/>
      <c r="T40" s="118"/>
      <c r="U40" s="119"/>
      <c r="V40" s="118"/>
      <c r="W40" s="119"/>
      <c r="X40" s="118"/>
      <c r="Y40" s="119"/>
      <c r="Z40" s="118"/>
      <c r="AA40" s="119"/>
      <c r="AB40" s="118"/>
      <c r="AC40" s="120"/>
      <c r="AD40" s="121"/>
      <c r="AE40" s="122"/>
      <c r="AF40" s="121"/>
      <c r="AG40" s="123"/>
      <c r="AH40" s="124"/>
      <c r="AI40" s="117"/>
      <c r="AJ40" s="118"/>
      <c r="AK40" s="119"/>
      <c r="AL40" s="118"/>
      <c r="AM40" s="119"/>
      <c r="AN40" s="118"/>
      <c r="AO40" s="119"/>
      <c r="AP40" s="118"/>
      <c r="AQ40" s="119"/>
      <c r="AR40" s="118"/>
      <c r="AS40" s="119"/>
      <c r="AT40" s="118"/>
      <c r="AU40" s="119"/>
      <c r="AV40" s="118"/>
      <c r="AW40" s="119"/>
      <c r="AX40" s="118"/>
      <c r="AY40" s="119"/>
      <c r="AZ40" s="118"/>
      <c r="BA40" s="119"/>
      <c r="BB40" s="118"/>
      <c r="BC40" s="119"/>
      <c r="BD40" s="118"/>
      <c r="BE40" s="120"/>
      <c r="BF40" s="121"/>
      <c r="BG40" s="122"/>
      <c r="BH40" s="121"/>
      <c r="BI40" s="123"/>
      <c r="BJ40" s="124"/>
      <c r="BK40" s="125"/>
      <c r="BL40" s="126"/>
      <c r="BM40" s="127"/>
      <c r="BN40" s="126"/>
      <c r="BO40" s="127"/>
      <c r="BP40" s="126"/>
      <c r="BQ40" s="127"/>
      <c r="BR40" s="126"/>
      <c r="BS40" s="127"/>
      <c r="BT40" s="126"/>
      <c r="BU40" s="127"/>
      <c r="BV40" s="126"/>
      <c r="BW40" s="127"/>
      <c r="BX40" s="126"/>
      <c r="BY40" s="127"/>
      <c r="BZ40" s="126"/>
      <c r="CA40" s="128" t="str">
        <f t="shared" si="0"/>
        <v/>
      </c>
    </row>
    <row r="41" spans="1:79" ht="30" customHeight="1" x14ac:dyDescent="0.35">
      <c r="A41" s="90" t="str">
        <f>IF('Q4'!A47="","",'Q4'!A47)</f>
        <v/>
      </c>
      <c r="B41" s="90" t="str">
        <f>IF('Q4'!B47="","",'Q4'!B47)</f>
        <v/>
      </c>
      <c r="C41" s="107" t="str">
        <f>IF('Q4'!C47="","",'Q4'!C47)</f>
        <v/>
      </c>
      <c r="D41" s="104" t="str">
        <f>IF('Q4'!D47="","",'Q4'!D47)</f>
        <v/>
      </c>
      <c r="E41" s="90" t="str">
        <f>IF('Q4'!E47="","",'Q4'!E47)</f>
        <v/>
      </c>
      <c r="F41" s="90" t="str">
        <f>IF('Q4'!F47="","",'Q4'!F47)</f>
        <v/>
      </c>
      <c r="G41" s="117"/>
      <c r="H41" s="118"/>
      <c r="I41" s="117"/>
      <c r="J41" s="118"/>
      <c r="K41" s="119"/>
      <c r="L41" s="118"/>
      <c r="M41" s="119"/>
      <c r="N41" s="118"/>
      <c r="O41" s="119"/>
      <c r="P41" s="118"/>
      <c r="Q41" s="119"/>
      <c r="R41" s="118"/>
      <c r="S41" s="119"/>
      <c r="T41" s="118"/>
      <c r="U41" s="119"/>
      <c r="V41" s="118"/>
      <c r="W41" s="119"/>
      <c r="X41" s="118"/>
      <c r="Y41" s="119"/>
      <c r="Z41" s="118"/>
      <c r="AA41" s="119"/>
      <c r="AB41" s="118"/>
      <c r="AC41" s="120"/>
      <c r="AD41" s="121"/>
      <c r="AE41" s="122"/>
      <c r="AF41" s="121"/>
      <c r="AG41" s="123"/>
      <c r="AH41" s="124"/>
      <c r="AI41" s="117"/>
      <c r="AJ41" s="118"/>
      <c r="AK41" s="119"/>
      <c r="AL41" s="118"/>
      <c r="AM41" s="119"/>
      <c r="AN41" s="118"/>
      <c r="AO41" s="119"/>
      <c r="AP41" s="118"/>
      <c r="AQ41" s="119"/>
      <c r="AR41" s="118"/>
      <c r="AS41" s="119"/>
      <c r="AT41" s="118"/>
      <c r="AU41" s="119"/>
      <c r="AV41" s="118"/>
      <c r="AW41" s="119"/>
      <c r="AX41" s="118"/>
      <c r="AY41" s="119"/>
      <c r="AZ41" s="118"/>
      <c r="BA41" s="119"/>
      <c r="BB41" s="118"/>
      <c r="BC41" s="119"/>
      <c r="BD41" s="118"/>
      <c r="BE41" s="120"/>
      <c r="BF41" s="121"/>
      <c r="BG41" s="122"/>
      <c r="BH41" s="121"/>
      <c r="BI41" s="123"/>
      <c r="BJ41" s="124"/>
      <c r="BK41" s="125"/>
      <c r="BL41" s="126"/>
      <c r="BM41" s="127"/>
      <c r="BN41" s="126"/>
      <c r="BO41" s="127"/>
      <c r="BP41" s="126"/>
      <c r="BQ41" s="127"/>
      <c r="BR41" s="126"/>
      <c r="BS41" s="127"/>
      <c r="BT41" s="126"/>
      <c r="BU41" s="127"/>
      <c r="BV41" s="126"/>
      <c r="BW41" s="127"/>
      <c r="BX41" s="126"/>
      <c r="BY41" s="127"/>
      <c r="BZ41" s="126"/>
      <c r="CA41" s="128" t="str">
        <f t="shared" si="0"/>
        <v/>
      </c>
    </row>
    <row r="42" spans="1:79" ht="30" customHeight="1" x14ac:dyDescent="0.35">
      <c r="A42" s="90" t="str">
        <f>IF('Q4'!A48="","",'Q4'!A48)</f>
        <v/>
      </c>
      <c r="B42" s="90" t="str">
        <f>IF('Q4'!B48="","",'Q4'!B48)</f>
        <v/>
      </c>
      <c r="C42" s="107" t="str">
        <f>IF('Q4'!C48="","",'Q4'!C48)</f>
        <v/>
      </c>
      <c r="D42" s="104" t="str">
        <f>IF('Q4'!D48="","",'Q4'!D48)</f>
        <v/>
      </c>
      <c r="E42" s="90" t="str">
        <f>IF('Q4'!E48="","",'Q4'!E48)</f>
        <v/>
      </c>
      <c r="F42" s="90" t="str">
        <f>IF('Q4'!F48="","",'Q4'!F48)</f>
        <v/>
      </c>
      <c r="G42" s="117"/>
      <c r="H42" s="118"/>
      <c r="I42" s="117"/>
      <c r="J42" s="118"/>
      <c r="K42" s="119"/>
      <c r="L42" s="118"/>
      <c r="M42" s="119"/>
      <c r="N42" s="118"/>
      <c r="O42" s="119"/>
      <c r="P42" s="118"/>
      <c r="Q42" s="119"/>
      <c r="R42" s="118"/>
      <c r="S42" s="119"/>
      <c r="T42" s="118"/>
      <c r="U42" s="119"/>
      <c r="V42" s="118"/>
      <c r="W42" s="119"/>
      <c r="X42" s="118"/>
      <c r="Y42" s="119"/>
      <c r="Z42" s="118"/>
      <c r="AA42" s="119"/>
      <c r="AB42" s="118"/>
      <c r="AC42" s="120"/>
      <c r="AD42" s="121"/>
      <c r="AE42" s="122"/>
      <c r="AF42" s="121"/>
      <c r="AG42" s="123"/>
      <c r="AH42" s="124"/>
      <c r="AI42" s="117"/>
      <c r="AJ42" s="118"/>
      <c r="AK42" s="119"/>
      <c r="AL42" s="118"/>
      <c r="AM42" s="119"/>
      <c r="AN42" s="118"/>
      <c r="AO42" s="119"/>
      <c r="AP42" s="118"/>
      <c r="AQ42" s="119"/>
      <c r="AR42" s="118"/>
      <c r="AS42" s="119"/>
      <c r="AT42" s="118"/>
      <c r="AU42" s="119"/>
      <c r="AV42" s="118"/>
      <c r="AW42" s="119"/>
      <c r="AX42" s="118"/>
      <c r="AY42" s="119"/>
      <c r="AZ42" s="118"/>
      <c r="BA42" s="119"/>
      <c r="BB42" s="118"/>
      <c r="BC42" s="119"/>
      <c r="BD42" s="118"/>
      <c r="BE42" s="120"/>
      <c r="BF42" s="121"/>
      <c r="BG42" s="122"/>
      <c r="BH42" s="121"/>
      <c r="BI42" s="123"/>
      <c r="BJ42" s="124"/>
      <c r="BK42" s="125"/>
      <c r="BL42" s="126"/>
      <c r="BM42" s="127"/>
      <c r="BN42" s="126"/>
      <c r="BO42" s="127"/>
      <c r="BP42" s="126"/>
      <c r="BQ42" s="127"/>
      <c r="BR42" s="126"/>
      <c r="BS42" s="127"/>
      <c r="BT42" s="126"/>
      <c r="BU42" s="127"/>
      <c r="BV42" s="126"/>
      <c r="BW42" s="127"/>
      <c r="BX42" s="126"/>
      <c r="BY42" s="127"/>
      <c r="BZ42" s="126"/>
      <c r="CA42" s="128" t="str">
        <f t="shared" si="0"/>
        <v/>
      </c>
    </row>
    <row r="43" spans="1:79" ht="30" customHeight="1" x14ac:dyDescent="0.35">
      <c r="A43" s="90" t="str">
        <f>IF('Q4'!A49="","",'Q4'!A49)</f>
        <v/>
      </c>
      <c r="B43" s="90" t="str">
        <f>IF('Q4'!B49="","",'Q4'!B49)</f>
        <v/>
      </c>
      <c r="C43" s="107" t="str">
        <f>IF('Q4'!C49="","",'Q4'!C49)</f>
        <v/>
      </c>
      <c r="D43" s="104" t="str">
        <f>IF('Q4'!D49="","",'Q4'!D49)</f>
        <v/>
      </c>
      <c r="E43" s="90" t="str">
        <f>IF('Q4'!E49="","",'Q4'!E49)</f>
        <v/>
      </c>
      <c r="F43" s="90" t="str">
        <f>IF('Q4'!F49="","",'Q4'!F49)</f>
        <v/>
      </c>
      <c r="G43" s="117"/>
      <c r="H43" s="118"/>
      <c r="I43" s="117"/>
      <c r="J43" s="118"/>
      <c r="K43" s="119"/>
      <c r="L43" s="118"/>
      <c r="M43" s="119"/>
      <c r="N43" s="118"/>
      <c r="O43" s="119"/>
      <c r="P43" s="118"/>
      <c r="Q43" s="119"/>
      <c r="R43" s="118"/>
      <c r="S43" s="119"/>
      <c r="T43" s="118"/>
      <c r="U43" s="119"/>
      <c r="V43" s="118"/>
      <c r="W43" s="119"/>
      <c r="X43" s="118"/>
      <c r="Y43" s="119"/>
      <c r="Z43" s="118"/>
      <c r="AA43" s="119"/>
      <c r="AB43" s="118"/>
      <c r="AC43" s="120"/>
      <c r="AD43" s="121"/>
      <c r="AE43" s="122"/>
      <c r="AF43" s="121"/>
      <c r="AG43" s="123"/>
      <c r="AH43" s="124"/>
      <c r="AI43" s="117"/>
      <c r="AJ43" s="118"/>
      <c r="AK43" s="119"/>
      <c r="AL43" s="118"/>
      <c r="AM43" s="119"/>
      <c r="AN43" s="118"/>
      <c r="AO43" s="119"/>
      <c r="AP43" s="118"/>
      <c r="AQ43" s="119"/>
      <c r="AR43" s="118"/>
      <c r="AS43" s="119"/>
      <c r="AT43" s="118"/>
      <c r="AU43" s="119"/>
      <c r="AV43" s="118"/>
      <c r="AW43" s="119"/>
      <c r="AX43" s="118"/>
      <c r="AY43" s="119"/>
      <c r="AZ43" s="118"/>
      <c r="BA43" s="119"/>
      <c r="BB43" s="118"/>
      <c r="BC43" s="119"/>
      <c r="BD43" s="118"/>
      <c r="BE43" s="120"/>
      <c r="BF43" s="121"/>
      <c r="BG43" s="122"/>
      <c r="BH43" s="121"/>
      <c r="BI43" s="123"/>
      <c r="BJ43" s="124"/>
      <c r="BK43" s="125"/>
      <c r="BL43" s="126"/>
      <c r="BM43" s="127"/>
      <c r="BN43" s="126"/>
      <c r="BO43" s="127"/>
      <c r="BP43" s="126"/>
      <c r="BQ43" s="127"/>
      <c r="BR43" s="126"/>
      <c r="BS43" s="127"/>
      <c r="BT43" s="126"/>
      <c r="BU43" s="127"/>
      <c r="BV43" s="126"/>
      <c r="BW43" s="127"/>
      <c r="BX43" s="126"/>
      <c r="BY43" s="127"/>
      <c r="BZ43" s="126"/>
      <c r="CA43" s="128" t="str">
        <f t="shared" si="0"/>
        <v/>
      </c>
    </row>
    <row r="44" spans="1:79" ht="30" customHeight="1" x14ac:dyDescent="0.35">
      <c r="A44" s="90" t="str">
        <f>IF('Q4'!A50="","",'Q4'!A50)</f>
        <v/>
      </c>
      <c r="B44" s="90" t="str">
        <f>IF('Q4'!B50="","",'Q4'!B50)</f>
        <v/>
      </c>
      <c r="C44" s="107" t="str">
        <f>IF('Q4'!C50="","",'Q4'!C50)</f>
        <v/>
      </c>
      <c r="D44" s="104" t="str">
        <f>IF('Q4'!D50="","",'Q4'!D50)</f>
        <v/>
      </c>
      <c r="E44" s="90" t="str">
        <f>IF('Q4'!E50="","",'Q4'!E50)</f>
        <v/>
      </c>
      <c r="F44" s="90" t="str">
        <f>IF('Q4'!F50="","",'Q4'!F50)</f>
        <v/>
      </c>
      <c r="G44" s="117"/>
      <c r="H44" s="118"/>
      <c r="I44" s="117"/>
      <c r="J44" s="118"/>
      <c r="K44" s="119"/>
      <c r="L44" s="118"/>
      <c r="M44" s="119"/>
      <c r="N44" s="118"/>
      <c r="O44" s="119"/>
      <c r="P44" s="118"/>
      <c r="Q44" s="119"/>
      <c r="R44" s="118"/>
      <c r="S44" s="119"/>
      <c r="T44" s="118"/>
      <c r="U44" s="119"/>
      <c r="V44" s="118"/>
      <c r="W44" s="119"/>
      <c r="X44" s="118"/>
      <c r="Y44" s="119"/>
      <c r="Z44" s="118"/>
      <c r="AA44" s="119"/>
      <c r="AB44" s="118"/>
      <c r="AC44" s="120"/>
      <c r="AD44" s="121"/>
      <c r="AE44" s="122"/>
      <c r="AF44" s="121"/>
      <c r="AG44" s="123"/>
      <c r="AH44" s="124"/>
      <c r="AI44" s="117"/>
      <c r="AJ44" s="118"/>
      <c r="AK44" s="119"/>
      <c r="AL44" s="118"/>
      <c r="AM44" s="119"/>
      <c r="AN44" s="118"/>
      <c r="AO44" s="119"/>
      <c r="AP44" s="118"/>
      <c r="AQ44" s="119"/>
      <c r="AR44" s="118"/>
      <c r="AS44" s="119"/>
      <c r="AT44" s="118"/>
      <c r="AU44" s="119"/>
      <c r="AV44" s="118"/>
      <c r="AW44" s="119"/>
      <c r="AX44" s="118"/>
      <c r="AY44" s="119"/>
      <c r="AZ44" s="118"/>
      <c r="BA44" s="119"/>
      <c r="BB44" s="118"/>
      <c r="BC44" s="119"/>
      <c r="BD44" s="118"/>
      <c r="BE44" s="120"/>
      <c r="BF44" s="121"/>
      <c r="BG44" s="122"/>
      <c r="BH44" s="121"/>
      <c r="BI44" s="123"/>
      <c r="BJ44" s="124"/>
      <c r="BK44" s="125"/>
      <c r="BL44" s="126"/>
      <c r="BM44" s="127"/>
      <c r="BN44" s="126"/>
      <c r="BO44" s="127"/>
      <c r="BP44" s="126"/>
      <c r="BQ44" s="127"/>
      <c r="BR44" s="126"/>
      <c r="BS44" s="127"/>
      <c r="BT44" s="126"/>
      <c r="BU44" s="127"/>
      <c r="BV44" s="126"/>
      <c r="BW44" s="127"/>
      <c r="BX44" s="126"/>
      <c r="BY44" s="127"/>
      <c r="BZ44" s="126"/>
      <c r="CA44" s="128" t="str">
        <f t="shared" si="0"/>
        <v/>
      </c>
    </row>
    <row r="45" spans="1:79" ht="30" customHeight="1" x14ac:dyDescent="0.35">
      <c r="A45" s="90" t="str">
        <f>IF('Q4'!A51="","",'Q4'!A51)</f>
        <v/>
      </c>
      <c r="B45" s="90" t="str">
        <f>IF('Q4'!B51="","",'Q4'!B51)</f>
        <v/>
      </c>
      <c r="C45" s="107" t="str">
        <f>IF('Q4'!C51="","",'Q4'!C51)</f>
        <v/>
      </c>
      <c r="D45" s="104" t="str">
        <f>IF('Q4'!D51="","",'Q4'!D51)</f>
        <v/>
      </c>
      <c r="E45" s="90" t="str">
        <f>IF('Q4'!E51="","",'Q4'!E51)</f>
        <v/>
      </c>
      <c r="F45" s="90" t="str">
        <f>IF('Q4'!F51="","",'Q4'!F51)</f>
        <v/>
      </c>
      <c r="G45" s="117"/>
      <c r="H45" s="118"/>
      <c r="I45" s="117"/>
      <c r="J45" s="118"/>
      <c r="K45" s="119"/>
      <c r="L45" s="118"/>
      <c r="M45" s="119"/>
      <c r="N45" s="118"/>
      <c r="O45" s="119"/>
      <c r="P45" s="118"/>
      <c r="Q45" s="119"/>
      <c r="R45" s="118"/>
      <c r="S45" s="119"/>
      <c r="T45" s="118"/>
      <c r="U45" s="119"/>
      <c r="V45" s="118"/>
      <c r="W45" s="119"/>
      <c r="X45" s="118"/>
      <c r="Y45" s="119"/>
      <c r="Z45" s="118"/>
      <c r="AA45" s="119"/>
      <c r="AB45" s="118"/>
      <c r="AC45" s="120"/>
      <c r="AD45" s="121"/>
      <c r="AE45" s="122"/>
      <c r="AF45" s="121"/>
      <c r="AG45" s="123"/>
      <c r="AH45" s="124"/>
      <c r="AI45" s="117"/>
      <c r="AJ45" s="118"/>
      <c r="AK45" s="119"/>
      <c r="AL45" s="118"/>
      <c r="AM45" s="119"/>
      <c r="AN45" s="118"/>
      <c r="AO45" s="119"/>
      <c r="AP45" s="118"/>
      <c r="AQ45" s="119"/>
      <c r="AR45" s="118"/>
      <c r="AS45" s="119"/>
      <c r="AT45" s="118"/>
      <c r="AU45" s="119"/>
      <c r="AV45" s="118"/>
      <c r="AW45" s="119"/>
      <c r="AX45" s="118"/>
      <c r="AY45" s="119"/>
      <c r="AZ45" s="118"/>
      <c r="BA45" s="119"/>
      <c r="BB45" s="118"/>
      <c r="BC45" s="119"/>
      <c r="BD45" s="118"/>
      <c r="BE45" s="120"/>
      <c r="BF45" s="121"/>
      <c r="BG45" s="122"/>
      <c r="BH45" s="121"/>
      <c r="BI45" s="123"/>
      <c r="BJ45" s="124"/>
      <c r="BK45" s="125"/>
      <c r="BL45" s="126"/>
      <c r="BM45" s="127"/>
      <c r="BN45" s="126"/>
      <c r="BO45" s="127"/>
      <c r="BP45" s="126"/>
      <c r="BQ45" s="127"/>
      <c r="BR45" s="126"/>
      <c r="BS45" s="127"/>
      <c r="BT45" s="126"/>
      <c r="BU45" s="127"/>
      <c r="BV45" s="126"/>
      <c r="BW45" s="127"/>
      <c r="BX45" s="126"/>
      <c r="BY45" s="127"/>
      <c r="BZ45" s="126"/>
      <c r="CA45" s="128" t="str">
        <f t="shared" si="0"/>
        <v/>
      </c>
    </row>
    <row r="46" spans="1:79" ht="30" customHeight="1" x14ac:dyDescent="0.35">
      <c r="A46" s="90" t="str">
        <f>IF('Q4'!A52="","",'Q4'!A52)</f>
        <v/>
      </c>
      <c r="B46" s="90" t="str">
        <f>IF('Q4'!B52="","",'Q4'!B52)</f>
        <v/>
      </c>
      <c r="C46" s="107" t="str">
        <f>IF('Q4'!C52="","",'Q4'!C52)</f>
        <v/>
      </c>
      <c r="D46" s="104" t="str">
        <f>IF('Q4'!D52="","",'Q4'!D52)</f>
        <v/>
      </c>
      <c r="E46" s="90" t="str">
        <f>IF('Q4'!E52="","",'Q4'!E52)</f>
        <v/>
      </c>
      <c r="F46" s="90" t="str">
        <f>IF('Q4'!F52="","",'Q4'!F52)</f>
        <v/>
      </c>
      <c r="G46" s="117"/>
      <c r="H46" s="118"/>
      <c r="I46" s="117"/>
      <c r="J46" s="118"/>
      <c r="K46" s="119"/>
      <c r="L46" s="118"/>
      <c r="M46" s="119"/>
      <c r="N46" s="118"/>
      <c r="O46" s="119"/>
      <c r="P46" s="118"/>
      <c r="Q46" s="119"/>
      <c r="R46" s="118"/>
      <c r="S46" s="119"/>
      <c r="T46" s="118"/>
      <c r="U46" s="119"/>
      <c r="V46" s="118"/>
      <c r="W46" s="119"/>
      <c r="X46" s="118"/>
      <c r="Y46" s="119"/>
      <c r="Z46" s="118"/>
      <c r="AA46" s="119"/>
      <c r="AB46" s="118"/>
      <c r="AC46" s="120"/>
      <c r="AD46" s="121"/>
      <c r="AE46" s="122"/>
      <c r="AF46" s="121"/>
      <c r="AG46" s="123"/>
      <c r="AH46" s="124"/>
      <c r="AI46" s="117"/>
      <c r="AJ46" s="118"/>
      <c r="AK46" s="119"/>
      <c r="AL46" s="118"/>
      <c r="AM46" s="119"/>
      <c r="AN46" s="118"/>
      <c r="AO46" s="119"/>
      <c r="AP46" s="118"/>
      <c r="AQ46" s="119"/>
      <c r="AR46" s="118"/>
      <c r="AS46" s="119"/>
      <c r="AT46" s="118"/>
      <c r="AU46" s="119"/>
      <c r="AV46" s="118"/>
      <c r="AW46" s="119"/>
      <c r="AX46" s="118"/>
      <c r="AY46" s="119"/>
      <c r="AZ46" s="118"/>
      <c r="BA46" s="119"/>
      <c r="BB46" s="118"/>
      <c r="BC46" s="119"/>
      <c r="BD46" s="118"/>
      <c r="BE46" s="120"/>
      <c r="BF46" s="121"/>
      <c r="BG46" s="122"/>
      <c r="BH46" s="121"/>
      <c r="BI46" s="123"/>
      <c r="BJ46" s="124"/>
      <c r="BK46" s="125"/>
      <c r="BL46" s="126"/>
      <c r="BM46" s="127"/>
      <c r="BN46" s="126"/>
      <c r="BO46" s="127"/>
      <c r="BP46" s="126"/>
      <c r="BQ46" s="127"/>
      <c r="BR46" s="126"/>
      <c r="BS46" s="127"/>
      <c r="BT46" s="126"/>
      <c r="BU46" s="127"/>
      <c r="BV46" s="126"/>
      <c r="BW46" s="127"/>
      <c r="BX46" s="126"/>
      <c r="BY46" s="127"/>
      <c r="BZ46" s="126"/>
      <c r="CA46" s="128" t="str">
        <f t="shared" si="0"/>
        <v/>
      </c>
    </row>
    <row r="47" spans="1:79" ht="30" customHeight="1" x14ac:dyDescent="0.35">
      <c r="A47" s="90" t="str">
        <f>IF('Q4'!A53="","",'Q4'!A53)</f>
        <v/>
      </c>
      <c r="B47" s="90" t="str">
        <f>IF('Q4'!B53="","",'Q4'!B53)</f>
        <v/>
      </c>
      <c r="C47" s="107" t="str">
        <f>IF('Q4'!C53="","",'Q4'!C53)</f>
        <v/>
      </c>
      <c r="D47" s="104" t="str">
        <f>IF('Q4'!D53="","",'Q4'!D53)</f>
        <v/>
      </c>
      <c r="E47" s="90" t="str">
        <f>IF('Q4'!E53="","",'Q4'!E53)</f>
        <v/>
      </c>
      <c r="F47" s="90" t="str">
        <f>IF('Q4'!F53="","",'Q4'!F53)</f>
        <v/>
      </c>
      <c r="G47" s="117"/>
      <c r="H47" s="118"/>
      <c r="I47" s="117"/>
      <c r="J47" s="118"/>
      <c r="K47" s="119"/>
      <c r="L47" s="118"/>
      <c r="M47" s="119"/>
      <c r="N47" s="118"/>
      <c r="O47" s="119"/>
      <c r="P47" s="118"/>
      <c r="Q47" s="119"/>
      <c r="R47" s="118"/>
      <c r="S47" s="119"/>
      <c r="T47" s="118"/>
      <c r="U47" s="119"/>
      <c r="V47" s="118"/>
      <c r="W47" s="119"/>
      <c r="X47" s="118"/>
      <c r="Y47" s="119"/>
      <c r="Z47" s="118"/>
      <c r="AA47" s="119"/>
      <c r="AB47" s="118"/>
      <c r="AC47" s="120"/>
      <c r="AD47" s="121"/>
      <c r="AE47" s="122"/>
      <c r="AF47" s="121"/>
      <c r="AG47" s="123"/>
      <c r="AH47" s="124"/>
      <c r="AI47" s="117"/>
      <c r="AJ47" s="118"/>
      <c r="AK47" s="119"/>
      <c r="AL47" s="118"/>
      <c r="AM47" s="119"/>
      <c r="AN47" s="118"/>
      <c r="AO47" s="119"/>
      <c r="AP47" s="118"/>
      <c r="AQ47" s="119"/>
      <c r="AR47" s="118"/>
      <c r="AS47" s="119"/>
      <c r="AT47" s="118"/>
      <c r="AU47" s="119"/>
      <c r="AV47" s="118"/>
      <c r="AW47" s="119"/>
      <c r="AX47" s="118"/>
      <c r="AY47" s="119"/>
      <c r="AZ47" s="118"/>
      <c r="BA47" s="119"/>
      <c r="BB47" s="118"/>
      <c r="BC47" s="119"/>
      <c r="BD47" s="118"/>
      <c r="BE47" s="120"/>
      <c r="BF47" s="121"/>
      <c r="BG47" s="122"/>
      <c r="BH47" s="121"/>
      <c r="BI47" s="123"/>
      <c r="BJ47" s="124"/>
      <c r="BK47" s="125"/>
      <c r="BL47" s="126"/>
      <c r="BM47" s="127"/>
      <c r="BN47" s="126"/>
      <c r="BO47" s="127"/>
      <c r="BP47" s="126"/>
      <c r="BQ47" s="127"/>
      <c r="BR47" s="126"/>
      <c r="BS47" s="127"/>
      <c r="BT47" s="126"/>
      <c r="BU47" s="127"/>
      <c r="BV47" s="126"/>
      <c r="BW47" s="127"/>
      <c r="BX47" s="126"/>
      <c r="BY47" s="127"/>
      <c r="BZ47" s="126"/>
      <c r="CA47" s="128" t="str">
        <f t="shared" si="0"/>
        <v/>
      </c>
    </row>
    <row r="48" spans="1:79" ht="30" customHeight="1" x14ac:dyDescent="0.35">
      <c r="A48" s="90" t="str">
        <f>IF('Q4'!A54="","",'Q4'!A54)</f>
        <v/>
      </c>
      <c r="B48" s="90" t="str">
        <f>IF('Q4'!B54="","",'Q4'!B54)</f>
        <v/>
      </c>
      <c r="C48" s="107" t="str">
        <f>IF('Q4'!C54="","",'Q4'!C54)</f>
        <v/>
      </c>
      <c r="D48" s="104" t="str">
        <f>IF('Q4'!D54="","",'Q4'!D54)</f>
        <v/>
      </c>
      <c r="E48" s="90" t="str">
        <f>IF('Q4'!E54="","",'Q4'!E54)</f>
        <v/>
      </c>
      <c r="F48" s="90" t="str">
        <f>IF('Q4'!F54="","",'Q4'!F54)</f>
        <v/>
      </c>
      <c r="G48" s="117"/>
      <c r="H48" s="118"/>
      <c r="I48" s="117"/>
      <c r="J48" s="118"/>
      <c r="K48" s="119"/>
      <c r="L48" s="118"/>
      <c r="M48" s="119"/>
      <c r="N48" s="118"/>
      <c r="O48" s="119"/>
      <c r="P48" s="118"/>
      <c r="Q48" s="119"/>
      <c r="R48" s="118"/>
      <c r="S48" s="119"/>
      <c r="T48" s="118"/>
      <c r="U48" s="119"/>
      <c r="V48" s="118"/>
      <c r="W48" s="119"/>
      <c r="X48" s="118"/>
      <c r="Y48" s="119"/>
      <c r="Z48" s="118"/>
      <c r="AA48" s="119"/>
      <c r="AB48" s="118"/>
      <c r="AC48" s="120"/>
      <c r="AD48" s="121"/>
      <c r="AE48" s="122"/>
      <c r="AF48" s="121"/>
      <c r="AG48" s="123"/>
      <c r="AH48" s="124"/>
      <c r="AI48" s="117"/>
      <c r="AJ48" s="118"/>
      <c r="AK48" s="119"/>
      <c r="AL48" s="118"/>
      <c r="AM48" s="119"/>
      <c r="AN48" s="118"/>
      <c r="AO48" s="119"/>
      <c r="AP48" s="118"/>
      <c r="AQ48" s="119"/>
      <c r="AR48" s="118"/>
      <c r="AS48" s="119"/>
      <c r="AT48" s="118"/>
      <c r="AU48" s="119"/>
      <c r="AV48" s="118"/>
      <c r="AW48" s="119"/>
      <c r="AX48" s="118"/>
      <c r="AY48" s="119"/>
      <c r="AZ48" s="118"/>
      <c r="BA48" s="119"/>
      <c r="BB48" s="118"/>
      <c r="BC48" s="119"/>
      <c r="BD48" s="118"/>
      <c r="BE48" s="120"/>
      <c r="BF48" s="121"/>
      <c r="BG48" s="122"/>
      <c r="BH48" s="121"/>
      <c r="BI48" s="123"/>
      <c r="BJ48" s="124"/>
      <c r="BK48" s="125"/>
      <c r="BL48" s="126"/>
      <c r="BM48" s="127"/>
      <c r="BN48" s="126"/>
      <c r="BO48" s="127"/>
      <c r="BP48" s="126"/>
      <c r="BQ48" s="127"/>
      <c r="BR48" s="126"/>
      <c r="BS48" s="127"/>
      <c r="BT48" s="126"/>
      <c r="BU48" s="127"/>
      <c r="BV48" s="126"/>
      <c r="BW48" s="127"/>
      <c r="BX48" s="126"/>
      <c r="BY48" s="127"/>
      <c r="BZ48" s="126"/>
      <c r="CA48" s="128" t="str">
        <f t="shared" si="0"/>
        <v/>
      </c>
    </row>
    <row r="49" spans="1:79" ht="30" customHeight="1" x14ac:dyDescent="0.35">
      <c r="A49" s="90" t="str">
        <f>IF('Q4'!A55="","",'Q4'!A55)</f>
        <v/>
      </c>
      <c r="B49" s="90" t="str">
        <f>IF('Q4'!B55="","",'Q4'!B55)</f>
        <v/>
      </c>
      <c r="C49" s="107" t="str">
        <f>IF('Q4'!C55="","",'Q4'!C55)</f>
        <v/>
      </c>
      <c r="D49" s="104" t="str">
        <f>IF('Q4'!D55="","",'Q4'!D55)</f>
        <v/>
      </c>
      <c r="E49" s="90" t="str">
        <f>IF('Q4'!E55="","",'Q4'!E55)</f>
        <v/>
      </c>
      <c r="F49" s="90" t="str">
        <f>IF('Q4'!F55="","",'Q4'!F55)</f>
        <v/>
      </c>
      <c r="G49" s="117"/>
      <c r="H49" s="118"/>
      <c r="I49" s="117"/>
      <c r="J49" s="118"/>
      <c r="K49" s="119"/>
      <c r="L49" s="118"/>
      <c r="M49" s="119"/>
      <c r="N49" s="118"/>
      <c r="O49" s="119"/>
      <c r="P49" s="118"/>
      <c r="Q49" s="119"/>
      <c r="R49" s="118"/>
      <c r="S49" s="119"/>
      <c r="T49" s="118"/>
      <c r="U49" s="119"/>
      <c r="V49" s="118"/>
      <c r="W49" s="119"/>
      <c r="X49" s="118"/>
      <c r="Y49" s="119"/>
      <c r="Z49" s="118"/>
      <c r="AA49" s="119"/>
      <c r="AB49" s="118"/>
      <c r="AC49" s="120"/>
      <c r="AD49" s="121"/>
      <c r="AE49" s="122"/>
      <c r="AF49" s="121"/>
      <c r="AG49" s="123"/>
      <c r="AH49" s="124"/>
      <c r="AI49" s="117"/>
      <c r="AJ49" s="118"/>
      <c r="AK49" s="119"/>
      <c r="AL49" s="118"/>
      <c r="AM49" s="119"/>
      <c r="AN49" s="118"/>
      <c r="AO49" s="119"/>
      <c r="AP49" s="118"/>
      <c r="AQ49" s="119"/>
      <c r="AR49" s="118"/>
      <c r="AS49" s="119"/>
      <c r="AT49" s="118"/>
      <c r="AU49" s="119"/>
      <c r="AV49" s="118"/>
      <c r="AW49" s="119"/>
      <c r="AX49" s="118"/>
      <c r="AY49" s="119"/>
      <c r="AZ49" s="118"/>
      <c r="BA49" s="119"/>
      <c r="BB49" s="118"/>
      <c r="BC49" s="119"/>
      <c r="BD49" s="118"/>
      <c r="BE49" s="120"/>
      <c r="BF49" s="121"/>
      <c r="BG49" s="122"/>
      <c r="BH49" s="121"/>
      <c r="BI49" s="123"/>
      <c r="BJ49" s="124"/>
      <c r="BK49" s="125"/>
      <c r="BL49" s="126"/>
      <c r="BM49" s="127"/>
      <c r="BN49" s="126"/>
      <c r="BO49" s="127"/>
      <c r="BP49" s="126"/>
      <c r="BQ49" s="127"/>
      <c r="BR49" s="126"/>
      <c r="BS49" s="127"/>
      <c r="BT49" s="126"/>
      <c r="BU49" s="127"/>
      <c r="BV49" s="126"/>
      <c r="BW49" s="127"/>
      <c r="BX49" s="126"/>
      <c r="BY49" s="127"/>
      <c r="BZ49" s="126"/>
      <c r="CA49" s="128" t="str">
        <f t="shared" si="0"/>
        <v/>
      </c>
    </row>
    <row r="50" spans="1:79" ht="30" customHeight="1" x14ac:dyDescent="0.35">
      <c r="A50" s="90" t="str">
        <f>IF('Q4'!A56="","",'Q4'!A56)</f>
        <v/>
      </c>
      <c r="B50" s="90" t="str">
        <f>IF('Q4'!B56="","",'Q4'!B56)</f>
        <v/>
      </c>
      <c r="C50" s="107" t="str">
        <f>IF('Q4'!C56="","",'Q4'!C56)</f>
        <v/>
      </c>
      <c r="D50" s="104" t="str">
        <f>IF('Q4'!D56="","",'Q4'!D56)</f>
        <v/>
      </c>
      <c r="E50" s="90" t="str">
        <f>IF('Q4'!E56="","",'Q4'!E56)</f>
        <v/>
      </c>
      <c r="F50" s="90" t="str">
        <f>IF('Q4'!F56="","",'Q4'!F56)</f>
        <v/>
      </c>
      <c r="G50" s="117"/>
      <c r="H50" s="118"/>
      <c r="I50" s="117"/>
      <c r="J50" s="118"/>
      <c r="K50" s="119"/>
      <c r="L50" s="118"/>
      <c r="M50" s="119"/>
      <c r="N50" s="118"/>
      <c r="O50" s="119"/>
      <c r="P50" s="118"/>
      <c r="Q50" s="119"/>
      <c r="R50" s="118"/>
      <c r="S50" s="119"/>
      <c r="T50" s="118"/>
      <c r="U50" s="119"/>
      <c r="V50" s="118"/>
      <c r="W50" s="119"/>
      <c r="X50" s="118"/>
      <c r="Y50" s="119"/>
      <c r="Z50" s="118"/>
      <c r="AA50" s="119"/>
      <c r="AB50" s="118"/>
      <c r="AC50" s="120"/>
      <c r="AD50" s="121"/>
      <c r="AE50" s="122"/>
      <c r="AF50" s="121"/>
      <c r="AG50" s="123"/>
      <c r="AH50" s="124"/>
      <c r="AI50" s="117"/>
      <c r="AJ50" s="118"/>
      <c r="AK50" s="119"/>
      <c r="AL50" s="118"/>
      <c r="AM50" s="119"/>
      <c r="AN50" s="118"/>
      <c r="AO50" s="119"/>
      <c r="AP50" s="118"/>
      <c r="AQ50" s="119"/>
      <c r="AR50" s="118"/>
      <c r="AS50" s="119"/>
      <c r="AT50" s="118"/>
      <c r="AU50" s="119"/>
      <c r="AV50" s="118"/>
      <c r="AW50" s="119"/>
      <c r="AX50" s="118"/>
      <c r="AY50" s="119"/>
      <c r="AZ50" s="118"/>
      <c r="BA50" s="119"/>
      <c r="BB50" s="118"/>
      <c r="BC50" s="119"/>
      <c r="BD50" s="118"/>
      <c r="BE50" s="120"/>
      <c r="BF50" s="121"/>
      <c r="BG50" s="122"/>
      <c r="BH50" s="121"/>
      <c r="BI50" s="123"/>
      <c r="BJ50" s="124"/>
      <c r="BK50" s="125"/>
      <c r="BL50" s="126"/>
      <c r="BM50" s="127"/>
      <c r="BN50" s="126"/>
      <c r="BO50" s="127"/>
      <c r="BP50" s="126"/>
      <c r="BQ50" s="127"/>
      <c r="BR50" s="126"/>
      <c r="BS50" s="127"/>
      <c r="BT50" s="126"/>
      <c r="BU50" s="127"/>
      <c r="BV50" s="126"/>
      <c r="BW50" s="127"/>
      <c r="BX50" s="126"/>
      <c r="BY50" s="127"/>
      <c r="BZ50" s="126"/>
      <c r="CA50" s="128" t="str">
        <f t="shared" si="0"/>
        <v/>
      </c>
    </row>
    <row r="51" spans="1:79" ht="30" customHeight="1" x14ac:dyDescent="0.35">
      <c r="A51" s="90" t="str">
        <f>IF('Q4'!A57="","",'Q4'!A57)</f>
        <v/>
      </c>
      <c r="B51" s="90" t="str">
        <f>IF('Q4'!B57="","",'Q4'!B57)</f>
        <v/>
      </c>
      <c r="C51" s="107" t="str">
        <f>IF('Q4'!C57="","",'Q4'!C57)</f>
        <v/>
      </c>
      <c r="D51" s="104" t="str">
        <f>IF('Q4'!D57="","",'Q4'!D57)</f>
        <v/>
      </c>
      <c r="E51" s="90" t="str">
        <f>IF('Q4'!E57="","",'Q4'!E57)</f>
        <v/>
      </c>
      <c r="F51" s="90" t="str">
        <f>IF('Q4'!F57="","",'Q4'!F57)</f>
        <v/>
      </c>
      <c r="G51" s="117"/>
      <c r="H51" s="118"/>
      <c r="I51" s="117"/>
      <c r="J51" s="118"/>
      <c r="K51" s="119"/>
      <c r="L51" s="118"/>
      <c r="M51" s="119"/>
      <c r="N51" s="118"/>
      <c r="O51" s="119"/>
      <c r="P51" s="118"/>
      <c r="Q51" s="119"/>
      <c r="R51" s="118"/>
      <c r="S51" s="119"/>
      <c r="T51" s="118"/>
      <c r="U51" s="119"/>
      <c r="V51" s="118"/>
      <c r="W51" s="119"/>
      <c r="X51" s="118"/>
      <c r="Y51" s="119"/>
      <c r="Z51" s="118"/>
      <c r="AA51" s="119"/>
      <c r="AB51" s="118"/>
      <c r="AC51" s="120"/>
      <c r="AD51" s="121"/>
      <c r="AE51" s="122"/>
      <c r="AF51" s="121"/>
      <c r="AG51" s="123"/>
      <c r="AH51" s="124"/>
      <c r="AI51" s="117"/>
      <c r="AJ51" s="118"/>
      <c r="AK51" s="119"/>
      <c r="AL51" s="118"/>
      <c r="AM51" s="119"/>
      <c r="AN51" s="118"/>
      <c r="AO51" s="119"/>
      <c r="AP51" s="118"/>
      <c r="AQ51" s="119"/>
      <c r="AR51" s="118"/>
      <c r="AS51" s="119"/>
      <c r="AT51" s="118"/>
      <c r="AU51" s="119"/>
      <c r="AV51" s="118"/>
      <c r="AW51" s="119"/>
      <c r="AX51" s="118"/>
      <c r="AY51" s="119"/>
      <c r="AZ51" s="118"/>
      <c r="BA51" s="119"/>
      <c r="BB51" s="118"/>
      <c r="BC51" s="119"/>
      <c r="BD51" s="118"/>
      <c r="BE51" s="120"/>
      <c r="BF51" s="121"/>
      <c r="BG51" s="122"/>
      <c r="BH51" s="121"/>
      <c r="BI51" s="123"/>
      <c r="BJ51" s="124"/>
      <c r="BK51" s="125"/>
      <c r="BL51" s="126"/>
      <c r="BM51" s="127"/>
      <c r="BN51" s="126"/>
      <c r="BO51" s="127"/>
      <c r="BP51" s="126"/>
      <c r="BQ51" s="127"/>
      <c r="BR51" s="126"/>
      <c r="BS51" s="127"/>
      <c r="BT51" s="126"/>
      <c r="BU51" s="127"/>
      <c r="BV51" s="126"/>
      <c r="BW51" s="127"/>
      <c r="BX51" s="126"/>
      <c r="BY51" s="127"/>
      <c r="BZ51" s="126"/>
      <c r="CA51" s="128" t="str">
        <f t="shared" si="0"/>
        <v/>
      </c>
    </row>
    <row r="52" spans="1:79" ht="30" customHeight="1" x14ac:dyDescent="0.35">
      <c r="A52" s="90" t="str">
        <f>IF('Q4'!A58="","",'Q4'!A58)</f>
        <v/>
      </c>
      <c r="B52" s="90" t="str">
        <f>IF('Q4'!B58="","",'Q4'!B58)</f>
        <v/>
      </c>
      <c r="C52" s="107" t="str">
        <f>IF('Q4'!C58="","",'Q4'!C58)</f>
        <v/>
      </c>
      <c r="D52" s="104" t="str">
        <f>IF('Q4'!D58="","",'Q4'!D58)</f>
        <v/>
      </c>
      <c r="E52" s="90" t="str">
        <f>IF('Q4'!E58="","",'Q4'!E58)</f>
        <v/>
      </c>
      <c r="F52" s="90" t="str">
        <f>IF('Q4'!F58="","",'Q4'!F58)</f>
        <v/>
      </c>
      <c r="G52" s="117"/>
      <c r="H52" s="118"/>
      <c r="I52" s="117"/>
      <c r="J52" s="118"/>
      <c r="K52" s="119"/>
      <c r="L52" s="118"/>
      <c r="M52" s="119"/>
      <c r="N52" s="118"/>
      <c r="O52" s="119"/>
      <c r="P52" s="118"/>
      <c r="Q52" s="119"/>
      <c r="R52" s="118"/>
      <c r="S52" s="119"/>
      <c r="T52" s="118"/>
      <c r="U52" s="119"/>
      <c r="V52" s="118"/>
      <c r="W52" s="119"/>
      <c r="X52" s="118"/>
      <c r="Y52" s="119"/>
      <c r="Z52" s="118"/>
      <c r="AA52" s="119"/>
      <c r="AB52" s="118"/>
      <c r="AC52" s="120"/>
      <c r="AD52" s="121"/>
      <c r="AE52" s="122"/>
      <c r="AF52" s="121"/>
      <c r="AG52" s="123"/>
      <c r="AH52" s="124"/>
      <c r="AI52" s="117"/>
      <c r="AJ52" s="118"/>
      <c r="AK52" s="119"/>
      <c r="AL52" s="118"/>
      <c r="AM52" s="119"/>
      <c r="AN52" s="118"/>
      <c r="AO52" s="119"/>
      <c r="AP52" s="118"/>
      <c r="AQ52" s="119"/>
      <c r="AR52" s="118"/>
      <c r="AS52" s="119"/>
      <c r="AT52" s="118"/>
      <c r="AU52" s="119"/>
      <c r="AV52" s="118"/>
      <c r="AW52" s="119"/>
      <c r="AX52" s="118"/>
      <c r="AY52" s="119"/>
      <c r="AZ52" s="118"/>
      <c r="BA52" s="119"/>
      <c r="BB52" s="118"/>
      <c r="BC52" s="119"/>
      <c r="BD52" s="118"/>
      <c r="BE52" s="120"/>
      <c r="BF52" s="121"/>
      <c r="BG52" s="122"/>
      <c r="BH52" s="121"/>
      <c r="BI52" s="123"/>
      <c r="BJ52" s="124"/>
      <c r="BK52" s="125"/>
      <c r="BL52" s="126"/>
      <c r="BM52" s="127"/>
      <c r="BN52" s="126"/>
      <c r="BO52" s="127"/>
      <c r="BP52" s="126"/>
      <c r="BQ52" s="127"/>
      <c r="BR52" s="126"/>
      <c r="BS52" s="127"/>
      <c r="BT52" s="126"/>
      <c r="BU52" s="127"/>
      <c r="BV52" s="126"/>
      <c r="BW52" s="127"/>
      <c r="BX52" s="126"/>
      <c r="BY52" s="127"/>
      <c r="BZ52" s="126"/>
      <c r="CA52" s="128" t="str">
        <f t="shared" si="0"/>
        <v/>
      </c>
    </row>
    <row r="53" spans="1:79" ht="30" customHeight="1" x14ac:dyDescent="0.35">
      <c r="A53" s="90" t="str">
        <f>IF('Q4'!A59="","",'Q4'!A59)</f>
        <v/>
      </c>
      <c r="B53" s="90" t="str">
        <f>IF('Q4'!B59="","",'Q4'!B59)</f>
        <v/>
      </c>
      <c r="C53" s="107" t="str">
        <f>IF('Q4'!C59="","",'Q4'!C59)</f>
        <v/>
      </c>
      <c r="D53" s="104" t="str">
        <f>IF('Q4'!D59="","",'Q4'!D59)</f>
        <v/>
      </c>
      <c r="E53" s="90" t="str">
        <f>IF('Q4'!E59="","",'Q4'!E59)</f>
        <v/>
      </c>
      <c r="F53" s="90" t="str">
        <f>IF('Q4'!F59="","",'Q4'!F59)</f>
        <v/>
      </c>
      <c r="G53" s="117"/>
      <c r="H53" s="118"/>
      <c r="I53" s="117"/>
      <c r="J53" s="118"/>
      <c r="K53" s="119"/>
      <c r="L53" s="118"/>
      <c r="M53" s="119"/>
      <c r="N53" s="118"/>
      <c r="O53" s="119"/>
      <c r="P53" s="118"/>
      <c r="Q53" s="119"/>
      <c r="R53" s="118"/>
      <c r="S53" s="119"/>
      <c r="T53" s="118"/>
      <c r="U53" s="119"/>
      <c r="V53" s="118"/>
      <c r="W53" s="119"/>
      <c r="X53" s="118"/>
      <c r="Y53" s="119"/>
      <c r="Z53" s="118"/>
      <c r="AA53" s="119"/>
      <c r="AB53" s="118"/>
      <c r="AC53" s="120"/>
      <c r="AD53" s="121"/>
      <c r="AE53" s="122"/>
      <c r="AF53" s="121"/>
      <c r="AG53" s="123"/>
      <c r="AH53" s="124"/>
      <c r="AI53" s="117"/>
      <c r="AJ53" s="118"/>
      <c r="AK53" s="119"/>
      <c r="AL53" s="118"/>
      <c r="AM53" s="119"/>
      <c r="AN53" s="118"/>
      <c r="AO53" s="119"/>
      <c r="AP53" s="118"/>
      <c r="AQ53" s="119"/>
      <c r="AR53" s="118"/>
      <c r="AS53" s="119"/>
      <c r="AT53" s="118"/>
      <c r="AU53" s="119"/>
      <c r="AV53" s="118"/>
      <c r="AW53" s="119"/>
      <c r="AX53" s="118"/>
      <c r="AY53" s="119"/>
      <c r="AZ53" s="118"/>
      <c r="BA53" s="119"/>
      <c r="BB53" s="118"/>
      <c r="BC53" s="119"/>
      <c r="BD53" s="118"/>
      <c r="BE53" s="120"/>
      <c r="BF53" s="121"/>
      <c r="BG53" s="122"/>
      <c r="BH53" s="121"/>
      <c r="BI53" s="123"/>
      <c r="BJ53" s="124"/>
      <c r="BK53" s="125"/>
      <c r="BL53" s="126"/>
      <c r="BM53" s="127"/>
      <c r="BN53" s="126"/>
      <c r="BO53" s="127"/>
      <c r="BP53" s="126"/>
      <c r="BQ53" s="127"/>
      <c r="BR53" s="126"/>
      <c r="BS53" s="127"/>
      <c r="BT53" s="126"/>
      <c r="BU53" s="127"/>
      <c r="BV53" s="126"/>
      <c r="BW53" s="127"/>
      <c r="BX53" s="126"/>
      <c r="BY53" s="127"/>
      <c r="BZ53" s="126"/>
      <c r="CA53" s="128" t="str">
        <f t="shared" si="0"/>
        <v/>
      </c>
    </row>
    <row r="54" spans="1:79" ht="24.5" x14ac:dyDescent="0.35">
      <c r="A54" s="90" t="str">
        <f>IF('Q4'!A60="","",'Q4'!A60)</f>
        <v/>
      </c>
      <c r="B54" s="90" t="str">
        <f>IF('Q4'!B60="","",'Q4'!B60)</f>
        <v/>
      </c>
      <c r="C54" s="107" t="str">
        <f>IF('Q4'!C60="","",'Q4'!C60)</f>
        <v/>
      </c>
      <c r="D54" s="104" t="str">
        <f>IF('Q4'!D60="","",'Q4'!D60)</f>
        <v/>
      </c>
      <c r="E54" s="90" t="str">
        <f>IF('Q4'!E60="","",'Q4'!E60)</f>
        <v/>
      </c>
      <c r="F54" s="90" t="str">
        <f>IF('Q4'!F60="","",'Q4'!F60)</f>
        <v/>
      </c>
      <c r="G54" s="91" t="str">
        <f>IF($B54="","",IF(FinalSem1!#REF!="","",FinalSem1!#REF!*0.1))</f>
        <v/>
      </c>
      <c r="H54" s="92" t="str">
        <f t="shared" ref="H54:H67" si="1">IF(G54="","",RANK(G54:G98,$G$9:$G$53))</f>
        <v/>
      </c>
      <c r="I54" s="91" t="str">
        <f>IF($B54="","",IF(FinalSem1!#REF!="","",FinalSem1!#REF!*0.1))</f>
        <v/>
      </c>
      <c r="J54" s="92" t="str">
        <f t="shared" ref="J54:J67" si="2">IF(I54="","",RANK(I54:I98,$I$9:$I$53))</f>
        <v/>
      </c>
      <c r="K54" s="93" t="str">
        <f>IF($B54="","",IF(FinalSem1!#REF!="","",FinalSem1!#REF!*0.1))</f>
        <v/>
      </c>
      <c r="L54" s="92" t="str">
        <f t="shared" ref="L54:L67" si="3">IF(K54="","",RANK(K54:K98,$K$9:$K$53))</f>
        <v/>
      </c>
      <c r="M54" s="93" t="str">
        <f>IF($B54="","",IF(FinalSem1!#REF!="","",FinalSem1!#REF!*0.1))</f>
        <v/>
      </c>
      <c r="N54" s="92" t="str">
        <f t="shared" ref="N54:N67" si="4">IF(M54="","",RANK(M54:M98,$M$9:$M$53))</f>
        <v/>
      </c>
      <c r="O54" s="93" t="str">
        <f>IF($B54="","",IF(FinalSem1!#REF!="","",FinalSem1!#REF!*0.1))</f>
        <v/>
      </c>
      <c r="P54" s="92" t="str">
        <f t="shared" ref="P54:P67" si="5">IF(O54="","",RANK(O54:O98,$O$9:$O$53))</f>
        <v/>
      </c>
      <c r="Q54" s="93" t="str">
        <f>IF($B54="","",IF(FinalSem1!#REF!="","",FinalSem1!#REF!*0.1))</f>
        <v/>
      </c>
      <c r="R54" s="92" t="str">
        <f t="shared" ref="R54:R67" si="6">IF(Q54="","",RANK(Q54:Q98,$Q$9:$Q$53))</f>
        <v/>
      </c>
      <c r="S54" s="93" t="str">
        <f>IF($B54="","",IF(FinalSem1!#REF!="","",FinalSem1!#REF!*0.1))</f>
        <v/>
      </c>
      <c r="T54" s="92" t="str">
        <f t="shared" ref="T54:T67" si="7">IF(S54="","",RANK(S54:S98,$S$9:$S$53))</f>
        <v/>
      </c>
      <c r="U54" s="93" t="str">
        <f>IF($B54="","",IF(FinalSem1!#REF!="","",FinalSem1!#REF!*0.1))</f>
        <v/>
      </c>
      <c r="V54" s="92" t="str">
        <f t="shared" ref="V54:V67" si="8">IF(U54="","",RANK(U54:U98,$U$9:$U$53))</f>
        <v/>
      </c>
      <c r="W54" s="93" t="str">
        <f>IF($B54="","",IF(FinalSem1!#REF!="","",FinalSem1!#REF!*0.1))</f>
        <v/>
      </c>
      <c r="X54" s="92" t="str">
        <f t="shared" ref="X54:X67" si="9">IF(W54="","",RANK(W54:W98,$W$9:$W$53))</f>
        <v/>
      </c>
      <c r="Y54" s="93" t="str">
        <f>IF($B54="","",IF(FinalSem1!#REF!="","",FinalSem1!#REF!*0.1))</f>
        <v/>
      </c>
      <c r="Z54" s="92" t="str">
        <f t="shared" ref="Z54:Z67" si="10">IF(Y54="","",RANK(Y54:Y98,$Y$9:$Y$53))</f>
        <v/>
      </c>
      <c r="AA54" s="93" t="str">
        <f>IF(ISERR(IF(B54="","",IF(F54="III",AVERAGE('[1]FINAL SEM1'!Y55:AA55)*0.1,IF(OR(F54="I",F54="II",F54="M",F54="A"),AVERAGE('[1]FINAL SEM1'!Y55:AA55)*0.1)))),"",IF(B54="","",IF(F54="III",AVERAGE('[1]FINAL SEM1'!Y55:AA55)*0.1,IF(OR(F54="I",F54="II",F54="M",F54="A"),AVERAGE('[1]FINAL SEM1'!Y55:AA55)*0.1))))</f>
        <v/>
      </c>
      <c r="AB54" s="92" t="str">
        <f t="shared" ref="AB54:AB67" si="11">IF(AA54="","",RANK(AA54:AA112,$AA$13:$AA$72))</f>
        <v/>
      </c>
      <c r="AC54" s="94" t="str">
        <f t="shared" ref="AC54:AC67" si="12">IF(SUM(I54,K54,M54,O54,Q54,S54,U54,W54,Y54,AA54,)=0,"",SUM(G54,I54,K54,M54,O54,Q54,S54,U54,W54,Y54,AA54,))</f>
        <v/>
      </c>
      <c r="AD54" s="95" t="str">
        <f t="shared" ref="AD54:AD67" si="13">IF(ISERR(IF(B54="","",AVERAGE(G54,I54,K54,M54,O54,Q54,S54,U54,W54,Y54,AA54,))),"",IF(B54="","",AVERAGE(G54,I54,K54,M54,O54,Q54,S54,U54,W54,Y54,AA54,)))</f>
        <v/>
      </c>
      <c r="AE54" s="96" t="str">
        <f t="shared" ref="AE54:AE67" si="14">IF(AD54="","",RANK(AD54:AD98,$AD$9:$AD$53))</f>
        <v/>
      </c>
      <c r="AF54" s="95" t="str">
        <f>IF(ISERR(IF(B54="","",AVERAGE('Q1'!#REF!,'Q2'!CX44)*0.1)),"",IF(B54="","",AVERAGE('Q1'!#REF!,'Q2'!CX44)*0.1))</f>
        <v/>
      </c>
      <c r="AG54" s="102" t="str">
        <f t="shared" ref="AG54:AG67" si="15">IF(OR(AD54="",AF54=""),"",AVERAGE(AD54,AF54))</f>
        <v/>
      </c>
      <c r="AH54" s="97" t="str">
        <f t="shared" ref="AH54:AH67" si="16">IF(AG54="","",RANK(AG54:AG98,$AG$9:$AG$53))</f>
        <v/>
      </c>
      <c r="AI54" s="91" t="str">
        <f>IF(ISERR(IF('[1]FINAL SEM2'!N55="","",'[1]FINAL SEM2'!N55*0.1)),"",IF($B54="","",IF('[1]FINAL SEM2'!N55="","",'[1]FINAL SEM2'!N55*0.1)))</f>
        <v/>
      </c>
      <c r="AJ54" s="92" t="str">
        <f t="shared" ref="AJ54:AJ67" si="17">IF(AI54="","",RANK(AI54:AI112,$AI$13:$AI$72))</f>
        <v/>
      </c>
      <c r="AK54" s="93" t="str">
        <f>IF($B54="","",IF(FinalSem2!#REF!="","",FinalSem2!#REF!*0.1))</f>
        <v/>
      </c>
      <c r="AL54" s="92" t="str">
        <f t="shared" ref="AL54:AL67" si="18">IF(AK54="","",RANK(AK54:AK98,$AK$9:$AK$53))</f>
        <v/>
      </c>
      <c r="AM54" s="93" t="str">
        <f>IF($B54="","",IF(FinalSem2!#REF!="","",FinalSem2!#REF!*0.1))</f>
        <v/>
      </c>
      <c r="AN54" s="92" t="str">
        <f t="shared" ref="AN54:AN67" si="19">IF(AM54="","",RANK(AM54:AM98,$AM$9:$AM$53))</f>
        <v/>
      </c>
      <c r="AO54" s="93" t="str">
        <f>IF($B54="","",IF(FinalSem2!#REF!="","",FinalSem2!#REF!*0.1))</f>
        <v/>
      </c>
      <c r="AP54" s="92" t="str">
        <f t="shared" ref="AP54:AP67" si="20">IF(AO54="","",RANK(AO54:AO98,$AO$9:$AO$53))</f>
        <v/>
      </c>
      <c r="AQ54" s="93" t="str">
        <f>IF($B54="","",IF(FinalSem2!#REF!="","",FinalSem2!#REF!*0.1))</f>
        <v/>
      </c>
      <c r="AR54" s="92" t="str">
        <f t="shared" ref="AR54:AR67" si="21">IF(AQ54="","",RANK(AQ54:AQ98,$AQ$9:$AQ$53))</f>
        <v/>
      </c>
      <c r="AS54" s="93" t="str">
        <f>IF($B54="","",IF(FinalSem2!#REF!="","",FinalSem2!#REF!*0.1))</f>
        <v/>
      </c>
      <c r="AT54" s="92" t="str">
        <f t="shared" ref="AT54:AT67" si="22">IF(AS54="","",RANK(AS54:AS698,$AS$9:$AS$53))</f>
        <v/>
      </c>
      <c r="AU54" s="93" t="str">
        <f>IF($B54="","",IF(FinalSem2!#REF!="","",FinalSem2!#REF!*0.1))</f>
        <v/>
      </c>
      <c r="AV54" s="92" t="str">
        <f t="shared" ref="AV54:AV67" si="23">IF(AU54="","",RANK(AU54:AU98,$AU$9:$AU$53))</f>
        <v/>
      </c>
      <c r="AW54" s="93" t="str">
        <f>IF($B54="","",IF(FinalSem2!#REF!="","",FinalSem2!#REF!*0.1))</f>
        <v/>
      </c>
      <c r="AX54" s="92" t="str">
        <f t="shared" ref="AX54:AX67" si="24">IF(AW54="","",RANK(AW54:AW98,$AW$9:$AW$53))</f>
        <v/>
      </c>
      <c r="AY54" s="93" t="str">
        <f>IF($B54="","",IF(FinalSem2!#REF!="","",FinalSem2!#REF!*0.1))</f>
        <v/>
      </c>
      <c r="AZ54" s="92" t="str">
        <f t="shared" ref="AZ54:AZ67" si="25">IF(AY54="","",RANK(AY54:AY98,$AY$9:$AY$53))</f>
        <v/>
      </c>
      <c r="BA54" s="93" t="str">
        <f>IF($B54="","",IF(FinalSem2!#REF!="","",FinalSem2!#REF!*0.1))</f>
        <v/>
      </c>
      <c r="BB54" s="92" t="str">
        <f t="shared" ref="BB54:BB67" si="26">IF(BA54="","",RANK(BA54:BA98,$BA$9:$BA$53))</f>
        <v/>
      </c>
      <c r="BC54" s="93" t="str">
        <f>IF($B54="","",IF(FinalSem2!#REF!="","",FinalSem2!#REF!*0.1))</f>
        <v/>
      </c>
      <c r="BD54" s="92" t="str">
        <f t="shared" ref="BD54:BD67" si="27">IF(BC54="","",RANK(BC54:BC98,$BC$9:$BC$53))</f>
        <v/>
      </c>
      <c r="BE54" s="94" t="str">
        <f t="shared" ref="BE54:BE67" si="28">IF(SUM(AI54,AK54,AM54,AO54,AQ54,AS54,AU54,AW54,AY54,BA54,BC54,)=0,"",SUM(AI54,AK54,AM54,AO54,AQ54,AS54,AU54,AW54,AY54,BA54,BC54,))</f>
        <v/>
      </c>
      <c r="BF54" s="95" t="str">
        <f t="shared" ref="BF54:BF67" si="29">IF(ISERR(IF(B54="","",AVERAGE(AK54,AM54,AO54,AQ54,AS54,AU54,AW54,AY54,BA54,BC54,))),"",IF(B54="","",AVERAGE(AI54,AK54,AM54,AO54,AQ54,AS54,AU54,AW54,AY54,BA54,BC54,)))</f>
        <v/>
      </c>
      <c r="BG54" s="96" t="str">
        <f t="shared" ref="BG54:BG67" si="30">IF(BF54="","",RANK(BF54:BF98,$BF$9:$BF$53))</f>
        <v/>
      </c>
      <c r="BH54" s="95" t="str">
        <f>IF(ISERR(IF(B54="","",AVERAGE('Q3'!CX60,'Q4'!CX60)*0.1)),"",IF(B54="","",AVERAGE('Q3'!CX60,'Q4'!CX60)*0.1))</f>
        <v/>
      </c>
      <c r="BI54" s="102" t="str">
        <f t="shared" ref="BI54:BI67" si="31">IF(OR(BF54="",BH54=""),"",AVERAGE(BF54,BH54))</f>
        <v/>
      </c>
      <c r="BJ54" s="97" t="str">
        <f t="shared" ref="BJ54:BJ67" si="32">IF(BI54="","",RANK(BI54:BI698,$BI$9:$BI$53))</f>
        <v/>
      </c>
      <c r="BK54" s="98" t="str">
        <f t="shared" ref="BK54:BK67" si="33">IF(OR(G54="",AI54=""),"",AVERAGE(G54,AI54))</f>
        <v/>
      </c>
      <c r="BL54" s="99" t="str">
        <f t="shared" ref="BL54:BL67" si="34">IF(BK54="","",IF(BK54="","",RANK(BK54:BK113,$BK$13:$BK$72)))</f>
        <v/>
      </c>
      <c r="BM54" s="100" t="str">
        <f t="shared" ref="BM54:BM67" si="35">IF(OR(I54="",AK54=""),"",AVERAGE(I54,AK54))</f>
        <v/>
      </c>
      <c r="BN54" s="99" t="str">
        <f t="shared" ref="BN54:BN67" si="36">IF(BM54="","",RANK(BM54:BM98,$BM$9:$BM$53))</f>
        <v/>
      </c>
      <c r="BO54" s="100" t="str">
        <f t="shared" ref="BO54:BO67" si="37">IF(OR(K54="",AM54=""),"",AVERAGE(K54,AM54))</f>
        <v/>
      </c>
      <c r="BP54" s="99" t="str">
        <f t="shared" ref="BP54:BP67" si="38">IF(BO54="","",RANK(BO54:BO98,$BO$9:$BO$53))</f>
        <v/>
      </c>
      <c r="BQ54" s="100" t="str">
        <f t="shared" ref="BQ54:BQ67" si="39">IF(OR(M54="",AO54=""),"",AVERAGE(M54,AO54))</f>
        <v/>
      </c>
      <c r="BR54" s="99" t="str">
        <f t="shared" ref="BR54:BR67" si="40">IF(BQ54="","",RANK(BQ54:BQ98,$BQ$9:$BQ$53))</f>
        <v/>
      </c>
      <c r="BS54" s="100" t="str">
        <f t="shared" ref="BS54:BS67" si="41">IF(OR(O54="",AQ54=""),"",AVERAGE(O54,AQ54))</f>
        <v/>
      </c>
      <c r="BT54" s="99" t="str">
        <f t="shared" ref="BT54:BT67" si="42">IF(BS54="","",RANK(BS54:BS98,$BS$9:$BS$53))</f>
        <v/>
      </c>
      <c r="BU54" s="100" t="str">
        <f t="shared" ref="BU54:BU67" si="43">IF(OR(Q54="",AS54=""),"",AVERAGE(Q54,AS54))</f>
        <v/>
      </c>
      <c r="BV54" s="99" t="str">
        <f t="shared" ref="BV54:BV67" si="44">IF(BU54="","",RANK(BU54:BU98,$BU$9:$BU$53))</f>
        <v/>
      </c>
      <c r="BW54" s="100" t="str">
        <f t="shared" ref="BW54:BW67" si="45">IF(OR(S54="",AU54=""),"",AVERAGE(S54,AU54))</f>
        <v/>
      </c>
      <c r="BX54" s="99" t="str">
        <f t="shared" ref="BX54:BX67" si="46">IF(BW54="","",RANK(BW54:BW98,$BW$9:$BW$53))</f>
        <v/>
      </c>
      <c r="BY54" s="100" t="str">
        <f t="shared" ref="BY54:BY67" si="47">IF(OR(U54="",AW54=""),"",AVERAGE(U54,AW54))</f>
        <v/>
      </c>
      <c r="BZ54" s="99" t="str">
        <f t="shared" ref="BZ54:BZ67" si="48">IF(BY54="","",RANK(BY54:BY98,$BY$9:$BY$53))</f>
        <v/>
      </c>
      <c r="CA54" s="128" t="str">
        <f t="shared" si="0"/>
        <v/>
      </c>
    </row>
    <row r="55" spans="1:79" ht="24.5" x14ac:dyDescent="0.35">
      <c r="A55" s="90" t="str">
        <f>IF('Q4'!A61="","",'Q4'!A61)</f>
        <v/>
      </c>
      <c r="B55" s="90" t="str">
        <f>IF('Q4'!B61="","",'Q4'!B61)</f>
        <v/>
      </c>
      <c r="C55" s="107" t="str">
        <f>IF('Q4'!C61="","",'Q4'!C61)</f>
        <v/>
      </c>
      <c r="D55" s="104" t="str">
        <f>IF('Q4'!D61="","",'Q4'!D61)</f>
        <v/>
      </c>
      <c r="E55" s="90" t="str">
        <f>IF('Q4'!E61="","",'Q4'!E61)</f>
        <v/>
      </c>
      <c r="F55" s="90" t="str">
        <f>IF('Q4'!F61="","",'Q4'!F61)</f>
        <v/>
      </c>
      <c r="G55" s="91" t="str">
        <f>IF($B55="","",IF(FinalSem1!#REF!="","",FinalSem1!#REF!*0.1))</f>
        <v/>
      </c>
      <c r="H55" s="92" t="str">
        <f t="shared" si="1"/>
        <v/>
      </c>
      <c r="I55" s="91" t="str">
        <f>IF($B55="","",IF(FinalSem1!#REF!="","",FinalSem1!#REF!*0.1))</f>
        <v/>
      </c>
      <c r="J55" s="92" t="str">
        <f t="shared" si="2"/>
        <v/>
      </c>
      <c r="K55" s="93" t="str">
        <f>IF($B55="","",IF(FinalSem1!#REF!="","",FinalSem1!#REF!*0.1))</f>
        <v/>
      </c>
      <c r="L55" s="92" t="str">
        <f t="shared" si="3"/>
        <v/>
      </c>
      <c r="M55" s="93" t="str">
        <f>IF($B55="","",IF(FinalSem1!#REF!="","",FinalSem1!#REF!*0.1))</f>
        <v/>
      </c>
      <c r="N55" s="92" t="str">
        <f t="shared" si="4"/>
        <v/>
      </c>
      <c r="O55" s="93" t="str">
        <f>IF($B55="","",IF(FinalSem1!#REF!="","",FinalSem1!#REF!*0.1))</f>
        <v/>
      </c>
      <c r="P55" s="92" t="str">
        <f t="shared" si="5"/>
        <v/>
      </c>
      <c r="Q55" s="93" t="str">
        <f>IF($B55="","",IF(FinalSem1!#REF!="","",FinalSem1!#REF!*0.1))</f>
        <v/>
      </c>
      <c r="R55" s="92" t="str">
        <f t="shared" si="6"/>
        <v/>
      </c>
      <c r="S55" s="93" t="str">
        <f>IF($B55="","",IF(FinalSem1!#REF!="","",FinalSem1!#REF!*0.1))</f>
        <v/>
      </c>
      <c r="T55" s="92" t="str">
        <f t="shared" si="7"/>
        <v/>
      </c>
      <c r="U55" s="93" t="str">
        <f>IF($B55="","",IF(FinalSem1!#REF!="","",FinalSem1!#REF!*0.1))</f>
        <v/>
      </c>
      <c r="V55" s="92" t="str">
        <f t="shared" si="8"/>
        <v/>
      </c>
      <c r="W55" s="93" t="str">
        <f>IF($B55="","",IF(FinalSem1!#REF!="","",FinalSem1!#REF!*0.1))</f>
        <v/>
      </c>
      <c r="X55" s="92" t="str">
        <f t="shared" si="9"/>
        <v/>
      </c>
      <c r="Y55" s="93" t="str">
        <f>IF($B55="","",IF(FinalSem1!#REF!="","",FinalSem1!#REF!*0.1))</f>
        <v/>
      </c>
      <c r="Z55" s="92" t="str">
        <f t="shared" si="10"/>
        <v/>
      </c>
      <c r="AA55" s="93" t="str">
        <f>IF(ISERR(IF(B55="","",IF(F55="III",AVERAGE('[1]FINAL SEM1'!Y56:AA56)*0.1,IF(OR(F55="I",F55="II",F55="M",F55="A"),AVERAGE('[1]FINAL SEM1'!Y56:AA56)*0.1)))),"",IF(B55="","",IF(F55="III",AVERAGE('[1]FINAL SEM1'!Y56:AA56)*0.1,IF(OR(F55="I",F55="II",F55="M",F55="A"),AVERAGE('[1]FINAL SEM1'!Y56:AA56)*0.1))))</f>
        <v/>
      </c>
      <c r="AB55" s="92" t="str">
        <f t="shared" si="11"/>
        <v/>
      </c>
      <c r="AC55" s="94" t="str">
        <f t="shared" si="12"/>
        <v/>
      </c>
      <c r="AD55" s="95" t="str">
        <f t="shared" si="13"/>
        <v/>
      </c>
      <c r="AE55" s="96" t="str">
        <f t="shared" si="14"/>
        <v/>
      </c>
      <c r="AF55" s="95" t="str">
        <f>IF(ISERR(IF(B55="","",AVERAGE('Q1'!#REF!,'Q2'!CX45)*0.1)),"",IF(B55="","",AVERAGE('Q1'!#REF!,'Q2'!CX45)*0.1))</f>
        <v/>
      </c>
      <c r="AG55" s="102" t="str">
        <f t="shared" si="15"/>
        <v/>
      </c>
      <c r="AH55" s="97" t="str">
        <f t="shared" si="16"/>
        <v/>
      </c>
      <c r="AI55" s="91" t="str">
        <f>IF(ISERR(IF('[1]FINAL SEM2'!N56="","",'[1]FINAL SEM2'!N56*0.1)),"",IF($B55="","",IF('[1]FINAL SEM2'!N56="","",'[1]FINAL SEM2'!N56*0.1)))</f>
        <v/>
      </c>
      <c r="AJ55" s="92" t="str">
        <f t="shared" si="17"/>
        <v/>
      </c>
      <c r="AK55" s="93" t="str">
        <f>IF($B55="","",IF(FinalSem2!#REF!="","",FinalSem2!#REF!*0.1))</f>
        <v/>
      </c>
      <c r="AL55" s="92" t="str">
        <f t="shared" si="18"/>
        <v/>
      </c>
      <c r="AM55" s="93" t="str">
        <f>IF($B55="","",IF(FinalSem2!#REF!="","",FinalSem2!#REF!*0.1))</f>
        <v/>
      </c>
      <c r="AN55" s="92" t="str">
        <f t="shared" si="19"/>
        <v/>
      </c>
      <c r="AO55" s="93" t="str">
        <f>IF($B55="","",IF(FinalSem2!#REF!="","",FinalSem2!#REF!*0.1))</f>
        <v/>
      </c>
      <c r="AP55" s="92" t="str">
        <f t="shared" si="20"/>
        <v/>
      </c>
      <c r="AQ55" s="93" t="str">
        <f>IF($B55="","",IF(FinalSem2!#REF!="","",FinalSem2!#REF!*0.1))</f>
        <v/>
      </c>
      <c r="AR55" s="92" t="str">
        <f t="shared" si="21"/>
        <v/>
      </c>
      <c r="AS55" s="93" t="str">
        <f>IF($B55="","",IF(FinalSem2!#REF!="","",FinalSem2!#REF!*0.1))</f>
        <v/>
      </c>
      <c r="AT55" s="92" t="str">
        <f t="shared" si="22"/>
        <v/>
      </c>
      <c r="AU55" s="93" t="str">
        <f>IF($B55="","",IF(FinalSem2!#REF!="","",FinalSem2!#REF!*0.1))</f>
        <v/>
      </c>
      <c r="AV55" s="92" t="str">
        <f t="shared" si="23"/>
        <v/>
      </c>
      <c r="AW55" s="93" t="str">
        <f>IF($B55="","",IF(FinalSem2!#REF!="","",FinalSem2!#REF!*0.1))</f>
        <v/>
      </c>
      <c r="AX55" s="92" t="str">
        <f t="shared" si="24"/>
        <v/>
      </c>
      <c r="AY55" s="93" t="str">
        <f>IF($B55="","",IF(FinalSem2!#REF!="","",FinalSem2!#REF!*0.1))</f>
        <v/>
      </c>
      <c r="AZ55" s="92" t="str">
        <f t="shared" si="25"/>
        <v/>
      </c>
      <c r="BA55" s="93" t="str">
        <f>IF($B55="","",IF(FinalSem2!#REF!="","",FinalSem2!#REF!*0.1))</f>
        <v/>
      </c>
      <c r="BB55" s="92" t="str">
        <f t="shared" si="26"/>
        <v/>
      </c>
      <c r="BC55" s="93" t="str">
        <f>IF($B55="","",IF(FinalSem2!#REF!="","",FinalSem2!#REF!*0.1))</f>
        <v/>
      </c>
      <c r="BD55" s="92" t="str">
        <f t="shared" si="27"/>
        <v/>
      </c>
      <c r="BE55" s="94" t="str">
        <f t="shared" si="28"/>
        <v/>
      </c>
      <c r="BF55" s="95" t="str">
        <f t="shared" si="29"/>
        <v/>
      </c>
      <c r="BG55" s="96" t="str">
        <f t="shared" si="30"/>
        <v/>
      </c>
      <c r="BH55" s="95" t="str">
        <f>IF(ISERR(IF(B55="","",AVERAGE('Q3'!CX61,'Q4'!CX61)*0.1)),"",IF(B55="","",AVERAGE('Q3'!CX61,'Q4'!CX61)*0.1))</f>
        <v/>
      </c>
      <c r="BI55" s="102" t="str">
        <f t="shared" si="31"/>
        <v/>
      </c>
      <c r="BJ55" s="97" t="str">
        <f t="shared" si="32"/>
        <v/>
      </c>
      <c r="BK55" s="98" t="str">
        <f t="shared" si="33"/>
        <v/>
      </c>
      <c r="BL55" s="99" t="str">
        <f t="shared" si="34"/>
        <v/>
      </c>
      <c r="BM55" s="100" t="str">
        <f t="shared" si="35"/>
        <v/>
      </c>
      <c r="BN55" s="99" t="str">
        <f t="shared" si="36"/>
        <v/>
      </c>
      <c r="BO55" s="100" t="str">
        <f t="shared" si="37"/>
        <v/>
      </c>
      <c r="BP55" s="99" t="str">
        <f t="shared" si="38"/>
        <v/>
      </c>
      <c r="BQ55" s="100" t="str">
        <f t="shared" si="39"/>
        <v/>
      </c>
      <c r="BR55" s="99" t="str">
        <f t="shared" si="40"/>
        <v/>
      </c>
      <c r="BS55" s="100" t="str">
        <f t="shared" si="41"/>
        <v/>
      </c>
      <c r="BT55" s="99" t="str">
        <f t="shared" si="42"/>
        <v/>
      </c>
      <c r="BU55" s="100" t="str">
        <f t="shared" si="43"/>
        <v/>
      </c>
      <c r="BV55" s="99" t="str">
        <f t="shared" si="44"/>
        <v/>
      </c>
      <c r="BW55" s="100" t="str">
        <f t="shared" si="45"/>
        <v/>
      </c>
      <c r="BX55" s="99" t="str">
        <f t="shared" si="46"/>
        <v/>
      </c>
      <c r="BY55" s="100" t="str">
        <f t="shared" si="47"/>
        <v/>
      </c>
      <c r="BZ55" s="99" t="str">
        <f t="shared" si="48"/>
        <v/>
      </c>
      <c r="CA55" s="128" t="str">
        <f t="shared" si="0"/>
        <v/>
      </c>
    </row>
    <row r="56" spans="1:79" ht="24.5" x14ac:dyDescent="0.35">
      <c r="A56" s="90" t="str">
        <f>IF('Q4'!A62="","",'Q4'!A62)</f>
        <v/>
      </c>
      <c r="B56" s="90" t="str">
        <f>IF('Q4'!B62="","",'Q4'!B62)</f>
        <v/>
      </c>
      <c r="C56" s="107" t="str">
        <f>IF('Q4'!C62="","",'Q4'!C62)</f>
        <v/>
      </c>
      <c r="D56" s="104" t="str">
        <f>IF('Q4'!D62="","",'Q4'!D62)</f>
        <v/>
      </c>
      <c r="E56" s="90" t="str">
        <f>IF('Q4'!E62="","",'Q4'!E62)</f>
        <v/>
      </c>
      <c r="F56" s="90" t="str">
        <f>IF('Q4'!F62="","",'Q4'!F62)</f>
        <v/>
      </c>
      <c r="G56" s="91" t="str">
        <f>IF($B56="","",IF(FinalSem1!#REF!="","",FinalSem1!#REF!*0.1))</f>
        <v/>
      </c>
      <c r="H56" s="92" t="str">
        <f t="shared" si="1"/>
        <v/>
      </c>
      <c r="I56" s="91" t="str">
        <f>IF($B56="","",IF(FinalSem1!#REF!="","",FinalSem1!#REF!*0.1))</f>
        <v/>
      </c>
      <c r="J56" s="92" t="str">
        <f t="shared" si="2"/>
        <v/>
      </c>
      <c r="K56" s="93" t="str">
        <f>IF($B56="","",IF(FinalSem1!#REF!="","",FinalSem1!#REF!*0.1))</f>
        <v/>
      </c>
      <c r="L56" s="92" t="str">
        <f t="shared" si="3"/>
        <v/>
      </c>
      <c r="M56" s="93" t="str">
        <f>IF($B56="","",IF(FinalSem1!#REF!="","",FinalSem1!#REF!*0.1))</f>
        <v/>
      </c>
      <c r="N56" s="92" t="str">
        <f t="shared" si="4"/>
        <v/>
      </c>
      <c r="O56" s="93" t="str">
        <f>IF($B56="","",IF(FinalSem1!#REF!="","",FinalSem1!#REF!*0.1))</f>
        <v/>
      </c>
      <c r="P56" s="92" t="str">
        <f t="shared" si="5"/>
        <v/>
      </c>
      <c r="Q56" s="93" t="str">
        <f>IF($B56="","",IF(FinalSem1!#REF!="","",FinalSem1!#REF!*0.1))</f>
        <v/>
      </c>
      <c r="R56" s="92" t="str">
        <f t="shared" si="6"/>
        <v/>
      </c>
      <c r="S56" s="93" t="str">
        <f>IF($B56="","",IF(FinalSem1!#REF!="","",FinalSem1!#REF!*0.1))</f>
        <v/>
      </c>
      <c r="T56" s="92" t="str">
        <f t="shared" si="7"/>
        <v/>
      </c>
      <c r="U56" s="93" t="str">
        <f>IF($B56="","",IF(FinalSem1!#REF!="","",FinalSem1!#REF!*0.1))</f>
        <v/>
      </c>
      <c r="V56" s="92" t="str">
        <f t="shared" si="8"/>
        <v/>
      </c>
      <c r="W56" s="93" t="str">
        <f>IF($B56="","",IF(FinalSem1!#REF!="","",FinalSem1!#REF!*0.1))</f>
        <v/>
      </c>
      <c r="X56" s="92" t="str">
        <f t="shared" si="9"/>
        <v/>
      </c>
      <c r="Y56" s="93" t="str">
        <f>IF($B56="","",IF(FinalSem1!#REF!="","",FinalSem1!#REF!*0.1))</f>
        <v/>
      </c>
      <c r="Z56" s="92" t="str">
        <f t="shared" si="10"/>
        <v/>
      </c>
      <c r="AA56" s="93" t="str">
        <f>IF(ISERR(IF(B56="","",IF(F56="III",AVERAGE('[1]FINAL SEM1'!Y57:AA57)*0.1,IF(OR(F56="I",F56="II",F56="M",F56="A"),AVERAGE('[1]FINAL SEM1'!Y57:AA57)*0.1)))),"",IF(B56="","",IF(F56="III",AVERAGE('[1]FINAL SEM1'!Y57:AA57)*0.1,IF(OR(F56="I",F56="II",F56="M",F56="A"),AVERAGE('[1]FINAL SEM1'!Y57:AA57)*0.1))))</f>
        <v/>
      </c>
      <c r="AB56" s="92" t="str">
        <f t="shared" si="11"/>
        <v/>
      </c>
      <c r="AC56" s="94" t="str">
        <f t="shared" si="12"/>
        <v/>
      </c>
      <c r="AD56" s="95" t="str">
        <f t="shared" si="13"/>
        <v/>
      </c>
      <c r="AE56" s="96" t="str">
        <f t="shared" si="14"/>
        <v/>
      </c>
      <c r="AF56" s="95" t="str">
        <f>IF(ISERR(IF(B56="","",AVERAGE('Q1'!#REF!,'Q2'!CX46)*0.1)),"",IF(B56="","",AVERAGE('Q1'!#REF!,'Q2'!CX46)*0.1))</f>
        <v/>
      </c>
      <c r="AG56" s="102" t="str">
        <f t="shared" si="15"/>
        <v/>
      </c>
      <c r="AH56" s="97" t="str">
        <f t="shared" si="16"/>
        <v/>
      </c>
      <c r="AI56" s="91" t="str">
        <f>IF(ISERR(IF('[1]FINAL SEM2'!N57="","",'[1]FINAL SEM2'!N57*0.1)),"",IF($B56="","",IF('[1]FINAL SEM2'!N57="","",'[1]FINAL SEM2'!N57*0.1)))</f>
        <v/>
      </c>
      <c r="AJ56" s="92" t="str">
        <f t="shared" si="17"/>
        <v/>
      </c>
      <c r="AK56" s="93" t="str">
        <f>IF($B56="","",IF(FinalSem2!#REF!="","",FinalSem2!#REF!*0.1))</f>
        <v/>
      </c>
      <c r="AL56" s="92" t="str">
        <f t="shared" si="18"/>
        <v/>
      </c>
      <c r="AM56" s="93" t="str">
        <f>IF($B56="","",IF(FinalSem2!#REF!="","",FinalSem2!#REF!*0.1))</f>
        <v/>
      </c>
      <c r="AN56" s="92" t="str">
        <f t="shared" si="19"/>
        <v/>
      </c>
      <c r="AO56" s="93" t="str">
        <f>IF($B56="","",IF(FinalSem2!#REF!="","",FinalSem2!#REF!*0.1))</f>
        <v/>
      </c>
      <c r="AP56" s="92" t="str">
        <f t="shared" si="20"/>
        <v/>
      </c>
      <c r="AQ56" s="93" t="str">
        <f>IF($B56="","",IF(FinalSem2!#REF!="","",FinalSem2!#REF!*0.1))</f>
        <v/>
      </c>
      <c r="AR56" s="92" t="str">
        <f t="shared" si="21"/>
        <v/>
      </c>
      <c r="AS56" s="93" t="str">
        <f>IF($B56="","",IF(FinalSem2!#REF!="","",FinalSem2!#REF!*0.1))</f>
        <v/>
      </c>
      <c r="AT56" s="92" t="str">
        <f t="shared" si="22"/>
        <v/>
      </c>
      <c r="AU56" s="93" t="str">
        <f>IF($B56="","",IF(FinalSem2!#REF!="","",FinalSem2!#REF!*0.1))</f>
        <v/>
      </c>
      <c r="AV56" s="92" t="str">
        <f t="shared" si="23"/>
        <v/>
      </c>
      <c r="AW56" s="93" t="str">
        <f>IF($B56="","",IF(FinalSem2!#REF!="","",FinalSem2!#REF!*0.1))</f>
        <v/>
      </c>
      <c r="AX56" s="92" t="str">
        <f t="shared" si="24"/>
        <v/>
      </c>
      <c r="AY56" s="93" t="str">
        <f>IF($B56="","",IF(FinalSem2!#REF!="","",FinalSem2!#REF!*0.1))</f>
        <v/>
      </c>
      <c r="AZ56" s="92" t="str">
        <f t="shared" si="25"/>
        <v/>
      </c>
      <c r="BA56" s="93" t="str">
        <f>IF($B56="","",IF(FinalSem2!#REF!="","",FinalSem2!#REF!*0.1))</f>
        <v/>
      </c>
      <c r="BB56" s="92" t="str">
        <f t="shared" si="26"/>
        <v/>
      </c>
      <c r="BC56" s="93" t="str">
        <f>IF($B56="","",IF(FinalSem2!#REF!="","",FinalSem2!#REF!*0.1))</f>
        <v/>
      </c>
      <c r="BD56" s="92" t="str">
        <f t="shared" si="27"/>
        <v/>
      </c>
      <c r="BE56" s="94" t="str">
        <f t="shared" si="28"/>
        <v/>
      </c>
      <c r="BF56" s="95" t="str">
        <f t="shared" si="29"/>
        <v/>
      </c>
      <c r="BG56" s="96" t="str">
        <f t="shared" si="30"/>
        <v/>
      </c>
      <c r="BH56" s="95" t="str">
        <f>IF(ISERR(IF(B56="","",AVERAGE('Q3'!CX62,'Q4'!CX62)*0.1)),"",IF(B56="","",AVERAGE('Q3'!CX62,'Q4'!CX62)*0.1))</f>
        <v/>
      </c>
      <c r="BI56" s="102" t="str">
        <f t="shared" si="31"/>
        <v/>
      </c>
      <c r="BJ56" s="97" t="str">
        <f t="shared" si="32"/>
        <v/>
      </c>
      <c r="BK56" s="98" t="str">
        <f t="shared" si="33"/>
        <v/>
      </c>
      <c r="BL56" s="99" t="str">
        <f t="shared" si="34"/>
        <v/>
      </c>
      <c r="BM56" s="100" t="str">
        <f t="shared" si="35"/>
        <v/>
      </c>
      <c r="BN56" s="99" t="str">
        <f t="shared" si="36"/>
        <v/>
      </c>
      <c r="BO56" s="100" t="str">
        <f t="shared" si="37"/>
        <v/>
      </c>
      <c r="BP56" s="99" t="str">
        <f t="shared" si="38"/>
        <v/>
      </c>
      <c r="BQ56" s="100" t="str">
        <f t="shared" si="39"/>
        <v/>
      </c>
      <c r="BR56" s="99" t="str">
        <f t="shared" si="40"/>
        <v/>
      </c>
      <c r="BS56" s="100" t="str">
        <f t="shared" si="41"/>
        <v/>
      </c>
      <c r="BT56" s="99" t="str">
        <f t="shared" si="42"/>
        <v/>
      </c>
      <c r="BU56" s="100" t="str">
        <f t="shared" si="43"/>
        <v/>
      </c>
      <c r="BV56" s="99" t="str">
        <f t="shared" si="44"/>
        <v/>
      </c>
      <c r="BW56" s="100" t="str">
        <f t="shared" si="45"/>
        <v/>
      </c>
      <c r="BX56" s="99" t="str">
        <f t="shared" si="46"/>
        <v/>
      </c>
      <c r="BY56" s="100" t="str">
        <f t="shared" si="47"/>
        <v/>
      </c>
      <c r="BZ56" s="99" t="str">
        <f t="shared" si="48"/>
        <v/>
      </c>
      <c r="CA56" s="128" t="str">
        <f t="shared" si="0"/>
        <v/>
      </c>
    </row>
    <row r="57" spans="1:79" ht="24.5" x14ac:dyDescent="0.35">
      <c r="A57" s="90" t="str">
        <f>IF('Q4'!A63="","",'Q4'!A63)</f>
        <v/>
      </c>
      <c r="B57" s="90" t="str">
        <f>IF('Q4'!B63="","",'Q4'!B63)</f>
        <v/>
      </c>
      <c r="C57" s="107" t="str">
        <f>IF('Q4'!C63="","",'Q4'!C63)</f>
        <v/>
      </c>
      <c r="D57" s="104" t="str">
        <f>IF('Q4'!D63="","",'Q4'!D63)</f>
        <v/>
      </c>
      <c r="E57" s="90" t="str">
        <f>IF('Q4'!E63="","",'Q4'!E63)</f>
        <v/>
      </c>
      <c r="F57" s="90" t="str">
        <f>IF('Q4'!F63="","",'Q4'!F63)</f>
        <v/>
      </c>
      <c r="G57" s="91" t="str">
        <f>IF($B57="","",IF(FinalSem1!#REF!="","",FinalSem1!#REF!*0.1))</f>
        <v/>
      </c>
      <c r="H57" s="92" t="str">
        <f t="shared" si="1"/>
        <v/>
      </c>
      <c r="I57" s="91" t="str">
        <f>IF($B57="","",IF(FinalSem1!#REF!="","",FinalSem1!#REF!*0.1))</f>
        <v/>
      </c>
      <c r="J57" s="92" t="str">
        <f t="shared" si="2"/>
        <v/>
      </c>
      <c r="K57" s="93" t="str">
        <f>IF($B57="","",IF(FinalSem1!#REF!="","",FinalSem1!#REF!*0.1))</f>
        <v/>
      </c>
      <c r="L57" s="92" t="str">
        <f t="shared" si="3"/>
        <v/>
      </c>
      <c r="M57" s="93" t="str">
        <f>IF($B57="","",IF(FinalSem1!#REF!="","",FinalSem1!#REF!*0.1))</f>
        <v/>
      </c>
      <c r="N57" s="92" t="str">
        <f t="shared" si="4"/>
        <v/>
      </c>
      <c r="O57" s="93" t="str">
        <f>IF($B57="","",IF(FinalSem1!#REF!="","",FinalSem1!#REF!*0.1))</f>
        <v/>
      </c>
      <c r="P57" s="92" t="str">
        <f t="shared" si="5"/>
        <v/>
      </c>
      <c r="Q57" s="93" t="str">
        <f>IF($B57="","",IF(FinalSem1!#REF!="","",FinalSem1!#REF!*0.1))</f>
        <v/>
      </c>
      <c r="R57" s="92" t="str">
        <f t="shared" si="6"/>
        <v/>
      </c>
      <c r="S57" s="93" t="str">
        <f>IF($B57="","",IF(FinalSem1!#REF!="","",FinalSem1!#REF!*0.1))</f>
        <v/>
      </c>
      <c r="T57" s="92" t="str">
        <f t="shared" si="7"/>
        <v/>
      </c>
      <c r="U57" s="93" t="str">
        <f>IF($B57="","",IF(FinalSem1!#REF!="","",FinalSem1!#REF!*0.1))</f>
        <v/>
      </c>
      <c r="V57" s="92" t="str">
        <f t="shared" si="8"/>
        <v/>
      </c>
      <c r="W57" s="93" t="str">
        <f>IF($B57="","",IF(FinalSem1!#REF!="","",FinalSem1!#REF!*0.1))</f>
        <v/>
      </c>
      <c r="X57" s="92" t="str">
        <f t="shared" si="9"/>
        <v/>
      </c>
      <c r="Y57" s="93" t="str">
        <f>IF($B57="","",IF(FinalSem1!#REF!="","",FinalSem1!#REF!*0.1))</f>
        <v/>
      </c>
      <c r="Z57" s="92" t="str">
        <f t="shared" si="10"/>
        <v/>
      </c>
      <c r="AA57" s="93" t="str">
        <f>IF(ISERR(IF(B57="","",IF(F57="III",AVERAGE('[1]FINAL SEM1'!Y58:AA58)*0.1,IF(OR(F57="I",F57="II",F57="M",F57="A"),AVERAGE('[1]FINAL SEM1'!Y58:AA58)*0.1)))),"",IF(B57="","",IF(F57="III",AVERAGE('[1]FINAL SEM1'!Y58:AA58)*0.1,IF(OR(F57="I",F57="II",F57="M",F57="A"),AVERAGE('[1]FINAL SEM1'!Y58:AA58)*0.1))))</f>
        <v/>
      </c>
      <c r="AB57" s="92" t="str">
        <f t="shared" si="11"/>
        <v/>
      </c>
      <c r="AC57" s="94" t="str">
        <f t="shared" si="12"/>
        <v/>
      </c>
      <c r="AD57" s="95" t="str">
        <f t="shared" si="13"/>
        <v/>
      </c>
      <c r="AE57" s="96" t="str">
        <f t="shared" si="14"/>
        <v/>
      </c>
      <c r="AF57" s="95" t="str">
        <f>IF(ISERR(IF(B57="","",AVERAGE('Q1'!#REF!,'Q2'!CX47)*0.1)),"",IF(B57="","",AVERAGE('Q1'!#REF!,'Q2'!CX47)*0.1))</f>
        <v/>
      </c>
      <c r="AG57" s="102" t="str">
        <f t="shared" si="15"/>
        <v/>
      </c>
      <c r="AH57" s="97" t="str">
        <f t="shared" si="16"/>
        <v/>
      </c>
      <c r="AI57" s="91" t="str">
        <f>IF(ISERR(IF('[1]FINAL SEM2'!N58="","",'[1]FINAL SEM2'!N58*0.1)),"",IF($B57="","",IF('[1]FINAL SEM2'!N58="","",'[1]FINAL SEM2'!N58*0.1)))</f>
        <v/>
      </c>
      <c r="AJ57" s="92" t="str">
        <f t="shared" si="17"/>
        <v/>
      </c>
      <c r="AK57" s="93" t="str">
        <f>IF($B57="","",IF(FinalSem2!#REF!="","",FinalSem2!#REF!*0.1))</f>
        <v/>
      </c>
      <c r="AL57" s="92" t="str">
        <f t="shared" si="18"/>
        <v/>
      </c>
      <c r="AM57" s="93" t="str">
        <f>IF($B57="","",IF(FinalSem2!#REF!="","",FinalSem2!#REF!*0.1))</f>
        <v/>
      </c>
      <c r="AN57" s="92" t="str">
        <f t="shared" si="19"/>
        <v/>
      </c>
      <c r="AO57" s="93" t="str">
        <f>IF($B57="","",IF(FinalSem2!#REF!="","",FinalSem2!#REF!*0.1))</f>
        <v/>
      </c>
      <c r="AP57" s="92" t="str">
        <f t="shared" si="20"/>
        <v/>
      </c>
      <c r="AQ57" s="93" t="str">
        <f>IF($B57="","",IF(FinalSem2!#REF!="","",FinalSem2!#REF!*0.1))</f>
        <v/>
      </c>
      <c r="AR57" s="92" t="str">
        <f t="shared" si="21"/>
        <v/>
      </c>
      <c r="AS57" s="93" t="str">
        <f>IF($B57="","",IF(FinalSem2!#REF!="","",FinalSem2!#REF!*0.1))</f>
        <v/>
      </c>
      <c r="AT57" s="92" t="str">
        <f t="shared" si="22"/>
        <v/>
      </c>
      <c r="AU57" s="93" t="str">
        <f>IF($B57="","",IF(FinalSem2!#REF!="","",FinalSem2!#REF!*0.1))</f>
        <v/>
      </c>
      <c r="AV57" s="92" t="str">
        <f t="shared" si="23"/>
        <v/>
      </c>
      <c r="AW57" s="93" t="str">
        <f>IF($B57="","",IF(FinalSem2!#REF!="","",FinalSem2!#REF!*0.1))</f>
        <v/>
      </c>
      <c r="AX57" s="92" t="str">
        <f t="shared" si="24"/>
        <v/>
      </c>
      <c r="AY57" s="93" t="str">
        <f>IF($B57="","",IF(FinalSem2!#REF!="","",FinalSem2!#REF!*0.1))</f>
        <v/>
      </c>
      <c r="AZ57" s="92" t="str">
        <f t="shared" si="25"/>
        <v/>
      </c>
      <c r="BA57" s="93" t="str">
        <f>IF($B57="","",IF(FinalSem2!#REF!="","",FinalSem2!#REF!*0.1))</f>
        <v/>
      </c>
      <c r="BB57" s="92" t="str">
        <f t="shared" si="26"/>
        <v/>
      </c>
      <c r="BC57" s="93" t="str">
        <f>IF($B57="","",IF(FinalSem2!#REF!="","",FinalSem2!#REF!*0.1))</f>
        <v/>
      </c>
      <c r="BD57" s="92" t="str">
        <f t="shared" si="27"/>
        <v/>
      </c>
      <c r="BE57" s="94" t="str">
        <f t="shared" si="28"/>
        <v/>
      </c>
      <c r="BF57" s="95" t="str">
        <f t="shared" si="29"/>
        <v/>
      </c>
      <c r="BG57" s="96" t="str">
        <f t="shared" si="30"/>
        <v/>
      </c>
      <c r="BH57" s="95" t="str">
        <f>IF(ISERR(IF(B57="","",AVERAGE('Q3'!CX63,'Q4'!CX63)*0.1)),"",IF(B57="","",AVERAGE('Q3'!CX63,'Q4'!CX63)*0.1))</f>
        <v/>
      </c>
      <c r="BI57" s="102" t="str">
        <f t="shared" si="31"/>
        <v/>
      </c>
      <c r="BJ57" s="97" t="str">
        <f t="shared" si="32"/>
        <v/>
      </c>
      <c r="BK57" s="98" t="str">
        <f t="shared" si="33"/>
        <v/>
      </c>
      <c r="BL57" s="99" t="str">
        <f t="shared" si="34"/>
        <v/>
      </c>
      <c r="BM57" s="100" t="str">
        <f t="shared" si="35"/>
        <v/>
      </c>
      <c r="BN57" s="99" t="str">
        <f t="shared" si="36"/>
        <v/>
      </c>
      <c r="BO57" s="100" t="str">
        <f t="shared" si="37"/>
        <v/>
      </c>
      <c r="BP57" s="99" t="str">
        <f t="shared" si="38"/>
        <v/>
      </c>
      <c r="BQ57" s="100" t="str">
        <f t="shared" si="39"/>
        <v/>
      </c>
      <c r="BR57" s="99" t="str">
        <f t="shared" si="40"/>
        <v/>
      </c>
      <c r="BS57" s="100" t="str">
        <f t="shared" si="41"/>
        <v/>
      </c>
      <c r="BT57" s="99" t="str">
        <f t="shared" si="42"/>
        <v/>
      </c>
      <c r="BU57" s="100" t="str">
        <f t="shared" si="43"/>
        <v/>
      </c>
      <c r="BV57" s="99" t="str">
        <f t="shared" si="44"/>
        <v/>
      </c>
      <c r="BW57" s="100" t="str">
        <f t="shared" si="45"/>
        <v/>
      </c>
      <c r="BX57" s="99" t="str">
        <f t="shared" si="46"/>
        <v/>
      </c>
      <c r="BY57" s="100" t="str">
        <f t="shared" si="47"/>
        <v/>
      </c>
      <c r="BZ57" s="99" t="str">
        <f t="shared" si="48"/>
        <v/>
      </c>
      <c r="CA57" s="128" t="str">
        <f t="shared" si="0"/>
        <v/>
      </c>
    </row>
    <row r="58" spans="1:79" ht="24.5" x14ac:dyDescent="0.35">
      <c r="A58" s="90" t="str">
        <f>IF('Q4'!A64="","",'Q4'!A64)</f>
        <v/>
      </c>
      <c r="B58" s="90" t="str">
        <f>IF('Q4'!B64="","",'Q4'!B64)</f>
        <v/>
      </c>
      <c r="C58" s="107" t="str">
        <f>IF('Q4'!C64="","",'Q4'!C64)</f>
        <v/>
      </c>
      <c r="D58" s="104" t="str">
        <f>IF('Q4'!D64="","",'Q4'!D64)</f>
        <v/>
      </c>
      <c r="E58" s="90" t="str">
        <f>IF('Q4'!E64="","",'Q4'!E64)</f>
        <v/>
      </c>
      <c r="F58" s="90" t="str">
        <f>IF('Q4'!F64="","",'Q4'!F64)</f>
        <v/>
      </c>
      <c r="G58" s="91" t="str">
        <f>IF($B58="","",IF(FinalSem1!#REF!="","",FinalSem1!#REF!*0.1))</f>
        <v/>
      </c>
      <c r="H58" s="92" t="str">
        <f t="shared" si="1"/>
        <v/>
      </c>
      <c r="I58" s="91" t="str">
        <f>IF($B58="","",IF(FinalSem1!#REF!="","",FinalSem1!#REF!*0.1))</f>
        <v/>
      </c>
      <c r="J58" s="92" t="str">
        <f t="shared" si="2"/>
        <v/>
      </c>
      <c r="K58" s="93" t="str">
        <f>IF($B58="","",IF(FinalSem1!#REF!="","",FinalSem1!#REF!*0.1))</f>
        <v/>
      </c>
      <c r="L58" s="92" t="str">
        <f t="shared" si="3"/>
        <v/>
      </c>
      <c r="M58" s="93" t="str">
        <f>IF($B58="","",IF(FinalSem1!#REF!="","",FinalSem1!#REF!*0.1))</f>
        <v/>
      </c>
      <c r="N58" s="92" t="str">
        <f t="shared" si="4"/>
        <v/>
      </c>
      <c r="O58" s="93" t="str">
        <f>IF($B58="","",IF(FinalSem1!#REF!="","",FinalSem1!#REF!*0.1))</f>
        <v/>
      </c>
      <c r="P58" s="92" t="str">
        <f t="shared" si="5"/>
        <v/>
      </c>
      <c r="Q58" s="93" t="str">
        <f>IF($B58="","",IF(FinalSem1!#REF!="","",FinalSem1!#REF!*0.1))</f>
        <v/>
      </c>
      <c r="R58" s="92" t="str">
        <f t="shared" si="6"/>
        <v/>
      </c>
      <c r="S58" s="93" t="str">
        <f>IF($B58="","",IF(FinalSem1!#REF!="","",FinalSem1!#REF!*0.1))</f>
        <v/>
      </c>
      <c r="T58" s="92" t="str">
        <f t="shared" si="7"/>
        <v/>
      </c>
      <c r="U58" s="93" t="str">
        <f>IF($B58="","",IF(FinalSem1!#REF!="","",FinalSem1!#REF!*0.1))</f>
        <v/>
      </c>
      <c r="V58" s="92" t="str">
        <f t="shared" si="8"/>
        <v/>
      </c>
      <c r="W58" s="93" t="str">
        <f>IF($B58="","",IF(FinalSem1!#REF!="","",FinalSem1!#REF!*0.1))</f>
        <v/>
      </c>
      <c r="X58" s="92" t="str">
        <f t="shared" si="9"/>
        <v/>
      </c>
      <c r="Y58" s="93" t="str">
        <f>IF($B58="","",IF(FinalSem1!#REF!="","",FinalSem1!#REF!*0.1))</f>
        <v/>
      </c>
      <c r="Z58" s="92" t="str">
        <f t="shared" si="10"/>
        <v/>
      </c>
      <c r="AA58" s="93" t="str">
        <f>IF(ISERR(IF(B58="","",IF(F58="III",AVERAGE('[1]FINAL SEM1'!Y59:AA59)*0.1,IF(OR(F58="I",F58="II",F58="M",F58="A"),AVERAGE('[1]FINAL SEM1'!Y59:AA59)*0.1)))),"",IF(B58="","",IF(F58="III",AVERAGE('[1]FINAL SEM1'!Y59:AA59)*0.1,IF(OR(F58="I",F58="II",F58="M",F58="A"),AVERAGE('[1]FINAL SEM1'!Y59:AA59)*0.1))))</f>
        <v/>
      </c>
      <c r="AB58" s="92" t="str">
        <f t="shared" si="11"/>
        <v/>
      </c>
      <c r="AC58" s="94" t="str">
        <f t="shared" si="12"/>
        <v/>
      </c>
      <c r="AD58" s="95" t="str">
        <f t="shared" si="13"/>
        <v/>
      </c>
      <c r="AE58" s="96" t="str">
        <f t="shared" si="14"/>
        <v/>
      </c>
      <c r="AF58" s="95" t="str">
        <f>IF(ISERR(IF(B58="","",AVERAGE('Q1'!#REF!,'Q2'!CX48)*0.1)),"",IF(B58="","",AVERAGE('Q1'!#REF!,'Q2'!CX48)*0.1))</f>
        <v/>
      </c>
      <c r="AG58" s="102" t="str">
        <f t="shared" si="15"/>
        <v/>
      </c>
      <c r="AH58" s="97" t="str">
        <f t="shared" si="16"/>
        <v/>
      </c>
      <c r="AI58" s="91" t="str">
        <f>IF(ISERR(IF('[1]FINAL SEM2'!N59="","",'[1]FINAL SEM2'!N59*0.1)),"",IF($B58="","",IF('[1]FINAL SEM2'!N59="","",'[1]FINAL SEM2'!N59*0.1)))</f>
        <v/>
      </c>
      <c r="AJ58" s="92" t="str">
        <f t="shared" si="17"/>
        <v/>
      </c>
      <c r="AK58" s="93" t="str">
        <f>IF($B58="","",IF(FinalSem2!#REF!="","",FinalSem2!#REF!*0.1))</f>
        <v/>
      </c>
      <c r="AL58" s="92" t="str">
        <f t="shared" si="18"/>
        <v/>
      </c>
      <c r="AM58" s="93" t="str">
        <f>IF($B58="","",IF(FinalSem2!#REF!="","",FinalSem2!#REF!*0.1))</f>
        <v/>
      </c>
      <c r="AN58" s="92" t="str">
        <f t="shared" si="19"/>
        <v/>
      </c>
      <c r="AO58" s="93" t="str">
        <f>IF($B58="","",IF(FinalSem2!#REF!="","",FinalSem2!#REF!*0.1))</f>
        <v/>
      </c>
      <c r="AP58" s="92" t="str">
        <f t="shared" si="20"/>
        <v/>
      </c>
      <c r="AQ58" s="93" t="str">
        <f>IF($B58="","",IF(FinalSem2!#REF!="","",FinalSem2!#REF!*0.1))</f>
        <v/>
      </c>
      <c r="AR58" s="92" t="str">
        <f t="shared" si="21"/>
        <v/>
      </c>
      <c r="AS58" s="93" t="str">
        <f>IF($B58="","",IF(FinalSem2!#REF!="","",FinalSem2!#REF!*0.1))</f>
        <v/>
      </c>
      <c r="AT58" s="92" t="str">
        <f t="shared" si="22"/>
        <v/>
      </c>
      <c r="AU58" s="93" t="str">
        <f>IF($B58="","",IF(FinalSem2!#REF!="","",FinalSem2!#REF!*0.1))</f>
        <v/>
      </c>
      <c r="AV58" s="92" t="str">
        <f t="shared" si="23"/>
        <v/>
      </c>
      <c r="AW58" s="93" t="str">
        <f>IF($B58="","",IF(FinalSem2!#REF!="","",FinalSem2!#REF!*0.1))</f>
        <v/>
      </c>
      <c r="AX58" s="92" t="str">
        <f t="shared" si="24"/>
        <v/>
      </c>
      <c r="AY58" s="93" t="str">
        <f>IF($B58="","",IF(FinalSem2!#REF!="","",FinalSem2!#REF!*0.1))</f>
        <v/>
      </c>
      <c r="AZ58" s="92" t="str">
        <f t="shared" si="25"/>
        <v/>
      </c>
      <c r="BA58" s="93" t="str">
        <f>IF($B58="","",IF(FinalSem2!#REF!="","",FinalSem2!#REF!*0.1))</f>
        <v/>
      </c>
      <c r="BB58" s="92" t="str">
        <f t="shared" si="26"/>
        <v/>
      </c>
      <c r="BC58" s="93" t="str">
        <f>IF($B58="","",IF(FinalSem2!#REF!="","",FinalSem2!#REF!*0.1))</f>
        <v/>
      </c>
      <c r="BD58" s="92" t="str">
        <f t="shared" si="27"/>
        <v/>
      </c>
      <c r="BE58" s="94" t="str">
        <f t="shared" si="28"/>
        <v/>
      </c>
      <c r="BF58" s="95" t="str">
        <f t="shared" si="29"/>
        <v/>
      </c>
      <c r="BG58" s="96" t="str">
        <f t="shared" si="30"/>
        <v/>
      </c>
      <c r="BH58" s="95" t="str">
        <f>IF(ISERR(IF(B58="","",AVERAGE('Q3'!CX64,'Q4'!CX64)*0.1)),"",IF(B58="","",AVERAGE('Q3'!CX64,'Q4'!CX64)*0.1))</f>
        <v/>
      </c>
      <c r="BI58" s="102" t="str">
        <f t="shared" si="31"/>
        <v/>
      </c>
      <c r="BJ58" s="97" t="str">
        <f t="shared" si="32"/>
        <v/>
      </c>
      <c r="BK58" s="98" t="str">
        <f t="shared" si="33"/>
        <v/>
      </c>
      <c r="BL58" s="99" t="str">
        <f t="shared" si="34"/>
        <v/>
      </c>
      <c r="BM58" s="100" t="str">
        <f t="shared" si="35"/>
        <v/>
      </c>
      <c r="BN58" s="99" t="str">
        <f t="shared" si="36"/>
        <v/>
      </c>
      <c r="BO58" s="100" t="str">
        <f t="shared" si="37"/>
        <v/>
      </c>
      <c r="BP58" s="99" t="str">
        <f t="shared" si="38"/>
        <v/>
      </c>
      <c r="BQ58" s="100" t="str">
        <f t="shared" si="39"/>
        <v/>
      </c>
      <c r="BR58" s="99" t="str">
        <f t="shared" si="40"/>
        <v/>
      </c>
      <c r="BS58" s="100" t="str">
        <f t="shared" si="41"/>
        <v/>
      </c>
      <c r="BT58" s="99" t="str">
        <f t="shared" si="42"/>
        <v/>
      </c>
      <c r="BU58" s="100" t="str">
        <f t="shared" si="43"/>
        <v/>
      </c>
      <c r="BV58" s="99" t="str">
        <f t="shared" si="44"/>
        <v/>
      </c>
      <c r="BW58" s="100" t="str">
        <f t="shared" si="45"/>
        <v/>
      </c>
      <c r="BX58" s="99" t="str">
        <f t="shared" si="46"/>
        <v/>
      </c>
      <c r="BY58" s="100" t="str">
        <f t="shared" si="47"/>
        <v/>
      </c>
      <c r="BZ58" s="99" t="str">
        <f t="shared" si="48"/>
        <v/>
      </c>
      <c r="CA58" s="128" t="str">
        <f t="shared" si="0"/>
        <v/>
      </c>
    </row>
    <row r="59" spans="1:79" ht="24.5" x14ac:dyDescent="0.35">
      <c r="A59" s="90" t="str">
        <f>IF('Q4'!A65="","",'Q4'!A65)</f>
        <v/>
      </c>
      <c r="B59" s="90" t="str">
        <f>IF('Q4'!B65="","",'Q4'!B65)</f>
        <v/>
      </c>
      <c r="C59" s="107" t="str">
        <f>IF('Q4'!C65="","",'Q4'!C65)</f>
        <v/>
      </c>
      <c r="D59" s="104" t="str">
        <f>IF('Q4'!D65="","",'Q4'!D65)</f>
        <v/>
      </c>
      <c r="E59" s="90" t="str">
        <f>IF('Q4'!E65="","",'Q4'!E65)</f>
        <v/>
      </c>
      <c r="F59" s="90" t="str">
        <f>IF('Q4'!F65="","",'Q4'!F65)</f>
        <v/>
      </c>
      <c r="G59" s="91" t="str">
        <f>IF($B59="","",IF(FinalSem1!#REF!="","",FinalSem1!#REF!*0.1))</f>
        <v/>
      </c>
      <c r="H59" s="92" t="str">
        <f t="shared" si="1"/>
        <v/>
      </c>
      <c r="I59" s="91" t="str">
        <f>IF($B59="","",IF(FinalSem1!#REF!="","",FinalSem1!#REF!*0.1))</f>
        <v/>
      </c>
      <c r="J59" s="92" t="str">
        <f t="shared" si="2"/>
        <v/>
      </c>
      <c r="K59" s="93" t="str">
        <f>IF($B59="","",IF(FinalSem1!#REF!="","",FinalSem1!#REF!*0.1))</f>
        <v/>
      </c>
      <c r="L59" s="92" t="str">
        <f t="shared" si="3"/>
        <v/>
      </c>
      <c r="M59" s="93" t="str">
        <f>IF($B59="","",IF(FinalSem1!#REF!="","",FinalSem1!#REF!*0.1))</f>
        <v/>
      </c>
      <c r="N59" s="92" t="str">
        <f t="shared" si="4"/>
        <v/>
      </c>
      <c r="O59" s="93" t="str">
        <f>IF($B59="","",IF(FinalSem1!#REF!="","",FinalSem1!#REF!*0.1))</f>
        <v/>
      </c>
      <c r="P59" s="92" t="str">
        <f t="shared" si="5"/>
        <v/>
      </c>
      <c r="Q59" s="93" t="str">
        <f>IF($B59="","",IF(FinalSem1!#REF!="","",FinalSem1!#REF!*0.1))</f>
        <v/>
      </c>
      <c r="R59" s="92" t="str">
        <f t="shared" si="6"/>
        <v/>
      </c>
      <c r="S59" s="93" t="str">
        <f>IF($B59="","",IF(FinalSem1!#REF!="","",FinalSem1!#REF!*0.1))</f>
        <v/>
      </c>
      <c r="T59" s="92" t="str">
        <f t="shared" si="7"/>
        <v/>
      </c>
      <c r="U59" s="93" t="str">
        <f>IF($B59="","",IF(FinalSem1!#REF!="","",FinalSem1!#REF!*0.1))</f>
        <v/>
      </c>
      <c r="V59" s="92" t="str">
        <f t="shared" si="8"/>
        <v/>
      </c>
      <c r="W59" s="93" t="str">
        <f>IF($B59="","",IF(FinalSem1!#REF!="","",FinalSem1!#REF!*0.1))</f>
        <v/>
      </c>
      <c r="X59" s="92" t="str">
        <f t="shared" si="9"/>
        <v/>
      </c>
      <c r="Y59" s="93" t="str">
        <f>IF($B59="","",IF(FinalSem1!#REF!="","",FinalSem1!#REF!*0.1))</f>
        <v/>
      </c>
      <c r="Z59" s="92" t="str">
        <f t="shared" si="10"/>
        <v/>
      </c>
      <c r="AA59" s="93" t="str">
        <f>IF(ISERR(IF(B59="","",IF(F59="III",AVERAGE('[1]FINAL SEM1'!Y60:AA60)*0.1,IF(OR(F59="I",F59="II",F59="M",F59="A"),AVERAGE('[1]FINAL SEM1'!Y60:AA60)*0.1)))),"",IF(B59="","",IF(F59="III",AVERAGE('[1]FINAL SEM1'!Y60:AA60)*0.1,IF(OR(F59="I",F59="II",F59="M",F59="A"),AVERAGE('[1]FINAL SEM1'!Y60:AA60)*0.1))))</f>
        <v/>
      </c>
      <c r="AB59" s="92" t="str">
        <f t="shared" si="11"/>
        <v/>
      </c>
      <c r="AC59" s="94" t="str">
        <f t="shared" si="12"/>
        <v/>
      </c>
      <c r="AD59" s="95" t="str">
        <f t="shared" si="13"/>
        <v/>
      </c>
      <c r="AE59" s="96" t="str">
        <f t="shared" si="14"/>
        <v/>
      </c>
      <c r="AF59" s="95" t="str">
        <f>IF(ISERR(IF(B59="","",AVERAGE('Q1'!#REF!,'Q2'!CX49)*0.1)),"",IF(B59="","",AVERAGE('Q1'!#REF!,'Q2'!CX49)*0.1))</f>
        <v/>
      </c>
      <c r="AG59" s="102" t="str">
        <f t="shared" si="15"/>
        <v/>
      </c>
      <c r="AH59" s="97" t="str">
        <f t="shared" si="16"/>
        <v/>
      </c>
      <c r="AI59" s="91" t="str">
        <f>IF(ISERR(IF('[1]FINAL SEM2'!N60="","",'[1]FINAL SEM2'!N60*0.1)),"",IF($B59="","",IF('[1]FINAL SEM2'!N60="","",'[1]FINAL SEM2'!N60*0.1)))</f>
        <v/>
      </c>
      <c r="AJ59" s="92" t="str">
        <f t="shared" si="17"/>
        <v/>
      </c>
      <c r="AK59" s="93" t="str">
        <f>IF($B59="","",IF(FinalSem2!#REF!="","",FinalSem2!#REF!*0.1))</f>
        <v/>
      </c>
      <c r="AL59" s="92" t="str">
        <f t="shared" si="18"/>
        <v/>
      </c>
      <c r="AM59" s="93" t="str">
        <f>IF($B59="","",IF(FinalSem2!#REF!="","",FinalSem2!#REF!*0.1))</f>
        <v/>
      </c>
      <c r="AN59" s="92" t="str">
        <f t="shared" si="19"/>
        <v/>
      </c>
      <c r="AO59" s="93" t="str">
        <f>IF($B59="","",IF(FinalSem2!#REF!="","",FinalSem2!#REF!*0.1))</f>
        <v/>
      </c>
      <c r="AP59" s="92" t="str">
        <f t="shared" si="20"/>
        <v/>
      </c>
      <c r="AQ59" s="93" t="str">
        <f>IF($B59="","",IF(FinalSem2!#REF!="","",FinalSem2!#REF!*0.1))</f>
        <v/>
      </c>
      <c r="AR59" s="92" t="str">
        <f t="shared" si="21"/>
        <v/>
      </c>
      <c r="AS59" s="93" t="str">
        <f>IF($B59="","",IF(FinalSem2!#REF!="","",FinalSem2!#REF!*0.1))</f>
        <v/>
      </c>
      <c r="AT59" s="92" t="str">
        <f t="shared" si="22"/>
        <v/>
      </c>
      <c r="AU59" s="93" t="str">
        <f>IF($B59="","",IF(FinalSem2!#REF!="","",FinalSem2!#REF!*0.1))</f>
        <v/>
      </c>
      <c r="AV59" s="92" t="str">
        <f t="shared" si="23"/>
        <v/>
      </c>
      <c r="AW59" s="93" t="str">
        <f>IF($B59="","",IF(FinalSem2!#REF!="","",FinalSem2!#REF!*0.1))</f>
        <v/>
      </c>
      <c r="AX59" s="92" t="str">
        <f t="shared" si="24"/>
        <v/>
      </c>
      <c r="AY59" s="93" t="str">
        <f>IF($B59="","",IF(FinalSem2!#REF!="","",FinalSem2!#REF!*0.1))</f>
        <v/>
      </c>
      <c r="AZ59" s="92" t="str">
        <f t="shared" si="25"/>
        <v/>
      </c>
      <c r="BA59" s="93" t="str">
        <f>IF($B59="","",IF(FinalSem2!#REF!="","",FinalSem2!#REF!*0.1))</f>
        <v/>
      </c>
      <c r="BB59" s="92" t="str">
        <f t="shared" si="26"/>
        <v/>
      </c>
      <c r="BC59" s="93" t="str">
        <f>IF($B59="","",IF(FinalSem2!#REF!="","",FinalSem2!#REF!*0.1))</f>
        <v/>
      </c>
      <c r="BD59" s="92" t="str">
        <f t="shared" si="27"/>
        <v/>
      </c>
      <c r="BE59" s="94" t="str">
        <f t="shared" si="28"/>
        <v/>
      </c>
      <c r="BF59" s="95" t="str">
        <f t="shared" si="29"/>
        <v/>
      </c>
      <c r="BG59" s="96" t="str">
        <f t="shared" si="30"/>
        <v/>
      </c>
      <c r="BH59" s="95" t="str">
        <f>IF(ISERR(IF(B59="","",AVERAGE('Q3'!CX65,'Q4'!CX65)*0.1)),"",IF(B59="","",AVERAGE('Q3'!CX65,'Q4'!CX65)*0.1))</f>
        <v/>
      </c>
      <c r="BI59" s="102" t="str">
        <f t="shared" si="31"/>
        <v/>
      </c>
      <c r="BJ59" s="97" t="str">
        <f t="shared" si="32"/>
        <v/>
      </c>
      <c r="BK59" s="98" t="str">
        <f t="shared" si="33"/>
        <v/>
      </c>
      <c r="BL59" s="99" t="str">
        <f t="shared" si="34"/>
        <v/>
      </c>
      <c r="BM59" s="100" t="str">
        <f t="shared" si="35"/>
        <v/>
      </c>
      <c r="BN59" s="99" t="str">
        <f t="shared" si="36"/>
        <v/>
      </c>
      <c r="BO59" s="100" t="str">
        <f t="shared" si="37"/>
        <v/>
      </c>
      <c r="BP59" s="99" t="str">
        <f t="shared" si="38"/>
        <v/>
      </c>
      <c r="BQ59" s="100" t="str">
        <f t="shared" si="39"/>
        <v/>
      </c>
      <c r="BR59" s="99" t="str">
        <f t="shared" si="40"/>
        <v/>
      </c>
      <c r="BS59" s="100" t="str">
        <f t="shared" si="41"/>
        <v/>
      </c>
      <c r="BT59" s="99" t="str">
        <f t="shared" si="42"/>
        <v/>
      </c>
      <c r="BU59" s="100" t="str">
        <f t="shared" si="43"/>
        <v/>
      </c>
      <c r="BV59" s="99" t="str">
        <f t="shared" si="44"/>
        <v/>
      </c>
      <c r="BW59" s="100" t="str">
        <f t="shared" si="45"/>
        <v/>
      </c>
      <c r="BX59" s="99" t="str">
        <f t="shared" si="46"/>
        <v/>
      </c>
      <c r="BY59" s="100" t="str">
        <f t="shared" si="47"/>
        <v/>
      </c>
      <c r="BZ59" s="99" t="str">
        <f t="shared" si="48"/>
        <v/>
      </c>
      <c r="CA59" s="128" t="str">
        <f t="shared" si="0"/>
        <v/>
      </c>
    </row>
    <row r="60" spans="1:79" ht="24.5" x14ac:dyDescent="0.35">
      <c r="A60" s="90" t="str">
        <f>IF('Q4'!A66="","",'Q4'!A66)</f>
        <v/>
      </c>
      <c r="B60" s="90" t="str">
        <f>IF('Q4'!B66="","",'Q4'!B66)</f>
        <v/>
      </c>
      <c r="C60" s="107" t="str">
        <f>IF('Q4'!C66="","",'Q4'!C66)</f>
        <v/>
      </c>
      <c r="D60" s="104" t="str">
        <f>IF('Q4'!D66="","",'Q4'!D66)</f>
        <v/>
      </c>
      <c r="E60" s="90" t="str">
        <f>IF('Q4'!E66="","",'Q4'!E66)</f>
        <v/>
      </c>
      <c r="F60" s="90" t="str">
        <f>IF('Q4'!F66="","",'Q4'!F66)</f>
        <v/>
      </c>
      <c r="G60" s="91" t="str">
        <f>IF($B60="","",IF(FinalSem1!#REF!="","",FinalSem1!#REF!*0.1))</f>
        <v/>
      </c>
      <c r="H60" s="92" t="str">
        <f t="shared" si="1"/>
        <v/>
      </c>
      <c r="I60" s="91" t="str">
        <f>IF($B60="","",IF(FinalSem1!#REF!="","",FinalSem1!#REF!*0.1))</f>
        <v/>
      </c>
      <c r="J60" s="92" t="str">
        <f t="shared" si="2"/>
        <v/>
      </c>
      <c r="K60" s="93" t="str">
        <f>IF($B60="","",IF(FinalSem1!#REF!="","",FinalSem1!#REF!*0.1))</f>
        <v/>
      </c>
      <c r="L60" s="92" t="str">
        <f t="shared" si="3"/>
        <v/>
      </c>
      <c r="M60" s="93" t="str">
        <f>IF($B60="","",IF(FinalSem1!#REF!="","",FinalSem1!#REF!*0.1))</f>
        <v/>
      </c>
      <c r="N60" s="92" t="str">
        <f t="shared" si="4"/>
        <v/>
      </c>
      <c r="O60" s="93" t="str">
        <f>IF($B60="","",IF(FinalSem1!#REF!="","",FinalSem1!#REF!*0.1))</f>
        <v/>
      </c>
      <c r="P60" s="92" t="str">
        <f t="shared" si="5"/>
        <v/>
      </c>
      <c r="Q60" s="93" t="str">
        <f>IF($B60="","",IF(FinalSem1!#REF!="","",FinalSem1!#REF!*0.1))</f>
        <v/>
      </c>
      <c r="R60" s="92" t="str">
        <f t="shared" si="6"/>
        <v/>
      </c>
      <c r="S60" s="93" t="str">
        <f>IF($B60="","",IF(FinalSem1!#REF!="","",FinalSem1!#REF!*0.1))</f>
        <v/>
      </c>
      <c r="T60" s="92" t="str">
        <f t="shared" si="7"/>
        <v/>
      </c>
      <c r="U60" s="93" t="str">
        <f>IF($B60="","",IF(FinalSem1!#REF!="","",FinalSem1!#REF!*0.1))</f>
        <v/>
      </c>
      <c r="V60" s="92" t="str">
        <f t="shared" si="8"/>
        <v/>
      </c>
      <c r="W60" s="93" t="str">
        <f>IF($B60="","",IF(FinalSem1!#REF!="","",FinalSem1!#REF!*0.1))</f>
        <v/>
      </c>
      <c r="X60" s="92" t="str">
        <f t="shared" si="9"/>
        <v/>
      </c>
      <c r="Y60" s="93" t="str">
        <f>IF($B60="","",IF(FinalSem1!#REF!="","",FinalSem1!#REF!*0.1))</f>
        <v/>
      </c>
      <c r="Z60" s="92" t="str">
        <f t="shared" si="10"/>
        <v/>
      </c>
      <c r="AA60" s="93" t="str">
        <f>IF(ISERR(IF(B60="","",IF(F60="III",AVERAGE('[1]FINAL SEM1'!Y61:AA61)*0.1,IF(OR(F60="I",F60="II",F60="M",F60="A"),AVERAGE('[1]FINAL SEM1'!Y61:AA61)*0.1)))),"",IF(B60="","",IF(F60="III",AVERAGE('[1]FINAL SEM1'!Y61:AA61)*0.1,IF(OR(F60="I",F60="II",F60="M",F60="A"),AVERAGE('[1]FINAL SEM1'!Y61:AA61)*0.1))))</f>
        <v/>
      </c>
      <c r="AB60" s="92" t="str">
        <f t="shared" si="11"/>
        <v/>
      </c>
      <c r="AC60" s="94" t="str">
        <f t="shared" si="12"/>
        <v/>
      </c>
      <c r="AD60" s="95" t="str">
        <f t="shared" si="13"/>
        <v/>
      </c>
      <c r="AE60" s="96" t="str">
        <f t="shared" si="14"/>
        <v/>
      </c>
      <c r="AF60" s="95" t="str">
        <f>IF(ISERR(IF(B60="","",AVERAGE('Q1'!#REF!,'Q2'!CX50)*0.1)),"",IF(B60="","",AVERAGE('Q1'!#REF!,'Q2'!CX50)*0.1))</f>
        <v/>
      </c>
      <c r="AG60" s="102" t="str">
        <f t="shared" si="15"/>
        <v/>
      </c>
      <c r="AH60" s="97" t="str">
        <f t="shared" si="16"/>
        <v/>
      </c>
      <c r="AI60" s="91" t="str">
        <f>IF(ISERR(IF('[1]FINAL SEM2'!N61="","",'[1]FINAL SEM2'!N61*0.1)),"",IF($B60="","",IF('[1]FINAL SEM2'!N61="","",'[1]FINAL SEM2'!N61*0.1)))</f>
        <v/>
      </c>
      <c r="AJ60" s="92" t="str">
        <f t="shared" si="17"/>
        <v/>
      </c>
      <c r="AK60" s="93" t="str">
        <f>IF($B60="","",IF(FinalSem2!#REF!="","",FinalSem2!#REF!*0.1))</f>
        <v/>
      </c>
      <c r="AL60" s="92" t="str">
        <f t="shared" si="18"/>
        <v/>
      </c>
      <c r="AM60" s="93" t="str">
        <f>IF($B60="","",IF(FinalSem2!#REF!="","",FinalSem2!#REF!*0.1))</f>
        <v/>
      </c>
      <c r="AN60" s="92" t="str">
        <f t="shared" si="19"/>
        <v/>
      </c>
      <c r="AO60" s="93" t="str">
        <f>IF($B60="","",IF(FinalSem2!#REF!="","",FinalSem2!#REF!*0.1))</f>
        <v/>
      </c>
      <c r="AP60" s="92" t="str">
        <f t="shared" si="20"/>
        <v/>
      </c>
      <c r="AQ60" s="93" t="str">
        <f>IF($B60="","",IF(FinalSem2!#REF!="","",FinalSem2!#REF!*0.1))</f>
        <v/>
      </c>
      <c r="AR60" s="92" t="str">
        <f t="shared" si="21"/>
        <v/>
      </c>
      <c r="AS60" s="93" t="str">
        <f>IF($B60="","",IF(FinalSem2!#REF!="","",FinalSem2!#REF!*0.1))</f>
        <v/>
      </c>
      <c r="AT60" s="92" t="str">
        <f t="shared" si="22"/>
        <v/>
      </c>
      <c r="AU60" s="93" t="str">
        <f>IF($B60="","",IF(FinalSem2!#REF!="","",FinalSem2!#REF!*0.1))</f>
        <v/>
      </c>
      <c r="AV60" s="92" t="str">
        <f t="shared" si="23"/>
        <v/>
      </c>
      <c r="AW60" s="93" t="str">
        <f>IF($B60="","",IF(FinalSem2!#REF!="","",FinalSem2!#REF!*0.1))</f>
        <v/>
      </c>
      <c r="AX60" s="92" t="str">
        <f t="shared" si="24"/>
        <v/>
      </c>
      <c r="AY60" s="93" t="str">
        <f>IF($B60="","",IF(FinalSem2!#REF!="","",FinalSem2!#REF!*0.1))</f>
        <v/>
      </c>
      <c r="AZ60" s="92" t="str">
        <f t="shared" si="25"/>
        <v/>
      </c>
      <c r="BA60" s="93" t="str">
        <f>IF($B60="","",IF(FinalSem2!#REF!="","",FinalSem2!#REF!*0.1))</f>
        <v/>
      </c>
      <c r="BB60" s="92" t="str">
        <f t="shared" si="26"/>
        <v/>
      </c>
      <c r="BC60" s="93" t="str">
        <f>IF($B60="","",IF(FinalSem2!#REF!="","",FinalSem2!#REF!*0.1))</f>
        <v/>
      </c>
      <c r="BD60" s="92" t="str">
        <f t="shared" si="27"/>
        <v/>
      </c>
      <c r="BE60" s="94" t="str">
        <f t="shared" si="28"/>
        <v/>
      </c>
      <c r="BF60" s="95" t="str">
        <f t="shared" si="29"/>
        <v/>
      </c>
      <c r="BG60" s="96" t="str">
        <f t="shared" si="30"/>
        <v/>
      </c>
      <c r="BH60" s="95" t="str">
        <f>IF(ISERR(IF(B60="","",AVERAGE('Q3'!CX66,'Q4'!CX66)*0.1)),"",IF(B60="","",AVERAGE('Q3'!CX66,'Q4'!CX66)*0.1))</f>
        <v/>
      </c>
      <c r="BI60" s="102" t="str">
        <f t="shared" si="31"/>
        <v/>
      </c>
      <c r="BJ60" s="97" t="str">
        <f t="shared" si="32"/>
        <v/>
      </c>
      <c r="BK60" s="98" t="str">
        <f t="shared" si="33"/>
        <v/>
      </c>
      <c r="BL60" s="99" t="str">
        <f t="shared" si="34"/>
        <v/>
      </c>
      <c r="BM60" s="100" t="str">
        <f t="shared" si="35"/>
        <v/>
      </c>
      <c r="BN60" s="99" t="str">
        <f t="shared" si="36"/>
        <v/>
      </c>
      <c r="BO60" s="100" t="str">
        <f t="shared" si="37"/>
        <v/>
      </c>
      <c r="BP60" s="99" t="str">
        <f t="shared" si="38"/>
        <v/>
      </c>
      <c r="BQ60" s="100" t="str">
        <f t="shared" si="39"/>
        <v/>
      </c>
      <c r="BR60" s="99" t="str">
        <f t="shared" si="40"/>
        <v/>
      </c>
      <c r="BS60" s="100" t="str">
        <f t="shared" si="41"/>
        <v/>
      </c>
      <c r="BT60" s="99" t="str">
        <f t="shared" si="42"/>
        <v/>
      </c>
      <c r="BU60" s="100" t="str">
        <f t="shared" si="43"/>
        <v/>
      </c>
      <c r="BV60" s="99" t="str">
        <f t="shared" si="44"/>
        <v/>
      </c>
      <c r="BW60" s="100" t="str">
        <f t="shared" si="45"/>
        <v/>
      </c>
      <c r="BX60" s="99" t="str">
        <f t="shared" si="46"/>
        <v/>
      </c>
      <c r="BY60" s="100" t="str">
        <f t="shared" si="47"/>
        <v/>
      </c>
      <c r="BZ60" s="99" t="str">
        <f t="shared" si="48"/>
        <v/>
      </c>
      <c r="CA60" s="128" t="str">
        <f t="shared" si="0"/>
        <v/>
      </c>
    </row>
    <row r="61" spans="1:79" ht="24.5" x14ac:dyDescent="0.35">
      <c r="A61" s="90" t="str">
        <f>IF('Q4'!A67="","",'Q4'!A67)</f>
        <v/>
      </c>
      <c r="B61" s="90" t="str">
        <f>IF('Q4'!B67="","",'Q4'!B67)</f>
        <v/>
      </c>
      <c r="C61" s="107" t="str">
        <f>IF('Q4'!C67="","",'Q4'!C67)</f>
        <v/>
      </c>
      <c r="D61" s="104" t="str">
        <f>IF('Q4'!D67="","",'Q4'!D67)</f>
        <v/>
      </c>
      <c r="E61" s="90" t="str">
        <f>IF('Q4'!E67="","",'Q4'!E67)</f>
        <v/>
      </c>
      <c r="F61" s="90" t="str">
        <f>IF('Q4'!F67="","",'Q4'!F67)</f>
        <v/>
      </c>
      <c r="G61" s="91" t="str">
        <f>IF($B61="","",IF(FinalSem1!#REF!="","",FinalSem1!#REF!*0.1))</f>
        <v/>
      </c>
      <c r="H61" s="92" t="str">
        <f t="shared" si="1"/>
        <v/>
      </c>
      <c r="I61" s="91" t="str">
        <f>IF($B61="","",IF(FinalSem1!#REF!="","",FinalSem1!#REF!*0.1))</f>
        <v/>
      </c>
      <c r="J61" s="92" t="str">
        <f t="shared" si="2"/>
        <v/>
      </c>
      <c r="K61" s="93" t="str">
        <f>IF($B61="","",IF(FinalSem1!#REF!="","",FinalSem1!#REF!*0.1))</f>
        <v/>
      </c>
      <c r="L61" s="92" t="str">
        <f t="shared" si="3"/>
        <v/>
      </c>
      <c r="M61" s="93" t="str">
        <f>IF($B61="","",IF(FinalSem1!#REF!="","",FinalSem1!#REF!*0.1))</f>
        <v/>
      </c>
      <c r="N61" s="92" t="str">
        <f t="shared" si="4"/>
        <v/>
      </c>
      <c r="O61" s="93" t="str">
        <f>IF($B61="","",IF(FinalSem1!#REF!="","",FinalSem1!#REF!*0.1))</f>
        <v/>
      </c>
      <c r="P61" s="92" t="str">
        <f t="shared" si="5"/>
        <v/>
      </c>
      <c r="Q61" s="93" t="str">
        <f>IF($B61="","",IF(FinalSem1!#REF!="","",FinalSem1!#REF!*0.1))</f>
        <v/>
      </c>
      <c r="R61" s="92" t="str">
        <f t="shared" si="6"/>
        <v/>
      </c>
      <c r="S61" s="93" t="str">
        <f>IF($B61="","",IF(FinalSem1!#REF!="","",FinalSem1!#REF!*0.1))</f>
        <v/>
      </c>
      <c r="T61" s="92" t="str">
        <f t="shared" si="7"/>
        <v/>
      </c>
      <c r="U61" s="93" t="str">
        <f>IF($B61="","",IF(FinalSem1!#REF!="","",FinalSem1!#REF!*0.1))</f>
        <v/>
      </c>
      <c r="V61" s="92" t="str">
        <f t="shared" si="8"/>
        <v/>
      </c>
      <c r="W61" s="93" t="str">
        <f>IF($B61="","",IF(FinalSem1!#REF!="","",FinalSem1!#REF!*0.1))</f>
        <v/>
      </c>
      <c r="X61" s="92" t="str">
        <f t="shared" si="9"/>
        <v/>
      </c>
      <c r="Y61" s="93" t="str">
        <f>IF($B61="","",IF(FinalSem1!#REF!="","",FinalSem1!#REF!*0.1))</f>
        <v/>
      </c>
      <c r="Z61" s="92" t="str">
        <f t="shared" si="10"/>
        <v/>
      </c>
      <c r="AA61" s="93" t="str">
        <f>IF(ISERR(IF(B61="","",IF(F61="III",AVERAGE('[1]FINAL SEM1'!Y62:AA62)*0.1,IF(OR(F61="I",F61="II",F61="M",F61="A"),AVERAGE('[1]FINAL SEM1'!Y62:AA62)*0.1)))),"",IF(B61="","",IF(F61="III",AVERAGE('[1]FINAL SEM1'!Y62:AA62)*0.1,IF(OR(F61="I",F61="II",F61="M",F61="A"),AVERAGE('[1]FINAL SEM1'!Y62:AA62)*0.1))))</f>
        <v/>
      </c>
      <c r="AB61" s="92" t="str">
        <f t="shared" si="11"/>
        <v/>
      </c>
      <c r="AC61" s="94" t="str">
        <f t="shared" si="12"/>
        <v/>
      </c>
      <c r="AD61" s="95" t="str">
        <f t="shared" si="13"/>
        <v/>
      </c>
      <c r="AE61" s="96" t="str">
        <f t="shared" si="14"/>
        <v/>
      </c>
      <c r="AF61" s="95" t="str">
        <f>IF(ISERR(IF(B61="","",AVERAGE('Q1'!#REF!,'Q2'!CX51)*0.1)),"",IF(B61="","",AVERAGE('Q1'!#REF!,'Q2'!CX51)*0.1))</f>
        <v/>
      </c>
      <c r="AG61" s="102" t="str">
        <f t="shared" si="15"/>
        <v/>
      </c>
      <c r="AH61" s="97" t="str">
        <f t="shared" si="16"/>
        <v/>
      </c>
      <c r="AI61" s="91" t="str">
        <f>IF(ISERR(IF('[1]FINAL SEM2'!N62="","",'[1]FINAL SEM2'!N62*0.1)),"",IF($B61="","",IF('[1]FINAL SEM2'!N62="","",'[1]FINAL SEM2'!N62*0.1)))</f>
        <v/>
      </c>
      <c r="AJ61" s="92" t="str">
        <f t="shared" si="17"/>
        <v/>
      </c>
      <c r="AK61" s="93" t="str">
        <f>IF($B61="","",IF(FinalSem2!#REF!="","",FinalSem2!#REF!*0.1))</f>
        <v/>
      </c>
      <c r="AL61" s="92" t="str">
        <f t="shared" si="18"/>
        <v/>
      </c>
      <c r="AM61" s="93" t="str">
        <f>IF($B61="","",IF(FinalSem2!#REF!="","",FinalSem2!#REF!*0.1))</f>
        <v/>
      </c>
      <c r="AN61" s="92" t="str">
        <f t="shared" si="19"/>
        <v/>
      </c>
      <c r="AO61" s="93" t="str">
        <f>IF($B61="","",IF(FinalSem2!#REF!="","",FinalSem2!#REF!*0.1))</f>
        <v/>
      </c>
      <c r="AP61" s="92" t="str">
        <f t="shared" si="20"/>
        <v/>
      </c>
      <c r="AQ61" s="93" t="str">
        <f>IF($B61="","",IF(FinalSem2!#REF!="","",FinalSem2!#REF!*0.1))</f>
        <v/>
      </c>
      <c r="AR61" s="92" t="str">
        <f t="shared" si="21"/>
        <v/>
      </c>
      <c r="AS61" s="93" t="str">
        <f>IF($B61="","",IF(FinalSem2!#REF!="","",FinalSem2!#REF!*0.1))</f>
        <v/>
      </c>
      <c r="AT61" s="92" t="str">
        <f t="shared" si="22"/>
        <v/>
      </c>
      <c r="AU61" s="93" t="str">
        <f>IF($B61="","",IF(FinalSem2!#REF!="","",FinalSem2!#REF!*0.1))</f>
        <v/>
      </c>
      <c r="AV61" s="92" t="str">
        <f t="shared" si="23"/>
        <v/>
      </c>
      <c r="AW61" s="93" t="str">
        <f>IF($B61="","",IF(FinalSem2!#REF!="","",FinalSem2!#REF!*0.1))</f>
        <v/>
      </c>
      <c r="AX61" s="92" t="str">
        <f t="shared" si="24"/>
        <v/>
      </c>
      <c r="AY61" s="93" t="str">
        <f>IF($B61="","",IF(FinalSem2!#REF!="","",FinalSem2!#REF!*0.1))</f>
        <v/>
      </c>
      <c r="AZ61" s="92" t="str">
        <f t="shared" si="25"/>
        <v/>
      </c>
      <c r="BA61" s="93" t="str">
        <f>IF($B61="","",IF(FinalSem2!#REF!="","",FinalSem2!#REF!*0.1))</f>
        <v/>
      </c>
      <c r="BB61" s="92" t="str">
        <f t="shared" si="26"/>
        <v/>
      </c>
      <c r="BC61" s="93" t="str">
        <f>IF($B61="","",IF(FinalSem2!#REF!="","",FinalSem2!#REF!*0.1))</f>
        <v/>
      </c>
      <c r="BD61" s="92" t="str">
        <f t="shared" si="27"/>
        <v/>
      </c>
      <c r="BE61" s="94" t="str">
        <f t="shared" si="28"/>
        <v/>
      </c>
      <c r="BF61" s="95" t="str">
        <f t="shared" si="29"/>
        <v/>
      </c>
      <c r="BG61" s="96" t="str">
        <f t="shared" si="30"/>
        <v/>
      </c>
      <c r="BH61" s="95" t="str">
        <f>IF(ISERR(IF(B61="","",AVERAGE('Q3'!CX67,'Q4'!CX67)*0.1)),"",IF(B61="","",AVERAGE('Q3'!CX67,'Q4'!CX67)*0.1))</f>
        <v/>
      </c>
      <c r="BI61" s="102" t="str">
        <f t="shared" si="31"/>
        <v/>
      </c>
      <c r="BJ61" s="97" t="str">
        <f t="shared" si="32"/>
        <v/>
      </c>
      <c r="BK61" s="98" t="str">
        <f t="shared" si="33"/>
        <v/>
      </c>
      <c r="BL61" s="99" t="str">
        <f t="shared" si="34"/>
        <v/>
      </c>
      <c r="BM61" s="100" t="str">
        <f t="shared" si="35"/>
        <v/>
      </c>
      <c r="BN61" s="99" t="str">
        <f t="shared" si="36"/>
        <v/>
      </c>
      <c r="BO61" s="100" t="str">
        <f t="shared" si="37"/>
        <v/>
      </c>
      <c r="BP61" s="99" t="str">
        <f t="shared" si="38"/>
        <v/>
      </c>
      <c r="BQ61" s="100" t="str">
        <f t="shared" si="39"/>
        <v/>
      </c>
      <c r="BR61" s="99" t="str">
        <f t="shared" si="40"/>
        <v/>
      </c>
      <c r="BS61" s="100" t="str">
        <f t="shared" si="41"/>
        <v/>
      </c>
      <c r="BT61" s="99" t="str">
        <f t="shared" si="42"/>
        <v/>
      </c>
      <c r="BU61" s="100" t="str">
        <f t="shared" si="43"/>
        <v/>
      </c>
      <c r="BV61" s="99" t="str">
        <f t="shared" si="44"/>
        <v/>
      </c>
      <c r="BW61" s="100" t="str">
        <f t="shared" si="45"/>
        <v/>
      </c>
      <c r="BX61" s="99" t="str">
        <f t="shared" si="46"/>
        <v/>
      </c>
      <c r="BY61" s="100" t="str">
        <f t="shared" si="47"/>
        <v/>
      </c>
      <c r="BZ61" s="99" t="str">
        <f t="shared" si="48"/>
        <v/>
      </c>
      <c r="CA61" s="101" t="str">
        <f>IF(B61="","",SUM(#REF!))</f>
        <v/>
      </c>
    </row>
    <row r="62" spans="1:79" ht="24.5" x14ac:dyDescent="0.35">
      <c r="A62" s="90" t="str">
        <f>IF('Q4'!A68="","",'Q4'!A68)</f>
        <v/>
      </c>
      <c r="B62" s="90" t="str">
        <f>IF('Q4'!B68="","",'Q4'!B68)</f>
        <v/>
      </c>
      <c r="C62" s="107" t="str">
        <f>IF('Q4'!C68="","",'Q4'!C68)</f>
        <v/>
      </c>
      <c r="D62" s="104" t="str">
        <f>IF('Q4'!D68="","",'Q4'!D68)</f>
        <v/>
      </c>
      <c r="E62" s="90" t="str">
        <f>IF('Q4'!E68="","",'Q4'!E68)</f>
        <v/>
      </c>
      <c r="F62" s="90" t="str">
        <f>IF('Q4'!F68="","",'Q4'!F68)</f>
        <v/>
      </c>
      <c r="G62" s="91" t="str">
        <f>IF($B62="","",IF(FinalSem1!#REF!="","",FinalSem1!#REF!*0.1))</f>
        <v/>
      </c>
      <c r="H62" s="92" t="str">
        <f t="shared" si="1"/>
        <v/>
      </c>
      <c r="I62" s="91" t="str">
        <f>IF($B62="","",IF(FinalSem1!#REF!="","",FinalSem1!#REF!*0.1))</f>
        <v/>
      </c>
      <c r="J62" s="92" t="str">
        <f t="shared" si="2"/>
        <v/>
      </c>
      <c r="K62" s="93" t="str">
        <f>IF($B62="","",IF(FinalSem1!#REF!="","",FinalSem1!#REF!*0.1))</f>
        <v/>
      </c>
      <c r="L62" s="92" t="str">
        <f t="shared" si="3"/>
        <v/>
      </c>
      <c r="M62" s="93" t="str">
        <f>IF($B62="","",IF(FinalSem1!#REF!="","",FinalSem1!#REF!*0.1))</f>
        <v/>
      </c>
      <c r="N62" s="92" t="str">
        <f t="shared" si="4"/>
        <v/>
      </c>
      <c r="O62" s="93" t="str">
        <f>IF($B62="","",IF(FinalSem1!#REF!="","",FinalSem1!#REF!*0.1))</f>
        <v/>
      </c>
      <c r="P62" s="92" t="str">
        <f t="shared" si="5"/>
        <v/>
      </c>
      <c r="Q62" s="93" t="str">
        <f>IF($B62="","",IF(FinalSem1!#REF!="","",FinalSem1!#REF!*0.1))</f>
        <v/>
      </c>
      <c r="R62" s="92" t="str">
        <f t="shared" si="6"/>
        <v/>
      </c>
      <c r="S62" s="93" t="str">
        <f>IF($B62="","",IF(FinalSem1!#REF!="","",FinalSem1!#REF!*0.1))</f>
        <v/>
      </c>
      <c r="T62" s="92" t="str">
        <f t="shared" si="7"/>
        <v/>
      </c>
      <c r="U62" s="93" t="str">
        <f>IF($B62="","",IF(FinalSem1!#REF!="","",FinalSem1!#REF!*0.1))</f>
        <v/>
      </c>
      <c r="V62" s="92" t="str">
        <f t="shared" si="8"/>
        <v/>
      </c>
      <c r="W62" s="93" t="str">
        <f>IF($B62="","",IF(FinalSem1!#REF!="","",FinalSem1!#REF!*0.1))</f>
        <v/>
      </c>
      <c r="X62" s="92" t="str">
        <f t="shared" si="9"/>
        <v/>
      </c>
      <c r="Y62" s="93" t="str">
        <f>IF($B62="","",IF(FinalSem1!#REF!="","",FinalSem1!#REF!*0.1))</f>
        <v/>
      </c>
      <c r="Z62" s="92" t="str">
        <f t="shared" si="10"/>
        <v/>
      </c>
      <c r="AA62" s="93" t="str">
        <f>IF(ISERR(IF(B62="","",IF(F62="III",AVERAGE('[1]FINAL SEM1'!Y63:AA63)*0.1,IF(OR(F62="I",F62="II",F62="M",F62="A"),AVERAGE('[1]FINAL SEM1'!Y63:AA63)*0.1)))),"",IF(B62="","",IF(F62="III",AVERAGE('[1]FINAL SEM1'!Y63:AA63)*0.1,IF(OR(F62="I",F62="II",F62="M",F62="A"),AVERAGE('[1]FINAL SEM1'!Y63:AA63)*0.1))))</f>
        <v/>
      </c>
      <c r="AB62" s="92" t="str">
        <f t="shared" si="11"/>
        <v/>
      </c>
      <c r="AC62" s="94" t="str">
        <f t="shared" si="12"/>
        <v/>
      </c>
      <c r="AD62" s="95" t="str">
        <f t="shared" si="13"/>
        <v/>
      </c>
      <c r="AE62" s="96" t="str">
        <f t="shared" si="14"/>
        <v/>
      </c>
      <c r="AF62" s="95" t="str">
        <f>IF(ISERR(IF(B62="","",AVERAGE('Q1'!#REF!,'Q2'!CX52)*0.1)),"",IF(B62="","",AVERAGE('Q1'!#REF!,'Q2'!CX52)*0.1))</f>
        <v/>
      </c>
      <c r="AG62" s="102" t="str">
        <f t="shared" si="15"/>
        <v/>
      </c>
      <c r="AH62" s="97" t="str">
        <f t="shared" si="16"/>
        <v/>
      </c>
      <c r="AI62" s="91" t="str">
        <f>IF(ISERR(IF('[1]FINAL SEM2'!N63="","",'[1]FINAL SEM2'!N63*0.1)),"",IF($B62="","",IF('[1]FINAL SEM2'!N63="","",'[1]FINAL SEM2'!N63*0.1)))</f>
        <v/>
      </c>
      <c r="AJ62" s="92" t="str">
        <f t="shared" si="17"/>
        <v/>
      </c>
      <c r="AK62" s="93" t="str">
        <f>IF($B62="","",IF(FinalSem2!#REF!="","",FinalSem2!#REF!*0.1))</f>
        <v/>
      </c>
      <c r="AL62" s="92" t="str">
        <f t="shared" si="18"/>
        <v/>
      </c>
      <c r="AM62" s="93" t="str">
        <f>IF($B62="","",IF(FinalSem2!#REF!="","",FinalSem2!#REF!*0.1))</f>
        <v/>
      </c>
      <c r="AN62" s="92" t="str">
        <f t="shared" si="19"/>
        <v/>
      </c>
      <c r="AO62" s="93" t="str">
        <f>IF($B62="","",IF(FinalSem2!#REF!="","",FinalSem2!#REF!*0.1))</f>
        <v/>
      </c>
      <c r="AP62" s="92" t="str">
        <f t="shared" si="20"/>
        <v/>
      </c>
      <c r="AQ62" s="93" t="str">
        <f>IF($B62="","",IF(FinalSem2!#REF!="","",FinalSem2!#REF!*0.1))</f>
        <v/>
      </c>
      <c r="AR62" s="92" t="str">
        <f t="shared" si="21"/>
        <v/>
      </c>
      <c r="AS62" s="93" t="str">
        <f>IF($B62="","",IF(FinalSem2!#REF!="","",FinalSem2!#REF!*0.1))</f>
        <v/>
      </c>
      <c r="AT62" s="92" t="str">
        <f t="shared" si="22"/>
        <v/>
      </c>
      <c r="AU62" s="93" t="str">
        <f>IF($B62="","",IF(FinalSem2!#REF!="","",FinalSem2!#REF!*0.1))</f>
        <v/>
      </c>
      <c r="AV62" s="92" t="str">
        <f t="shared" si="23"/>
        <v/>
      </c>
      <c r="AW62" s="93" t="str">
        <f>IF($B62="","",IF(FinalSem2!#REF!="","",FinalSem2!#REF!*0.1))</f>
        <v/>
      </c>
      <c r="AX62" s="92" t="str">
        <f t="shared" si="24"/>
        <v/>
      </c>
      <c r="AY62" s="93" t="str">
        <f>IF($B62="","",IF(FinalSem2!#REF!="","",FinalSem2!#REF!*0.1))</f>
        <v/>
      </c>
      <c r="AZ62" s="92" t="str">
        <f t="shared" si="25"/>
        <v/>
      </c>
      <c r="BA62" s="93" t="str">
        <f>IF($B62="","",IF(FinalSem2!#REF!="","",FinalSem2!#REF!*0.1))</f>
        <v/>
      </c>
      <c r="BB62" s="92" t="str">
        <f t="shared" si="26"/>
        <v/>
      </c>
      <c r="BC62" s="93" t="str">
        <f>IF($B62="","",IF(FinalSem2!#REF!="","",FinalSem2!#REF!*0.1))</f>
        <v/>
      </c>
      <c r="BD62" s="92" t="str">
        <f t="shared" si="27"/>
        <v/>
      </c>
      <c r="BE62" s="94" t="str">
        <f t="shared" si="28"/>
        <v/>
      </c>
      <c r="BF62" s="95" t="str">
        <f t="shared" si="29"/>
        <v/>
      </c>
      <c r="BG62" s="96" t="str">
        <f t="shared" si="30"/>
        <v/>
      </c>
      <c r="BH62" s="95" t="str">
        <f>IF(ISERR(IF(B62="","",AVERAGE('Q3'!CX68,'Q4'!CX68)*0.1)),"",IF(B62="","",AVERAGE('Q3'!CX68,'Q4'!CX68)*0.1))</f>
        <v/>
      </c>
      <c r="BI62" s="102" t="str">
        <f t="shared" si="31"/>
        <v/>
      </c>
      <c r="BJ62" s="97" t="str">
        <f t="shared" si="32"/>
        <v/>
      </c>
      <c r="BK62" s="98" t="str">
        <f t="shared" si="33"/>
        <v/>
      </c>
      <c r="BL62" s="99" t="str">
        <f t="shared" si="34"/>
        <v/>
      </c>
      <c r="BM62" s="100" t="str">
        <f t="shared" si="35"/>
        <v/>
      </c>
      <c r="BN62" s="99" t="str">
        <f t="shared" si="36"/>
        <v/>
      </c>
      <c r="BO62" s="100" t="str">
        <f t="shared" si="37"/>
        <v/>
      </c>
      <c r="BP62" s="99" t="str">
        <f t="shared" si="38"/>
        <v/>
      </c>
      <c r="BQ62" s="100" t="str">
        <f t="shared" si="39"/>
        <v/>
      </c>
      <c r="BR62" s="99" t="str">
        <f t="shared" si="40"/>
        <v/>
      </c>
      <c r="BS62" s="100" t="str">
        <f t="shared" si="41"/>
        <v/>
      </c>
      <c r="BT62" s="99" t="str">
        <f t="shared" si="42"/>
        <v/>
      </c>
      <c r="BU62" s="100" t="str">
        <f t="shared" si="43"/>
        <v/>
      </c>
      <c r="BV62" s="99" t="str">
        <f t="shared" si="44"/>
        <v/>
      </c>
      <c r="BW62" s="100" t="str">
        <f t="shared" si="45"/>
        <v/>
      </c>
      <c r="BX62" s="99" t="str">
        <f t="shared" si="46"/>
        <v/>
      </c>
      <c r="BY62" s="100" t="str">
        <f t="shared" si="47"/>
        <v/>
      </c>
      <c r="BZ62" s="99" t="str">
        <f t="shared" si="48"/>
        <v/>
      </c>
      <c r="CA62" s="101" t="str">
        <f>IF(B62="","",SUM(#REF!))</f>
        <v/>
      </c>
    </row>
    <row r="63" spans="1:79" ht="24.5" x14ac:dyDescent="0.35">
      <c r="A63" s="90" t="str">
        <f>IF('Q4'!A69="","",'Q4'!A69)</f>
        <v/>
      </c>
      <c r="B63" s="90" t="str">
        <f>IF('Q4'!B69="","",'Q4'!B69)</f>
        <v/>
      </c>
      <c r="C63" s="107" t="str">
        <f>IF('Q4'!C69="","",'Q4'!C69)</f>
        <v/>
      </c>
      <c r="D63" s="104" t="str">
        <f>IF('Q4'!D69="","",'Q4'!D69)</f>
        <v/>
      </c>
      <c r="E63" s="90" t="str">
        <f>IF('Q4'!E69="","",'Q4'!E69)</f>
        <v/>
      </c>
      <c r="F63" s="90" t="str">
        <f>IF('Q4'!F69="","",'Q4'!F69)</f>
        <v/>
      </c>
      <c r="G63" s="91" t="str">
        <f>IF($B63="","",IF(FinalSem1!#REF!="","",FinalSem1!#REF!*0.1))</f>
        <v/>
      </c>
      <c r="H63" s="92" t="str">
        <f t="shared" si="1"/>
        <v/>
      </c>
      <c r="I63" s="91" t="str">
        <f>IF($B63="","",IF(FinalSem1!#REF!="","",FinalSem1!#REF!*0.1))</f>
        <v/>
      </c>
      <c r="J63" s="92" t="str">
        <f t="shared" si="2"/>
        <v/>
      </c>
      <c r="K63" s="93" t="str">
        <f>IF($B63="","",IF(FinalSem1!#REF!="","",FinalSem1!#REF!*0.1))</f>
        <v/>
      </c>
      <c r="L63" s="92" t="str">
        <f t="shared" si="3"/>
        <v/>
      </c>
      <c r="M63" s="93" t="str">
        <f>IF($B63="","",IF(FinalSem1!#REF!="","",FinalSem1!#REF!*0.1))</f>
        <v/>
      </c>
      <c r="N63" s="92" t="str">
        <f t="shared" si="4"/>
        <v/>
      </c>
      <c r="O63" s="93" t="str">
        <f>IF($B63="","",IF(FinalSem1!#REF!="","",FinalSem1!#REF!*0.1))</f>
        <v/>
      </c>
      <c r="P63" s="92" t="str">
        <f t="shared" si="5"/>
        <v/>
      </c>
      <c r="Q63" s="93" t="str">
        <f>IF($B63="","",IF(FinalSem1!#REF!="","",FinalSem1!#REF!*0.1))</f>
        <v/>
      </c>
      <c r="R63" s="92" t="str">
        <f t="shared" si="6"/>
        <v/>
      </c>
      <c r="S63" s="93" t="str">
        <f>IF($B63="","",IF(FinalSem1!#REF!="","",FinalSem1!#REF!*0.1))</f>
        <v/>
      </c>
      <c r="T63" s="92" t="str">
        <f t="shared" si="7"/>
        <v/>
      </c>
      <c r="U63" s="93" t="str">
        <f>IF($B63="","",IF(FinalSem1!#REF!="","",FinalSem1!#REF!*0.1))</f>
        <v/>
      </c>
      <c r="V63" s="92" t="str">
        <f t="shared" si="8"/>
        <v/>
      </c>
      <c r="W63" s="93" t="str">
        <f>IF($B63="","",IF(FinalSem1!#REF!="","",FinalSem1!#REF!*0.1))</f>
        <v/>
      </c>
      <c r="X63" s="92" t="str">
        <f t="shared" si="9"/>
        <v/>
      </c>
      <c r="Y63" s="93" t="str">
        <f>IF($B63="","",IF(FinalSem1!#REF!="","",FinalSem1!#REF!*0.1))</f>
        <v/>
      </c>
      <c r="Z63" s="92" t="str">
        <f t="shared" si="10"/>
        <v/>
      </c>
      <c r="AA63" s="93" t="str">
        <f>IF(ISERR(IF(B63="","",IF(F63="III",AVERAGE('[1]FINAL SEM1'!Y64:AA64)*0.1,IF(OR(F63="I",F63="II",F63="M",F63="A"),AVERAGE('[1]FINAL SEM1'!Y64:AA64)*0.1)))),"",IF(B63="","",IF(F63="III",AVERAGE('[1]FINAL SEM1'!Y64:AA64)*0.1,IF(OR(F63="I",F63="II",F63="M",F63="A"),AVERAGE('[1]FINAL SEM1'!Y64:AA64)*0.1))))</f>
        <v/>
      </c>
      <c r="AB63" s="92" t="str">
        <f t="shared" si="11"/>
        <v/>
      </c>
      <c r="AC63" s="94" t="str">
        <f t="shared" si="12"/>
        <v/>
      </c>
      <c r="AD63" s="95" t="str">
        <f t="shared" si="13"/>
        <v/>
      </c>
      <c r="AE63" s="96" t="str">
        <f t="shared" si="14"/>
        <v/>
      </c>
      <c r="AF63" s="95" t="str">
        <f>IF(ISERR(IF(B63="","",AVERAGE('Q1'!#REF!,'Q2'!CX53)*0.1)),"",IF(B63="","",AVERAGE('Q1'!#REF!,'Q2'!CX53)*0.1))</f>
        <v/>
      </c>
      <c r="AG63" s="102" t="str">
        <f t="shared" si="15"/>
        <v/>
      </c>
      <c r="AH63" s="97" t="str">
        <f t="shared" si="16"/>
        <v/>
      </c>
      <c r="AI63" s="91" t="str">
        <f>IF(ISERR(IF('[1]FINAL SEM2'!N64="","",'[1]FINAL SEM2'!N64*0.1)),"",IF($B63="","",IF('[1]FINAL SEM2'!N64="","",'[1]FINAL SEM2'!N64*0.1)))</f>
        <v/>
      </c>
      <c r="AJ63" s="92" t="str">
        <f t="shared" si="17"/>
        <v/>
      </c>
      <c r="AK63" s="93" t="str">
        <f>IF($B63="","",IF(FinalSem2!#REF!="","",FinalSem2!#REF!*0.1))</f>
        <v/>
      </c>
      <c r="AL63" s="92" t="str">
        <f t="shared" si="18"/>
        <v/>
      </c>
      <c r="AM63" s="93" t="str">
        <f>IF($B63="","",IF(FinalSem2!#REF!="","",FinalSem2!#REF!*0.1))</f>
        <v/>
      </c>
      <c r="AN63" s="92" t="str">
        <f t="shared" si="19"/>
        <v/>
      </c>
      <c r="AO63" s="93" t="str">
        <f>IF($B63="","",IF(FinalSem2!#REF!="","",FinalSem2!#REF!*0.1))</f>
        <v/>
      </c>
      <c r="AP63" s="92" t="str">
        <f t="shared" si="20"/>
        <v/>
      </c>
      <c r="AQ63" s="93" t="str">
        <f>IF($B63="","",IF(FinalSem2!#REF!="","",FinalSem2!#REF!*0.1))</f>
        <v/>
      </c>
      <c r="AR63" s="92" t="str">
        <f t="shared" si="21"/>
        <v/>
      </c>
      <c r="AS63" s="93" t="str">
        <f>IF($B63="","",IF(FinalSem2!#REF!="","",FinalSem2!#REF!*0.1))</f>
        <v/>
      </c>
      <c r="AT63" s="92" t="str">
        <f t="shared" si="22"/>
        <v/>
      </c>
      <c r="AU63" s="93" t="str">
        <f>IF($B63="","",IF(FinalSem2!#REF!="","",FinalSem2!#REF!*0.1))</f>
        <v/>
      </c>
      <c r="AV63" s="92" t="str">
        <f t="shared" si="23"/>
        <v/>
      </c>
      <c r="AW63" s="93" t="str">
        <f>IF($B63="","",IF(FinalSem2!#REF!="","",FinalSem2!#REF!*0.1))</f>
        <v/>
      </c>
      <c r="AX63" s="92" t="str">
        <f t="shared" si="24"/>
        <v/>
      </c>
      <c r="AY63" s="93" t="str">
        <f>IF($B63="","",IF(FinalSem2!#REF!="","",FinalSem2!#REF!*0.1))</f>
        <v/>
      </c>
      <c r="AZ63" s="92" t="str">
        <f t="shared" si="25"/>
        <v/>
      </c>
      <c r="BA63" s="93" t="str">
        <f>IF($B63="","",IF(FinalSem2!#REF!="","",FinalSem2!#REF!*0.1))</f>
        <v/>
      </c>
      <c r="BB63" s="92" t="str">
        <f t="shared" si="26"/>
        <v/>
      </c>
      <c r="BC63" s="93" t="str">
        <f>IF($B63="","",IF(FinalSem2!#REF!="","",FinalSem2!#REF!*0.1))</f>
        <v/>
      </c>
      <c r="BD63" s="92" t="str">
        <f t="shared" si="27"/>
        <v/>
      </c>
      <c r="BE63" s="94" t="str">
        <f t="shared" si="28"/>
        <v/>
      </c>
      <c r="BF63" s="95" t="str">
        <f t="shared" si="29"/>
        <v/>
      </c>
      <c r="BG63" s="96" t="str">
        <f t="shared" si="30"/>
        <v/>
      </c>
      <c r="BH63" s="95" t="str">
        <f>IF(ISERR(IF(B63="","",AVERAGE('Q3'!CX69,'Q4'!CX69)*0.1)),"",IF(B63="","",AVERAGE('Q3'!CX69,'Q4'!CX69)*0.1))</f>
        <v/>
      </c>
      <c r="BI63" s="102" t="str">
        <f t="shared" si="31"/>
        <v/>
      </c>
      <c r="BJ63" s="97" t="str">
        <f t="shared" si="32"/>
        <v/>
      </c>
      <c r="BK63" s="98" t="str">
        <f t="shared" si="33"/>
        <v/>
      </c>
      <c r="BL63" s="99" t="str">
        <f t="shared" si="34"/>
        <v/>
      </c>
      <c r="BM63" s="100" t="str">
        <f t="shared" si="35"/>
        <v/>
      </c>
      <c r="BN63" s="99" t="str">
        <f t="shared" si="36"/>
        <v/>
      </c>
      <c r="BO63" s="100" t="str">
        <f t="shared" si="37"/>
        <v/>
      </c>
      <c r="BP63" s="99" t="str">
        <f t="shared" si="38"/>
        <v/>
      </c>
      <c r="BQ63" s="100" t="str">
        <f t="shared" si="39"/>
        <v/>
      </c>
      <c r="BR63" s="99" t="str">
        <f t="shared" si="40"/>
        <v/>
      </c>
      <c r="BS63" s="100" t="str">
        <f t="shared" si="41"/>
        <v/>
      </c>
      <c r="BT63" s="99" t="str">
        <f t="shared" si="42"/>
        <v/>
      </c>
      <c r="BU63" s="100" t="str">
        <f t="shared" si="43"/>
        <v/>
      </c>
      <c r="BV63" s="99" t="str">
        <f t="shared" si="44"/>
        <v/>
      </c>
      <c r="BW63" s="100" t="str">
        <f t="shared" si="45"/>
        <v/>
      </c>
      <c r="BX63" s="99" t="str">
        <f t="shared" si="46"/>
        <v/>
      </c>
      <c r="BY63" s="100" t="str">
        <f t="shared" si="47"/>
        <v/>
      </c>
      <c r="BZ63" s="99" t="str">
        <f t="shared" si="48"/>
        <v/>
      </c>
      <c r="CA63" s="101" t="str">
        <f>IF(B63="","",SUM(#REF!))</f>
        <v/>
      </c>
    </row>
    <row r="64" spans="1:79" ht="24.5" x14ac:dyDescent="0.35">
      <c r="A64" s="90" t="str">
        <f>IF('Q4'!A70="","",'Q4'!A70)</f>
        <v/>
      </c>
      <c r="B64" s="90" t="str">
        <f>IF('Q4'!B70="","",'Q4'!B70)</f>
        <v/>
      </c>
      <c r="C64" s="107" t="str">
        <f>IF('Q4'!C70="","",'Q4'!C70)</f>
        <v/>
      </c>
      <c r="D64" s="104" t="str">
        <f>IF('Q4'!D70="","",'Q4'!D70)</f>
        <v/>
      </c>
      <c r="E64" s="90" t="str">
        <f>IF('Q4'!E70="","",'Q4'!E70)</f>
        <v/>
      </c>
      <c r="F64" s="90" t="str">
        <f>IF('Q4'!F70="","",'Q4'!F70)</f>
        <v/>
      </c>
      <c r="G64" s="91" t="str">
        <f>IF($B64="","",IF(FinalSem1!#REF!="","",FinalSem1!#REF!*0.1))</f>
        <v/>
      </c>
      <c r="H64" s="92" t="str">
        <f t="shared" si="1"/>
        <v/>
      </c>
      <c r="I64" s="91" t="str">
        <f>IF($B64="","",IF(FinalSem1!#REF!="","",FinalSem1!#REF!*0.1))</f>
        <v/>
      </c>
      <c r="J64" s="92" t="str">
        <f t="shared" si="2"/>
        <v/>
      </c>
      <c r="K64" s="93" t="str">
        <f>IF($B64="","",IF(FinalSem1!#REF!="","",FinalSem1!#REF!*0.1))</f>
        <v/>
      </c>
      <c r="L64" s="92" t="str">
        <f t="shared" si="3"/>
        <v/>
      </c>
      <c r="M64" s="93" t="str">
        <f>IF($B64="","",IF(FinalSem1!#REF!="","",FinalSem1!#REF!*0.1))</f>
        <v/>
      </c>
      <c r="N64" s="92" t="str">
        <f t="shared" si="4"/>
        <v/>
      </c>
      <c r="O64" s="93" t="str">
        <f>IF($B64="","",IF(FinalSem1!#REF!="","",FinalSem1!#REF!*0.1))</f>
        <v/>
      </c>
      <c r="P64" s="92" t="str">
        <f t="shared" si="5"/>
        <v/>
      </c>
      <c r="Q64" s="93" t="str">
        <f>IF($B64="","",IF(FinalSem1!#REF!="","",FinalSem1!#REF!*0.1))</f>
        <v/>
      </c>
      <c r="R64" s="92" t="str">
        <f t="shared" si="6"/>
        <v/>
      </c>
      <c r="S64" s="93" t="str">
        <f>IF($B64="","",IF(FinalSem1!#REF!="","",FinalSem1!#REF!*0.1))</f>
        <v/>
      </c>
      <c r="T64" s="92" t="str">
        <f t="shared" si="7"/>
        <v/>
      </c>
      <c r="U64" s="93" t="str">
        <f>IF($B64="","",IF(FinalSem1!#REF!="","",FinalSem1!#REF!*0.1))</f>
        <v/>
      </c>
      <c r="V64" s="92" t="str">
        <f t="shared" si="8"/>
        <v/>
      </c>
      <c r="W64" s="93" t="str">
        <f>IF($B64="","",IF(FinalSem1!#REF!="","",FinalSem1!#REF!*0.1))</f>
        <v/>
      </c>
      <c r="X64" s="92" t="str">
        <f t="shared" si="9"/>
        <v/>
      </c>
      <c r="Y64" s="93" t="str">
        <f>IF($B64="","",IF(FinalSem1!#REF!="","",FinalSem1!#REF!*0.1))</f>
        <v/>
      </c>
      <c r="Z64" s="92" t="str">
        <f t="shared" si="10"/>
        <v/>
      </c>
      <c r="AA64" s="93" t="str">
        <f>IF(ISERR(IF(B64="","",IF(F64="III",AVERAGE('[1]FINAL SEM1'!Y65:AA65)*0.1,IF(OR(F64="I",F64="II",F64="M",F64="A"),AVERAGE('[1]FINAL SEM1'!Y65:AA65)*0.1)))),"",IF(B64="","",IF(F64="III",AVERAGE('[1]FINAL SEM1'!Y65:AA65)*0.1,IF(OR(F64="I",F64="II",F64="M",F64="A"),AVERAGE('[1]FINAL SEM1'!Y65:AA65)*0.1))))</f>
        <v/>
      </c>
      <c r="AB64" s="92" t="str">
        <f t="shared" si="11"/>
        <v/>
      </c>
      <c r="AC64" s="94" t="str">
        <f t="shared" si="12"/>
        <v/>
      </c>
      <c r="AD64" s="95" t="str">
        <f t="shared" si="13"/>
        <v/>
      </c>
      <c r="AE64" s="96" t="str">
        <f t="shared" si="14"/>
        <v/>
      </c>
      <c r="AF64" s="95" t="str">
        <f>IF(ISERR(IF(B64="","",AVERAGE('Q1'!#REF!,'Q2'!CX54)*0.1)),"",IF(B64="","",AVERAGE('Q1'!#REF!,'Q2'!CX54)*0.1))</f>
        <v/>
      </c>
      <c r="AG64" s="102" t="str">
        <f t="shared" si="15"/>
        <v/>
      </c>
      <c r="AH64" s="97" t="str">
        <f t="shared" si="16"/>
        <v/>
      </c>
      <c r="AI64" s="91" t="str">
        <f>IF(ISERR(IF('[1]FINAL SEM2'!N65="","",'[1]FINAL SEM2'!N65*0.1)),"",IF($B64="","",IF('[1]FINAL SEM2'!N65="","",'[1]FINAL SEM2'!N65*0.1)))</f>
        <v/>
      </c>
      <c r="AJ64" s="92" t="str">
        <f t="shared" si="17"/>
        <v/>
      </c>
      <c r="AK64" s="93" t="str">
        <f>IF($B64="","",IF(FinalSem2!#REF!="","",FinalSem2!#REF!*0.1))</f>
        <v/>
      </c>
      <c r="AL64" s="92" t="str">
        <f t="shared" si="18"/>
        <v/>
      </c>
      <c r="AM64" s="93" t="str">
        <f>IF($B64="","",IF(FinalSem2!#REF!="","",FinalSem2!#REF!*0.1))</f>
        <v/>
      </c>
      <c r="AN64" s="92" t="str">
        <f t="shared" si="19"/>
        <v/>
      </c>
      <c r="AO64" s="93" t="str">
        <f>IF($B64="","",IF(FinalSem2!#REF!="","",FinalSem2!#REF!*0.1))</f>
        <v/>
      </c>
      <c r="AP64" s="92" t="str">
        <f t="shared" si="20"/>
        <v/>
      </c>
      <c r="AQ64" s="93" t="str">
        <f>IF($B64="","",IF(FinalSem2!#REF!="","",FinalSem2!#REF!*0.1))</f>
        <v/>
      </c>
      <c r="AR64" s="92" t="str">
        <f t="shared" si="21"/>
        <v/>
      </c>
      <c r="AS64" s="93" t="str">
        <f>IF($B64="","",IF(FinalSem2!#REF!="","",FinalSem2!#REF!*0.1))</f>
        <v/>
      </c>
      <c r="AT64" s="92" t="str">
        <f t="shared" si="22"/>
        <v/>
      </c>
      <c r="AU64" s="93" t="str">
        <f>IF($B64="","",IF(FinalSem2!#REF!="","",FinalSem2!#REF!*0.1))</f>
        <v/>
      </c>
      <c r="AV64" s="92" t="str">
        <f t="shared" si="23"/>
        <v/>
      </c>
      <c r="AW64" s="93" t="str">
        <f>IF($B64="","",IF(FinalSem2!#REF!="","",FinalSem2!#REF!*0.1))</f>
        <v/>
      </c>
      <c r="AX64" s="92" t="str">
        <f t="shared" si="24"/>
        <v/>
      </c>
      <c r="AY64" s="93" t="str">
        <f>IF($B64="","",IF(FinalSem2!#REF!="","",FinalSem2!#REF!*0.1))</f>
        <v/>
      </c>
      <c r="AZ64" s="92" t="str">
        <f t="shared" si="25"/>
        <v/>
      </c>
      <c r="BA64" s="93" t="str">
        <f>IF($B64="","",IF(FinalSem2!#REF!="","",FinalSem2!#REF!*0.1))</f>
        <v/>
      </c>
      <c r="BB64" s="92" t="str">
        <f t="shared" si="26"/>
        <v/>
      </c>
      <c r="BC64" s="93" t="str">
        <f>IF($B64="","",IF(FinalSem2!#REF!="","",FinalSem2!#REF!*0.1))</f>
        <v/>
      </c>
      <c r="BD64" s="92" t="str">
        <f t="shared" si="27"/>
        <v/>
      </c>
      <c r="BE64" s="94" t="str">
        <f t="shared" si="28"/>
        <v/>
      </c>
      <c r="BF64" s="95" t="str">
        <f t="shared" si="29"/>
        <v/>
      </c>
      <c r="BG64" s="96" t="str">
        <f t="shared" si="30"/>
        <v/>
      </c>
      <c r="BH64" s="95" t="str">
        <f>IF(ISERR(IF(B64="","",AVERAGE('Q3'!CX70,'Q4'!CX70)*0.1)),"",IF(B64="","",AVERAGE('Q3'!CX70,'Q4'!CX70)*0.1))</f>
        <v/>
      </c>
      <c r="BI64" s="102" t="str">
        <f t="shared" si="31"/>
        <v/>
      </c>
      <c r="BJ64" s="97" t="str">
        <f t="shared" si="32"/>
        <v/>
      </c>
      <c r="BK64" s="98" t="str">
        <f t="shared" si="33"/>
        <v/>
      </c>
      <c r="BL64" s="99" t="str">
        <f t="shared" si="34"/>
        <v/>
      </c>
      <c r="BM64" s="100" t="str">
        <f t="shared" si="35"/>
        <v/>
      </c>
      <c r="BN64" s="99" t="str">
        <f t="shared" si="36"/>
        <v/>
      </c>
      <c r="BO64" s="100" t="str">
        <f t="shared" si="37"/>
        <v/>
      </c>
      <c r="BP64" s="99" t="str">
        <f t="shared" si="38"/>
        <v/>
      </c>
      <c r="BQ64" s="100" t="str">
        <f t="shared" si="39"/>
        <v/>
      </c>
      <c r="BR64" s="99" t="str">
        <f t="shared" si="40"/>
        <v/>
      </c>
      <c r="BS64" s="100" t="str">
        <f t="shared" si="41"/>
        <v/>
      </c>
      <c r="BT64" s="99" t="str">
        <f t="shared" si="42"/>
        <v/>
      </c>
      <c r="BU64" s="100" t="str">
        <f t="shared" si="43"/>
        <v/>
      </c>
      <c r="BV64" s="99" t="str">
        <f t="shared" si="44"/>
        <v/>
      </c>
      <c r="BW64" s="100" t="str">
        <f t="shared" si="45"/>
        <v/>
      </c>
      <c r="BX64" s="99" t="str">
        <f t="shared" si="46"/>
        <v/>
      </c>
      <c r="BY64" s="100" t="str">
        <f t="shared" si="47"/>
        <v/>
      </c>
      <c r="BZ64" s="99" t="str">
        <f t="shared" si="48"/>
        <v/>
      </c>
      <c r="CA64" s="101" t="str">
        <f>IF(B64="","",SUM(#REF!))</f>
        <v/>
      </c>
    </row>
    <row r="65" spans="1:79" ht="24.5" x14ac:dyDescent="0.35">
      <c r="A65" s="90" t="str">
        <f>IF('Q4'!A71="","",'Q4'!A71)</f>
        <v/>
      </c>
      <c r="B65" s="90" t="str">
        <f>IF('Q4'!B71="","",'Q4'!B71)</f>
        <v/>
      </c>
      <c r="C65" s="107" t="str">
        <f>IF('Q4'!C71="","",'Q4'!C71)</f>
        <v/>
      </c>
      <c r="D65" s="104" t="str">
        <f>IF('Q4'!D71="","",'Q4'!D71)</f>
        <v/>
      </c>
      <c r="E65" s="90" t="str">
        <f>IF('Q4'!E71="","",'Q4'!E71)</f>
        <v/>
      </c>
      <c r="F65" s="90" t="str">
        <f>IF('Q4'!F71="","",'Q4'!F71)</f>
        <v/>
      </c>
      <c r="G65" s="91" t="str">
        <f>IF($B65="","",IF(FinalSem1!#REF!="","",FinalSem1!#REF!*0.1))</f>
        <v/>
      </c>
      <c r="H65" s="92" t="str">
        <f t="shared" si="1"/>
        <v/>
      </c>
      <c r="I65" s="91" t="str">
        <f>IF($B65="","",IF(FinalSem1!#REF!="","",FinalSem1!#REF!*0.1))</f>
        <v/>
      </c>
      <c r="J65" s="92" t="str">
        <f t="shared" si="2"/>
        <v/>
      </c>
      <c r="K65" s="93" t="str">
        <f>IF($B65="","",IF(FinalSem1!#REF!="","",FinalSem1!#REF!*0.1))</f>
        <v/>
      </c>
      <c r="L65" s="92" t="str">
        <f t="shared" si="3"/>
        <v/>
      </c>
      <c r="M65" s="93" t="str">
        <f>IF($B65="","",IF(FinalSem1!#REF!="","",FinalSem1!#REF!*0.1))</f>
        <v/>
      </c>
      <c r="N65" s="92" t="str">
        <f t="shared" si="4"/>
        <v/>
      </c>
      <c r="O65" s="93" t="str">
        <f>IF($B65="","",IF(FinalSem1!#REF!="","",FinalSem1!#REF!*0.1))</f>
        <v/>
      </c>
      <c r="P65" s="92" t="str">
        <f t="shared" si="5"/>
        <v/>
      </c>
      <c r="Q65" s="93" t="str">
        <f>IF($B65="","",IF(FinalSem1!#REF!="","",FinalSem1!#REF!*0.1))</f>
        <v/>
      </c>
      <c r="R65" s="92" t="str">
        <f t="shared" si="6"/>
        <v/>
      </c>
      <c r="S65" s="93" t="str">
        <f>IF($B65="","",IF(FinalSem1!#REF!="","",FinalSem1!#REF!*0.1))</f>
        <v/>
      </c>
      <c r="T65" s="92" t="str">
        <f t="shared" si="7"/>
        <v/>
      </c>
      <c r="U65" s="93" t="str">
        <f>IF($B65="","",IF(FinalSem1!#REF!="","",FinalSem1!#REF!*0.1))</f>
        <v/>
      </c>
      <c r="V65" s="92" t="str">
        <f t="shared" si="8"/>
        <v/>
      </c>
      <c r="W65" s="93" t="str">
        <f>IF($B65="","",IF(FinalSem1!#REF!="","",FinalSem1!#REF!*0.1))</f>
        <v/>
      </c>
      <c r="X65" s="92" t="str">
        <f t="shared" si="9"/>
        <v/>
      </c>
      <c r="Y65" s="93" t="str">
        <f>IF($B65="","",IF(FinalSem1!#REF!="","",FinalSem1!#REF!*0.1))</f>
        <v/>
      </c>
      <c r="Z65" s="92" t="str">
        <f t="shared" si="10"/>
        <v/>
      </c>
      <c r="AA65" s="93" t="str">
        <f>IF(ISERR(IF(B65="","",IF(F65="III",AVERAGE('[1]FINAL SEM1'!Y66:AA66)*0.1,IF(OR(F65="I",F65="II",F65="M",F65="A"),AVERAGE('[1]FINAL SEM1'!Y66:AA66)*0.1)))),"",IF(B65="","",IF(F65="III",AVERAGE('[1]FINAL SEM1'!Y66:AA66)*0.1,IF(OR(F65="I",F65="II",F65="M",F65="A"),AVERAGE('[1]FINAL SEM1'!Y66:AA66)*0.1))))</f>
        <v/>
      </c>
      <c r="AB65" s="92" t="str">
        <f t="shared" si="11"/>
        <v/>
      </c>
      <c r="AC65" s="94" t="str">
        <f t="shared" si="12"/>
        <v/>
      </c>
      <c r="AD65" s="95" t="str">
        <f t="shared" si="13"/>
        <v/>
      </c>
      <c r="AE65" s="96" t="str">
        <f t="shared" si="14"/>
        <v/>
      </c>
      <c r="AF65" s="95" t="str">
        <f>IF(ISERR(IF(B65="","",AVERAGE('Q1'!#REF!,'Q2'!CX55)*0.1)),"",IF(B65="","",AVERAGE('Q1'!#REF!,'Q2'!CX55)*0.1))</f>
        <v/>
      </c>
      <c r="AG65" s="102" t="str">
        <f t="shared" si="15"/>
        <v/>
      </c>
      <c r="AH65" s="97" t="str">
        <f t="shared" si="16"/>
        <v/>
      </c>
      <c r="AI65" s="91" t="str">
        <f>IF(ISERR(IF('[1]FINAL SEM2'!N66="","",'[1]FINAL SEM2'!N66*0.1)),"",IF($B65="","",IF('[1]FINAL SEM2'!N66="","",'[1]FINAL SEM2'!N66*0.1)))</f>
        <v/>
      </c>
      <c r="AJ65" s="92" t="str">
        <f t="shared" si="17"/>
        <v/>
      </c>
      <c r="AK65" s="93" t="str">
        <f>IF($B65="","",IF(FinalSem2!#REF!="","",FinalSem2!#REF!*0.1))</f>
        <v/>
      </c>
      <c r="AL65" s="92" t="str">
        <f t="shared" si="18"/>
        <v/>
      </c>
      <c r="AM65" s="93" t="str">
        <f>IF($B65="","",IF(FinalSem2!#REF!="","",FinalSem2!#REF!*0.1))</f>
        <v/>
      </c>
      <c r="AN65" s="92" t="str">
        <f t="shared" si="19"/>
        <v/>
      </c>
      <c r="AO65" s="93" t="str">
        <f>IF($B65="","",IF(FinalSem2!#REF!="","",FinalSem2!#REF!*0.1))</f>
        <v/>
      </c>
      <c r="AP65" s="92" t="str">
        <f t="shared" si="20"/>
        <v/>
      </c>
      <c r="AQ65" s="93" t="str">
        <f>IF($B65="","",IF(FinalSem2!#REF!="","",FinalSem2!#REF!*0.1))</f>
        <v/>
      </c>
      <c r="AR65" s="92" t="str">
        <f t="shared" si="21"/>
        <v/>
      </c>
      <c r="AS65" s="93" t="str">
        <f>IF($B65="","",IF(FinalSem2!#REF!="","",FinalSem2!#REF!*0.1))</f>
        <v/>
      </c>
      <c r="AT65" s="92" t="str">
        <f t="shared" si="22"/>
        <v/>
      </c>
      <c r="AU65" s="93" t="str">
        <f>IF($B65="","",IF(FinalSem2!#REF!="","",FinalSem2!#REF!*0.1))</f>
        <v/>
      </c>
      <c r="AV65" s="92" t="str">
        <f t="shared" si="23"/>
        <v/>
      </c>
      <c r="AW65" s="93" t="str">
        <f>IF($B65="","",IF(FinalSem2!#REF!="","",FinalSem2!#REF!*0.1))</f>
        <v/>
      </c>
      <c r="AX65" s="92" t="str">
        <f t="shared" si="24"/>
        <v/>
      </c>
      <c r="AY65" s="93" t="str">
        <f>IF($B65="","",IF(FinalSem2!#REF!="","",FinalSem2!#REF!*0.1))</f>
        <v/>
      </c>
      <c r="AZ65" s="92" t="str">
        <f t="shared" si="25"/>
        <v/>
      </c>
      <c r="BA65" s="93" t="str">
        <f>IF($B65="","",IF(FinalSem2!#REF!="","",FinalSem2!#REF!*0.1))</f>
        <v/>
      </c>
      <c r="BB65" s="92" t="str">
        <f t="shared" si="26"/>
        <v/>
      </c>
      <c r="BC65" s="93" t="str">
        <f>IF($B65="","",IF(FinalSem2!#REF!="","",FinalSem2!#REF!*0.1))</f>
        <v/>
      </c>
      <c r="BD65" s="92" t="str">
        <f t="shared" si="27"/>
        <v/>
      </c>
      <c r="BE65" s="94" t="str">
        <f t="shared" si="28"/>
        <v/>
      </c>
      <c r="BF65" s="95" t="str">
        <f t="shared" si="29"/>
        <v/>
      </c>
      <c r="BG65" s="96" t="str">
        <f t="shared" si="30"/>
        <v/>
      </c>
      <c r="BH65" s="95" t="str">
        <f>IF(ISERR(IF(B65="","",AVERAGE('Q3'!CX71,'Q4'!CX71)*0.1)),"",IF(B65="","",AVERAGE('Q3'!CX71,'Q4'!CX71)*0.1))</f>
        <v/>
      </c>
      <c r="BI65" s="102" t="str">
        <f t="shared" si="31"/>
        <v/>
      </c>
      <c r="BJ65" s="97" t="str">
        <f t="shared" si="32"/>
        <v/>
      </c>
      <c r="BK65" s="98" t="str">
        <f t="shared" si="33"/>
        <v/>
      </c>
      <c r="BL65" s="99" t="str">
        <f t="shared" si="34"/>
        <v/>
      </c>
      <c r="BM65" s="100" t="str">
        <f t="shared" si="35"/>
        <v/>
      </c>
      <c r="BN65" s="99" t="str">
        <f t="shared" si="36"/>
        <v/>
      </c>
      <c r="BO65" s="100" t="str">
        <f t="shared" si="37"/>
        <v/>
      </c>
      <c r="BP65" s="99" t="str">
        <f t="shared" si="38"/>
        <v/>
      </c>
      <c r="BQ65" s="100" t="str">
        <f t="shared" si="39"/>
        <v/>
      </c>
      <c r="BR65" s="99" t="str">
        <f t="shared" si="40"/>
        <v/>
      </c>
      <c r="BS65" s="100" t="str">
        <f t="shared" si="41"/>
        <v/>
      </c>
      <c r="BT65" s="99" t="str">
        <f t="shared" si="42"/>
        <v/>
      </c>
      <c r="BU65" s="100" t="str">
        <f t="shared" si="43"/>
        <v/>
      </c>
      <c r="BV65" s="99" t="str">
        <f t="shared" si="44"/>
        <v/>
      </c>
      <c r="BW65" s="100" t="str">
        <f t="shared" si="45"/>
        <v/>
      </c>
      <c r="BX65" s="99" t="str">
        <f t="shared" si="46"/>
        <v/>
      </c>
      <c r="BY65" s="100" t="str">
        <f t="shared" si="47"/>
        <v/>
      </c>
      <c r="BZ65" s="99" t="str">
        <f t="shared" si="48"/>
        <v/>
      </c>
      <c r="CA65" s="101" t="str">
        <f>IF(B65="","",SUM(#REF!))</f>
        <v/>
      </c>
    </row>
    <row r="66" spans="1:79" ht="24.5" x14ac:dyDescent="0.35">
      <c r="A66" s="90" t="str">
        <f>IF('Q4'!A72="","",'Q4'!A72)</f>
        <v/>
      </c>
      <c r="B66" s="90" t="str">
        <f>IF('Q4'!B72="","",'Q4'!B72)</f>
        <v/>
      </c>
      <c r="C66" s="107" t="str">
        <f>IF('Q4'!C72="","",'Q4'!C72)</f>
        <v/>
      </c>
      <c r="D66" s="104" t="str">
        <f>IF('Q4'!D72="","",'Q4'!D72)</f>
        <v/>
      </c>
      <c r="E66" s="90" t="str">
        <f>IF('Q4'!E72="","",'Q4'!E72)</f>
        <v/>
      </c>
      <c r="F66" s="90" t="str">
        <f>IF('Q4'!F72="","",'Q4'!F72)</f>
        <v/>
      </c>
      <c r="G66" s="91" t="str">
        <f>IF($B66="","",IF(FinalSem1!#REF!="","",FinalSem1!#REF!*0.1))</f>
        <v/>
      </c>
      <c r="H66" s="92" t="str">
        <f t="shared" si="1"/>
        <v/>
      </c>
      <c r="I66" s="91" t="str">
        <f>IF($B66="","",IF(FinalSem1!#REF!="","",FinalSem1!#REF!*0.1))</f>
        <v/>
      </c>
      <c r="J66" s="92" t="str">
        <f t="shared" si="2"/>
        <v/>
      </c>
      <c r="K66" s="93" t="str">
        <f>IF($B66="","",IF(FinalSem1!#REF!="","",FinalSem1!#REF!*0.1))</f>
        <v/>
      </c>
      <c r="L66" s="92" t="str">
        <f t="shared" si="3"/>
        <v/>
      </c>
      <c r="M66" s="93" t="str">
        <f>IF($B66="","",IF(FinalSem1!#REF!="","",FinalSem1!#REF!*0.1))</f>
        <v/>
      </c>
      <c r="N66" s="92" t="str">
        <f t="shared" si="4"/>
        <v/>
      </c>
      <c r="O66" s="93" t="str">
        <f>IF($B66="","",IF(FinalSem1!#REF!="","",FinalSem1!#REF!*0.1))</f>
        <v/>
      </c>
      <c r="P66" s="92" t="str">
        <f t="shared" si="5"/>
        <v/>
      </c>
      <c r="Q66" s="93" t="str">
        <f>IF($B66="","",IF(FinalSem1!#REF!="","",FinalSem1!#REF!*0.1))</f>
        <v/>
      </c>
      <c r="R66" s="92" t="str">
        <f t="shared" si="6"/>
        <v/>
      </c>
      <c r="S66" s="93" t="str">
        <f>IF($B66="","",IF(FinalSem1!#REF!="","",FinalSem1!#REF!*0.1))</f>
        <v/>
      </c>
      <c r="T66" s="92" t="str">
        <f t="shared" si="7"/>
        <v/>
      </c>
      <c r="U66" s="93" t="str">
        <f>IF($B66="","",IF(FinalSem1!#REF!="","",FinalSem1!#REF!*0.1))</f>
        <v/>
      </c>
      <c r="V66" s="92" t="str">
        <f t="shared" si="8"/>
        <v/>
      </c>
      <c r="W66" s="93" t="str">
        <f>IF($B66="","",IF(FinalSem1!#REF!="","",FinalSem1!#REF!*0.1))</f>
        <v/>
      </c>
      <c r="X66" s="92" t="str">
        <f t="shared" si="9"/>
        <v/>
      </c>
      <c r="Y66" s="93" t="str">
        <f>IF($B66="","",IF(FinalSem1!#REF!="","",FinalSem1!#REF!*0.1))</f>
        <v/>
      </c>
      <c r="Z66" s="92" t="str">
        <f t="shared" si="10"/>
        <v/>
      </c>
      <c r="AA66" s="93" t="str">
        <f>IF(ISERR(IF(B66="","",IF(F66="III",AVERAGE('[1]FINAL SEM1'!Y67:AA67)*0.1,IF(OR(F66="I",F66="II",F66="M",F66="A"),AVERAGE('[1]FINAL SEM1'!Y67:AA67)*0.1)))),"",IF(B66="","",IF(F66="III",AVERAGE('[1]FINAL SEM1'!Y67:AA67)*0.1,IF(OR(F66="I",F66="II",F66="M",F66="A"),AVERAGE('[1]FINAL SEM1'!Y67:AA67)*0.1))))</f>
        <v/>
      </c>
      <c r="AB66" s="92" t="str">
        <f t="shared" si="11"/>
        <v/>
      </c>
      <c r="AC66" s="94" t="str">
        <f t="shared" si="12"/>
        <v/>
      </c>
      <c r="AD66" s="95" t="str">
        <f t="shared" si="13"/>
        <v/>
      </c>
      <c r="AE66" s="96" t="str">
        <f t="shared" si="14"/>
        <v/>
      </c>
      <c r="AF66" s="95" t="str">
        <f>IF(ISERR(IF(B66="","",AVERAGE('Q1'!#REF!,'Q2'!CX56)*0.1)),"",IF(B66="","",AVERAGE('Q1'!#REF!,'Q2'!CX56)*0.1))</f>
        <v/>
      </c>
      <c r="AG66" s="102" t="str">
        <f t="shared" si="15"/>
        <v/>
      </c>
      <c r="AH66" s="97" t="str">
        <f t="shared" si="16"/>
        <v/>
      </c>
      <c r="AI66" s="91" t="str">
        <f>IF(ISERR(IF('[1]FINAL SEM2'!N67="","",'[1]FINAL SEM2'!N67*0.1)),"",IF($B66="","",IF('[1]FINAL SEM2'!N67="","",'[1]FINAL SEM2'!N67*0.1)))</f>
        <v/>
      </c>
      <c r="AJ66" s="92" t="str">
        <f t="shared" si="17"/>
        <v/>
      </c>
      <c r="AK66" s="93" t="str">
        <f>IF($B66="","",IF(FinalSem2!#REF!="","",FinalSem2!#REF!*0.1))</f>
        <v/>
      </c>
      <c r="AL66" s="92" t="str">
        <f t="shared" si="18"/>
        <v/>
      </c>
      <c r="AM66" s="93" t="str">
        <f>IF($B66="","",IF(FinalSem2!#REF!="","",FinalSem2!#REF!*0.1))</f>
        <v/>
      </c>
      <c r="AN66" s="92" t="str">
        <f t="shared" si="19"/>
        <v/>
      </c>
      <c r="AO66" s="93" t="str">
        <f>IF($B66="","",IF(FinalSem2!#REF!="","",FinalSem2!#REF!*0.1))</f>
        <v/>
      </c>
      <c r="AP66" s="92" t="str">
        <f t="shared" si="20"/>
        <v/>
      </c>
      <c r="AQ66" s="93" t="str">
        <f>IF($B66="","",IF(FinalSem2!#REF!="","",FinalSem2!#REF!*0.1))</f>
        <v/>
      </c>
      <c r="AR66" s="92" t="str">
        <f t="shared" si="21"/>
        <v/>
      </c>
      <c r="AS66" s="93" t="str">
        <f>IF($B66="","",IF(FinalSem2!#REF!="","",FinalSem2!#REF!*0.1))</f>
        <v/>
      </c>
      <c r="AT66" s="92" t="str">
        <f t="shared" si="22"/>
        <v/>
      </c>
      <c r="AU66" s="93" t="str">
        <f>IF($B66="","",IF(FinalSem2!#REF!="","",FinalSem2!#REF!*0.1))</f>
        <v/>
      </c>
      <c r="AV66" s="92" t="str">
        <f t="shared" si="23"/>
        <v/>
      </c>
      <c r="AW66" s="93" t="str">
        <f>IF($B66="","",IF(FinalSem2!#REF!="","",FinalSem2!#REF!*0.1))</f>
        <v/>
      </c>
      <c r="AX66" s="92" t="str">
        <f t="shared" si="24"/>
        <v/>
      </c>
      <c r="AY66" s="93" t="str">
        <f>IF($B66="","",IF(FinalSem2!#REF!="","",FinalSem2!#REF!*0.1))</f>
        <v/>
      </c>
      <c r="AZ66" s="92" t="str">
        <f t="shared" si="25"/>
        <v/>
      </c>
      <c r="BA66" s="93" t="str">
        <f>IF($B66="","",IF(FinalSem2!#REF!="","",FinalSem2!#REF!*0.1))</f>
        <v/>
      </c>
      <c r="BB66" s="92" t="str">
        <f t="shared" si="26"/>
        <v/>
      </c>
      <c r="BC66" s="93" t="str">
        <f>IF($B66="","",IF(FinalSem2!#REF!="","",FinalSem2!#REF!*0.1))</f>
        <v/>
      </c>
      <c r="BD66" s="92" t="str">
        <f t="shared" si="27"/>
        <v/>
      </c>
      <c r="BE66" s="94" t="str">
        <f t="shared" si="28"/>
        <v/>
      </c>
      <c r="BF66" s="95" t="str">
        <f t="shared" si="29"/>
        <v/>
      </c>
      <c r="BG66" s="96" t="str">
        <f t="shared" si="30"/>
        <v/>
      </c>
      <c r="BH66" s="95" t="str">
        <f>IF(ISERR(IF(B66="","",AVERAGE('Q3'!CX72,'Q4'!CX72)*0.1)),"",IF(B66="","",AVERAGE('Q3'!CX72,'Q4'!CX72)*0.1))</f>
        <v/>
      </c>
      <c r="BI66" s="102" t="str">
        <f t="shared" si="31"/>
        <v/>
      </c>
      <c r="BJ66" s="97" t="str">
        <f t="shared" si="32"/>
        <v/>
      </c>
      <c r="BK66" s="98" t="str">
        <f t="shared" si="33"/>
        <v/>
      </c>
      <c r="BL66" s="99" t="str">
        <f t="shared" si="34"/>
        <v/>
      </c>
      <c r="BM66" s="100" t="str">
        <f t="shared" si="35"/>
        <v/>
      </c>
      <c r="BN66" s="99" t="str">
        <f t="shared" si="36"/>
        <v/>
      </c>
      <c r="BO66" s="100" t="str">
        <f t="shared" si="37"/>
        <v/>
      </c>
      <c r="BP66" s="99" t="str">
        <f t="shared" si="38"/>
        <v/>
      </c>
      <c r="BQ66" s="100" t="str">
        <f t="shared" si="39"/>
        <v/>
      </c>
      <c r="BR66" s="99" t="str">
        <f t="shared" si="40"/>
        <v/>
      </c>
      <c r="BS66" s="100" t="str">
        <f t="shared" si="41"/>
        <v/>
      </c>
      <c r="BT66" s="99" t="str">
        <f t="shared" si="42"/>
        <v/>
      </c>
      <c r="BU66" s="100" t="str">
        <f t="shared" si="43"/>
        <v/>
      </c>
      <c r="BV66" s="99" t="str">
        <f t="shared" si="44"/>
        <v/>
      </c>
      <c r="BW66" s="100" t="str">
        <f t="shared" si="45"/>
        <v/>
      </c>
      <c r="BX66" s="99" t="str">
        <f t="shared" si="46"/>
        <v/>
      </c>
      <c r="BY66" s="100" t="str">
        <f t="shared" si="47"/>
        <v/>
      </c>
      <c r="BZ66" s="99" t="str">
        <f t="shared" si="48"/>
        <v/>
      </c>
      <c r="CA66" s="101" t="str">
        <f>IF(B66="","",SUM(#REF!))</f>
        <v/>
      </c>
    </row>
    <row r="67" spans="1:79" ht="24.5" x14ac:dyDescent="0.35">
      <c r="A67" s="90" t="str">
        <f>IF('Q4'!A73="","",'Q4'!A73)</f>
        <v/>
      </c>
      <c r="B67" s="90" t="str">
        <f>IF('Q4'!B73="","",'Q4'!B73)</f>
        <v/>
      </c>
      <c r="C67" s="107" t="str">
        <f>IF('Q4'!C73="","",'Q4'!C73)</f>
        <v/>
      </c>
      <c r="D67" s="104" t="str">
        <f>IF('Q4'!D73="","",'Q4'!D73)</f>
        <v/>
      </c>
      <c r="E67" s="90" t="str">
        <f>IF('Q4'!E73="","",'Q4'!E73)</f>
        <v/>
      </c>
      <c r="F67" s="90" t="str">
        <f>IF('Q4'!F73="","",'Q4'!F73)</f>
        <v/>
      </c>
      <c r="G67" s="91" t="str">
        <f>IF($B67="","",IF(FinalSem1!#REF!="","",FinalSem1!#REF!*0.1))</f>
        <v/>
      </c>
      <c r="H67" s="92" t="str">
        <f t="shared" si="1"/>
        <v/>
      </c>
      <c r="I67" s="91" t="str">
        <f>IF($B67="","",IF(FinalSem1!#REF!="","",FinalSem1!#REF!*0.1))</f>
        <v/>
      </c>
      <c r="J67" s="92" t="str">
        <f t="shared" si="2"/>
        <v/>
      </c>
      <c r="K67" s="93" t="str">
        <f>IF($B67="","",IF(FinalSem1!#REF!="","",FinalSem1!#REF!*0.1))</f>
        <v/>
      </c>
      <c r="L67" s="92" t="str">
        <f t="shared" si="3"/>
        <v/>
      </c>
      <c r="M67" s="93" t="str">
        <f>IF($B67="","",IF(FinalSem1!#REF!="","",FinalSem1!#REF!*0.1))</f>
        <v/>
      </c>
      <c r="N67" s="92" t="str">
        <f t="shared" si="4"/>
        <v/>
      </c>
      <c r="O67" s="93" t="str">
        <f>IF($B67="","",IF(FinalSem1!#REF!="","",FinalSem1!#REF!*0.1))</f>
        <v/>
      </c>
      <c r="P67" s="92" t="str">
        <f t="shared" si="5"/>
        <v/>
      </c>
      <c r="Q67" s="93" t="str">
        <f>IF($B67="","",IF(FinalSem1!#REF!="","",FinalSem1!#REF!*0.1))</f>
        <v/>
      </c>
      <c r="R67" s="92" t="str">
        <f t="shared" si="6"/>
        <v/>
      </c>
      <c r="S67" s="93" t="str">
        <f>IF($B67="","",IF(FinalSem1!#REF!="","",FinalSem1!#REF!*0.1))</f>
        <v/>
      </c>
      <c r="T67" s="92" t="str">
        <f t="shared" si="7"/>
        <v/>
      </c>
      <c r="U67" s="93" t="str">
        <f>IF($B67="","",IF(FinalSem1!#REF!="","",FinalSem1!#REF!*0.1))</f>
        <v/>
      </c>
      <c r="V67" s="92" t="str">
        <f t="shared" si="8"/>
        <v/>
      </c>
      <c r="W67" s="93" t="str">
        <f>IF($B67="","",IF(FinalSem1!#REF!="","",FinalSem1!#REF!*0.1))</f>
        <v/>
      </c>
      <c r="X67" s="92" t="str">
        <f t="shared" si="9"/>
        <v/>
      </c>
      <c r="Y67" s="93" t="str">
        <f>IF($B67="","",IF(FinalSem1!#REF!="","",FinalSem1!#REF!*0.1))</f>
        <v/>
      </c>
      <c r="Z67" s="92" t="str">
        <f t="shared" si="10"/>
        <v/>
      </c>
      <c r="AA67" s="93" t="str">
        <f>IF(ISERR(IF(B67="","",IF(F67="III",AVERAGE('[1]FINAL SEM1'!Y68:AA68)*0.1,IF(OR(F67="I",F67="II",F67="M",F67="A"),AVERAGE('[1]FINAL SEM1'!Y68:AA68)*0.1)))),"",IF(B67="","",IF(F67="III",AVERAGE('[1]FINAL SEM1'!Y68:AA68)*0.1,IF(OR(F67="I",F67="II",F67="M",F67="A"),AVERAGE('[1]FINAL SEM1'!Y68:AA68)*0.1))))</f>
        <v/>
      </c>
      <c r="AB67" s="92" t="str">
        <f t="shared" si="11"/>
        <v/>
      </c>
      <c r="AC67" s="94" t="str">
        <f t="shared" si="12"/>
        <v/>
      </c>
      <c r="AD67" s="95" t="str">
        <f t="shared" si="13"/>
        <v/>
      </c>
      <c r="AE67" s="96" t="str">
        <f t="shared" si="14"/>
        <v/>
      </c>
      <c r="AF67" s="95" t="str">
        <f>IF(ISERR(IF(B67="","",AVERAGE('Q1'!#REF!,'Q2'!CX57)*0.1)),"",IF(B67="","",AVERAGE('Q1'!#REF!,'Q2'!CX57)*0.1))</f>
        <v/>
      </c>
      <c r="AG67" s="102" t="str">
        <f t="shared" si="15"/>
        <v/>
      </c>
      <c r="AH67" s="97" t="str">
        <f t="shared" si="16"/>
        <v/>
      </c>
      <c r="AI67" s="91" t="str">
        <f>IF(ISERR(IF('[1]FINAL SEM2'!N68="","",'[1]FINAL SEM2'!N68*0.1)),"",IF($B67="","",IF('[1]FINAL SEM2'!N68="","",'[1]FINAL SEM2'!N68*0.1)))</f>
        <v/>
      </c>
      <c r="AJ67" s="92" t="str">
        <f t="shared" si="17"/>
        <v/>
      </c>
      <c r="AK67" s="93" t="str">
        <f>IF($B67="","",IF(FinalSem2!#REF!="","",FinalSem2!#REF!*0.1))</f>
        <v/>
      </c>
      <c r="AL67" s="92" t="str">
        <f t="shared" si="18"/>
        <v/>
      </c>
      <c r="AM67" s="93" t="str">
        <f>IF($B67="","",IF(FinalSem2!#REF!="","",FinalSem2!#REF!*0.1))</f>
        <v/>
      </c>
      <c r="AN67" s="92" t="str">
        <f t="shared" si="19"/>
        <v/>
      </c>
      <c r="AO67" s="93" t="str">
        <f>IF($B67="","",IF(FinalSem2!#REF!="","",FinalSem2!#REF!*0.1))</f>
        <v/>
      </c>
      <c r="AP67" s="92" t="str">
        <f t="shared" si="20"/>
        <v/>
      </c>
      <c r="AQ67" s="93" t="str">
        <f>IF($B67="","",IF(FinalSem2!#REF!="","",FinalSem2!#REF!*0.1))</f>
        <v/>
      </c>
      <c r="AR67" s="92" t="str">
        <f t="shared" si="21"/>
        <v/>
      </c>
      <c r="AS67" s="93" t="str">
        <f>IF($B67="","",IF(FinalSem2!#REF!="","",FinalSem2!#REF!*0.1))</f>
        <v/>
      </c>
      <c r="AT67" s="92" t="str">
        <f t="shared" si="22"/>
        <v/>
      </c>
      <c r="AU67" s="93" t="str">
        <f>IF($B67="","",IF(FinalSem2!#REF!="","",FinalSem2!#REF!*0.1))</f>
        <v/>
      </c>
      <c r="AV67" s="92" t="str">
        <f t="shared" si="23"/>
        <v/>
      </c>
      <c r="AW67" s="93" t="str">
        <f>IF($B67="","",IF(FinalSem2!#REF!="","",FinalSem2!#REF!*0.1))</f>
        <v/>
      </c>
      <c r="AX67" s="92" t="str">
        <f t="shared" si="24"/>
        <v/>
      </c>
      <c r="AY67" s="93" t="str">
        <f>IF($B67="","",IF(FinalSem2!#REF!="","",FinalSem2!#REF!*0.1))</f>
        <v/>
      </c>
      <c r="AZ67" s="92" t="str">
        <f t="shared" si="25"/>
        <v/>
      </c>
      <c r="BA67" s="93" t="str">
        <f>IF($B67="","",IF(FinalSem2!#REF!="","",FinalSem2!#REF!*0.1))</f>
        <v/>
      </c>
      <c r="BB67" s="92" t="str">
        <f t="shared" si="26"/>
        <v/>
      </c>
      <c r="BC67" s="93" t="str">
        <f>IF($B67="","",IF(FinalSem2!#REF!="","",FinalSem2!#REF!*0.1))</f>
        <v/>
      </c>
      <c r="BD67" s="92" t="str">
        <f t="shared" si="27"/>
        <v/>
      </c>
      <c r="BE67" s="94" t="str">
        <f t="shared" si="28"/>
        <v/>
      </c>
      <c r="BF67" s="95" t="str">
        <f t="shared" si="29"/>
        <v/>
      </c>
      <c r="BG67" s="96" t="str">
        <f t="shared" si="30"/>
        <v/>
      </c>
      <c r="BH67" s="95" t="str">
        <f>IF(ISERR(IF(B67="","",AVERAGE('Q3'!CX73,'Q4'!CX73)*0.1)),"",IF(B67="","",AVERAGE('Q3'!CX73,'Q4'!CX73)*0.1))</f>
        <v/>
      </c>
      <c r="BI67" s="102" t="str">
        <f t="shared" si="31"/>
        <v/>
      </c>
      <c r="BJ67" s="97" t="str">
        <f t="shared" si="32"/>
        <v/>
      </c>
      <c r="BK67" s="98" t="str">
        <f t="shared" si="33"/>
        <v/>
      </c>
      <c r="BL67" s="99" t="str">
        <f t="shared" si="34"/>
        <v/>
      </c>
      <c r="BM67" s="100" t="str">
        <f t="shared" si="35"/>
        <v/>
      </c>
      <c r="BN67" s="99" t="str">
        <f t="shared" si="36"/>
        <v/>
      </c>
      <c r="BO67" s="100" t="str">
        <f t="shared" si="37"/>
        <v/>
      </c>
      <c r="BP67" s="99" t="str">
        <f t="shared" si="38"/>
        <v/>
      </c>
      <c r="BQ67" s="100" t="str">
        <f t="shared" si="39"/>
        <v/>
      </c>
      <c r="BR67" s="99" t="str">
        <f t="shared" si="40"/>
        <v/>
      </c>
      <c r="BS67" s="100" t="str">
        <f t="shared" si="41"/>
        <v/>
      </c>
      <c r="BT67" s="99" t="str">
        <f t="shared" si="42"/>
        <v/>
      </c>
      <c r="BU67" s="100" t="str">
        <f t="shared" si="43"/>
        <v/>
      </c>
      <c r="BV67" s="99" t="str">
        <f t="shared" si="44"/>
        <v/>
      </c>
      <c r="BW67" s="100" t="str">
        <f t="shared" si="45"/>
        <v/>
      </c>
      <c r="BX67" s="99" t="str">
        <f t="shared" si="46"/>
        <v/>
      </c>
      <c r="BY67" s="100" t="str">
        <f t="shared" si="47"/>
        <v/>
      </c>
      <c r="BZ67" s="99" t="str">
        <f t="shared" si="48"/>
        <v/>
      </c>
      <c r="CA67" s="101" t="str">
        <f>IF(B67="","",SUM(#REF!))</f>
        <v/>
      </c>
    </row>
  </sheetData>
  <mergeCells count="33">
    <mergeCell ref="CA7:CA8"/>
    <mergeCell ref="G8:J8"/>
    <mergeCell ref="K8:N8"/>
    <mergeCell ref="O8:R8"/>
    <mergeCell ref="S8:V8"/>
    <mergeCell ref="W8:Z8"/>
    <mergeCell ref="AA8:AD8"/>
    <mergeCell ref="BW8:BZ8"/>
    <mergeCell ref="AE8:AH8"/>
    <mergeCell ref="AI8:AL8"/>
    <mergeCell ref="AM8:AP8"/>
    <mergeCell ref="AQ8:AT8"/>
    <mergeCell ref="AQ6:BZ6"/>
    <mergeCell ref="B6:B8"/>
    <mergeCell ref="C6:C8"/>
    <mergeCell ref="D6:D8"/>
    <mergeCell ref="E6:E8"/>
    <mergeCell ref="A6:A8"/>
    <mergeCell ref="AU8:AX8"/>
    <mergeCell ref="BS8:BV8"/>
    <mergeCell ref="A2:B2"/>
    <mergeCell ref="C2:D2"/>
    <mergeCell ref="A3:B3"/>
    <mergeCell ref="C3:D3"/>
    <mergeCell ref="A4:B4"/>
    <mergeCell ref="C4:D4"/>
    <mergeCell ref="AY8:BB8"/>
    <mergeCell ref="BC8:BF8"/>
    <mergeCell ref="BG8:BJ8"/>
    <mergeCell ref="BK8:BM8"/>
    <mergeCell ref="BO8:BR8"/>
    <mergeCell ref="F6:F8"/>
    <mergeCell ref="G6:AP6"/>
  </mergeCells>
  <conditionalFormatting sqref="AI9:AI67 BK22:BK67 BY22:BY67 G9:G67 BM22:BM67 BO22:BO67 BQ22:BQ67 BS22:BS67 BU22:BU67 BW22:BW67">
    <cfRule type="cellIs" dxfId="6" priority="2" stopIfTrue="1" operator="between">
      <formula>0.1</formula>
      <formula>4.99</formula>
    </cfRule>
  </conditionalFormatting>
  <conditionalFormatting sqref="AC9:AC67 BE22:BE67">
    <cfRule type="cellIs" dxfId="5" priority="3" stopIfTrue="1" operator="between">
      <formula>0.1</formula>
      <formula>49.99</formula>
    </cfRule>
  </conditionalFormatting>
  <conditionalFormatting sqref="I9:I67">
    <cfRule type="cellIs" dxfId="4" priority="1" stopIfTrue="1" operator="between">
      <formula>0.1</formula>
      <formula>4.99</formula>
    </cfRule>
  </conditionalFormatting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7030A0"/>
  </sheetPr>
  <dimension ref="A1:PL27"/>
  <sheetViews>
    <sheetView zoomScale="59" zoomScaleNormal="59" workbookViewId="0">
      <selection activeCell="MV26" sqref="MV26"/>
    </sheetView>
  </sheetViews>
  <sheetFormatPr defaultRowHeight="14.5" x14ac:dyDescent="0.35"/>
  <cols>
    <col min="2" max="2" width="24.1796875" customWidth="1"/>
    <col min="3" max="3" width="26" bestFit="1" customWidth="1"/>
  </cols>
  <sheetData>
    <row r="1" spans="1:428" s="4" customFormat="1" x14ac:dyDescent="0.35"/>
    <row r="2" spans="1:428" s="4" customFormat="1" x14ac:dyDescent="0.35"/>
    <row r="3" spans="1:428" s="4" customFormat="1" x14ac:dyDescent="0.35"/>
    <row r="4" spans="1:428" s="4" customFormat="1" x14ac:dyDescent="0.35"/>
    <row r="5" spans="1:428" s="4" customFormat="1" x14ac:dyDescent="0.35"/>
    <row r="6" spans="1:428" s="4" customFormat="1" x14ac:dyDescent="0.35"/>
    <row r="7" spans="1:428" s="4" customFormat="1" x14ac:dyDescent="0.35"/>
    <row r="8" spans="1:428" s="4" customFormat="1" ht="20" x14ac:dyDescent="0.35">
      <c r="A8" s="281" t="s">
        <v>23</v>
      </c>
      <c r="B8" s="281"/>
      <c r="C8" s="15">
        <v>104</v>
      </c>
    </row>
    <row r="9" spans="1:428" s="4" customFormat="1" ht="20" x14ac:dyDescent="0.35">
      <c r="A9" s="281" t="s">
        <v>32</v>
      </c>
      <c r="B9" s="281"/>
      <c r="C9" s="15" t="s">
        <v>235</v>
      </c>
      <c r="D9" s="5"/>
    </row>
    <row r="10" spans="1:428" s="4" customFormat="1" ht="20" x14ac:dyDescent="0.35">
      <c r="A10" s="283" t="s">
        <v>47</v>
      </c>
      <c r="B10" s="284"/>
      <c r="C10" s="15" t="s">
        <v>281</v>
      </c>
      <c r="D10" s="5"/>
    </row>
    <row r="11" spans="1:428" s="4" customFormat="1" ht="20.25" customHeight="1" thickBot="1" x14ac:dyDescent="0.45">
      <c r="A11" s="241" t="s">
        <v>46</v>
      </c>
      <c r="B11" s="242"/>
      <c r="C11" s="16" t="s">
        <v>53</v>
      </c>
      <c r="D11" s="350" t="s">
        <v>36</v>
      </c>
      <c r="E11" s="351"/>
      <c r="F11" s="351"/>
      <c r="G11" s="351"/>
      <c r="H11" s="351"/>
      <c r="I11" s="351"/>
      <c r="J11" s="351"/>
      <c r="K11" s="351"/>
      <c r="L11" s="351"/>
      <c r="M11" s="351"/>
      <c r="N11" s="351"/>
      <c r="O11" s="351"/>
      <c r="P11" s="351"/>
      <c r="Q11" s="351"/>
      <c r="R11" s="351"/>
      <c r="S11" s="351"/>
      <c r="T11" s="351"/>
      <c r="U11" s="351"/>
      <c r="V11" s="351"/>
      <c r="W11" s="351"/>
      <c r="X11" s="351"/>
      <c r="Y11" s="351"/>
      <c r="Z11" s="351"/>
      <c r="AA11" s="351"/>
      <c r="AB11" s="351"/>
      <c r="AC11" s="351"/>
      <c r="AD11" s="351"/>
      <c r="AE11" s="351"/>
      <c r="AF11" s="351"/>
      <c r="AG11" s="351"/>
      <c r="AH11" s="351"/>
      <c r="AI11" s="351"/>
      <c r="AJ11" s="351"/>
      <c r="AK11" s="351"/>
      <c r="AL11" s="351"/>
      <c r="AM11" s="351"/>
      <c r="AN11" s="351"/>
      <c r="AO11" s="351"/>
      <c r="AP11" s="351"/>
      <c r="AQ11" s="351"/>
      <c r="AR11" s="351"/>
      <c r="AS11" s="351"/>
      <c r="AT11" s="351"/>
      <c r="AU11" s="351"/>
      <c r="AV11" s="351"/>
      <c r="AW11" s="351"/>
      <c r="AX11" s="351"/>
      <c r="AY11" s="351"/>
      <c r="AZ11" s="351"/>
      <c r="BA11" s="351"/>
      <c r="BB11" s="351"/>
      <c r="BC11" s="351"/>
      <c r="BD11" s="351"/>
      <c r="BE11" s="351"/>
      <c r="BF11" s="351"/>
      <c r="BG11" s="351"/>
      <c r="BH11" s="351"/>
      <c r="BI11" s="351"/>
      <c r="BJ11" s="351"/>
      <c r="BK11" s="351"/>
      <c r="BL11" s="351"/>
      <c r="BM11" s="351"/>
      <c r="BN11" s="351"/>
      <c r="BO11" s="351"/>
      <c r="BP11" s="351"/>
      <c r="BQ11" s="351"/>
      <c r="BR11" s="351"/>
      <c r="BS11" s="351"/>
      <c r="BT11" s="351"/>
      <c r="BU11" s="351"/>
      <c r="BV11" s="351"/>
      <c r="BW11" s="351"/>
      <c r="BX11" s="351"/>
      <c r="BY11" s="351"/>
      <c r="BZ11" s="351"/>
      <c r="CA11" s="351"/>
      <c r="CB11" s="351"/>
      <c r="CC11" s="351"/>
      <c r="CD11" s="351"/>
      <c r="CE11" s="351"/>
      <c r="CF11" s="351"/>
      <c r="CG11" s="351"/>
      <c r="CH11" s="351"/>
      <c r="CI11" s="351"/>
      <c r="CJ11" s="351"/>
      <c r="CK11" s="351"/>
      <c r="CL11" s="351"/>
      <c r="CM11" s="351"/>
      <c r="CN11" s="351"/>
      <c r="CO11" s="351"/>
      <c r="CP11" s="351"/>
      <c r="CQ11" s="351"/>
      <c r="CR11" s="351"/>
      <c r="CS11" s="351"/>
      <c r="CT11" s="351"/>
      <c r="CU11" s="351"/>
      <c r="CV11" s="351"/>
      <c r="CW11" s="351"/>
      <c r="CX11" s="351"/>
      <c r="CY11" s="351"/>
      <c r="CZ11" s="351"/>
      <c r="DA11" s="351"/>
      <c r="DB11" s="351"/>
      <c r="DC11" s="351"/>
      <c r="DD11" s="351"/>
      <c r="DE11" s="351"/>
      <c r="DF11" s="351"/>
      <c r="DG11" s="351"/>
      <c r="DH11" s="351"/>
      <c r="DI11" s="351"/>
      <c r="DJ11" s="71" t="s">
        <v>37</v>
      </c>
      <c r="DK11" s="71"/>
      <c r="DL11" s="71"/>
      <c r="DM11" s="71"/>
      <c r="DN11" s="71"/>
      <c r="DO11" s="71"/>
      <c r="DP11" s="71"/>
      <c r="DQ11" s="71"/>
      <c r="DR11" s="71"/>
      <c r="DS11" s="71"/>
      <c r="DT11" s="71"/>
      <c r="DU11" s="71"/>
      <c r="DV11" s="71"/>
      <c r="DW11" s="71"/>
      <c r="DX11" s="71"/>
      <c r="DY11" s="71"/>
      <c r="DZ11" s="71"/>
      <c r="EA11" s="71"/>
      <c r="EB11" s="71"/>
      <c r="EC11" s="71"/>
      <c r="ED11" s="71"/>
      <c r="EE11" s="71"/>
      <c r="EF11" s="71"/>
      <c r="EG11" s="71"/>
      <c r="EH11" s="71"/>
      <c r="EI11" s="71"/>
      <c r="EJ11" s="71"/>
      <c r="EK11" s="71"/>
      <c r="EL11" s="71"/>
      <c r="EM11" s="71"/>
      <c r="EN11" s="71"/>
      <c r="EO11" s="71"/>
      <c r="EP11" s="71"/>
      <c r="EQ11" s="71"/>
      <c r="ER11" s="71"/>
      <c r="ES11" s="71"/>
      <c r="ET11" s="71"/>
      <c r="EU11" s="71"/>
      <c r="EV11" s="71"/>
      <c r="EW11" s="71"/>
      <c r="EX11" s="71"/>
      <c r="EY11" s="71"/>
      <c r="EZ11" s="71"/>
      <c r="FA11" s="71"/>
      <c r="FB11" s="71"/>
      <c r="FC11" s="71"/>
      <c r="FD11" s="71"/>
      <c r="FE11" s="71"/>
      <c r="FF11" s="71"/>
      <c r="FG11" s="71"/>
      <c r="FH11" s="71"/>
      <c r="FI11" s="71"/>
      <c r="FJ11" s="71"/>
      <c r="FK11" s="71"/>
      <c r="FL11" s="71"/>
      <c r="FM11" s="71"/>
      <c r="FN11" s="71"/>
      <c r="FO11" s="71"/>
      <c r="FP11" s="71"/>
      <c r="FQ11" s="71"/>
      <c r="FR11" s="71"/>
      <c r="FS11" s="71"/>
      <c r="FT11" s="71"/>
      <c r="FU11" s="71"/>
      <c r="FV11" s="71"/>
      <c r="FW11" s="71"/>
      <c r="FX11" s="71"/>
      <c r="FY11" s="71"/>
      <c r="FZ11" s="71"/>
      <c r="GA11" s="71"/>
      <c r="GB11" s="71"/>
      <c r="GC11" s="71"/>
      <c r="GD11" s="71"/>
      <c r="GE11" s="71"/>
      <c r="GF11" s="71"/>
      <c r="GG11" s="71"/>
      <c r="GH11" s="71"/>
      <c r="GI11" s="71"/>
      <c r="GJ11" s="71"/>
      <c r="GK11" s="71"/>
      <c r="GL11" s="71"/>
      <c r="GM11" s="71"/>
      <c r="GN11" s="71"/>
      <c r="GO11" s="71"/>
      <c r="GP11" s="71"/>
      <c r="GQ11" s="71"/>
      <c r="GR11" s="71"/>
      <c r="GS11" s="71"/>
      <c r="GT11" s="71"/>
      <c r="GU11" s="71"/>
      <c r="GV11" s="71"/>
      <c r="GW11" s="71"/>
      <c r="GX11" s="71"/>
      <c r="GY11" s="71"/>
      <c r="GZ11" s="71"/>
      <c r="HA11" s="71"/>
      <c r="HB11" s="71"/>
      <c r="HC11" s="71"/>
      <c r="HD11" s="71"/>
      <c r="HE11" s="71"/>
      <c r="HF11" s="71"/>
      <c r="HG11" s="71"/>
      <c r="HH11" s="71"/>
      <c r="HI11" s="71"/>
      <c r="HJ11" s="71"/>
      <c r="HK11" s="71"/>
      <c r="HL11" s="71"/>
      <c r="HM11" s="302" t="s">
        <v>106</v>
      </c>
      <c r="HN11" s="303"/>
      <c r="HO11" s="303"/>
      <c r="HP11" s="303"/>
      <c r="HQ11" s="303"/>
      <c r="HR11" s="303"/>
      <c r="HS11" s="303"/>
      <c r="HT11" s="303"/>
      <c r="HU11" s="304"/>
      <c r="HV11" s="305" t="s">
        <v>107</v>
      </c>
      <c r="HW11" s="305"/>
      <c r="HX11" s="305"/>
      <c r="HY11" s="305"/>
      <c r="HZ11" s="305"/>
      <c r="IA11" s="305"/>
      <c r="IB11" s="305"/>
      <c r="IC11" s="305"/>
      <c r="ID11" s="305"/>
      <c r="IE11" s="305"/>
      <c r="IF11" s="305"/>
      <c r="IG11" s="305"/>
      <c r="IH11" s="305"/>
      <c r="II11" s="305"/>
      <c r="IJ11" s="305"/>
      <c r="IK11" s="305"/>
      <c r="IL11" s="305"/>
      <c r="IM11" s="305"/>
      <c r="IN11" s="305"/>
      <c r="IO11" s="305"/>
      <c r="IP11" s="305"/>
      <c r="IQ11" s="305"/>
      <c r="IR11" s="305"/>
      <c r="IS11" s="305"/>
      <c r="IT11" s="305"/>
      <c r="IU11" s="305"/>
      <c r="IV11" s="305"/>
      <c r="IW11" s="305"/>
      <c r="IX11" s="305"/>
      <c r="IY11" s="305"/>
      <c r="IZ11" s="305"/>
      <c r="JA11" s="305"/>
      <c r="JB11" s="305"/>
      <c r="JC11" s="305"/>
      <c r="JD11" s="305"/>
      <c r="JE11" s="305"/>
      <c r="JF11" s="305"/>
      <c r="JG11" s="305"/>
      <c r="JH11" s="305"/>
      <c r="JI11" s="305"/>
      <c r="JJ11" s="305"/>
      <c r="JK11" s="305"/>
      <c r="JL11" s="305"/>
      <c r="JM11" s="305"/>
      <c r="JN11" s="305"/>
      <c r="JO11" s="305"/>
      <c r="JP11" s="305"/>
      <c r="JQ11" s="305"/>
      <c r="JR11" s="305"/>
      <c r="JS11" s="305"/>
      <c r="JT11" s="305"/>
      <c r="JU11" s="305"/>
      <c r="JV11" s="305"/>
      <c r="JW11" s="305"/>
      <c r="JX11" s="305"/>
      <c r="JY11" s="305"/>
      <c r="JZ11" s="305"/>
      <c r="KA11" s="305"/>
      <c r="KB11" s="305"/>
      <c r="KC11" s="305"/>
      <c r="KD11" s="305"/>
      <c r="KE11" s="305"/>
      <c r="KF11" s="305"/>
      <c r="KG11" s="305"/>
      <c r="KH11" s="305"/>
      <c r="KI11" s="305"/>
      <c r="KJ11" s="305"/>
      <c r="KK11" s="305"/>
      <c r="KL11" s="305"/>
      <c r="KM11" s="305"/>
      <c r="KN11" s="305"/>
      <c r="KO11" s="305"/>
      <c r="KP11" s="305"/>
      <c r="KQ11" s="305"/>
      <c r="KR11" s="305"/>
      <c r="KS11" s="305"/>
      <c r="KT11" s="305"/>
      <c r="KU11" s="305"/>
      <c r="KV11" s="305"/>
      <c r="KW11" s="305"/>
      <c r="KX11" s="305"/>
      <c r="KY11" s="305"/>
      <c r="KZ11" s="305"/>
      <c r="LA11" s="305"/>
      <c r="LB11" s="305"/>
      <c r="LC11" s="305"/>
      <c r="LD11" s="305"/>
      <c r="LE11" s="305"/>
      <c r="LF11" s="305"/>
      <c r="LG11" s="305"/>
      <c r="LH11" s="305"/>
      <c r="LI11" s="305"/>
      <c r="LJ11" s="63" t="s">
        <v>38</v>
      </c>
      <c r="LK11" s="63"/>
      <c r="LL11" s="63"/>
      <c r="LM11" s="63"/>
      <c r="LN11" s="63"/>
      <c r="LO11" s="63"/>
      <c r="LP11" s="63"/>
      <c r="LQ11" s="63"/>
      <c r="LR11" s="63"/>
      <c r="LS11" s="63"/>
      <c r="LT11" s="63"/>
      <c r="LU11" s="63"/>
      <c r="LV11" s="63"/>
      <c r="LW11" s="63"/>
      <c r="LX11" s="63"/>
      <c r="LY11" s="63"/>
      <c r="LZ11" s="63"/>
      <c r="MA11" s="63"/>
      <c r="MB11" s="63"/>
      <c r="MC11" s="63"/>
      <c r="MD11" s="63"/>
      <c r="ME11" s="63"/>
      <c r="MF11" s="63"/>
      <c r="MG11" s="63"/>
      <c r="MH11" s="63"/>
      <c r="MI11" s="63"/>
      <c r="MJ11" s="63"/>
      <c r="MK11" s="63"/>
      <c r="ML11" s="63"/>
      <c r="MM11" s="63"/>
      <c r="MN11" s="63"/>
      <c r="MO11" s="63"/>
      <c r="MP11" s="63"/>
      <c r="MQ11" s="63"/>
      <c r="MR11" s="63"/>
      <c r="MS11" s="63"/>
      <c r="MT11" s="63"/>
      <c r="MU11" s="63"/>
      <c r="MV11" s="63"/>
      <c r="MW11" s="63"/>
      <c r="MX11" s="63"/>
      <c r="MY11" s="63"/>
      <c r="MZ11" s="63"/>
      <c r="NA11" s="63"/>
      <c r="NB11" s="63"/>
      <c r="NC11" s="63"/>
      <c r="ND11" s="63"/>
      <c r="NE11" s="63"/>
      <c r="NF11" s="63"/>
      <c r="NG11" s="63"/>
      <c r="NH11" s="63"/>
      <c r="NI11" s="63"/>
      <c r="NJ11" s="63"/>
      <c r="NK11" s="63"/>
      <c r="NL11" s="63"/>
      <c r="NM11" s="63"/>
      <c r="NN11" s="63"/>
      <c r="NO11" s="63"/>
      <c r="NP11" s="63"/>
      <c r="NQ11" s="63"/>
      <c r="NR11" s="63"/>
      <c r="NS11" s="63"/>
      <c r="NT11" s="63"/>
      <c r="NU11" s="63"/>
      <c r="NV11" s="63"/>
      <c r="NW11" s="63"/>
      <c r="NX11" s="63"/>
      <c r="NY11" s="63"/>
      <c r="NZ11" s="63"/>
      <c r="OA11" s="63"/>
      <c r="OB11" s="63"/>
      <c r="OC11" s="63"/>
      <c r="OD11" s="63"/>
      <c r="OE11" s="63"/>
      <c r="OF11" s="63"/>
      <c r="OG11" s="63"/>
      <c r="OH11" s="63"/>
      <c r="OI11" s="63"/>
      <c r="OJ11" s="63"/>
      <c r="OK11" s="63"/>
      <c r="OL11" s="63"/>
      <c r="OM11" s="63"/>
      <c r="ON11" s="63"/>
      <c r="OO11" s="63"/>
      <c r="OP11" s="63"/>
      <c r="OQ11" s="63"/>
      <c r="OR11" s="63"/>
      <c r="OS11" s="63"/>
      <c r="OT11" s="63"/>
      <c r="OU11" s="63"/>
      <c r="OV11" s="63"/>
      <c r="OW11" s="63"/>
      <c r="OX11" s="63"/>
      <c r="OY11" s="63"/>
      <c r="OZ11" s="63"/>
      <c r="PA11" s="63"/>
      <c r="PB11" s="63"/>
      <c r="PC11" s="63"/>
      <c r="PD11" s="63"/>
      <c r="PE11" s="63"/>
      <c r="PF11" s="63"/>
      <c r="PG11" s="63"/>
      <c r="PH11" s="63"/>
      <c r="PI11" s="63"/>
      <c r="PJ11" s="63"/>
      <c r="PK11" s="63"/>
      <c r="PL11" s="63"/>
    </row>
    <row r="12" spans="1:428" ht="18" customHeight="1" thickBot="1" x14ac:dyDescent="0.4">
      <c r="A12" s="237"/>
      <c r="B12" s="237"/>
      <c r="C12" s="237"/>
      <c r="D12" s="237"/>
      <c r="E12" s="237"/>
      <c r="F12" s="237"/>
      <c r="G12" s="245" t="s">
        <v>57</v>
      </c>
      <c r="H12" s="245"/>
      <c r="I12" s="245"/>
      <c r="J12" s="245"/>
      <c r="K12" s="245"/>
      <c r="L12" s="245"/>
      <c r="M12" s="245"/>
      <c r="N12" s="245"/>
      <c r="O12" s="246"/>
      <c r="P12" s="186" t="s">
        <v>12</v>
      </c>
      <c r="Q12" s="186"/>
      <c r="R12" s="186"/>
      <c r="S12" s="186"/>
      <c r="T12" s="186"/>
      <c r="U12" s="186"/>
      <c r="V12" s="186"/>
      <c r="W12" s="293" t="s">
        <v>67</v>
      </c>
      <c r="X12" s="293"/>
      <c r="Y12" s="293"/>
      <c r="Z12" s="293"/>
      <c r="AA12" s="293"/>
      <c r="AB12" s="293"/>
      <c r="AC12" s="293"/>
      <c r="AD12" s="293"/>
      <c r="AE12" s="294"/>
      <c r="AF12" s="211" t="s">
        <v>68</v>
      </c>
      <c r="AG12" s="211"/>
      <c r="AH12" s="211"/>
      <c r="AI12" s="211"/>
      <c r="AJ12" s="211"/>
      <c r="AK12" s="211"/>
      <c r="AL12" s="211"/>
      <c r="AM12" s="172" t="s">
        <v>69</v>
      </c>
      <c r="AN12" s="172"/>
      <c r="AO12" s="172"/>
      <c r="AP12" s="172"/>
      <c r="AQ12" s="172"/>
      <c r="AR12" s="172"/>
      <c r="AS12" s="172"/>
      <c r="AT12" s="172"/>
      <c r="AU12" s="173"/>
      <c r="AV12" s="309" t="s">
        <v>77</v>
      </c>
      <c r="AW12" s="186"/>
      <c r="AX12" s="186"/>
      <c r="AY12" s="186"/>
      <c r="AZ12" s="186"/>
      <c r="BA12" s="186"/>
      <c r="BB12" s="186"/>
      <c r="BC12" s="176" t="s">
        <v>71</v>
      </c>
      <c r="BD12" s="177"/>
      <c r="BE12" s="177"/>
      <c r="BF12" s="177"/>
      <c r="BG12" s="177"/>
      <c r="BH12" s="177"/>
      <c r="BI12" s="177"/>
      <c r="BJ12" s="177"/>
      <c r="BK12" s="178"/>
      <c r="BL12" s="186" t="s">
        <v>78</v>
      </c>
      <c r="BM12" s="186"/>
      <c r="BN12" s="186"/>
      <c r="BO12" s="186"/>
      <c r="BP12" s="186"/>
      <c r="BQ12" s="186"/>
      <c r="BR12" s="186"/>
      <c r="BS12" s="221" t="s">
        <v>73</v>
      </c>
      <c r="BT12" s="221"/>
      <c r="BU12" s="221"/>
      <c r="BV12" s="221"/>
      <c r="BW12" s="221"/>
      <c r="BX12" s="221"/>
      <c r="BY12" s="221"/>
      <c r="BZ12" s="221"/>
      <c r="CA12" s="221"/>
      <c r="CB12" s="186" t="s">
        <v>79</v>
      </c>
      <c r="CC12" s="186"/>
      <c r="CD12" s="186"/>
      <c r="CE12" s="186"/>
      <c r="CF12" s="186"/>
      <c r="CG12" s="186"/>
      <c r="CH12" s="186"/>
      <c r="CI12" s="200" t="s">
        <v>75</v>
      </c>
      <c r="CJ12" s="201"/>
      <c r="CK12" s="201"/>
      <c r="CL12" s="201"/>
      <c r="CM12" s="201"/>
      <c r="CN12" s="202"/>
      <c r="CO12" s="203" t="s">
        <v>30</v>
      </c>
      <c r="CP12" s="204"/>
      <c r="CQ12" s="204"/>
      <c r="CR12" s="204"/>
      <c r="CS12" s="204"/>
      <c r="CT12" s="204"/>
      <c r="CU12" s="187" t="s">
        <v>30</v>
      </c>
      <c r="CV12" s="188"/>
      <c r="CW12" s="188"/>
      <c r="CX12" s="188"/>
      <c r="CY12" s="188"/>
      <c r="CZ12" s="188"/>
      <c r="DA12" s="188"/>
      <c r="DB12" s="188"/>
      <c r="DC12" s="188"/>
      <c r="DD12" s="189"/>
      <c r="DE12" s="263" t="s">
        <v>24</v>
      </c>
      <c r="DF12" s="263"/>
      <c r="DG12" s="263"/>
      <c r="DH12" s="263"/>
      <c r="DI12" s="263"/>
      <c r="DJ12" s="245" t="s">
        <v>57</v>
      </c>
      <c r="DK12" s="245"/>
      <c r="DL12" s="245"/>
      <c r="DM12" s="245"/>
      <c r="DN12" s="245"/>
      <c r="DO12" s="245"/>
      <c r="DP12" s="245"/>
      <c r="DQ12" s="245"/>
      <c r="DR12" s="246"/>
      <c r="DS12" s="186" t="s">
        <v>81</v>
      </c>
      <c r="DT12" s="186"/>
      <c r="DU12" s="186"/>
      <c r="DV12" s="186"/>
      <c r="DW12" s="186"/>
      <c r="DX12" s="186"/>
      <c r="DY12" s="186"/>
      <c r="DZ12" s="293" t="s">
        <v>67</v>
      </c>
      <c r="EA12" s="293"/>
      <c r="EB12" s="293"/>
      <c r="EC12" s="293"/>
      <c r="ED12" s="293"/>
      <c r="EE12" s="293"/>
      <c r="EF12" s="293"/>
      <c r="EG12" s="293"/>
      <c r="EH12" s="294"/>
      <c r="EI12" s="211" t="s">
        <v>68</v>
      </c>
      <c r="EJ12" s="211"/>
      <c r="EK12" s="211"/>
      <c r="EL12" s="211"/>
      <c r="EM12" s="211"/>
      <c r="EN12" s="211"/>
      <c r="EO12" s="211"/>
      <c r="EP12" s="172" t="s">
        <v>69</v>
      </c>
      <c r="EQ12" s="172"/>
      <c r="ER12" s="172"/>
      <c r="ES12" s="172"/>
      <c r="ET12" s="172"/>
      <c r="EU12" s="172"/>
      <c r="EV12" s="172"/>
      <c r="EW12" s="172"/>
      <c r="EX12" s="60"/>
      <c r="EY12" s="309" t="s">
        <v>77</v>
      </c>
      <c r="EZ12" s="186"/>
      <c r="FA12" s="186"/>
      <c r="FB12" s="186"/>
      <c r="FC12" s="186"/>
      <c r="FD12" s="186"/>
      <c r="FE12" s="186"/>
      <c r="FF12" s="176" t="s">
        <v>71</v>
      </c>
      <c r="FG12" s="177"/>
      <c r="FH12" s="177"/>
      <c r="FI12" s="177"/>
      <c r="FJ12" s="177"/>
      <c r="FK12" s="177"/>
      <c r="FL12" s="177"/>
      <c r="FM12" s="177"/>
      <c r="FN12" s="61"/>
      <c r="FO12" s="186" t="s">
        <v>78</v>
      </c>
      <c r="FP12" s="186"/>
      <c r="FQ12" s="186"/>
      <c r="FR12" s="186"/>
      <c r="FS12" s="186"/>
      <c r="FT12" s="186"/>
      <c r="FU12" s="186"/>
      <c r="FV12" s="221" t="s">
        <v>73</v>
      </c>
      <c r="FW12" s="221"/>
      <c r="FX12" s="221"/>
      <c r="FY12" s="221"/>
      <c r="FZ12" s="221"/>
      <c r="GA12" s="221"/>
      <c r="GB12" s="221"/>
      <c r="GC12" s="221"/>
      <c r="GD12" s="221"/>
      <c r="GE12" s="186" t="s">
        <v>79</v>
      </c>
      <c r="GF12" s="186"/>
      <c r="GG12" s="186"/>
      <c r="GH12" s="186"/>
      <c r="GI12" s="186"/>
      <c r="GJ12" s="186"/>
      <c r="GK12" s="186"/>
      <c r="GL12" s="200" t="s">
        <v>75</v>
      </c>
      <c r="GM12" s="201"/>
      <c r="GN12" s="201"/>
      <c r="GO12" s="201"/>
      <c r="GP12" s="201"/>
      <c r="GQ12" s="202"/>
      <c r="GR12" s="203" t="s">
        <v>76</v>
      </c>
      <c r="GS12" s="204"/>
      <c r="GT12" s="204"/>
      <c r="GU12" s="204"/>
      <c r="GV12" s="204"/>
      <c r="GW12" s="204"/>
      <c r="GX12" s="50"/>
      <c r="GY12" s="50"/>
      <c r="GZ12" s="50" t="s">
        <v>30</v>
      </c>
      <c r="HA12" s="50"/>
      <c r="HB12" s="50"/>
      <c r="HC12" s="50"/>
      <c r="HD12" s="50"/>
      <c r="HE12" s="50"/>
      <c r="HF12" s="50"/>
      <c r="HG12" s="72"/>
      <c r="HH12" s="263" t="s">
        <v>24</v>
      </c>
      <c r="HI12" s="263"/>
      <c r="HJ12" s="263"/>
      <c r="HK12" s="263"/>
      <c r="HL12" s="263"/>
      <c r="HM12" s="73"/>
      <c r="HN12" s="73"/>
      <c r="HO12" s="73"/>
      <c r="HP12" s="73"/>
      <c r="HQ12" s="73"/>
      <c r="HR12" s="73"/>
      <c r="HS12" s="73"/>
      <c r="HT12" s="73"/>
      <c r="HU12" s="73"/>
      <c r="HV12" s="186" t="s">
        <v>12</v>
      </c>
      <c r="HW12" s="186"/>
      <c r="HX12" s="186"/>
      <c r="HY12" s="186"/>
      <c r="HZ12" s="186"/>
      <c r="IA12" s="186"/>
      <c r="IB12" s="186"/>
      <c r="IC12" s="293" t="s">
        <v>67</v>
      </c>
      <c r="ID12" s="293"/>
      <c r="IE12" s="293"/>
      <c r="IF12" s="293"/>
      <c r="IG12" s="293"/>
      <c r="IH12" s="293"/>
      <c r="II12" s="293"/>
      <c r="IJ12" s="293"/>
      <c r="IK12" s="294"/>
      <c r="IL12" s="211" t="s">
        <v>68</v>
      </c>
      <c r="IM12" s="211"/>
      <c r="IN12" s="211"/>
      <c r="IO12" s="211"/>
      <c r="IP12" s="211"/>
      <c r="IQ12" s="211"/>
      <c r="IR12" s="211"/>
      <c r="IS12" s="172" t="s">
        <v>69</v>
      </c>
      <c r="IT12" s="172"/>
      <c r="IU12" s="172"/>
      <c r="IV12" s="172"/>
      <c r="IW12" s="172"/>
      <c r="IX12" s="172"/>
      <c r="IY12" s="172"/>
      <c r="IZ12" s="172"/>
      <c r="JA12" s="173"/>
      <c r="JB12" s="186" t="s">
        <v>77</v>
      </c>
      <c r="JC12" s="186"/>
      <c r="JD12" s="186"/>
      <c r="JE12" s="186"/>
      <c r="JF12" s="186"/>
      <c r="JG12" s="186"/>
      <c r="JH12" s="186"/>
      <c r="JI12" s="176" t="s">
        <v>71</v>
      </c>
      <c r="JJ12" s="177"/>
      <c r="JK12" s="177"/>
      <c r="JL12" s="177"/>
      <c r="JM12" s="177"/>
      <c r="JN12" s="177"/>
      <c r="JO12" s="177"/>
      <c r="JP12" s="177"/>
      <c r="JQ12" s="178"/>
      <c r="JR12" s="211" t="s">
        <v>78</v>
      </c>
      <c r="JS12" s="211"/>
      <c r="JT12" s="211"/>
      <c r="JU12" s="211"/>
      <c r="JV12" s="211"/>
      <c r="JW12" s="211"/>
      <c r="JX12" s="211"/>
      <c r="JY12" s="221" t="s">
        <v>73</v>
      </c>
      <c r="JZ12" s="221"/>
      <c r="KA12" s="221"/>
      <c r="KB12" s="221"/>
      <c r="KC12" s="221"/>
      <c r="KD12" s="221"/>
      <c r="KE12" s="221"/>
      <c r="KF12" s="221"/>
      <c r="KG12" s="221"/>
      <c r="KH12" s="186" t="s">
        <v>79</v>
      </c>
      <c r="KI12" s="186"/>
      <c r="KJ12" s="186"/>
      <c r="KK12" s="186"/>
      <c r="KL12" s="186"/>
      <c r="KM12" s="186"/>
      <c r="KN12" s="186"/>
      <c r="KO12" s="200" t="s">
        <v>75</v>
      </c>
      <c r="KP12" s="201"/>
      <c r="KQ12" s="201"/>
      <c r="KR12" s="201"/>
      <c r="KS12" s="201"/>
      <c r="KT12" s="202"/>
      <c r="KU12" s="309" t="s">
        <v>76</v>
      </c>
      <c r="KV12" s="186"/>
      <c r="KW12" s="186"/>
      <c r="KX12" s="186"/>
      <c r="KY12" s="186"/>
      <c r="KZ12" s="310"/>
      <c r="LA12" s="347" t="s">
        <v>30</v>
      </c>
      <c r="LB12" s="348"/>
      <c r="LC12" s="348"/>
      <c r="LD12" s="348"/>
      <c r="LE12" s="348"/>
      <c r="LF12" s="348"/>
      <c r="LG12" s="348"/>
      <c r="LH12" s="348"/>
      <c r="LI12" s="349"/>
      <c r="LJ12" s="313" t="s">
        <v>80</v>
      </c>
      <c r="LK12" s="313"/>
      <c r="LL12" s="313"/>
      <c r="LM12" s="313"/>
      <c r="LN12" s="313"/>
      <c r="LO12" s="313"/>
      <c r="LP12" s="313"/>
      <c r="LQ12" s="313"/>
      <c r="LR12" s="313"/>
      <c r="LS12" s="186" t="s">
        <v>81</v>
      </c>
      <c r="LT12" s="186"/>
      <c r="LU12" s="186"/>
      <c r="LV12" s="186"/>
      <c r="LW12" s="186"/>
      <c r="LX12" s="186"/>
      <c r="LY12" s="186"/>
      <c r="LZ12" s="293" t="s">
        <v>67</v>
      </c>
      <c r="MA12" s="293"/>
      <c r="MB12" s="293"/>
      <c r="MC12" s="293"/>
      <c r="MD12" s="293"/>
      <c r="ME12" s="293"/>
      <c r="MF12" s="293"/>
      <c r="MG12" s="293"/>
      <c r="MH12" s="294"/>
      <c r="MI12" s="211" t="s">
        <v>83</v>
      </c>
      <c r="MJ12" s="211"/>
      <c r="MK12" s="211"/>
      <c r="ML12" s="211"/>
      <c r="MM12" s="211"/>
      <c r="MN12" s="211"/>
      <c r="MO12" s="211"/>
      <c r="MP12" s="172" t="s">
        <v>69</v>
      </c>
      <c r="MQ12" s="172"/>
      <c r="MR12" s="172"/>
      <c r="MS12" s="172"/>
      <c r="MT12" s="172"/>
      <c r="MU12" s="172"/>
      <c r="MV12" s="172"/>
      <c r="MW12" s="172"/>
      <c r="MX12" s="173"/>
      <c r="MY12" s="186" t="s">
        <v>77</v>
      </c>
      <c r="MZ12" s="186"/>
      <c r="NA12" s="186"/>
      <c r="NB12" s="186"/>
      <c r="NC12" s="186"/>
      <c r="ND12" s="186"/>
      <c r="NE12" s="186"/>
      <c r="NF12" s="176" t="s">
        <v>71</v>
      </c>
      <c r="NG12" s="177"/>
      <c r="NH12" s="177"/>
      <c r="NI12" s="177"/>
      <c r="NJ12" s="177"/>
      <c r="NK12" s="177"/>
      <c r="NL12" s="177"/>
      <c r="NM12" s="177"/>
      <c r="NN12" s="178"/>
      <c r="NO12" s="186" t="s">
        <v>78</v>
      </c>
      <c r="NP12" s="186"/>
      <c r="NQ12" s="186"/>
      <c r="NR12" s="186"/>
      <c r="NS12" s="186"/>
      <c r="NT12" s="186"/>
      <c r="NU12" s="186"/>
      <c r="NV12" s="221" t="s">
        <v>73</v>
      </c>
      <c r="NW12" s="221"/>
      <c r="NX12" s="221"/>
      <c r="NY12" s="221"/>
      <c r="NZ12" s="221"/>
      <c r="OA12" s="221"/>
      <c r="OB12" s="221"/>
      <c r="OC12" s="221"/>
      <c r="OD12" s="221"/>
      <c r="OE12" s="186" t="s">
        <v>79</v>
      </c>
      <c r="OF12" s="186"/>
      <c r="OG12" s="186"/>
      <c r="OH12" s="186"/>
      <c r="OI12" s="186"/>
      <c r="OJ12" s="186"/>
      <c r="OK12" s="186"/>
      <c r="OL12" s="200" t="s">
        <v>75</v>
      </c>
      <c r="OM12" s="201"/>
      <c r="ON12" s="201"/>
      <c r="OO12" s="201"/>
      <c r="OP12" s="201"/>
      <c r="OQ12" s="202"/>
      <c r="OR12" s="298" t="s">
        <v>76</v>
      </c>
      <c r="OS12" s="298"/>
      <c r="OT12" s="298"/>
      <c r="OU12" s="298"/>
      <c r="OV12" s="298"/>
      <c r="OW12" s="298"/>
      <c r="OX12" s="344" t="s">
        <v>30</v>
      </c>
      <c r="OY12" s="345"/>
      <c r="OZ12" s="345"/>
      <c r="PA12" s="345"/>
      <c r="PB12" s="345"/>
      <c r="PC12" s="345"/>
      <c r="PD12" s="345"/>
      <c r="PE12" s="345"/>
      <c r="PF12" s="345"/>
      <c r="PG12" s="346"/>
      <c r="PH12" s="263" t="s">
        <v>24</v>
      </c>
      <c r="PI12" s="263"/>
      <c r="PJ12" s="263"/>
      <c r="PK12" s="263"/>
      <c r="PL12" s="263"/>
    </row>
    <row r="13" spans="1:428" ht="126.75" customHeight="1" thickBot="1" x14ac:dyDescent="0.4">
      <c r="A13" s="238" t="s">
        <v>0</v>
      </c>
      <c r="B13" s="238" t="s">
        <v>1</v>
      </c>
      <c r="C13" s="238" t="s">
        <v>2</v>
      </c>
      <c r="D13" s="238" t="s">
        <v>3</v>
      </c>
      <c r="E13" s="238" t="s">
        <v>4</v>
      </c>
      <c r="F13" s="238" t="s">
        <v>5</v>
      </c>
      <c r="G13" s="213" t="s">
        <v>59</v>
      </c>
      <c r="H13" s="213" t="s">
        <v>66</v>
      </c>
      <c r="I13" s="213" t="s">
        <v>60</v>
      </c>
      <c r="J13" s="213" t="s">
        <v>114</v>
      </c>
      <c r="K13" s="215" t="s">
        <v>61</v>
      </c>
      <c r="L13" s="205" t="s">
        <v>102</v>
      </c>
      <c r="M13" s="207" t="s">
        <v>62</v>
      </c>
      <c r="N13" s="209" t="s">
        <v>63</v>
      </c>
      <c r="O13" s="209" t="s">
        <v>64</v>
      </c>
      <c r="P13" s="220" t="s">
        <v>6</v>
      </c>
      <c r="Q13" s="193" t="s">
        <v>50</v>
      </c>
      <c r="R13" s="193" t="s">
        <v>52</v>
      </c>
      <c r="S13" s="193" t="s">
        <v>54</v>
      </c>
      <c r="T13" s="193" t="s">
        <v>31</v>
      </c>
      <c r="U13" s="285" t="s">
        <v>51</v>
      </c>
      <c r="V13" s="285" t="s">
        <v>7</v>
      </c>
      <c r="W13" s="295" t="s">
        <v>59</v>
      </c>
      <c r="X13" s="295" t="s">
        <v>66</v>
      </c>
      <c r="Y13" s="295" t="s">
        <v>60</v>
      </c>
      <c r="Z13" s="295" t="s">
        <v>114</v>
      </c>
      <c r="AA13" s="297" t="s">
        <v>61</v>
      </c>
      <c r="AB13" s="287" t="s">
        <v>102</v>
      </c>
      <c r="AC13" s="289" t="s">
        <v>62</v>
      </c>
      <c r="AD13" s="291" t="s">
        <v>63</v>
      </c>
      <c r="AE13" s="291" t="s">
        <v>64</v>
      </c>
      <c r="AF13" s="220" t="s">
        <v>6</v>
      </c>
      <c r="AG13" s="193" t="s">
        <v>50</v>
      </c>
      <c r="AH13" s="193" t="s">
        <v>52</v>
      </c>
      <c r="AI13" s="193" t="s">
        <v>54</v>
      </c>
      <c r="AJ13" s="193" t="s">
        <v>31</v>
      </c>
      <c r="AK13" s="285" t="s">
        <v>51</v>
      </c>
      <c r="AL13" s="285" t="s">
        <v>7</v>
      </c>
      <c r="AM13" s="46" t="s">
        <v>59</v>
      </c>
      <c r="AN13" s="46" t="s">
        <v>66</v>
      </c>
      <c r="AO13" s="46" t="s">
        <v>60</v>
      </c>
      <c r="AP13" s="46" t="s">
        <v>114</v>
      </c>
      <c r="AQ13" s="46" t="s">
        <v>61</v>
      </c>
      <c r="AR13" s="46" t="s">
        <v>102</v>
      </c>
      <c r="AS13" s="46" t="s">
        <v>62</v>
      </c>
      <c r="AT13" s="46" t="s">
        <v>63</v>
      </c>
      <c r="AU13" s="46" t="s">
        <v>64</v>
      </c>
      <c r="AV13" s="19" t="s">
        <v>6</v>
      </c>
      <c r="AW13" s="18" t="s">
        <v>50</v>
      </c>
      <c r="AX13" s="18" t="s">
        <v>52</v>
      </c>
      <c r="AY13" s="18" t="s">
        <v>54</v>
      </c>
      <c r="AZ13" s="18" t="s">
        <v>31</v>
      </c>
      <c r="BA13" s="23" t="s">
        <v>51</v>
      </c>
      <c r="BB13" s="23" t="s">
        <v>7</v>
      </c>
      <c r="BC13" s="174" t="s">
        <v>59</v>
      </c>
      <c r="BD13" s="174" t="s">
        <v>66</v>
      </c>
      <c r="BE13" s="174" t="s">
        <v>60</v>
      </c>
      <c r="BF13" s="174" t="s">
        <v>114</v>
      </c>
      <c r="BG13" s="179" t="s">
        <v>61</v>
      </c>
      <c r="BH13" s="180" t="s">
        <v>102</v>
      </c>
      <c r="BI13" s="182" t="s">
        <v>62</v>
      </c>
      <c r="BJ13" s="184" t="s">
        <v>63</v>
      </c>
      <c r="BK13" s="184" t="s">
        <v>64</v>
      </c>
      <c r="BL13" s="220" t="s">
        <v>6</v>
      </c>
      <c r="BM13" s="193" t="s">
        <v>50</v>
      </c>
      <c r="BN13" s="193" t="s">
        <v>52</v>
      </c>
      <c r="BO13" s="193" t="s">
        <v>54</v>
      </c>
      <c r="BP13" s="193" t="s">
        <v>31</v>
      </c>
      <c r="BQ13" s="285" t="s">
        <v>51</v>
      </c>
      <c r="BR13" s="285" t="s">
        <v>7</v>
      </c>
      <c r="BS13" s="222" t="s">
        <v>59</v>
      </c>
      <c r="BT13" s="222" t="s">
        <v>66</v>
      </c>
      <c r="BU13" s="222" t="s">
        <v>60</v>
      </c>
      <c r="BV13" s="222" t="s">
        <v>114</v>
      </c>
      <c r="BW13" s="224" t="s">
        <v>61</v>
      </c>
      <c r="BX13" s="225" t="s">
        <v>102</v>
      </c>
      <c r="BY13" s="227" t="s">
        <v>62</v>
      </c>
      <c r="BZ13" s="229" t="s">
        <v>63</v>
      </c>
      <c r="CA13" s="229" t="s">
        <v>64</v>
      </c>
      <c r="CB13" s="240" t="s">
        <v>6</v>
      </c>
      <c r="CC13" s="231" t="s">
        <v>50</v>
      </c>
      <c r="CD13" s="231" t="s">
        <v>52</v>
      </c>
      <c r="CE13" s="231" t="s">
        <v>54</v>
      </c>
      <c r="CF13" s="231" t="s">
        <v>31</v>
      </c>
      <c r="CG13" s="231" t="s">
        <v>51</v>
      </c>
      <c r="CH13" s="231" t="s">
        <v>7</v>
      </c>
      <c r="CI13" s="170" t="s">
        <v>14</v>
      </c>
      <c r="CJ13" s="171" t="s">
        <v>15</v>
      </c>
      <c r="CK13" s="170" t="s">
        <v>16</v>
      </c>
      <c r="CL13" s="170" t="s">
        <v>49</v>
      </c>
      <c r="CM13" s="170" t="s">
        <v>48</v>
      </c>
      <c r="CN13" s="170" t="s">
        <v>19</v>
      </c>
      <c r="CO13" s="232" t="s">
        <v>14</v>
      </c>
      <c r="CP13" s="233" t="s">
        <v>15</v>
      </c>
      <c r="CQ13" s="232" t="s">
        <v>16</v>
      </c>
      <c r="CR13" s="232" t="s">
        <v>17</v>
      </c>
      <c r="CS13" s="232" t="s">
        <v>18</v>
      </c>
      <c r="CT13" s="232" t="s">
        <v>19</v>
      </c>
      <c r="CU13" s="55" t="s">
        <v>14</v>
      </c>
      <c r="CV13" s="51" t="s">
        <v>15</v>
      </c>
      <c r="CW13" s="51" t="s">
        <v>16</v>
      </c>
      <c r="CX13" s="51" t="s">
        <v>49</v>
      </c>
      <c r="CY13" s="51" t="s">
        <v>48</v>
      </c>
      <c r="CZ13" s="51" t="s">
        <v>19</v>
      </c>
      <c r="DA13" s="190" t="s">
        <v>20</v>
      </c>
      <c r="DB13" s="190" t="s">
        <v>21</v>
      </c>
      <c r="DC13" s="262" t="s">
        <v>22</v>
      </c>
      <c r="DD13" s="262" t="s">
        <v>23</v>
      </c>
      <c r="DE13" s="264" t="s">
        <v>25</v>
      </c>
      <c r="DF13" s="264" t="s">
        <v>26</v>
      </c>
      <c r="DG13" s="264" t="s">
        <v>27</v>
      </c>
      <c r="DH13" s="265" t="s">
        <v>28</v>
      </c>
      <c r="DI13" s="264" t="s">
        <v>29</v>
      </c>
      <c r="DJ13" s="213" t="s">
        <v>59</v>
      </c>
      <c r="DK13" s="213" t="s">
        <v>66</v>
      </c>
      <c r="DL13" s="213" t="s">
        <v>60</v>
      </c>
      <c r="DM13" s="213" t="s">
        <v>114</v>
      </c>
      <c r="DN13" s="215" t="s">
        <v>61</v>
      </c>
      <c r="DO13" s="205" t="s">
        <v>102</v>
      </c>
      <c r="DP13" s="207" t="s">
        <v>62</v>
      </c>
      <c r="DQ13" s="209" t="s">
        <v>63</v>
      </c>
      <c r="DR13" s="209" t="s">
        <v>64</v>
      </c>
      <c r="DS13" s="220" t="s">
        <v>6</v>
      </c>
      <c r="DT13" s="193" t="s">
        <v>50</v>
      </c>
      <c r="DU13" s="193" t="s">
        <v>52</v>
      </c>
      <c r="DV13" s="193" t="s">
        <v>54</v>
      </c>
      <c r="DW13" s="193" t="s">
        <v>31</v>
      </c>
      <c r="DX13" s="285" t="s">
        <v>51</v>
      </c>
      <c r="DY13" s="285" t="s">
        <v>7</v>
      </c>
      <c r="DZ13" s="295" t="s">
        <v>59</v>
      </c>
      <c r="EA13" s="295" t="s">
        <v>66</v>
      </c>
      <c r="EB13" s="295" t="s">
        <v>60</v>
      </c>
      <c r="EC13" s="295" t="s">
        <v>114</v>
      </c>
      <c r="ED13" s="297" t="s">
        <v>61</v>
      </c>
      <c r="EE13" s="287" t="s">
        <v>102</v>
      </c>
      <c r="EF13" s="289" t="s">
        <v>62</v>
      </c>
      <c r="EG13" s="291" t="s">
        <v>63</v>
      </c>
      <c r="EH13" s="291" t="s">
        <v>64</v>
      </c>
      <c r="EI13" s="220" t="s">
        <v>6</v>
      </c>
      <c r="EJ13" s="193" t="s">
        <v>50</v>
      </c>
      <c r="EK13" s="193" t="s">
        <v>52</v>
      </c>
      <c r="EL13" s="193" t="s">
        <v>54</v>
      </c>
      <c r="EM13" s="193" t="s">
        <v>31</v>
      </c>
      <c r="EN13" s="285" t="s">
        <v>51</v>
      </c>
      <c r="EO13" s="285" t="s">
        <v>7</v>
      </c>
      <c r="EP13" s="46" t="s">
        <v>59</v>
      </c>
      <c r="EQ13" s="46" t="s">
        <v>66</v>
      </c>
      <c r="ER13" s="46" t="s">
        <v>60</v>
      </c>
      <c r="ES13" s="46" t="s">
        <v>114</v>
      </c>
      <c r="ET13" s="46" t="s">
        <v>61</v>
      </c>
      <c r="EU13" s="46" t="s">
        <v>102</v>
      </c>
      <c r="EV13" s="46" t="s">
        <v>62</v>
      </c>
      <c r="EW13" s="46" t="s">
        <v>63</v>
      </c>
      <c r="EX13" s="46" t="s">
        <v>64</v>
      </c>
      <c r="EY13" s="19" t="s">
        <v>6</v>
      </c>
      <c r="EZ13" s="18" t="s">
        <v>50</v>
      </c>
      <c r="FA13" s="18" t="s">
        <v>52</v>
      </c>
      <c r="FB13" s="18" t="s">
        <v>54</v>
      </c>
      <c r="FC13" s="18" t="s">
        <v>31</v>
      </c>
      <c r="FD13" s="23" t="s">
        <v>51</v>
      </c>
      <c r="FE13" s="23" t="s">
        <v>7</v>
      </c>
      <c r="FF13" s="353" t="s">
        <v>59</v>
      </c>
      <c r="FG13" s="353" t="s">
        <v>66</v>
      </c>
      <c r="FH13" s="353" t="s">
        <v>60</v>
      </c>
      <c r="FI13" s="353" t="s">
        <v>114</v>
      </c>
      <c r="FJ13" s="354" t="s">
        <v>61</v>
      </c>
      <c r="FK13" s="355" t="s">
        <v>102</v>
      </c>
      <c r="FL13" s="356" t="s">
        <v>62</v>
      </c>
      <c r="FM13" s="352" t="s">
        <v>63</v>
      </c>
      <c r="FN13" s="352" t="s">
        <v>64</v>
      </c>
      <c r="FO13" s="220" t="s">
        <v>6</v>
      </c>
      <c r="FP13" s="193" t="s">
        <v>50</v>
      </c>
      <c r="FQ13" s="193" t="s">
        <v>52</v>
      </c>
      <c r="FR13" s="193" t="s">
        <v>54</v>
      </c>
      <c r="FS13" s="193" t="s">
        <v>31</v>
      </c>
      <c r="FT13" s="285" t="s">
        <v>51</v>
      </c>
      <c r="FU13" s="285" t="s">
        <v>7</v>
      </c>
      <c r="FV13" s="222" t="s">
        <v>59</v>
      </c>
      <c r="FW13" s="222" t="s">
        <v>66</v>
      </c>
      <c r="FX13" s="222" t="s">
        <v>60</v>
      </c>
      <c r="FY13" s="222" t="s">
        <v>114</v>
      </c>
      <c r="FZ13" s="224" t="s">
        <v>61</v>
      </c>
      <c r="GA13" s="225" t="s">
        <v>102</v>
      </c>
      <c r="GB13" s="227" t="s">
        <v>62</v>
      </c>
      <c r="GC13" s="229" t="s">
        <v>63</v>
      </c>
      <c r="GD13" s="229" t="s">
        <v>64</v>
      </c>
      <c r="GE13" s="240" t="s">
        <v>6</v>
      </c>
      <c r="GF13" s="231" t="s">
        <v>50</v>
      </c>
      <c r="GG13" s="231" t="s">
        <v>52</v>
      </c>
      <c r="GH13" s="231" t="s">
        <v>54</v>
      </c>
      <c r="GI13" s="231" t="s">
        <v>31</v>
      </c>
      <c r="GJ13" s="231" t="s">
        <v>51</v>
      </c>
      <c r="GK13" s="231" t="s">
        <v>7</v>
      </c>
      <c r="GL13" s="170" t="s">
        <v>14</v>
      </c>
      <c r="GM13" s="171" t="s">
        <v>15</v>
      </c>
      <c r="GN13" s="170" t="s">
        <v>16</v>
      </c>
      <c r="GO13" s="170" t="s">
        <v>49</v>
      </c>
      <c r="GP13" s="170" t="s">
        <v>48</v>
      </c>
      <c r="GQ13" s="170" t="s">
        <v>19</v>
      </c>
      <c r="GR13" s="232" t="s">
        <v>14</v>
      </c>
      <c r="GS13" s="233" t="s">
        <v>15</v>
      </c>
      <c r="GT13" s="232" t="s">
        <v>16</v>
      </c>
      <c r="GU13" s="232" t="s">
        <v>17</v>
      </c>
      <c r="GV13" s="232" t="s">
        <v>18</v>
      </c>
      <c r="GW13" s="232" t="s">
        <v>19</v>
      </c>
      <c r="GX13" s="51" t="s">
        <v>14</v>
      </c>
      <c r="GY13" s="51" t="s">
        <v>15</v>
      </c>
      <c r="GZ13" s="51" t="s">
        <v>16</v>
      </c>
      <c r="HA13" s="51" t="s">
        <v>49</v>
      </c>
      <c r="HB13" s="51" t="s">
        <v>48</v>
      </c>
      <c r="HC13" s="51" t="s">
        <v>19</v>
      </c>
      <c r="HD13" s="262" t="s">
        <v>20</v>
      </c>
      <c r="HE13" s="262" t="s">
        <v>21</v>
      </c>
      <c r="HF13" s="262" t="s">
        <v>22</v>
      </c>
      <c r="HG13" s="262" t="s">
        <v>23</v>
      </c>
      <c r="HH13" s="264" t="s">
        <v>25</v>
      </c>
      <c r="HI13" s="264" t="s">
        <v>26</v>
      </c>
      <c r="HJ13" s="264" t="s">
        <v>27</v>
      </c>
      <c r="HK13" s="265" t="s">
        <v>28</v>
      </c>
      <c r="HL13" s="264" t="s">
        <v>29</v>
      </c>
      <c r="HM13" s="315" t="s">
        <v>59</v>
      </c>
      <c r="HN13" s="315" t="s">
        <v>66</v>
      </c>
      <c r="HO13" s="315" t="s">
        <v>60</v>
      </c>
      <c r="HP13" s="315" t="s">
        <v>114</v>
      </c>
      <c r="HQ13" s="317" t="s">
        <v>61</v>
      </c>
      <c r="HR13" s="318" t="s">
        <v>102</v>
      </c>
      <c r="HS13" s="320" t="s">
        <v>62</v>
      </c>
      <c r="HT13" s="322" t="s">
        <v>63</v>
      </c>
      <c r="HU13" s="322" t="s">
        <v>64</v>
      </c>
      <c r="HV13" s="220" t="s">
        <v>6</v>
      </c>
      <c r="HW13" s="193" t="s">
        <v>50</v>
      </c>
      <c r="HX13" s="193" t="s">
        <v>52</v>
      </c>
      <c r="HY13" s="193" t="s">
        <v>54</v>
      </c>
      <c r="HZ13" s="193" t="s">
        <v>31</v>
      </c>
      <c r="IA13" s="285" t="s">
        <v>51</v>
      </c>
      <c r="IB13" s="285" t="s">
        <v>7</v>
      </c>
      <c r="IC13" s="295" t="s">
        <v>59</v>
      </c>
      <c r="ID13" s="295" t="s">
        <v>66</v>
      </c>
      <c r="IE13" s="295" t="s">
        <v>60</v>
      </c>
      <c r="IF13" s="295" t="s">
        <v>114</v>
      </c>
      <c r="IG13" s="297" t="s">
        <v>61</v>
      </c>
      <c r="IH13" s="287" t="s">
        <v>102</v>
      </c>
      <c r="II13" s="289" t="s">
        <v>62</v>
      </c>
      <c r="IJ13" s="291" t="s">
        <v>63</v>
      </c>
      <c r="IK13" s="291" t="s">
        <v>64</v>
      </c>
      <c r="IL13" s="220" t="s">
        <v>6</v>
      </c>
      <c r="IM13" s="193" t="s">
        <v>50</v>
      </c>
      <c r="IN13" s="193" t="s">
        <v>52</v>
      </c>
      <c r="IO13" s="193" t="s">
        <v>54</v>
      </c>
      <c r="IP13" s="193" t="s">
        <v>31</v>
      </c>
      <c r="IQ13" s="285" t="s">
        <v>51</v>
      </c>
      <c r="IR13" s="285" t="s">
        <v>7</v>
      </c>
      <c r="IS13" s="46" t="s">
        <v>59</v>
      </c>
      <c r="IT13" s="46" t="s">
        <v>66</v>
      </c>
      <c r="IU13" s="46" t="s">
        <v>60</v>
      </c>
      <c r="IV13" s="46" t="s">
        <v>114</v>
      </c>
      <c r="IW13" s="46" t="s">
        <v>61</v>
      </c>
      <c r="IX13" s="46" t="s">
        <v>102</v>
      </c>
      <c r="IY13" s="46" t="s">
        <v>62</v>
      </c>
      <c r="IZ13" s="46" t="s">
        <v>63</v>
      </c>
      <c r="JA13" s="46" t="s">
        <v>64</v>
      </c>
      <c r="JB13" s="19" t="s">
        <v>6</v>
      </c>
      <c r="JC13" s="18" t="s">
        <v>50</v>
      </c>
      <c r="JD13" s="18" t="s">
        <v>52</v>
      </c>
      <c r="JE13" s="18" t="s">
        <v>54</v>
      </c>
      <c r="JF13" s="18" t="s">
        <v>31</v>
      </c>
      <c r="JG13" s="23" t="s">
        <v>51</v>
      </c>
      <c r="JH13" s="23" t="s">
        <v>7</v>
      </c>
      <c r="JI13" s="174" t="s">
        <v>59</v>
      </c>
      <c r="JJ13" s="174" t="s">
        <v>66</v>
      </c>
      <c r="JK13" s="174" t="s">
        <v>60</v>
      </c>
      <c r="JL13" s="174" t="s">
        <v>114</v>
      </c>
      <c r="JM13" s="179" t="s">
        <v>61</v>
      </c>
      <c r="JN13" s="180" t="s">
        <v>102</v>
      </c>
      <c r="JO13" s="182" t="s">
        <v>62</v>
      </c>
      <c r="JP13" s="184" t="s">
        <v>63</v>
      </c>
      <c r="JQ13" s="184" t="s">
        <v>64</v>
      </c>
      <c r="JR13" s="220" t="s">
        <v>6</v>
      </c>
      <c r="JS13" s="193" t="s">
        <v>50</v>
      </c>
      <c r="JT13" s="193" t="s">
        <v>52</v>
      </c>
      <c r="JU13" s="193" t="s">
        <v>54</v>
      </c>
      <c r="JV13" s="193" t="s">
        <v>31</v>
      </c>
      <c r="JW13" s="285" t="s">
        <v>51</v>
      </c>
      <c r="JX13" s="285" t="s">
        <v>7</v>
      </c>
      <c r="JY13" s="222" t="s">
        <v>59</v>
      </c>
      <c r="JZ13" s="222" t="s">
        <v>66</v>
      </c>
      <c r="KA13" s="222" t="s">
        <v>60</v>
      </c>
      <c r="KB13" s="222" t="s">
        <v>114</v>
      </c>
      <c r="KC13" s="224" t="s">
        <v>61</v>
      </c>
      <c r="KD13" s="225" t="s">
        <v>102</v>
      </c>
      <c r="KE13" s="227" t="s">
        <v>62</v>
      </c>
      <c r="KF13" s="229" t="s">
        <v>63</v>
      </c>
      <c r="KG13" s="229" t="s">
        <v>64</v>
      </c>
      <c r="KH13" s="240" t="s">
        <v>6</v>
      </c>
      <c r="KI13" s="231" t="s">
        <v>50</v>
      </c>
      <c r="KJ13" s="231" t="s">
        <v>52</v>
      </c>
      <c r="KK13" s="231" t="s">
        <v>54</v>
      </c>
      <c r="KL13" s="231" t="s">
        <v>31</v>
      </c>
      <c r="KM13" s="231" t="s">
        <v>51</v>
      </c>
      <c r="KN13" s="231" t="s">
        <v>7</v>
      </c>
      <c r="KO13" s="170" t="s">
        <v>14</v>
      </c>
      <c r="KP13" s="171" t="s">
        <v>15</v>
      </c>
      <c r="KQ13" s="170" t="s">
        <v>16</v>
      </c>
      <c r="KR13" s="170" t="s">
        <v>49</v>
      </c>
      <c r="KS13" s="170" t="s">
        <v>48</v>
      </c>
      <c r="KT13" s="170" t="s">
        <v>19</v>
      </c>
      <c r="KU13" s="232" t="s">
        <v>14</v>
      </c>
      <c r="KV13" s="233" t="s">
        <v>15</v>
      </c>
      <c r="KW13" s="232" t="s">
        <v>16</v>
      </c>
      <c r="KX13" s="232" t="s">
        <v>17</v>
      </c>
      <c r="KY13" s="232" t="s">
        <v>18</v>
      </c>
      <c r="KZ13" s="232" t="s">
        <v>19</v>
      </c>
      <c r="LA13" s="76" t="s">
        <v>14</v>
      </c>
      <c r="LB13" s="77" t="s">
        <v>15</v>
      </c>
      <c r="LC13" s="77" t="s">
        <v>16</v>
      </c>
      <c r="LD13" s="77" t="s">
        <v>49</v>
      </c>
      <c r="LE13" s="77" t="s">
        <v>48</v>
      </c>
      <c r="LF13" s="77" t="s">
        <v>19</v>
      </c>
      <c r="LG13" s="343" t="s">
        <v>20</v>
      </c>
      <c r="LH13" s="343" t="s">
        <v>21</v>
      </c>
      <c r="LI13" s="343" t="s">
        <v>22</v>
      </c>
      <c r="LJ13" s="295" t="s">
        <v>59</v>
      </c>
      <c r="LK13" s="295" t="s">
        <v>66</v>
      </c>
      <c r="LL13" s="295" t="s">
        <v>60</v>
      </c>
      <c r="LM13" s="295" t="s">
        <v>114</v>
      </c>
      <c r="LN13" s="297" t="s">
        <v>61</v>
      </c>
      <c r="LO13" s="287" t="s">
        <v>102</v>
      </c>
      <c r="LP13" s="289" t="s">
        <v>62</v>
      </c>
      <c r="LQ13" s="291" t="s">
        <v>63</v>
      </c>
      <c r="LR13" s="291" t="s">
        <v>64</v>
      </c>
      <c r="LS13" s="220" t="s">
        <v>6</v>
      </c>
      <c r="LT13" s="193" t="s">
        <v>50</v>
      </c>
      <c r="LU13" s="193" t="s">
        <v>52</v>
      </c>
      <c r="LV13" s="193" t="s">
        <v>54</v>
      </c>
      <c r="LW13" s="193" t="s">
        <v>31</v>
      </c>
      <c r="LX13" s="285" t="s">
        <v>51</v>
      </c>
      <c r="LY13" s="285" t="s">
        <v>7</v>
      </c>
      <c r="LZ13" s="295" t="s">
        <v>59</v>
      </c>
      <c r="MA13" s="295" t="s">
        <v>66</v>
      </c>
      <c r="MB13" s="295" t="s">
        <v>60</v>
      </c>
      <c r="MC13" s="295" t="s">
        <v>114</v>
      </c>
      <c r="MD13" s="297" t="s">
        <v>61</v>
      </c>
      <c r="ME13" s="287" t="s">
        <v>102</v>
      </c>
      <c r="MF13" s="289" t="s">
        <v>62</v>
      </c>
      <c r="MG13" s="291" t="s">
        <v>63</v>
      </c>
      <c r="MH13" s="291" t="s">
        <v>64</v>
      </c>
      <c r="MI13" s="220" t="s">
        <v>6</v>
      </c>
      <c r="MJ13" s="193" t="s">
        <v>50</v>
      </c>
      <c r="MK13" s="193" t="s">
        <v>52</v>
      </c>
      <c r="ML13" s="193" t="s">
        <v>54</v>
      </c>
      <c r="MM13" s="193" t="s">
        <v>31</v>
      </c>
      <c r="MN13" s="285" t="s">
        <v>51</v>
      </c>
      <c r="MO13" s="285" t="s">
        <v>7</v>
      </c>
      <c r="MP13" s="46" t="s">
        <v>59</v>
      </c>
      <c r="MQ13" s="46" t="s">
        <v>66</v>
      </c>
      <c r="MR13" s="46" t="s">
        <v>60</v>
      </c>
      <c r="MS13" s="46" t="s">
        <v>114</v>
      </c>
      <c r="MT13" s="46" t="s">
        <v>61</v>
      </c>
      <c r="MU13" s="46" t="s">
        <v>102</v>
      </c>
      <c r="MV13" s="46" t="s">
        <v>62</v>
      </c>
      <c r="MW13" s="46" t="s">
        <v>63</v>
      </c>
      <c r="MX13" s="46" t="s">
        <v>64</v>
      </c>
      <c r="MY13" s="19" t="s">
        <v>6</v>
      </c>
      <c r="MZ13" s="18" t="s">
        <v>50</v>
      </c>
      <c r="NA13" s="18" t="s">
        <v>52</v>
      </c>
      <c r="NB13" s="18" t="s">
        <v>54</v>
      </c>
      <c r="NC13" s="18" t="s">
        <v>31</v>
      </c>
      <c r="ND13" s="23" t="s">
        <v>51</v>
      </c>
      <c r="NE13" s="23" t="s">
        <v>7</v>
      </c>
      <c r="NF13" s="174" t="s">
        <v>59</v>
      </c>
      <c r="NG13" s="174" t="s">
        <v>66</v>
      </c>
      <c r="NH13" s="174" t="s">
        <v>60</v>
      </c>
      <c r="NI13" s="174" t="s">
        <v>114</v>
      </c>
      <c r="NJ13" s="179" t="s">
        <v>61</v>
      </c>
      <c r="NK13" s="180" t="s">
        <v>102</v>
      </c>
      <c r="NL13" s="182" t="s">
        <v>62</v>
      </c>
      <c r="NM13" s="184" t="s">
        <v>63</v>
      </c>
      <c r="NN13" s="184" t="s">
        <v>64</v>
      </c>
      <c r="NO13" s="220" t="s">
        <v>6</v>
      </c>
      <c r="NP13" s="193" t="s">
        <v>50</v>
      </c>
      <c r="NQ13" s="193" t="s">
        <v>52</v>
      </c>
      <c r="NR13" s="193" t="s">
        <v>54</v>
      </c>
      <c r="NS13" s="193" t="s">
        <v>31</v>
      </c>
      <c r="NT13" s="285" t="s">
        <v>51</v>
      </c>
      <c r="NU13" s="285" t="s">
        <v>7</v>
      </c>
      <c r="NV13" s="222" t="s">
        <v>59</v>
      </c>
      <c r="NW13" s="222" t="s">
        <v>66</v>
      </c>
      <c r="NX13" s="222" t="s">
        <v>60</v>
      </c>
      <c r="NY13" s="222" t="s">
        <v>114</v>
      </c>
      <c r="NZ13" s="224" t="s">
        <v>61</v>
      </c>
      <c r="OA13" s="225" t="s">
        <v>102</v>
      </c>
      <c r="OB13" s="227" t="s">
        <v>62</v>
      </c>
      <c r="OC13" s="229" t="s">
        <v>63</v>
      </c>
      <c r="OD13" s="229" t="s">
        <v>64</v>
      </c>
      <c r="OE13" s="240" t="s">
        <v>6</v>
      </c>
      <c r="OF13" s="231" t="s">
        <v>50</v>
      </c>
      <c r="OG13" s="231" t="s">
        <v>52</v>
      </c>
      <c r="OH13" s="231" t="s">
        <v>54</v>
      </c>
      <c r="OI13" s="231" t="s">
        <v>31</v>
      </c>
      <c r="OJ13" s="231" t="s">
        <v>51</v>
      </c>
      <c r="OK13" s="231" t="s">
        <v>7</v>
      </c>
      <c r="OL13" s="170" t="s">
        <v>14</v>
      </c>
      <c r="OM13" s="171" t="s">
        <v>15</v>
      </c>
      <c r="ON13" s="170" t="s">
        <v>16</v>
      </c>
      <c r="OO13" s="170" t="s">
        <v>49</v>
      </c>
      <c r="OP13" s="170" t="s">
        <v>48</v>
      </c>
      <c r="OQ13" s="170" t="s">
        <v>19</v>
      </c>
      <c r="OR13" s="232" t="s">
        <v>14</v>
      </c>
      <c r="OS13" s="233" t="s">
        <v>15</v>
      </c>
      <c r="OT13" s="232" t="s">
        <v>16</v>
      </c>
      <c r="OU13" s="232" t="s">
        <v>17</v>
      </c>
      <c r="OV13" s="232" t="s">
        <v>18</v>
      </c>
      <c r="OW13" s="232" t="s">
        <v>19</v>
      </c>
      <c r="OX13" s="80" t="s">
        <v>14</v>
      </c>
      <c r="OY13" s="81" t="s">
        <v>15</v>
      </c>
      <c r="OZ13" s="81" t="s">
        <v>16</v>
      </c>
      <c r="PA13" s="81" t="s">
        <v>49</v>
      </c>
      <c r="PB13" s="81" t="s">
        <v>48</v>
      </c>
      <c r="PC13" s="81" t="s">
        <v>19</v>
      </c>
      <c r="PD13" s="264" t="s">
        <v>20</v>
      </c>
      <c r="PE13" s="264" t="s">
        <v>21</v>
      </c>
      <c r="PF13" s="264" t="s">
        <v>22</v>
      </c>
      <c r="PG13" s="264" t="s">
        <v>23</v>
      </c>
      <c r="PH13" s="264" t="s">
        <v>25</v>
      </c>
      <c r="PI13" s="264" t="s">
        <v>26</v>
      </c>
      <c r="PJ13" s="264" t="s">
        <v>27</v>
      </c>
      <c r="PK13" s="265" t="s">
        <v>28</v>
      </c>
      <c r="PL13" s="264" t="s">
        <v>29</v>
      </c>
    </row>
    <row r="14" spans="1:428" ht="39.75" customHeight="1" x14ac:dyDescent="0.35">
      <c r="A14" s="238"/>
      <c r="B14" s="238"/>
      <c r="C14" s="238"/>
      <c r="D14" s="238"/>
      <c r="E14" s="238"/>
      <c r="F14" s="238"/>
      <c r="G14" s="214"/>
      <c r="H14" s="214"/>
      <c r="I14" s="214"/>
      <c r="J14" s="214"/>
      <c r="K14" s="215"/>
      <c r="L14" s="206"/>
      <c r="M14" s="208"/>
      <c r="N14" s="210"/>
      <c r="O14" s="210"/>
      <c r="P14" s="220"/>
      <c r="Q14" s="193"/>
      <c r="R14" s="193"/>
      <c r="S14" s="193"/>
      <c r="T14" s="193"/>
      <c r="U14" s="192"/>
      <c r="V14" s="192"/>
      <c r="W14" s="296"/>
      <c r="X14" s="296"/>
      <c r="Y14" s="296"/>
      <c r="Z14" s="296"/>
      <c r="AA14" s="297"/>
      <c r="AB14" s="288"/>
      <c r="AC14" s="290"/>
      <c r="AD14" s="292"/>
      <c r="AE14" s="292"/>
      <c r="AF14" s="220"/>
      <c r="AG14" s="193"/>
      <c r="AH14" s="193"/>
      <c r="AI14" s="193"/>
      <c r="AJ14" s="193"/>
      <c r="AK14" s="192"/>
      <c r="AL14" s="192"/>
      <c r="AM14" s="47">
        <v>2</v>
      </c>
      <c r="AN14" s="47">
        <v>2</v>
      </c>
      <c r="AO14" s="47">
        <v>3</v>
      </c>
      <c r="AP14" s="47">
        <v>1</v>
      </c>
      <c r="AQ14" s="47">
        <v>5</v>
      </c>
      <c r="AR14" s="47">
        <v>3</v>
      </c>
      <c r="AS14" s="47">
        <v>2</v>
      </c>
      <c r="AT14" s="47">
        <v>1</v>
      </c>
      <c r="AU14" s="47">
        <v>1</v>
      </c>
      <c r="AV14" s="2">
        <f>'Q1'!AV14</f>
        <v>5</v>
      </c>
      <c r="AW14" s="2">
        <f>'Q1'!AW14</f>
        <v>1</v>
      </c>
      <c r="AX14" s="2">
        <f>'Q1'!AX14</f>
        <v>5</v>
      </c>
      <c r="AY14" s="2">
        <f>'Q1'!AY14</f>
        <v>3</v>
      </c>
      <c r="AZ14" s="2">
        <f>'Q1'!AZ14</f>
        <v>2</v>
      </c>
      <c r="BA14" s="2">
        <f>'Q1'!BA14</f>
        <v>2</v>
      </c>
      <c r="BB14" s="2">
        <f>'Q1'!BB14</f>
        <v>2</v>
      </c>
      <c r="BC14" s="175"/>
      <c r="BD14" s="175"/>
      <c r="BE14" s="175"/>
      <c r="BF14" s="175"/>
      <c r="BG14" s="179"/>
      <c r="BH14" s="181"/>
      <c r="BI14" s="183"/>
      <c r="BJ14" s="185"/>
      <c r="BK14" s="185"/>
      <c r="BL14" s="220"/>
      <c r="BM14" s="193"/>
      <c r="BN14" s="193"/>
      <c r="BO14" s="193"/>
      <c r="BP14" s="193"/>
      <c r="BQ14" s="192"/>
      <c r="BR14" s="192"/>
      <c r="BS14" s="223"/>
      <c r="BT14" s="223"/>
      <c r="BU14" s="223"/>
      <c r="BV14" s="223"/>
      <c r="BW14" s="224"/>
      <c r="BX14" s="226"/>
      <c r="BY14" s="228"/>
      <c r="BZ14" s="230"/>
      <c r="CA14" s="230"/>
      <c r="CB14" s="240"/>
      <c r="CC14" s="231"/>
      <c r="CD14" s="231"/>
      <c r="CE14" s="231"/>
      <c r="CF14" s="231"/>
      <c r="CG14" s="231"/>
      <c r="CH14" s="231"/>
      <c r="CI14" s="170"/>
      <c r="CJ14" s="171"/>
      <c r="CK14" s="170"/>
      <c r="CL14" s="170"/>
      <c r="CM14" s="170"/>
      <c r="CN14" s="170"/>
      <c r="CO14" s="232"/>
      <c r="CP14" s="233"/>
      <c r="CQ14" s="232"/>
      <c r="CR14" s="232"/>
      <c r="CS14" s="232"/>
      <c r="CT14" s="232"/>
      <c r="CU14" s="169" t="s">
        <v>30</v>
      </c>
      <c r="CV14" s="169"/>
      <c r="CW14" s="169"/>
      <c r="CX14" s="169"/>
      <c r="CY14" s="169"/>
      <c r="CZ14" s="169"/>
      <c r="DA14" s="191"/>
      <c r="DB14" s="191"/>
      <c r="DC14" s="262"/>
      <c r="DD14" s="262"/>
      <c r="DE14" s="264"/>
      <c r="DF14" s="264"/>
      <c r="DG14" s="264"/>
      <c r="DH14" s="265"/>
      <c r="DI14" s="264"/>
      <c r="DJ14" s="214"/>
      <c r="DK14" s="214"/>
      <c r="DL14" s="214"/>
      <c r="DM14" s="214"/>
      <c r="DN14" s="215"/>
      <c r="DO14" s="206"/>
      <c r="DP14" s="208"/>
      <c r="DQ14" s="210"/>
      <c r="DR14" s="210"/>
      <c r="DS14" s="220"/>
      <c r="DT14" s="193"/>
      <c r="DU14" s="193"/>
      <c r="DV14" s="193"/>
      <c r="DW14" s="193"/>
      <c r="DX14" s="192"/>
      <c r="DY14" s="192"/>
      <c r="DZ14" s="296"/>
      <c r="EA14" s="296"/>
      <c r="EB14" s="296"/>
      <c r="EC14" s="296"/>
      <c r="ED14" s="297"/>
      <c r="EE14" s="288"/>
      <c r="EF14" s="290"/>
      <c r="EG14" s="292"/>
      <c r="EH14" s="292"/>
      <c r="EI14" s="220"/>
      <c r="EJ14" s="193"/>
      <c r="EK14" s="193"/>
      <c r="EL14" s="193"/>
      <c r="EM14" s="193"/>
      <c r="EN14" s="192"/>
      <c r="EO14" s="192"/>
      <c r="EP14" s="47">
        <v>2</v>
      </c>
      <c r="EQ14" s="47">
        <v>2</v>
      </c>
      <c r="ER14" s="47">
        <v>3</v>
      </c>
      <c r="ES14" s="47">
        <v>1</v>
      </c>
      <c r="ET14" s="47">
        <v>5</v>
      </c>
      <c r="EU14" s="47">
        <v>3</v>
      </c>
      <c r="EV14" s="47">
        <v>2</v>
      </c>
      <c r="EW14" s="47">
        <v>1</v>
      </c>
      <c r="EX14" s="47">
        <v>1</v>
      </c>
      <c r="EY14" s="2">
        <v>5</v>
      </c>
      <c r="EZ14" s="2">
        <v>1</v>
      </c>
      <c r="FA14" s="2">
        <v>5</v>
      </c>
      <c r="FB14" s="2">
        <v>3</v>
      </c>
      <c r="FC14" s="2">
        <v>2</v>
      </c>
      <c r="FD14" s="2">
        <v>2</v>
      </c>
      <c r="FE14" s="2">
        <v>2</v>
      </c>
      <c r="FF14" s="175"/>
      <c r="FG14" s="175"/>
      <c r="FH14" s="175"/>
      <c r="FI14" s="175"/>
      <c r="FJ14" s="179"/>
      <c r="FK14" s="181"/>
      <c r="FL14" s="183"/>
      <c r="FM14" s="185"/>
      <c r="FN14" s="185"/>
      <c r="FO14" s="220"/>
      <c r="FP14" s="193"/>
      <c r="FQ14" s="193"/>
      <c r="FR14" s="193"/>
      <c r="FS14" s="193"/>
      <c r="FT14" s="192"/>
      <c r="FU14" s="192"/>
      <c r="FV14" s="223"/>
      <c r="FW14" s="223"/>
      <c r="FX14" s="223"/>
      <c r="FY14" s="223"/>
      <c r="FZ14" s="224"/>
      <c r="GA14" s="226"/>
      <c r="GB14" s="228"/>
      <c r="GC14" s="230"/>
      <c r="GD14" s="230"/>
      <c r="GE14" s="240"/>
      <c r="GF14" s="231"/>
      <c r="GG14" s="231"/>
      <c r="GH14" s="231"/>
      <c r="GI14" s="231"/>
      <c r="GJ14" s="231"/>
      <c r="GK14" s="231"/>
      <c r="GL14" s="170"/>
      <c r="GM14" s="171"/>
      <c r="GN14" s="170"/>
      <c r="GO14" s="170"/>
      <c r="GP14" s="170"/>
      <c r="GQ14" s="170"/>
      <c r="GR14" s="232"/>
      <c r="GS14" s="233"/>
      <c r="GT14" s="232"/>
      <c r="GU14" s="232"/>
      <c r="GV14" s="232"/>
      <c r="GW14" s="232"/>
      <c r="GX14" s="169" t="s">
        <v>30</v>
      </c>
      <c r="GY14" s="169"/>
      <c r="GZ14" s="169"/>
      <c r="HA14" s="169"/>
      <c r="HB14" s="169"/>
      <c r="HC14" s="169"/>
      <c r="HD14" s="262"/>
      <c r="HE14" s="262"/>
      <c r="HF14" s="262"/>
      <c r="HG14" s="262"/>
      <c r="HH14" s="264"/>
      <c r="HI14" s="264"/>
      <c r="HJ14" s="264"/>
      <c r="HK14" s="265"/>
      <c r="HL14" s="264"/>
      <c r="HM14" s="316"/>
      <c r="HN14" s="316"/>
      <c r="HO14" s="316"/>
      <c r="HP14" s="316"/>
      <c r="HQ14" s="317"/>
      <c r="HR14" s="319"/>
      <c r="HS14" s="321"/>
      <c r="HT14" s="323"/>
      <c r="HU14" s="323"/>
      <c r="HV14" s="220"/>
      <c r="HW14" s="193"/>
      <c r="HX14" s="193"/>
      <c r="HY14" s="193"/>
      <c r="HZ14" s="193"/>
      <c r="IA14" s="192"/>
      <c r="IB14" s="192"/>
      <c r="IC14" s="296"/>
      <c r="ID14" s="296"/>
      <c r="IE14" s="296"/>
      <c r="IF14" s="296"/>
      <c r="IG14" s="297"/>
      <c r="IH14" s="288"/>
      <c r="II14" s="290"/>
      <c r="IJ14" s="292"/>
      <c r="IK14" s="292"/>
      <c r="IL14" s="220"/>
      <c r="IM14" s="193"/>
      <c r="IN14" s="193"/>
      <c r="IO14" s="193"/>
      <c r="IP14" s="193"/>
      <c r="IQ14" s="192"/>
      <c r="IR14" s="192"/>
      <c r="IS14" s="47">
        <v>2</v>
      </c>
      <c r="IT14" s="47">
        <v>2</v>
      </c>
      <c r="IU14" s="47">
        <v>3</v>
      </c>
      <c r="IV14" s="47">
        <v>1</v>
      </c>
      <c r="IW14" s="47">
        <v>5</v>
      </c>
      <c r="IX14" s="47">
        <v>3</v>
      </c>
      <c r="IY14" s="47">
        <v>2</v>
      </c>
      <c r="IZ14" s="47">
        <v>1</v>
      </c>
      <c r="JA14" s="47">
        <v>1</v>
      </c>
      <c r="JB14" s="2">
        <v>5</v>
      </c>
      <c r="JC14" s="2">
        <v>1</v>
      </c>
      <c r="JD14" s="2">
        <v>5</v>
      </c>
      <c r="JE14" s="2">
        <v>3</v>
      </c>
      <c r="JF14" s="2">
        <v>2</v>
      </c>
      <c r="JG14" s="2">
        <v>2</v>
      </c>
      <c r="JH14" s="2">
        <v>2</v>
      </c>
      <c r="JI14" s="175"/>
      <c r="JJ14" s="175"/>
      <c r="JK14" s="175"/>
      <c r="JL14" s="175"/>
      <c r="JM14" s="179"/>
      <c r="JN14" s="181"/>
      <c r="JO14" s="183"/>
      <c r="JP14" s="185"/>
      <c r="JQ14" s="185"/>
      <c r="JR14" s="220"/>
      <c r="JS14" s="193"/>
      <c r="JT14" s="193"/>
      <c r="JU14" s="193"/>
      <c r="JV14" s="193"/>
      <c r="JW14" s="192"/>
      <c r="JX14" s="192"/>
      <c r="JY14" s="223"/>
      <c r="JZ14" s="223"/>
      <c r="KA14" s="223"/>
      <c r="KB14" s="223"/>
      <c r="KC14" s="224"/>
      <c r="KD14" s="226"/>
      <c r="KE14" s="228"/>
      <c r="KF14" s="230"/>
      <c r="KG14" s="230"/>
      <c r="KH14" s="240"/>
      <c r="KI14" s="231"/>
      <c r="KJ14" s="231"/>
      <c r="KK14" s="231"/>
      <c r="KL14" s="231"/>
      <c r="KM14" s="231"/>
      <c r="KN14" s="231"/>
      <c r="KO14" s="170"/>
      <c r="KP14" s="171"/>
      <c r="KQ14" s="170"/>
      <c r="KR14" s="170"/>
      <c r="KS14" s="170"/>
      <c r="KT14" s="170"/>
      <c r="KU14" s="232"/>
      <c r="KV14" s="233"/>
      <c r="KW14" s="232"/>
      <c r="KX14" s="232"/>
      <c r="KY14" s="232"/>
      <c r="KZ14" s="232"/>
      <c r="LA14" s="341" t="s">
        <v>30</v>
      </c>
      <c r="LB14" s="341"/>
      <c r="LC14" s="341"/>
      <c r="LD14" s="341"/>
      <c r="LE14" s="341"/>
      <c r="LF14" s="341"/>
      <c r="LG14" s="343"/>
      <c r="LH14" s="343"/>
      <c r="LI14" s="343"/>
      <c r="LJ14" s="296"/>
      <c r="LK14" s="296"/>
      <c r="LL14" s="296"/>
      <c r="LM14" s="296"/>
      <c r="LN14" s="297"/>
      <c r="LO14" s="288"/>
      <c r="LP14" s="290"/>
      <c r="LQ14" s="292"/>
      <c r="LR14" s="292"/>
      <c r="LS14" s="220"/>
      <c r="LT14" s="193"/>
      <c r="LU14" s="193"/>
      <c r="LV14" s="193"/>
      <c r="LW14" s="193"/>
      <c r="LX14" s="192"/>
      <c r="LY14" s="192"/>
      <c r="LZ14" s="296"/>
      <c r="MA14" s="296"/>
      <c r="MB14" s="296"/>
      <c r="MC14" s="296"/>
      <c r="MD14" s="297"/>
      <c r="ME14" s="288"/>
      <c r="MF14" s="290"/>
      <c r="MG14" s="292"/>
      <c r="MH14" s="292"/>
      <c r="MI14" s="220"/>
      <c r="MJ14" s="193"/>
      <c r="MK14" s="193"/>
      <c r="ML14" s="193"/>
      <c r="MM14" s="193"/>
      <c r="MN14" s="192"/>
      <c r="MO14" s="192"/>
      <c r="MP14" s="47">
        <v>2</v>
      </c>
      <c r="MQ14" s="47">
        <v>2</v>
      </c>
      <c r="MR14" s="47">
        <v>3</v>
      </c>
      <c r="MS14" s="47">
        <v>1</v>
      </c>
      <c r="MT14" s="47">
        <v>5</v>
      </c>
      <c r="MU14" s="47">
        <v>3</v>
      </c>
      <c r="MV14" s="47">
        <v>2</v>
      </c>
      <c r="MW14" s="47">
        <v>1</v>
      </c>
      <c r="MX14" s="47">
        <v>1</v>
      </c>
      <c r="MY14" s="2">
        <v>5</v>
      </c>
      <c r="MZ14" s="2">
        <v>1</v>
      </c>
      <c r="NA14" s="2">
        <v>5</v>
      </c>
      <c r="NB14" s="2">
        <v>3</v>
      </c>
      <c r="NC14" s="2">
        <v>2</v>
      </c>
      <c r="ND14" s="2">
        <v>2</v>
      </c>
      <c r="NE14" s="2">
        <v>2</v>
      </c>
      <c r="NF14" s="175"/>
      <c r="NG14" s="175"/>
      <c r="NH14" s="175"/>
      <c r="NI14" s="175"/>
      <c r="NJ14" s="179"/>
      <c r="NK14" s="181"/>
      <c r="NL14" s="183"/>
      <c r="NM14" s="185"/>
      <c r="NN14" s="185"/>
      <c r="NO14" s="220"/>
      <c r="NP14" s="193"/>
      <c r="NQ14" s="193"/>
      <c r="NR14" s="193"/>
      <c r="NS14" s="193"/>
      <c r="NT14" s="192"/>
      <c r="NU14" s="192"/>
      <c r="NV14" s="223"/>
      <c r="NW14" s="223"/>
      <c r="NX14" s="223"/>
      <c r="NY14" s="223"/>
      <c r="NZ14" s="224"/>
      <c r="OA14" s="226"/>
      <c r="OB14" s="228"/>
      <c r="OC14" s="230"/>
      <c r="OD14" s="230"/>
      <c r="OE14" s="240"/>
      <c r="OF14" s="231"/>
      <c r="OG14" s="231"/>
      <c r="OH14" s="231"/>
      <c r="OI14" s="231"/>
      <c r="OJ14" s="231"/>
      <c r="OK14" s="231"/>
      <c r="OL14" s="170"/>
      <c r="OM14" s="171"/>
      <c r="ON14" s="170"/>
      <c r="OO14" s="170"/>
      <c r="OP14" s="170"/>
      <c r="OQ14" s="170"/>
      <c r="OR14" s="232"/>
      <c r="OS14" s="233"/>
      <c r="OT14" s="232"/>
      <c r="OU14" s="232"/>
      <c r="OV14" s="232"/>
      <c r="OW14" s="232"/>
      <c r="OX14" s="342" t="s">
        <v>30</v>
      </c>
      <c r="OY14" s="342"/>
      <c r="OZ14" s="342"/>
      <c r="PA14" s="342"/>
      <c r="PB14" s="342"/>
      <c r="PC14" s="342"/>
      <c r="PD14" s="264"/>
      <c r="PE14" s="264"/>
      <c r="PF14" s="264"/>
      <c r="PG14" s="264"/>
      <c r="PH14" s="264"/>
      <c r="PI14" s="264"/>
      <c r="PJ14" s="264"/>
      <c r="PK14" s="265"/>
      <c r="PL14" s="264"/>
    </row>
    <row r="15" spans="1:428" ht="27" customHeight="1" x14ac:dyDescent="0.35">
      <c r="A15" s="24">
        <f>IF(B15="","",1)</f>
        <v>1</v>
      </c>
      <c r="B15" s="28" t="str">
        <f>IF('Q1'!B15="","",'Q1'!B15)</f>
        <v>Sor Ketryawin</v>
      </c>
      <c r="C15" s="30" t="str">
        <f>IF('Q1'!C15="","",'Q1'!C15)</f>
        <v>ស កេតទ្រីយ៉ាវីន</v>
      </c>
      <c r="D15" s="28" t="str">
        <f>IF('Q1'!D15="","",'Q1'!D15)</f>
        <v>F</v>
      </c>
      <c r="E15" s="24">
        <f>IF('Q1'!E15="","",'Q1'!E15)</f>
        <v>691</v>
      </c>
      <c r="F15" s="24" t="str">
        <f>IF('Q1'!F15="","",'Q1'!F15)</f>
        <v>I</v>
      </c>
      <c r="G15" s="26">
        <f>IF('Q3'!G15="","",'Q3'!G15)</f>
        <v>83.666666666666671</v>
      </c>
      <c r="H15" s="26">
        <f>IF('Q3'!H15="","",'Q3'!H15)</f>
        <v>88.100000000000009</v>
      </c>
      <c r="I15" s="26">
        <f>IF('Q3'!I15="","",'Q3'!I15)</f>
        <v>84.63333333333334</v>
      </c>
      <c r="J15" s="26">
        <f>IF('Q3'!J15="","",'Q3'!J15)</f>
        <v>83.666666666666671</v>
      </c>
      <c r="K15" s="26">
        <f>IF('Q3'!K15="","",'Q3'!K15)</f>
        <v>86.366666666666674</v>
      </c>
      <c r="L15" s="26">
        <f>IF('Q3'!L15="","",'Q3'!L15)</f>
        <v>83.566666666666677</v>
      </c>
      <c r="M15" s="26">
        <f>IF('Q3'!M15="","",'Q3'!M15)</f>
        <v>88.533333333333331</v>
      </c>
      <c r="N15" s="26">
        <f>IF('Q3'!N15="","",'Q3'!N15)</f>
        <v>97</v>
      </c>
      <c r="O15" s="26">
        <f>IF('Q3'!O15="","",'Q3'!O15)</f>
        <v>97</v>
      </c>
      <c r="P15" s="26">
        <f>IF('Q3'!P15="","",'Q3'!P15)</f>
        <v>87.960000000000008</v>
      </c>
      <c r="Q15" s="26">
        <f>IF('Q3'!Q15="","",'Q3'!Q15)</f>
        <v>87.960000000000008</v>
      </c>
      <c r="R15" s="26">
        <f>IF('Q3'!R15="","",'Q3'!R15)</f>
        <v>83.53</v>
      </c>
      <c r="S15" s="26">
        <f>IF('Q3'!S15="","",'Q3'!S15)</f>
        <v>74.66</v>
      </c>
      <c r="T15" s="26">
        <f>IF('Q3'!T15="","",'Q3'!T15)</f>
        <v>86</v>
      </c>
      <c r="U15" s="26">
        <f>IF('Q3'!U15="","",'Q3'!U15)</f>
        <v>99.333333333333343</v>
      </c>
      <c r="V15" s="26">
        <f>IF('Q3'!V15="","",'Q3'!V15)</f>
        <v>97</v>
      </c>
      <c r="W15" s="26" t="str">
        <f t="shared" ref="W15:W27" si="0">IF(G15="","",IF(G15&gt;=90,"A",IF(G15&gt;=80,"B",IF(G15&gt;=70,"C",IF(G15&gt;=60,"D",IF(G15&gt;=50,"E",IF(G15&gt;=0,"F","")))))))</f>
        <v>B</v>
      </c>
      <c r="X15" s="26" t="str">
        <f t="shared" ref="X15:X27" si="1">IF(H15="","",IF(H15&gt;=90,"A",IF(H15&gt;=80,"B",IF(H15&gt;=70,"C",IF(H15&gt;=60,"D",IF(H15&gt;=50,"E",IF(H15&gt;=0,"F","")))))))</f>
        <v>B</v>
      </c>
      <c r="Y15" s="26" t="str">
        <f t="shared" ref="Y15:Y27" si="2">IF(I15="","",IF(I15&gt;=90,"A",IF(I15&gt;=80,"B",IF(I15&gt;=70,"C",IF(I15&gt;=60,"D",IF(I15&gt;=50,"E",IF(I15&gt;=0,"F","")))))))</f>
        <v>B</v>
      </c>
      <c r="Z15" s="26" t="str">
        <f t="shared" ref="Z15:Z27" si="3">IF(J15="","",IF(J15&gt;=90,"A",IF(J15&gt;=80,"B",IF(J15&gt;=70,"C",IF(J15&gt;=60,"D",IF(J15&gt;=50,"E",IF(J15&gt;=0,"F","")))))))</f>
        <v>B</v>
      </c>
      <c r="AA15" s="26" t="str">
        <f t="shared" ref="AA15:AA27" si="4">IF(K15="","",IF(K15&gt;=90,"A",IF(K15&gt;=80,"B",IF(K15&gt;=70,"C",IF(K15&gt;=60,"D",IF(K15&gt;=50,"E",IF(K15&gt;=0,"F","")))))))</f>
        <v>B</v>
      </c>
      <c r="AB15" s="26" t="str">
        <f t="shared" ref="AB15:AB27" si="5">IF(L15="","",IF(L15&gt;=90,"A",IF(L15&gt;=80,"B",IF(L15&gt;=70,"C",IF(L15&gt;=60,"D",IF(L15&gt;=50,"E",IF(L15&gt;=0,"F","")))))))</f>
        <v>B</v>
      </c>
      <c r="AC15" s="26" t="str">
        <f t="shared" ref="AC15:AC27" si="6">IF(M15="","",IF(M15&gt;=90,"A",IF(M15&gt;=80,"B",IF(M15&gt;=70,"C",IF(M15&gt;=60,"D",IF(M15&gt;=50,"E",IF(M15&gt;=0,"F","")))))))</f>
        <v>B</v>
      </c>
      <c r="AD15" s="26" t="str">
        <f t="shared" ref="AD15:AD27" si="7">IF(N15="","",IF(N15&gt;=90,"A",IF(N15&gt;=80,"B",IF(N15&gt;=70,"C",IF(N15&gt;=60,"D",IF(N15&gt;=50,"E",IF(N15&gt;=0,"F","")))))))</f>
        <v>A</v>
      </c>
      <c r="AE15" s="26" t="str">
        <f t="shared" ref="AE15:AE27" si="8">IF(O15="","",IF(O15&gt;=90,"A",IF(O15&gt;=80,"B",IF(O15&gt;=70,"C",IF(O15&gt;=60,"D",IF(O15&gt;=50,"E",IF(O15&gt;=0,"F","")))))))</f>
        <v>A</v>
      </c>
      <c r="AF15" s="24" t="str">
        <f t="shared" ref="AF15:AF27" si="9">IF(P15="","",IF(P15&gt;=90,"A",IF(P15&gt;=80,"B",IF(P15&gt;=70,"C",IF(P15&gt;=60,"D",IF(P15&gt;=50,"E",IF(P15&gt;=0,"F","")))))))</f>
        <v>B</v>
      </c>
      <c r="AG15" s="24" t="str">
        <f t="shared" ref="AG15:AG27" si="10">IF(Q15="","",IF(Q15&gt;=90,"A",IF(Q15&gt;=80,"B",IF(Q15&gt;=70,"C",IF(Q15&gt;=60,"D",IF(Q15&gt;=50,"E",IF(Q15&gt;=0,"F","")))))))</f>
        <v>B</v>
      </c>
      <c r="AH15" s="24" t="str">
        <f t="shared" ref="AH15:AH27" si="11">IF(R15="","",IF(R15&gt;=90,"A",IF(R15&gt;=80,"B",IF(R15&gt;=70,"C",IF(R15&gt;=60,"D",IF(R15&gt;=50,"E",IF(R15&gt;=0,"F","")))))))</f>
        <v>B</v>
      </c>
      <c r="AI15" s="24" t="str">
        <f t="shared" ref="AI15:AI27" si="12">IF(S15="","",IF(S15&gt;=90,"A",IF(S15&gt;=80,"B",IF(S15&gt;=70,"C",IF(S15&gt;=60,"D",IF(S15&gt;=50,"E",IF(S15&gt;=0,"F","")))))))</f>
        <v>C</v>
      </c>
      <c r="AJ15" s="24" t="str">
        <f t="shared" ref="AJ15:AJ27" si="13">IF(T15="","",IF(T15&gt;=90,"A",IF(T15&gt;=80,"B",IF(T15&gt;=70,"C",IF(T15&gt;=60,"D",IF(T15&gt;=50,"E",IF(T15&gt;=0,"F","")))))))</f>
        <v>B</v>
      </c>
      <c r="AK15" s="24" t="str">
        <f t="shared" ref="AK15:AK27" si="14">IF(U15="","",IF(U15&gt;=90,"A",IF(U15&gt;=80,"B",IF(U15&gt;=70,"C",IF(U15&gt;=60,"D",IF(U15&gt;=50,"E",IF(U15&gt;=0,"F","")))))))</f>
        <v>A</v>
      </c>
      <c r="AL15" s="24" t="str">
        <f t="shared" ref="AL15:AL27" si="15">IF(V15="","",IF(V15&gt;=90,"A",IF(V15&gt;=80,"B",IF(V15&gt;=70,"C",IF(V15&gt;=60,"D",IF(V15&gt;=50,"E",IF(V15&gt;=0,"F","")))))))</f>
        <v>A</v>
      </c>
      <c r="AM15" s="24">
        <f t="shared" ref="AM15:AM27" si="16">IF(G15="","",$AM$14)</f>
        <v>2</v>
      </c>
      <c r="AN15" s="24">
        <f t="shared" ref="AN15:AN27" si="17">IF(H15="","",$AN$14)</f>
        <v>2</v>
      </c>
      <c r="AO15" s="24">
        <f t="shared" ref="AO15:AO27" si="18">IF(I15="","",$AO$14)</f>
        <v>3</v>
      </c>
      <c r="AP15" s="24">
        <f t="shared" ref="AP15:AP27" si="19">IF(J15="","",$AP$14)</f>
        <v>1</v>
      </c>
      <c r="AQ15" s="24">
        <f t="shared" ref="AQ15:AQ27" si="20">IF(K15="","",$AQ$14)</f>
        <v>5</v>
      </c>
      <c r="AR15" s="24">
        <f t="shared" ref="AR15:AR27" si="21">IF(L15="","",$AR$14)</f>
        <v>3</v>
      </c>
      <c r="AS15" s="24">
        <f t="shared" ref="AS15:AS27" si="22">IF(M15="","",$AS$14)</f>
        <v>2</v>
      </c>
      <c r="AT15" s="24">
        <f t="shared" ref="AT15:AT27" si="23">IF(N15="","",$AT$14)</f>
        <v>1</v>
      </c>
      <c r="AU15" s="24">
        <f t="shared" ref="AU15:AU27" si="24">IF(O15="","",$AU$14)</f>
        <v>1</v>
      </c>
      <c r="AV15" s="24">
        <f t="shared" ref="AV15:AV27" si="25">IF(P15="","",$AV$14)</f>
        <v>5</v>
      </c>
      <c r="AW15" s="24">
        <f t="shared" ref="AW15:AW27" si="26">IF(Q15="","",$AW$14)</f>
        <v>1</v>
      </c>
      <c r="AX15" s="24">
        <f t="shared" ref="AX15:AX27" si="27">IF(R15="","",$AX$14)</f>
        <v>5</v>
      </c>
      <c r="AY15" s="24">
        <f t="shared" ref="AY15:AY27" si="28">IF(S15="","",$AY$14)</f>
        <v>3</v>
      </c>
      <c r="AZ15" s="24">
        <f t="shared" ref="AZ15:AZ27" si="29">IF(T15="","",$AZ$14)</f>
        <v>2</v>
      </c>
      <c r="BA15" s="24">
        <f t="shared" ref="BA15:BA27" si="30">IF(U15="","",$BA$14)</f>
        <v>2</v>
      </c>
      <c r="BB15" s="24">
        <f t="shared" ref="BB15:BB27" si="31">IF(V15="","",$BB$14)</f>
        <v>2</v>
      </c>
      <c r="BC15" s="26">
        <f t="shared" ref="BC15:BC27" si="32">IF(OR(G15="",AM15=""),"",PRODUCT(G15,AM15))</f>
        <v>167.33333333333334</v>
      </c>
      <c r="BD15" s="26">
        <f t="shared" ref="BD15:BD27" si="33">IF(OR(H15="",AN15=""),"",PRODUCT(H15,AN15))</f>
        <v>176.20000000000002</v>
      </c>
      <c r="BE15" s="26">
        <f t="shared" ref="BE15:BE27" si="34">IF(OR(I15="",AO15=""),"",PRODUCT(I15,AO15))</f>
        <v>253.90000000000003</v>
      </c>
      <c r="BF15" s="26">
        <f t="shared" ref="BF15:BF27" si="35">IF(OR(J15="",AP15=""),"",PRODUCT(J15,AP15))</f>
        <v>83.666666666666671</v>
      </c>
      <c r="BG15" s="26">
        <f t="shared" ref="BG15:BG27" si="36">IF(OR(K15="",AQ15=""),"",PRODUCT(K15,AQ15))</f>
        <v>431.83333333333337</v>
      </c>
      <c r="BH15" s="26">
        <f t="shared" ref="BH15:BH27" si="37">IF(OR(L15="",AR15=""),"",PRODUCT(L15,AR15))</f>
        <v>250.70000000000005</v>
      </c>
      <c r="BI15" s="26">
        <f t="shared" ref="BI15:BI27" si="38">IF(OR(M15="",AS15=""),"",PRODUCT(M15,AS15))</f>
        <v>177.06666666666666</v>
      </c>
      <c r="BJ15" s="26">
        <f t="shared" ref="BJ15:BJ27" si="39">IF(OR(N15="",AT15=""),"",PRODUCT(N15,AT15))</f>
        <v>97</v>
      </c>
      <c r="BK15" s="26">
        <f t="shared" ref="BK15:BK27" si="40">IF(OR(O15="",AU15=""),"",PRODUCT(O15,AU15))</f>
        <v>97</v>
      </c>
      <c r="BL15" s="26">
        <f t="shared" ref="BL15:BL27" si="41">IF(OR(P15="",AV15=""),"",PRODUCT(P15,AV15))</f>
        <v>439.80000000000007</v>
      </c>
      <c r="BM15" s="26">
        <f t="shared" ref="BM15:BM27" si="42">IF(OR(Q15="",AW15=""),"",PRODUCT(Q15,AW15))</f>
        <v>87.960000000000008</v>
      </c>
      <c r="BN15" s="26">
        <f t="shared" ref="BN15:BN27" si="43">IF(OR(R15="",AX15=""),"",PRODUCT(R15,AX15))</f>
        <v>417.65</v>
      </c>
      <c r="BO15" s="26">
        <f t="shared" ref="BO15:BO27" si="44">IF(OR(S15="",AY15=""),"",PRODUCT(S15,AY15))</f>
        <v>223.98</v>
      </c>
      <c r="BP15" s="26">
        <f t="shared" ref="BP15:BP27" si="45">IF(OR(T15="",AZ15=""),"",PRODUCT(T15,AZ15))</f>
        <v>172</v>
      </c>
      <c r="BQ15" s="26">
        <f t="shared" ref="BQ15:BQ27" si="46">IF(OR(U15="",BA15=""),"",PRODUCT(U15,BA15))</f>
        <v>198.66666666666669</v>
      </c>
      <c r="BR15" s="26">
        <f t="shared" ref="BR15:BR27" si="47">IF(OR(V15="",BB15=""),"",PRODUCT(V15,BB15))</f>
        <v>194</v>
      </c>
      <c r="BS15" s="24">
        <f t="shared" ref="BS15:BS27" si="48">IF(OR(AM15="",W15=""),"",AM15*(IF(OR(W15="A",W15="a"),4,(IF(OR(W451="B",W15="b"),3,(IF(OR(W15="C",W15="c"),2,(IF(OR(W15="D",W15="d"),1.5,(IF(OR(W15="E",W15="e"),1,(IF(OR(W15="F",W15="f"),0)))))))))))))</f>
        <v>6</v>
      </c>
      <c r="BT15" s="24">
        <f t="shared" ref="BT15:BT27" si="49">IF(OR(AN15="",X15=""),"",AN15*(IF(OR(X15="A",X15="a"),4,(IF(OR(X451="B",X15="b"),3,(IF(OR(X15="C",X15="c"),2,(IF(OR(X15="D",X15="d"),1.5,(IF(OR(X15="E",X15="e"),1,(IF(OR(X15="F",X15="f"),0)))))))))))))</f>
        <v>6</v>
      </c>
      <c r="BU15" s="24">
        <f t="shared" ref="BU15:BU27" si="50">IF(OR(AO15="",Y15=""),"",AO15*(IF(OR(Y15="A",Y15="a"),4,(IF(OR(Y451="B",Y15="b"),3,(IF(OR(Y15="C",Y15="c"),2,(IF(OR(Y15="D",Y15="d"),1.5,(IF(OR(Y15="E",Y15="e"),1,(IF(OR(Y15="F",Y15="f"),0)))))))))))))</f>
        <v>9</v>
      </c>
      <c r="BV15" s="24">
        <f t="shared" ref="BV15:BV27" si="51">IF(OR(AP15="",Z15=""),"",AP15*(IF(OR(Z15="A",Z15="a"),4,(IF(OR(Z451="B",Z15="b"),3,(IF(OR(Z15="C",Z15="c"),2,(IF(OR(Z15="D",Z15="d"),1.5,(IF(OR(Z15="E",Z15="e"),1,(IF(OR(Z15="F",Z15="f"),0)))))))))))))</f>
        <v>3</v>
      </c>
      <c r="BW15" s="24">
        <f t="shared" ref="BW15:BW27" si="52">IF(OR(AQ15="",AA15=""),"",AQ15*(IF(OR(AA15="A",AA15="a"),4,(IF(OR(AA451="B",AA15="b"),3,(IF(OR(AA15="C",AA15="c"),2,(IF(OR(AA15="D",AA15="d"),1.5,(IF(OR(AA15="E",AA15="e"),1,(IF(OR(AA15="F",AA15="f"),0)))))))))))))</f>
        <v>15</v>
      </c>
      <c r="BX15" s="24">
        <f t="shared" ref="BX15:BX27" si="53">IF(OR(AR15="",AB15=""),"",AR15*(IF(OR(AB15="A",AB15="a"),4,(IF(OR(AB451="B",AB15="b"),3,(IF(OR(AB15="C",AB15="c"),2,(IF(OR(AB15="D",AB15="d"),1.5,(IF(OR(AB15="E",AB15="e"),1,(IF(OR(AB15="F",AB15="f"),0)))))))))))))</f>
        <v>9</v>
      </c>
      <c r="BY15" s="24">
        <f t="shared" ref="BY15:BY27" si="54">IF(OR(AS15="",AC15=""),"",AS15*(IF(OR(AC15="A",AC15="a"),4,(IF(OR(AC451="B",AC15="b"),3,(IF(OR(AC15="C",AC15="c"),2,(IF(OR(AC15="D",AC15="d"),1.5,(IF(OR(AC15="E",AC15="e"),1,(IF(OR(AC15="F",AC15="f"),0)))))))))))))</f>
        <v>6</v>
      </c>
      <c r="BZ15" s="24">
        <f t="shared" ref="BZ15:BZ27" si="55">IF(OR(AT15="",AD15=""),"",AT15*(IF(OR(AD15="A",AD15="a"),4,(IF(OR(AD451="B",AD15="b"),3,(IF(OR(AD15="C",AD15="c"),2,(IF(OR(AD15="D",AD15="d"),1.5,(IF(OR(AD15="E",AD15="e"),1,(IF(OR(AD15="F",AD15="f"),0)))))))))))))</f>
        <v>4</v>
      </c>
      <c r="CA15" s="24">
        <f t="shared" ref="CA15:CA27" si="56">IF(OR(AU15="",AE15=""),"",AU15*(IF(OR(AE15="A",AE15="a"),4,(IF(OR(AE451="B",AE15="b"),3,(IF(OR(AE15="C",AE15="c"),2,(IF(OR(AE15="D",AE15="d"),1.5,(IF(OR(AE15="E",AE15="e"),1,(IF(OR(AE15="F",AE15="f"),0)))))))))))))</f>
        <v>4</v>
      </c>
      <c r="CB15" s="24">
        <f t="shared" ref="CB15:CB27" si="57">IF(OR(AV15="",AF15=""),"",AV15*(IF(OR(AF15="A",AF15="a"),4,(IF(OR(AF451="B",AF15="b"),3,(IF(OR(AF15="C",AF15="c"),2,(IF(OR(AF15="D",AF15="d"),1.5,(IF(OR(AF15="E",AF15="e"),1,(IF(OR(AF15="F",AF15="f"),0)))))))))))))</f>
        <v>15</v>
      </c>
      <c r="CC15" s="24">
        <f t="shared" ref="CC15:CC27" si="58">IF(OR(AW15="",AG15=""),"",AW15*(IF(OR(AG15="A",AG15="a"),4,(IF(OR(AG451="B",AG15="b"),3,(IF(OR(AG15="C",AG15="c"),2,(IF(OR(AG15="D",AG15="d"),1.5,(IF(OR(AG15="E",AG15="e"),1,(IF(OR(AG15="F",AG15="f"),0)))))))))))))</f>
        <v>3</v>
      </c>
      <c r="CD15" s="24">
        <f t="shared" ref="CD15:CD27" si="59">IF(OR(AX15="",AH15=""),"",AX15*(IF(OR(AH15="A",AH15="a"),4,(IF(OR(AH451="B",AH15="b"),3,(IF(OR(AH15="C",AH15="c"),2,(IF(OR(AH15="D",AH15="d"),1.5,(IF(OR(AH15="E",AH15="e"),1,(IF(OR(AH15="F",AH15="f"),0)))))))))))))</f>
        <v>15</v>
      </c>
      <c r="CE15" s="24">
        <f t="shared" ref="CE15:CE27" si="60">IF(OR(AY15="",AI15=""),"",AY15*(IF(OR(AI15="A",AI15="a"),4,(IF(OR(AI451="B",AI15="b"),3,(IF(OR(AI15="C",AI15="c"),2,(IF(OR(AI15="D",AI15="d"),1.5,(IF(OR(AI15="E",AI15="e"),1,(IF(OR(AI15="F",AI15="f"),0)))))))))))))</f>
        <v>6</v>
      </c>
      <c r="CF15" s="24">
        <f t="shared" ref="CF15:CF27" si="61">IF(OR(AZ15="",AJ15=""),"",AZ15*(IF(OR(AJ15="A",AJ15="a"),4,(IF(OR(AJ451="B",AJ15="b"),3,(IF(OR(AJ15="C",AJ15="c"),2,(IF(OR(AJ15="D",AJ15="d"),1.5,(IF(OR(AJ15="E",AJ15="e"),1,(IF(OR(AJ15="F",AJ15="f"),0)))))))))))))</f>
        <v>6</v>
      </c>
      <c r="CG15" s="24">
        <f t="shared" ref="CG15:CG27" si="62">IF(OR(BA15="",AK15=""),"",BA15*(IF(OR(AK15="A",AK15="a"),4,(IF(OR(AK451="B",AK15="b"),3,(IF(OR(AK15="C",AK15="c"),2,(IF(OR(AK15="D",AK15="d"),1.5,(IF(OR(AK15="E",AK15="e"),1,(IF(OR(AK15="F",AK15="f"),0)))))))))))))</f>
        <v>8</v>
      </c>
      <c r="CH15" s="24">
        <f t="shared" ref="CH15:CH27" si="63">IF(OR(BB15="",AL15=""),"",BB15*(IF(OR(AL15="A",AL15="a"),4,(IF(OR(AL451="B",AL15="b"),3,(IF(OR(AL15="C",AL15="c"),2,(IF(OR(AL15="D",AL15="d"),1.5,(IF(OR(AL15="E",AL15="e"),1,(IF(OR(AL15="F",AL15="f"),0)))))))))))))</f>
        <v>8</v>
      </c>
      <c r="CI15" s="24">
        <f t="shared" ref="CI15:CI27" si="64">IF(B15="","",SUM(AM15:AU15))</f>
        <v>20</v>
      </c>
      <c r="CJ15" s="26">
        <f t="shared" ref="CJ15:CJ27" si="65">IF(C15="","",SUM(BC15:BK15))</f>
        <v>1734.7</v>
      </c>
      <c r="CK15" s="26">
        <f t="shared" ref="CK15:CK27" si="66">IF(D15="","",SUM(BU15:CC15))</f>
        <v>68</v>
      </c>
      <c r="CL15" s="26">
        <f>IF(OR(CI15="",CJ15=""),"",CJ15/CI15)</f>
        <v>86.734999999999999</v>
      </c>
      <c r="CM15" s="24" t="str">
        <f>IF(CL15="","",IF(CL15&gt;=90,"A",IF(CL15&gt;=80,"B",IF(CL15&gt;=70,"C",IF(CL15&gt;=60,"D",IF(CL15&gt;=50,"E",IF(CL15&gt;=0,"F","")))))))</f>
        <v>B</v>
      </c>
      <c r="CN15" s="26">
        <f t="shared" ref="CN15:CN27" si="67">IF(B15="","",CK15/CI15)</f>
        <v>3.4</v>
      </c>
      <c r="CO15" s="24">
        <f t="shared" ref="CO15:CO27" si="68">IF(B15="","",SUM(AV15:BB15))</f>
        <v>20</v>
      </c>
      <c r="CP15" s="26">
        <f t="shared" ref="CP15:CP27" si="69">IF(B15="","",SUM(BL15:BR15))</f>
        <v>1734.0566666666668</v>
      </c>
      <c r="CQ15" s="26">
        <f t="shared" ref="CQ15:CQ27" si="70">IF(B15="","",SUM(CB15:CH15))</f>
        <v>61</v>
      </c>
      <c r="CR15" s="26">
        <f>IF(OR(CO15="",CP15=""),"",CP15/CO15)</f>
        <v>86.702833333333345</v>
      </c>
      <c r="CS15" s="24" t="str">
        <f>IF(CR15="","",IF(CR15&gt;=90,"A",IF(CR15&gt;=80,"B",IF(CR15&gt;=70,"C",IF(CR15&gt;=60,"D",IF(CR15&gt;=50,"E",IF(CR15&gt;=0,"F","")))))))</f>
        <v>B</v>
      </c>
      <c r="CT15" s="27">
        <f t="shared" ref="CT15:CT27" si="71">IF(B15="","",CQ15/CO15)</f>
        <v>3.05</v>
      </c>
      <c r="CU15" s="24">
        <f t="shared" ref="CU15:CU27" si="72">IF(SUM(AM15:BB15)=0,"",IF(OR(B15="",F15="I",F15="II",F15="M",F15="A"),(SUM(AM15:BB15)),IF(OR(B15="",F15="III"),(SUM(CI15,CO15)))))</f>
        <v>40</v>
      </c>
      <c r="CV15" s="26">
        <f t="shared" ref="CV15:CV27" si="73">IF(SUM(BC15:BR15)=
0,"",IF(OR(C15="",F15="I",F15="II",F15="M",F15="A"),(SUM(BC15:BR15)),IF(OR(C15="",F15="III"),(SUM(CJ15,CP15)))))</f>
        <v>3468.7566666666667</v>
      </c>
      <c r="CW15" s="27">
        <f t="shared" ref="CW15:CW27" si="74">IF(SUM(BD15:BS15)=
0,"",IF(OR(D15="",F15="I",F15="II",F15="M",F15="A"),(SUM(BD15:BS15)),IF(OR(D15="",F15="III"),(SUM(CK15,CQ15)))))</f>
        <v>3307.4233333333336</v>
      </c>
      <c r="CX15" s="26">
        <f>IF(OR(CU15=0,CV15=0),0,IF(OR(CU15="",CV15=""),"",CV15/CU15))</f>
        <v>86.718916666666672</v>
      </c>
      <c r="CY15" s="27" t="str">
        <f>IF(CX15="","",IF(CX15&gt;=90,"A",IF(CX15&gt;=80,"B",IF(CX15&gt;=70,"C",IF(CX15&gt;=60,"D",IF(CX15&gt;=50,"E",IF(CX15&gt;=0,"F","")))))))</f>
        <v>B</v>
      </c>
      <c r="CZ15" s="26">
        <f t="shared" ref="CZ15:CZ27" si="75">IF(B15="","",CW15/CU15)</f>
        <v>82.685583333333341</v>
      </c>
      <c r="DA15" s="24">
        <f t="shared" ref="DA15:DA27" si="76">IF(OR(B15="",CR15=""),"",RANK(CR15,$CR$15:$CR$27))</f>
        <v>3</v>
      </c>
      <c r="DB15" s="24" t="str">
        <f t="shared" ref="DB15:DB27" si="77">IF(B15="","",$C$9)</f>
        <v>6A</v>
      </c>
      <c r="DC15" s="24">
        <f t="shared" ref="DC15:DC27" si="78">IF(B15="","",MAX($A$15:$A$27))</f>
        <v>13</v>
      </c>
      <c r="DD15" s="24">
        <f>IF(B15="","",'Q3'!$C$8)</f>
        <v>50</v>
      </c>
      <c r="DE15" s="24">
        <f>IF(B15="","",'Q3'!DE15)</f>
        <v>0</v>
      </c>
      <c r="DF15" s="24">
        <f>IF(C15="","",'Q3'!DF15)</f>
        <v>0</v>
      </c>
      <c r="DG15" s="24">
        <f>IF(D15="","",'Q3'!DG15)</f>
        <v>0</v>
      </c>
      <c r="DH15" s="24">
        <f>IF(E15="","",'Q3'!DH15)</f>
        <v>0</v>
      </c>
      <c r="DI15" s="25">
        <f t="shared" ref="DI15:DI27" si="79">IF(B15="","",(DD15-DH15)/DD15)</f>
        <v>1</v>
      </c>
      <c r="DJ15" s="26">
        <f>IF('Q4'!G15="","",'Q4'!G15)</f>
        <v>89</v>
      </c>
      <c r="DK15" s="26">
        <f>IF('Q4'!H15="","",'Q4'!H15)</f>
        <v>89.6</v>
      </c>
      <c r="DL15" s="26">
        <f>IF('Q4'!I15="","",'Q4'!I15)</f>
        <v>77.099999999999994</v>
      </c>
      <c r="DM15" s="26">
        <f>IF('Q4'!J15="","",'Q4'!J15)</f>
        <v>83.666666666666671</v>
      </c>
      <c r="DN15" s="26">
        <f>IF('Q4'!K15="","",'Q4'!K15)</f>
        <v>89.1</v>
      </c>
      <c r="DO15" s="26">
        <f>IF('Q4'!L15="","",'Q4'!L15)</f>
        <v>86.2</v>
      </c>
      <c r="DP15" s="26">
        <f>IF('Q4'!M15="","",'Q4'!M15)</f>
        <v>88.133333333333326</v>
      </c>
      <c r="DQ15" s="26">
        <f>IF('Q4'!N15="","",'Q4'!N15)</f>
        <v>97</v>
      </c>
      <c r="DR15" s="26">
        <f>IF('Q4'!O15="","",'Q4'!O15)</f>
        <v>97</v>
      </c>
      <c r="DS15" s="26">
        <f>IF('Q4'!P15="","",'Q4'!P15)</f>
        <v>79.773333333333341</v>
      </c>
      <c r="DT15" s="26">
        <f>IF('Q4'!Q15="","",'Q4'!Q15)</f>
        <v>79.773333333333341</v>
      </c>
      <c r="DU15" s="26">
        <f>IF('Q4'!R15="","",'Q4'!R15)</f>
        <v>68.466666666666598</v>
      </c>
      <c r="DV15" s="26">
        <f>IF('Q4'!S15="","",'Q4'!S15)</f>
        <v>55.53</v>
      </c>
      <c r="DW15" s="26">
        <f>IF('Q4'!T15="","",'Q4'!T15)</f>
        <v>85.5</v>
      </c>
      <c r="DX15" s="26">
        <f>IF('Q4'!U15="","",'Q4'!U15)</f>
        <v>99.666666666666671</v>
      </c>
      <c r="DY15" s="26">
        <f>IF('Q4'!V15="","",'Q4'!V15)</f>
        <v>99.166666666666671</v>
      </c>
      <c r="DZ15" s="26" t="str">
        <f t="shared" ref="DZ15:DZ27" si="80">IF(DJ15="","",IF(DJ15&gt;=90,"A",IF(DJ15&gt;=80,"B",IF(DJ15&gt;=70,"C",IF(DJ15&gt;=60,"D",IF(DJ15&gt;=50,"E",IF(DJ15&gt;=0,"F","")))))))</f>
        <v>B</v>
      </c>
      <c r="EA15" s="26" t="str">
        <f t="shared" ref="EA15:EA27" si="81">IF(DK15="","",IF(DK15&gt;=90,"A",IF(DK15&gt;=80,"B",IF(DK15&gt;=70,"C",IF(DK15&gt;=60,"D",IF(DK15&gt;=50,"E",IF(DK15&gt;=0,"F","")))))))</f>
        <v>B</v>
      </c>
      <c r="EB15" s="26" t="str">
        <f t="shared" ref="EB15:EB27" si="82">IF(DL15="","",IF(DL15&gt;=90,"A",IF(DL15&gt;=80,"B",IF(DL15&gt;=70,"C",IF(DL15&gt;=60,"D",IF(DL15&gt;=50,"E",IF(DL15&gt;=0,"F","")))))))</f>
        <v>C</v>
      </c>
      <c r="EC15" s="26" t="str">
        <f t="shared" ref="EC15:EC27" si="83">IF(DM15="","",IF(DM15&gt;=90,"A",IF(DM15&gt;=80,"B",IF(DM15&gt;=70,"C",IF(DM15&gt;=60,"D",IF(DM15&gt;=50,"E",IF(DM15&gt;=0,"F","")))))))</f>
        <v>B</v>
      </c>
      <c r="ED15" s="26" t="str">
        <f t="shared" ref="ED15:ED27" si="84">IF(DN15="","",IF(DN15&gt;=90,"A",IF(DN15&gt;=80,"B",IF(DN15&gt;=70,"C",IF(DN15&gt;=60,"D",IF(DN15&gt;=50,"E",IF(DN15&gt;=0,"F","")))))))</f>
        <v>B</v>
      </c>
      <c r="EE15" s="26" t="str">
        <f t="shared" ref="EE15:EE27" si="85">IF(DO15="","",IF(DO15&gt;=90,"A",IF(DO15&gt;=80,"B",IF(DO15&gt;=70,"C",IF(DO15&gt;=60,"D",IF(DO15&gt;=50,"E",IF(DO15&gt;=0,"F","")))))))</f>
        <v>B</v>
      </c>
      <c r="EF15" s="26" t="str">
        <f t="shared" ref="EF15:EF27" si="86">IF(DP15="","",IF(DP15&gt;=90,"A",IF(DP15&gt;=80,"B",IF(DP15&gt;=70,"C",IF(DP15&gt;=60,"D",IF(DP15&gt;=50,"E",IF(DP15&gt;=0,"F","")))))))</f>
        <v>B</v>
      </c>
      <c r="EG15" s="26" t="str">
        <f t="shared" ref="EG15:EG27" si="87">IF(DQ15="","",IF(DQ15&gt;=90,"A",IF(DQ15&gt;=80,"B",IF(DQ15&gt;=70,"C",IF(DQ15&gt;=60,"D",IF(DQ15&gt;=50,"E",IF(DQ15&gt;=0,"F","")))))))</f>
        <v>A</v>
      </c>
      <c r="EH15" s="26" t="str">
        <f t="shared" ref="EH15:EH27" si="88">IF(DR15="","",IF(DR15&gt;=90,"A",IF(DR15&gt;=80,"B",IF(DR15&gt;=70,"C",IF(DR15&gt;=60,"D",IF(DR15&gt;=50,"E",IF(DR15&gt;=0,"F","")))))))</f>
        <v>A</v>
      </c>
      <c r="EI15" s="24" t="str">
        <f t="shared" ref="EI15:EI27" si="89">IF(DS15="","",IF(DS15&gt;=90,"A",IF(DS15&gt;=80,"B",IF(DS15&gt;=70,"C",IF(DS15&gt;=60,"D",IF(DS15&gt;=50,"E",IF(DS15&gt;=0,"F","")))))))</f>
        <v>C</v>
      </c>
      <c r="EJ15" s="24" t="str">
        <f t="shared" ref="EJ15:EJ27" si="90">IF(DT15="","",IF(DT15&gt;=90,"A",IF(DT15&gt;=80,"B",IF(DT15&gt;=70,"C",IF(DT15&gt;=60,"D",IF(DT15&gt;=50,"E",IF(DT15&gt;=0,"F","")))))))</f>
        <v>C</v>
      </c>
      <c r="EK15" s="24" t="str">
        <f t="shared" ref="EK15:EK27" si="91">IF(DU15="","",IF(DU15&gt;=90,"A",IF(DU15&gt;=80,"B",IF(DU15&gt;=70,"C",IF(DU15&gt;=60,"D",IF(DU15&gt;=50,"E",IF(DU15&gt;=0,"F","")))))))</f>
        <v>D</v>
      </c>
      <c r="EL15" s="24" t="str">
        <f t="shared" ref="EL15:EL27" si="92">IF(DV15="","",IF(DV15&gt;=90,"A",IF(DV15&gt;=80,"B",IF(DV15&gt;=70,"C",IF(DV15&gt;=60,"D",IF(DV15&gt;=50,"E",IF(DV15&gt;=0,"F","")))))))</f>
        <v>E</v>
      </c>
      <c r="EM15" s="24" t="str">
        <f t="shared" ref="EM15:EM27" si="93">IF(DW15="","",IF(DW15&gt;=90,"A",IF(DW15&gt;=80,"B",IF(DW15&gt;=70,"C",IF(DW15&gt;=60,"D",IF(DW15&gt;=50,"E",IF(DW15&gt;=0,"F","")))))))</f>
        <v>B</v>
      </c>
      <c r="EN15" s="24" t="str">
        <f t="shared" ref="EN15:EN27" si="94">IF(DX15="","",IF(DX15&gt;=90,"A",IF(DX15&gt;=80,"B",IF(DX15&gt;=70,"C",IF(DX15&gt;=60,"D",IF(DX15&gt;=50,"E",IF(DX15&gt;=0,"F","")))))))</f>
        <v>A</v>
      </c>
      <c r="EO15" s="24" t="str">
        <f t="shared" ref="EO15:EO27" si="95">IF(DY15="","",IF(DY15&gt;=90,"A",IF(DY15&gt;=80,"B",IF(DY15&gt;=70,"C",IF(DY15&gt;=60,"D",IF(DY15&gt;=50,"E",IF(DY15&gt;=0,"F","")))))))</f>
        <v>A</v>
      </c>
      <c r="EP15" s="24">
        <f t="shared" ref="EP15:EP27" si="96">IF(CB15="","",$EP$14)</f>
        <v>2</v>
      </c>
      <c r="EQ15" s="24">
        <f t="shared" ref="EQ15:EQ27" si="97">IF(CC15="","",$EQ$14)</f>
        <v>2</v>
      </c>
      <c r="ER15" s="24">
        <f t="shared" ref="ER15:ER27" si="98">IF(CD15="","",$ER$14)</f>
        <v>3</v>
      </c>
      <c r="ES15" s="24">
        <f t="shared" ref="ES15:ES27" si="99">IF(CE15="","",$ES$14)</f>
        <v>1</v>
      </c>
      <c r="ET15" s="24">
        <f t="shared" ref="ET15:ET27" si="100">IF(CF15="","",$ET$14)</f>
        <v>5</v>
      </c>
      <c r="EU15" s="24">
        <f t="shared" ref="EU15:EU27" si="101">IF(CG15="","",$EU$14)</f>
        <v>3</v>
      </c>
      <c r="EV15" s="24">
        <f t="shared" ref="EV15:EV27" si="102">IF(CH15="","",$EV$14)</f>
        <v>2</v>
      </c>
      <c r="EW15" s="24">
        <f>IF(CI15="","",$EW$14)</f>
        <v>1</v>
      </c>
      <c r="EX15" s="24">
        <f t="shared" ref="EX15:EX27" si="103">IF(CI15="","",$EW$14)</f>
        <v>1</v>
      </c>
      <c r="EY15" s="24">
        <f t="shared" ref="EY15:EY27" si="104">IF(DS15="","",$EY$14)</f>
        <v>5</v>
      </c>
      <c r="EZ15" s="24">
        <f t="shared" ref="EZ15:EZ27" si="105">IF(DT15="","",$EZ$14)</f>
        <v>1</v>
      </c>
      <c r="FA15" s="24">
        <f t="shared" ref="FA15:FA27" si="106">IF(DU15="","",$FA$14)</f>
        <v>5</v>
      </c>
      <c r="FB15" s="24">
        <f t="shared" ref="FB15:FB27" si="107">IF(DV15="","",$FB$14)</f>
        <v>3</v>
      </c>
      <c r="FC15" s="24">
        <f t="shared" ref="FC15:FC27" si="108">IF(DW15="","",$FC$14)</f>
        <v>2</v>
      </c>
      <c r="FD15" s="24">
        <f t="shared" ref="FD15:FD27" si="109">IF(DX15="","",$FD$14)</f>
        <v>2</v>
      </c>
      <c r="FE15" s="24">
        <f t="shared" ref="FE15:FE27" si="110">IF(DY15="","",$FE$14)</f>
        <v>2</v>
      </c>
      <c r="FF15" s="26">
        <f t="shared" ref="FF15:FF27" si="111">IF(OR(DJ15="",EP15=""),"",PRODUCT(DJ15,EP15))</f>
        <v>178</v>
      </c>
      <c r="FG15" s="26">
        <f t="shared" ref="FG15:FG27" si="112">IF(OR(DK15="",EQ15=""),"",PRODUCT(DK15,EQ15))</f>
        <v>179.2</v>
      </c>
      <c r="FH15" s="26">
        <f t="shared" ref="FH15:FH27" si="113">IF(OR(DL15="",ER15=""),"",PRODUCT(DL15,ER15))</f>
        <v>231.29999999999998</v>
      </c>
      <c r="FI15" s="26">
        <f t="shared" ref="FI15:FI27" si="114">IF(OR(DM15="",ES15=""),"",PRODUCT(DM15,ES15))</f>
        <v>83.666666666666671</v>
      </c>
      <c r="FJ15" s="26">
        <f t="shared" ref="FJ15:FJ27" si="115">IF(OR(DN15="",ET15=""),"",PRODUCT(DN15,ET15))</f>
        <v>445.5</v>
      </c>
      <c r="FK15" s="26">
        <f t="shared" ref="FK15:FK27" si="116">IF(OR(DO15="",EU15=""),"",PRODUCT(DO15,EU15))</f>
        <v>258.60000000000002</v>
      </c>
      <c r="FL15" s="26">
        <f t="shared" ref="FL15:FL27" si="117">IF(OR(DP15="",EV15=""),"",PRODUCT(DP15,EV15))</f>
        <v>176.26666666666665</v>
      </c>
      <c r="FM15" s="26">
        <f t="shared" ref="FM15:FM27" si="118">IF(OR(DQ15="",EW15=""),"",PRODUCT(DQ15,EW15))</f>
        <v>97</v>
      </c>
      <c r="FN15" s="26"/>
      <c r="FO15" s="26">
        <f t="shared" ref="FO15:FO27" si="119">IF(OR(DS15="",EY15=""),"",PRODUCT(DS15,EY15))</f>
        <v>398.86666666666667</v>
      </c>
      <c r="FP15" s="26">
        <f t="shared" ref="FP15:FP27" si="120">IF(OR(DT15="",EZ15=""),"",PRODUCT(DT15,EZ15))</f>
        <v>79.773333333333341</v>
      </c>
      <c r="FQ15" s="26">
        <f t="shared" ref="FQ15:FQ27" si="121">IF(OR(DU15="",FA15=""),"",PRODUCT(DU15,FA15))</f>
        <v>342.33333333333297</v>
      </c>
      <c r="FR15" s="26">
        <f t="shared" ref="FR15:FR27" si="122">IF(OR(DV15="",FB15=""),"",PRODUCT(DV15,FB15))</f>
        <v>166.59</v>
      </c>
      <c r="FS15" s="26">
        <f t="shared" ref="FS15:FS27" si="123">IF(OR(DW15="",FC15=""),"",PRODUCT(DW15,FC15))</f>
        <v>171</v>
      </c>
      <c r="FT15" s="26">
        <f t="shared" ref="FT15:FT27" si="124">IF(OR(DX15="",FD15=""),"",PRODUCT(DX15,FD15))</f>
        <v>199.33333333333334</v>
      </c>
      <c r="FU15" s="26">
        <f t="shared" ref="FU15:FU27" si="125">IF(OR(DY15="",FE15=""),"",PRODUCT(DY15,FE15))</f>
        <v>198.33333333333334</v>
      </c>
      <c r="FV15" s="24">
        <f t="shared" ref="FV15:FV27" si="126">IF(OR(EP15="",DZ15=""),"",EP15*(IF(OR(DZ15="A",DZ15="a"),4,(IF(OR(EP451="B",DZ15="b"),3,(IF(OR(DZ15="C",EP15="c"),2,(IF(OR(DZ15="D",DZ15="d"),1.5,(IF(OR(DZ15="E",DZ15="e"),1,(IF(OR(DZ15="F",DZ15="f"),0)))))))))))))</f>
        <v>6</v>
      </c>
      <c r="FW15" s="24">
        <f t="shared" ref="FW15:FW27" si="127">IF(OR(EQ15="",EA15=""),"",EQ15*(IF(OR(EA15="A",EA15="a"),4,(IF(OR(EQ451="B",EA15="b"),3,(IF(OR(EA15="C",EQ15="c"),2,(IF(OR(EA15="D",EA15="d"),1.5,(IF(OR(EA15="E",EA15="e"),1,(IF(OR(EA15="F",EA15="f"),0)))))))))))))</f>
        <v>6</v>
      </c>
      <c r="FX15" s="24">
        <f t="shared" ref="FX15:FX27" si="128">IF(OR(ER15="",EB15=""),"",ER15*(IF(OR(EB15="A",EB15="a"),4,(IF(OR(ER451="B",EB15="b"),3,(IF(OR(EB15="C",ER15="c"),2,(IF(OR(EB15="D",EB15="d"),1.5,(IF(OR(EB15="E",EB15="e"),1,(IF(OR(EB15="F",EB15="f"),0)))))))))))))</f>
        <v>6</v>
      </c>
      <c r="FY15" s="24">
        <f t="shared" ref="FY15:FY27" si="129">IF(OR(ES15="",EC15=""),"",ES15*(IF(OR(EC15="A",EC15="a"),4,(IF(OR(ES451="B",EC15="b"),3,(IF(OR(EC15="C",ES15="c"),2,(IF(OR(EC15="D",EC15="d"),1.5,(IF(OR(EC15="E",EC15="e"),1,(IF(OR(EC15="F",EC15="f"),0)))))))))))))</f>
        <v>3</v>
      </c>
      <c r="FZ15" s="24">
        <f t="shared" ref="FZ15:FZ27" si="130">IF(OR(ET15="",ED15=""),"",ET15*(IF(OR(ED15="A",ED15="a"),4,(IF(OR(ET451="B",ED15="b"),3,(IF(OR(ED15="C",ET15="c"),2,(IF(OR(ED15="D",ED15="d"),1.5,(IF(OR(ED15="E",ED15="e"),1,(IF(OR(ED15="F",ED15="f"),0)))))))))))))</f>
        <v>15</v>
      </c>
      <c r="GA15" s="24">
        <f t="shared" ref="GA15:GA27" si="131">IF(OR(EU15="",EE15=""),"",EU15*(IF(OR(EE15="A",EE15="a"),4,(IF(OR(EU451="B",EE15="b"),3,(IF(OR(EE15="C",EU15="c"),2,(IF(OR(EE15="D",EE15="d"),1.5,(IF(OR(EE15="E",EE15="e"),1,(IF(OR(EE15="F",EE15="f"),0)))))))))))))</f>
        <v>9</v>
      </c>
      <c r="GB15" s="24">
        <f t="shared" ref="GB15:GB27" si="132">IF(OR(EV15="",EF15=""),"",EV15*(IF(OR(EF15="A",EF15="a"),4,(IF(OR(EV451="B",EF15="b"),3,(IF(OR(EF15="C",EV15="c"),2,(IF(OR(EF15="D",EF15="d"),1.5,(IF(OR(EF15="E",EF15="e"),1,(IF(OR(EF15="F",EF15="f"),0)))))))))))))</f>
        <v>6</v>
      </c>
      <c r="GC15" s="24">
        <f t="shared" ref="GC15:GC27" si="133">IF(OR(EW15="",EG15=""),"",EW15*(IF(OR(EG15="A",EG15="a"),4,(IF(OR(EW451="B",EG15="b"),3,(IF(OR(EG15="C",EW15="c"),2,(IF(OR(EG15="D",EG15="d"),1.5,(IF(OR(EG15="E",EG15="e"),1,(IF(OR(EG15="F",EG15="f"),0)))))))))))))</f>
        <v>4</v>
      </c>
      <c r="GD15" s="24">
        <f t="shared" ref="GD15:GK15" si="134">IF(OR(EX15="",EH15=""),"",EX15*(IF(OR(EH15="A",EH15="a"),4,(IF(OR(EY451="B",EH15="b"),3,(IF(OR(EH15="C",EX15="c"),2,(IF(OR(EH15="D",EH15="d"),1.5,(IF(OR(EH15="E",EH15="e"),1,(IF(OR(EH15="F",EH15="f"),0)))))))))))))</f>
        <v>4</v>
      </c>
      <c r="GE15" s="24">
        <f t="shared" si="134"/>
        <v>10</v>
      </c>
      <c r="GF15" s="24">
        <f t="shared" si="134"/>
        <v>2</v>
      </c>
      <c r="GG15" s="24">
        <f t="shared" si="134"/>
        <v>7.5</v>
      </c>
      <c r="GH15" s="24">
        <f t="shared" si="134"/>
        <v>3</v>
      </c>
      <c r="GI15" s="24">
        <f t="shared" si="134"/>
        <v>6</v>
      </c>
      <c r="GJ15" s="24">
        <f t="shared" si="134"/>
        <v>8</v>
      </c>
      <c r="GK15" s="24">
        <f t="shared" si="134"/>
        <v>8</v>
      </c>
      <c r="GL15" s="24">
        <f t="shared" ref="GL15:GL27" si="135">IF(DE15="","",SUM(EP15:EW15))</f>
        <v>19</v>
      </c>
      <c r="GM15" s="26">
        <f t="shared" ref="GM15:GM27" si="136">IF(DF15="","",SUM(FF15:FM15))</f>
        <v>1649.5333333333331</v>
      </c>
      <c r="GN15" s="26">
        <f t="shared" ref="GN15:GN27" si="137">IF(DG15="","",SUM(FX15:GF15))</f>
        <v>59</v>
      </c>
      <c r="GO15" s="26">
        <f>IF(OR(GL15="",GM15=""),"",GM15/GL15)</f>
        <v>86.817543859649106</v>
      </c>
      <c r="GP15" s="24" t="str">
        <f>IF(GO15="","",IF(GO15&gt;=90,"A",IF(GO15&gt;=80,"B",IF(GO15&gt;=70,"C",IF(GO15&gt;=60,"D",IF(GO15&gt;=50,"E",IF(GO15&gt;=0,"F","")))))))</f>
        <v>B</v>
      </c>
      <c r="GQ15" s="26">
        <f t="shared" ref="GQ15:GQ27" si="138">IF(DE15="","",GN15/GL15)</f>
        <v>3.1052631578947367</v>
      </c>
      <c r="GR15" s="24">
        <f t="shared" ref="GR15:GR27" si="139">IF(B15="","",SUM(EY15:FE15))</f>
        <v>20</v>
      </c>
      <c r="GS15" s="26">
        <f t="shared" ref="GS15:GS27" si="140">IF(B15="","",SUM(FO15:FU15))</f>
        <v>1556.2299999999996</v>
      </c>
      <c r="GT15" s="26">
        <f t="shared" ref="GT15:GT27" si="141">IF(B15="","",SUM(GE15:GK15))</f>
        <v>44.5</v>
      </c>
      <c r="GU15" s="26">
        <f>IF(OR(GR15="",GS15=""),"",GS15/GR15)</f>
        <v>77.811499999999981</v>
      </c>
      <c r="GV15" s="24" t="str">
        <f>IF(GU15="","",IF(GU15&gt;=90,"A",IF(GU15&gt;=80,"B",IF(GU15&gt;=70,"C",IF(GU15&gt;=60,"D",IF(GU15&gt;=50,"E",IF(GU15&gt;=0,"F","")))))))</f>
        <v>C</v>
      </c>
      <c r="GW15" s="27">
        <f t="shared" ref="GW15:GW27" si="142">IF(B15="","",GT15/GR15)</f>
        <v>2.2250000000000001</v>
      </c>
      <c r="GX15" s="24">
        <f t="shared" ref="GX15:GX27" si="143">IF(SUM(EP15:FE15)=0,"",IF(OR(B15="",F15="I",F15="II",F15="M",F15="A"),(SUM(EP15:FE15)),IF(OR(B15="",F15="III"),(SUM(GL15,GR15)))))</f>
        <v>40</v>
      </c>
      <c r="GY15" s="26">
        <f t="shared" ref="GY15:GY27" si="144">IF(SUM(FF15:FU15)=
0,"",IF(OR(B15="",F15="I",F15="II",F15="M",F15="A"),(SUM(FF15:FU15)),IF(OR(F15="",F15="III"),(SUM(GM15,GS15)))))</f>
        <v>3205.7633333333333</v>
      </c>
      <c r="GZ15" s="26">
        <f t="shared" ref="GZ15:GZ27" si="145">IF(SUM(FG15:FV15)=
0,"",IF(OR(B15="",F15="I",F15="II",F15="M",F15="A"),(SUM(FG15:FV15)),IF(OR(B15="",F15="III"),(SUM(GN15,GT15)))))</f>
        <v>3033.7633333333333</v>
      </c>
      <c r="HA15" s="26">
        <f>IF(OR(GX15=0,GY15=0),0,IF(OR(GX15="",GY15=""),"",GY15/GX15))</f>
        <v>80.144083333333327</v>
      </c>
      <c r="HB15" s="27" t="str">
        <f>IF(HA15="","",IF(HA15&gt;=90,"A",IF(HA15&gt;=80,"B",IF(HA15&gt;=70,"C",IF(HA15&gt;=60,"D",IF(HA15&gt;=50,"E",IF(HA15&gt;=0,"F","")))))))</f>
        <v>B</v>
      </c>
      <c r="HC15" s="26">
        <f t="shared" ref="HC15:HC27" si="146">IF(DE15="","",GZ15/GX15)</f>
        <v>75.84408333333333</v>
      </c>
      <c r="HD15" s="24">
        <f t="shared" ref="HD15:HD27" si="147">IF(OR(DE15="",HA15=""),"",RANK(HA15,$HA$15:$HA$27))</f>
        <v>5</v>
      </c>
      <c r="HE15" s="24" t="str">
        <f t="shared" ref="HE15:HE27" si="148">IF(B15="","",$C$9)</f>
        <v>6A</v>
      </c>
      <c r="HF15" s="24">
        <f t="shared" ref="HF15:HF27" si="149">IF(B15="","",MAX($A$15:$A$27))</f>
        <v>13</v>
      </c>
      <c r="HG15" s="24">
        <f>IF(B15="","",'Q4'!$C$8)</f>
        <v>50</v>
      </c>
      <c r="HH15" s="24">
        <f>IF(A15="","",'Q4'!DE15)</f>
        <v>0</v>
      </c>
      <c r="HI15" s="24">
        <f>IF(B15="","",'Q4'!DF15)</f>
        <v>0</v>
      </c>
      <c r="HJ15" s="24">
        <f>IF(B15="","",'Q4'!DG15)</f>
        <v>0</v>
      </c>
      <c r="HK15" s="24">
        <f t="shared" ref="HK15:HK27" si="150">IF(B15="","",HI15+HJ15)</f>
        <v>0</v>
      </c>
      <c r="HL15" s="25">
        <f t="shared" ref="HL15:HL27" si="151">IF(B15="","",(HG15-HK15)/HG15)</f>
        <v>1</v>
      </c>
      <c r="HM15" s="7">
        <v>90</v>
      </c>
      <c r="HN15" s="7">
        <v>80</v>
      </c>
      <c r="HO15" s="7">
        <v>90</v>
      </c>
      <c r="HP15" s="7">
        <v>90</v>
      </c>
      <c r="HQ15" s="7">
        <v>50</v>
      </c>
      <c r="HR15" s="7">
        <v>85</v>
      </c>
      <c r="HS15" s="7">
        <v>85</v>
      </c>
      <c r="HT15" s="7"/>
      <c r="HU15" s="7"/>
      <c r="HV15" s="7">
        <v>75</v>
      </c>
      <c r="HW15" s="7"/>
      <c r="HX15" s="7">
        <v>42</v>
      </c>
      <c r="HY15" s="7">
        <v>69</v>
      </c>
      <c r="HZ15" s="7">
        <v>68</v>
      </c>
      <c r="IA15" s="7">
        <v>96.5</v>
      </c>
      <c r="IB15" s="7">
        <v>85</v>
      </c>
      <c r="IC15" s="24" t="str">
        <f t="shared" ref="IC15:IC27" si="152">IF(HM15="","",IF(HM15&gt;=90,"A",IF(HM15&gt;=80,"B",IF(HM15&gt;=70,"C",IF(HM15&gt;=60,"D",IF(HM15&gt;=50,"E",IF(HM15&gt;=0,"F","")))))))</f>
        <v>A</v>
      </c>
      <c r="ID15" s="24" t="str">
        <f t="shared" ref="ID15:ID27" si="153">IF(HN15="","",IF(HN15&gt;=90,"A",IF(HN15&gt;=80,"B",IF(HN15&gt;=70,"C",IF(HN15&gt;=60,"D",IF(HN15&gt;=50,"E",IF(HN15&gt;=0,"F","")))))))</f>
        <v>B</v>
      </c>
      <c r="IE15" s="24" t="str">
        <f t="shared" ref="IE15:IE27" si="154">IF(HO15="","",IF(HO15&gt;=90,"A",IF(HO15&gt;=80,"B",IF(HO15&gt;=70,"C",IF(HO15&gt;=60,"D",IF(HO15&gt;=50,"E",IF(HO15&gt;=0,"F","")))))))</f>
        <v>A</v>
      </c>
      <c r="IF15" s="24" t="str">
        <f t="shared" ref="IF15:IF27" si="155">IF(HP15="","",IF(HP15&gt;=90,"A",IF(HP15&gt;=80,"B",IF(HP15&gt;=70,"C",IF(HP15&gt;=60,"D",IF(HP15&gt;=50,"E",IF(HP15&gt;=0,"F","")))))))</f>
        <v>A</v>
      </c>
      <c r="IG15" s="24" t="str">
        <f t="shared" ref="IG15:IG27" si="156">IF(HQ15="","",IF(HQ15&gt;=90,"A",IF(HQ15&gt;=80,"B",IF(HQ15&gt;=70,"C",IF(HQ15&gt;=60,"D",IF(HQ15&gt;=50,"E",IF(HQ15&gt;=0,"F","")))))))</f>
        <v>E</v>
      </c>
      <c r="IH15" s="24" t="str">
        <f t="shared" ref="IH15:IH27" si="157">IF(HR15="","",IF(HR15&gt;=90,"A",IF(HR15&gt;=80,"B",IF(HR15&gt;=70,"C",IF(HR15&gt;=60,"D",IF(HR15&gt;=50,"E",IF(HR15&gt;=0,"F","")))))))</f>
        <v>B</v>
      </c>
      <c r="II15" s="24" t="str">
        <f t="shared" ref="II15:II27" si="158">IF(HS15="","",IF(HS15&gt;=90,"A",IF(HS15&gt;=80,"B",IF(HS15&gt;=70,"C",IF(HS15&gt;=60,"D",IF(HS15&gt;=50,"E",IF(HS15&gt;=0,"F","")))))))</f>
        <v>B</v>
      </c>
      <c r="IJ15" s="24" t="str">
        <f t="shared" ref="IJ15:IJ27" si="159">IF(HT15="","",IF(HT15&gt;=90,"A",IF(HT15&gt;=80,"B",IF(HT15&gt;=70,"C",IF(HT15&gt;=60,"D",IF(HT15&gt;=50,"E",IF(HT15&gt;=0,"F","")))))))</f>
        <v/>
      </c>
      <c r="IK15" s="24" t="str">
        <f t="shared" ref="IK15:IK27" si="160">IF(HU15="","",IF(HU15&gt;=90,"A",IF(HU15&gt;=80,"B",IF(HU15&gt;=70,"C",IF(HU15&gt;=60,"D",IF(HU15&gt;=50,"E",IF(HU15&gt;=0,"F","")))))))</f>
        <v/>
      </c>
      <c r="IL15" s="24" t="str">
        <f t="shared" ref="IL15:IL27" si="161">IF(HV15="","",IF(HV15&gt;=90,"A",IF(HV15&gt;=80,"B",IF(HV15&gt;=70,"C",IF(HV15&gt;=60,"D",IF(HV15&gt;=50,"E",IF(HV15&gt;=0,"F","")))))))</f>
        <v>C</v>
      </c>
      <c r="IM15" s="24" t="str">
        <f t="shared" ref="IM15:IM27" si="162">IF(HW15="","",IF(HW15&gt;=90,"A",IF(HW15&gt;=80,"B",IF(HW15&gt;=70,"C",IF(HW15&gt;=60,"D",IF(HW15&gt;=50,"E",IF(HW15&gt;=0,"F","")))))))</f>
        <v/>
      </c>
      <c r="IN15" s="24" t="str">
        <f t="shared" ref="IN15:IN27" si="163">IF(HX15="","",IF(HX15&gt;=90,"A",IF(HX15&gt;=80,"B",IF(HX15&gt;=70,"C",IF(HX15&gt;=60,"D",IF(HX15&gt;=50,"E",IF(HX15&gt;=0,"F","")))))))</f>
        <v>F</v>
      </c>
      <c r="IO15" s="24" t="str">
        <f t="shared" ref="IO15:IO27" si="164">IF(HY15="","",IF(HY15&gt;=90,"A",IF(HY15&gt;=80,"B",IF(HY15&gt;=70,"C",IF(HY15&gt;=60,"D",IF(HY15&gt;=50,"E",IF(HY15&gt;=0,"F","")))))))</f>
        <v>D</v>
      </c>
      <c r="IP15" s="24" t="str">
        <f t="shared" ref="IP15:IP27" si="165">IF(HZ15="","",IF(HZ15&gt;=90,"A",IF(HZ15&gt;=80,"B",IF(HZ15&gt;=70,"C",IF(HZ15&gt;=60,"D",IF(HZ15&gt;=50,"E",IF(HZ15&gt;=0,"F","")))))))</f>
        <v>D</v>
      </c>
      <c r="IQ15" s="24" t="str">
        <f t="shared" ref="IQ15:IQ27" si="166">IF(IA15="","",IF(IA15&gt;=90,"A",IF(IA15&gt;=80,"B",IF(IA15&gt;=70,"C",IF(IA15&gt;=60,"D",IF(IA15&gt;=50,"E",IF(IA15&gt;=0,"F","")))))))</f>
        <v>A</v>
      </c>
      <c r="IR15" s="24" t="str">
        <f t="shared" ref="IR15:IR27" si="167">IF(IB15="","",IF(IB15&gt;=90,"A",IF(IB15&gt;=80,"B",IF(IB15&gt;=70,"C",IF(IB15&gt;=60,"D",IF(IB15&gt;=50,"E",IF(IB15&gt;=0,"F","")))))))</f>
        <v>B</v>
      </c>
      <c r="IS15" s="24">
        <f t="shared" ref="IS15:IS27" si="168">IF(HM15="","",$IS$14)</f>
        <v>2</v>
      </c>
      <c r="IT15" s="24">
        <f t="shared" ref="IT15:IT27" si="169">IF(HN15="","",$IT$14)</f>
        <v>2</v>
      </c>
      <c r="IU15" s="24">
        <f t="shared" ref="IU15:IU27" si="170">IF(HO15="","",$IU$14)</f>
        <v>3</v>
      </c>
      <c r="IV15" s="24">
        <f t="shared" ref="IV15:IV27" si="171">IF(HP15="","",$IV$14)</f>
        <v>1</v>
      </c>
      <c r="IW15" s="24">
        <f t="shared" ref="IW15:IW27" si="172">IF(HQ15="","",$IW$14)</f>
        <v>5</v>
      </c>
      <c r="IX15" s="24">
        <f t="shared" ref="IX15:IX27" si="173">IF(HR15="","",$IX$14)</f>
        <v>3</v>
      </c>
      <c r="IY15" s="24">
        <f t="shared" ref="IY15:IY27" si="174">IF(HS15="","",$IY$14)</f>
        <v>2</v>
      </c>
      <c r="IZ15" s="24" t="str">
        <f t="shared" ref="IZ15:IZ27" si="175">IF(HT15="","",$IZ$14)</f>
        <v/>
      </c>
      <c r="JA15" s="24" t="str">
        <f t="shared" ref="JA15:JA27" si="176">IF(HU15="","",$JA$14)</f>
        <v/>
      </c>
      <c r="JB15" s="24">
        <f t="shared" ref="JB15:JB27" si="177">IF(HV15="","",JB$14)</f>
        <v>5</v>
      </c>
      <c r="JC15" s="24" t="str">
        <f t="shared" ref="JC15:JC27" si="178">IF(HW15="","",JC$14)</f>
        <v/>
      </c>
      <c r="JD15" s="24">
        <f t="shared" ref="JD15:JD27" si="179">IF(HX15="","",JD$14)</f>
        <v>5</v>
      </c>
      <c r="JE15" s="24">
        <f t="shared" ref="JE15:JE27" si="180">IF(HY15="","",JE$14)</f>
        <v>3</v>
      </c>
      <c r="JF15" s="24">
        <f t="shared" ref="JF15:JF27" si="181">IF(HZ15="","",JF$14)</f>
        <v>2</v>
      </c>
      <c r="JG15" s="24">
        <f t="shared" ref="JG15:JG27" si="182">IF(IA15="","",JG$14)</f>
        <v>2</v>
      </c>
      <c r="JH15" s="24">
        <f t="shared" ref="JH15:JH27" si="183">IF(IB15="","",JH$14)</f>
        <v>2</v>
      </c>
      <c r="JI15" s="26">
        <f t="shared" ref="JI15:JI27" si="184">IF(OR(HM15="",IS15=""),"",PRODUCT(HM15,IS15))</f>
        <v>180</v>
      </c>
      <c r="JJ15" s="26">
        <f t="shared" ref="JJ15:JJ27" si="185">IF(OR(HN15="",IT15=""),"",PRODUCT(HN15,IT15))</f>
        <v>160</v>
      </c>
      <c r="JK15" s="26">
        <f t="shared" ref="JK15:JK27" si="186">IF(OR(HO15="",IU15=""),"",PRODUCT(HO15,IU15))</f>
        <v>270</v>
      </c>
      <c r="JL15" s="26">
        <f t="shared" ref="JL15:JL27" si="187">IF(OR(HP15="",IV15=""),"",PRODUCT(HP15,IV15))</f>
        <v>90</v>
      </c>
      <c r="JM15" s="26">
        <f t="shared" ref="JM15:JM27" si="188">IF(OR(HQ15="",IW15=""),"",PRODUCT(HQ15,IW15))</f>
        <v>250</v>
      </c>
      <c r="JN15" s="26">
        <f t="shared" ref="JN15:JN27" si="189">IF(OR(HR15="",IX15=""),"",PRODUCT(HR15,IX15))</f>
        <v>255</v>
      </c>
      <c r="JO15" s="26">
        <f t="shared" ref="JO15:JO27" si="190">IF(OR(HS15="",IY15=""),"",PRODUCT(HS15,IY15))</f>
        <v>170</v>
      </c>
      <c r="JP15" s="26" t="str">
        <f t="shared" ref="JP15:JP27" si="191">IF(OR(HT15="",IZ15=""),"",PRODUCT(HT15,IZ15))</f>
        <v/>
      </c>
      <c r="JQ15" s="26" t="str">
        <f t="shared" ref="JQ15:JQ27" si="192">IF(OR(HU15="",JA15=""),"",PRODUCT(HU15,JA15))</f>
        <v/>
      </c>
      <c r="JR15" s="26">
        <f t="shared" ref="JR15:JR27" si="193">IF(OR(HV15="",JB15=""),"",PRODUCT(HV15,JB15))</f>
        <v>375</v>
      </c>
      <c r="JS15" s="26" t="str">
        <f t="shared" ref="JS15:JS27" si="194">IF(OR(HW15="",JC15=""),"",PRODUCT(HW15,JC15))</f>
        <v/>
      </c>
      <c r="JT15" s="26">
        <f t="shared" ref="JT15:JT27" si="195">IF(OR(HX15="",JD15=""),"",PRODUCT(HX15,JD15))</f>
        <v>210</v>
      </c>
      <c r="JU15" s="26">
        <f t="shared" ref="JU15:JU27" si="196">IF(OR(HY15="",JE15=""),"",PRODUCT(HY15,JE15))</f>
        <v>207</v>
      </c>
      <c r="JV15" s="26">
        <f t="shared" ref="JV15:JV27" si="197">IF(OR(HZ15="",JF15=""),"",PRODUCT(HZ15,JF15))</f>
        <v>136</v>
      </c>
      <c r="JW15" s="26">
        <f t="shared" ref="JW15:JW27" si="198">IF(OR(IA15="",JG15=""),"",PRODUCT(IA15,JG15))</f>
        <v>193</v>
      </c>
      <c r="JX15" s="26">
        <f t="shared" ref="JX15:JX27" si="199">IF(OR(IB15="",JH15=""),"",PRODUCT(IB15,JH15))</f>
        <v>170</v>
      </c>
      <c r="JY15" s="24">
        <f t="shared" ref="JY15:JY27" si="200">IF(OR(IS15="",IC15=""),"",IS15*(IF(OR(IC15="A",IC15="a"),4,(IF(OR(IC451="B",IC15="b"),3,(IF(OR(IC15="C",IC15="c"),2,(IF(OR(IC15="D",IC15="d"),1.5,(IF(OR(IC15="E",IC15="e"),1,(IF(OR(IC15="F",IC15="f"),0)))))))))))))</f>
        <v>8</v>
      </c>
      <c r="JZ15" s="24">
        <f t="shared" ref="JZ15:JZ27" si="201">IF(OR(IT15="",ID15=""),"",IT15*(IF(OR(ID15="A",ID15="a"),4,(IF(OR(ID451="B",ID15="b"),3,(IF(OR(ID15="C",ID15="c"),2,(IF(OR(ID15="D",ID15="d"),1.5,(IF(OR(ID15="E",ID15="e"),1,(IF(OR(ID15="F",ID15="f"),0)))))))))))))</f>
        <v>6</v>
      </c>
      <c r="KA15" s="24">
        <f t="shared" ref="KA15:KA27" si="202">IF(OR(IU15="",IE15=""),"",IU15*(IF(OR(IE15="A",IE15="a"),4,(IF(OR(IE451="B",IE15="b"),3,(IF(OR(IE15="C",IE15="c"),2,(IF(OR(IE15="D",IE15="d"),1.5,(IF(OR(IE15="E",IE15="e"),1,(IF(OR(IE15="F",IE15="f"),0)))))))))))))</f>
        <v>12</v>
      </c>
      <c r="KB15" s="24">
        <f t="shared" ref="KB15:KB27" si="203">IF(OR(IV15="",IF15=""),"",IV15*(IF(OR(IF15="A",IF15="a"),4,(IF(OR(IF451="B",IF15="b"),3,(IF(OR(IF15="C",IF15="c"),2,(IF(OR(IF15="D",IF15="d"),1.5,(IF(OR(IF15="E",IF15="e"),1,(IF(OR(IF15="F",IF15="f"),0)))))))))))))</f>
        <v>4</v>
      </c>
      <c r="KC15" s="24">
        <f t="shared" ref="KC15:KC27" si="204">IF(OR(IW15="",IG15=""),"",IW15*(IF(OR(IG15="A",IG15="a"),4,(IF(OR(IG451="B",IG15="b"),3,(IF(OR(IG15="C",IG15="c"),2,(IF(OR(IG15="D",IG15="d"),1.5,(IF(OR(IG15="E",IG15="e"),1,(IF(OR(IG15="F",IG15="f"),0)))))))))))))</f>
        <v>5</v>
      </c>
      <c r="KD15" s="24">
        <f t="shared" ref="KD15:KD27" si="205">IF(OR(IX15="",IH15=""),"",IX15*(IF(OR(IH15="A",IH15="a"),4,(IF(OR(IH451="B",IH15="b"),3,(IF(OR(IH15="C",IH15="c"),2,(IF(OR(IH15="D",IH15="d"),1.5,(IF(OR(IH15="E",IH15="e"),1,(IF(OR(IH15="F",IH15="f"),0)))))))))))))</f>
        <v>9</v>
      </c>
      <c r="KE15" s="24">
        <f t="shared" ref="KE15:KE27" si="206">IF(OR(IY15="",II15=""),"",IY15*(IF(OR(II15="A",II15="a"),4,(IF(OR(II451="B",II15="b"),3,(IF(OR(II15="C",II15="c"),2,(IF(OR(II15="D",II15="d"),1.5,(IF(OR(II15="E",II15="e"),1,(IF(OR(II15="F",II15="f"),0)))))))))))))</f>
        <v>6</v>
      </c>
      <c r="KF15" s="24" t="str">
        <f t="shared" ref="KF15:KF27" si="207">IF(OR(IZ15="",IJ15=""),"",IZ15*(IF(OR(IJ15="A",IJ15="a"),4,(IF(OR(IJ451="B",IJ15="b"),3,(IF(OR(IJ15="C",IJ15="c"),2,(IF(OR(IJ15="D",IJ15="d"),1.5,(IF(OR(IJ15="E",IJ15="e"),1,(IF(OR(IJ15="F",IJ15="f"),0)))))))))))))</f>
        <v/>
      </c>
      <c r="KG15" s="24" t="str">
        <f t="shared" ref="KG15:KG27" si="208">IF(OR(JA15="",IK15=""),"",JA15*(IF(OR(IK15="A",IK15="a"),4,(IF(OR(IK451="B",IK15="b"),3,(IF(OR(IK15="C",IK15="c"),2,(IF(OR(IK15="D",IK15="d"),1.5,(IF(OR(IK15="E",IK15="e"),1,(IF(OR(IK15="F",IK15="f"),0)))))))))))))</f>
        <v/>
      </c>
      <c r="KH15" s="24">
        <f t="shared" ref="KH15:KH27" si="209">IF(OR(JB15="",IL15=""),"",JB15*(IF(OR(IL15="A",IL15="a"),4,(IF(OR(IL451="B",IL15="b"),3,(IF(OR(IL15="C",IL15="c"),2,(IF(OR(IL15="D",IL15="d"),1.5,(IF(OR(IL15="E",IL15="e"),1,(IF(OR(IL15="F",IL15="f"),0)))))))))))))</f>
        <v>10</v>
      </c>
      <c r="KI15" s="24" t="str">
        <f t="shared" ref="KI15:KI27" si="210">IF(OR(JC15="",IM15=""),"",JC15*(IF(OR(IM15="A",IM15="a"),4,(IF(OR(IM451="B",IM15="b"),3,(IF(OR(IM15="C",IM15="c"),2,(IF(OR(IM15="D",IM15="d"),1.5,(IF(OR(IM15="E",IM15="e"),1,(IF(OR(IM15="F",IM15="f"),0)))))))))))))</f>
        <v/>
      </c>
      <c r="KJ15" s="24">
        <f t="shared" ref="KJ15:KJ27" si="211">IF(OR(JD15="",IN15=""),"",JD15*(IF(OR(IN15="A",IN15="a"),4,(IF(OR(IN451="B",IN15="b"),3,(IF(OR(IN15="C",IN15="c"),2,(IF(OR(IN15="D",IN15="d"),1.5,(IF(OR(IN15="E",IN15="e"),1,(IF(OR(IN15="F",IN15="f"),0)))))))))))))</f>
        <v>0</v>
      </c>
      <c r="KK15" s="24">
        <f t="shared" ref="KK15:KK27" si="212">IF(OR(JE15="",IO15=""),"",JE15*(IF(OR(IO15="A",IO15="a"),4,(IF(OR(IO451="B",IO15="b"),3,(IF(OR(IO15="C",IO15="c"),2,(IF(OR(IO15="D",IO15="d"),1.5,(IF(OR(IO15="E",IO15="e"),1,(IF(OR(IO15="F",IO15="f"),0)))))))))))))</f>
        <v>4.5</v>
      </c>
      <c r="KL15" s="24">
        <f t="shared" ref="KL15:KL27" si="213">IF(OR(JF15="",IP15=""),"",JF15*(IF(OR(IP15="A",IP15="a"),4,(IF(OR(IP451="B",IP15="b"),3,(IF(OR(IP15="C",IP15="c"),2,(IF(OR(IP15="D",IP15="d"),1.5,(IF(OR(IP15="E",IP15="e"),1,(IF(OR(IP15="F",IP15="f"),0)))))))))))))</f>
        <v>3</v>
      </c>
      <c r="KM15" s="24">
        <f t="shared" ref="KM15:KM27" si="214">IF(OR(JG15="",IQ15=""),"",JG15*(IF(OR(IQ15="A",IQ15="a"),4,(IF(OR(IQ451="B",IQ15="b"),3,(IF(OR(IQ15="C",IQ15="c"),2,(IF(OR(IQ15="D",IQ15="d"),1.5,(IF(OR(IQ15="E",IQ15="e"),1,(IF(OR(IQ15="F",IQ15="f"),0)))))))))))))</f>
        <v>8</v>
      </c>
      <c r="KN15" s="24">
        <f t="shared" ref="KN15:KN27" si="215">IF(OR(JH15="",IR15=""),"",JH15*(IF(OR(IR15="A",IR15="a"),4,(IF(OR(IR451="B",IR15="b"),3,(IF(OR(IR15="C",IR15="c"),2,(IF(OR(IR15="D",IR15="d"),1.5,(IF(OR(IR15="E",IR15="e"),1,(IF(OR(IR15="F",IR15="f"),0)))))))))))))</f>
        <v>6</v>
      </c>
      <c r="KO15" s="24">
        <f t="shared" ref="KO15:KO27" si="216">IF(B15="","",SUM(IS15:JA15))</f>
        <v>18</v>
      </c>
      <c r="KP15" s="26" t="str">
        <f t="shared" ref="KP15:KP27" si="217">IF(OR(B15="",F15="I",F15="II",F15="M",F15="A"),"",IF(OR(B15="",F15=""),"",SUM(JI15:JQ15)))</f>
        <v/>
      </c>
      <c r="KQ15" s="26">
        <f t="shared" ref="KQ15:KQ27" si="218">IF(B15="","",SUM(JY15:KG15))</f>
        <v>50</v>
      </c>
      <c r="KR15" s="26" t="str">
        <f>IF(OR(KO15="",KP15=""),"",KP15/KO15)</f>
        <v/>
      </c>
      <c r="KS15" s="24" t="str">
        <f>IF(KR15="","",IF(KR15&gt;=90,"A",IF(KR15&gt;=80,"B",IF(KR15&gt;=70,"C",IF(KR15&gt;=60,"D",IF(KR15&gt;=50,"E",IF(KR15&gt;=0,"F","")))))))</f>
        <v/>
      </c>
      <c r="KT15" s="26">
        <f t="shared" ref="KT15:KT27" si="219">IF(FZ15="","",KQ15/KO15)</f>
        <v>2.7777777777777777</v>
      </c>
      <c r="KU15" s="24">
        <f t="shared" ref="KU15:KU27" si="220">IF(B15="","",SUM(JB15:JH15))</f>
        <v>19</v>
      </c>
      <c r="KV15" s="24">
        <f t="shared" ref="KV15:KV27" si="221">IF(B15="","",SUM(JR15:JX15))</f>
        <v>1291</v>
      </c>
      <c r="KW15" s="24">
        <f t="shared" ref="KW15:KW27" si="222">IF(B15="","",SUM(KH15:KN15))</f>
        <v>31.5</v>
      </c>
      <c r="KX15" s="26">
        <f>IF(OR(KU15="",KV15=""),"",KV15/KU15)</f>
        <v>67.94736842105263</v>
      </c>
      <c r="KY15" s="24" t="str">
        <f>IF(KX15="","",IF(KX15&gt;=90,"A",IF(KX15&gt;=80,"B",IF(KX15&gt;=70,"C",IF(KX15&gt;=60,"D",IF(KX15&gt;=50,"E",IF(KX15&gt;=0,"F","")))))))</f>
        <v>D</v>
      </c>
      <c r="KZ15" s="27">
        <f t="shared" ref="KZ15:KZ27" si="223">IF(B15="","",KW15/KU15)</f>
        <v>1.6578947368421053</v>
      </c>
      <c r="LA15" s="24">
        <f t="shared" ref="LA15:LA27" si="224">IF(SUM(IS15:JH15)=0,"",IF(OR(F15="",F15="I",F15="II",F15="M",F15="A"),(SUM(IS15:JH15)),IF(OR(F15="",F15="III"),(SUM(KO15,KU15)))))</f>
        <v>37</v>
      </c>
      <c r="LB15" s="26">
        <f t="shared" ref="LB15:LB27" si="225">IF(SUM(IS15:JH15)=0,"",IF(OR(F15="",F15="I",F15="II",F15="M",F15="A"),(SUM(JI15:JX15)),IF(OR(F15="",F15="III"),(SUM(KP15,KV15)))))</f>
        <v>2666</v>
      </c>
      <c r="LC15" s="26">
        <f t="shared" ref="LC15:LC27" si="226">IF(SUM(IS15:JH15)=0,"",IF(OR(B15="",F15="I",F15="II",F15="M",F15="A"),(SUM(JY15:KN15)),IF(OR(B15="",F15="III"),(SUM(KW15,KQ15)))))</f>
        <v>81.5</v>
      </c>
      <c r="LD15" s="26">
        <f>IF(OR(LA15=0,LB15=0),0,IF(OR(LA15="",LB15=""),"",LB15/LA15))</f>
        <v>72.054054054054049</v>
      </c>
      <c r="LE15" s="27" t="str">
        <f>IF(LD15="","",IF(LD15&gt;=90,"A",IF(LD15&gt;=80,"B",IF(LD15&gt;=70,"C",IF(LD15&gt;=60,"D",IF(LD15&gt;=50,"E",IF(LD15&gt;=0,"F","")))))))</f>
        <v>C</v>
      </c>
      <c r="LF15" s="26">
        <f t="shared" ref="LF15:LF27" si="227">IF(FZ15="","",LC15/LA15)</f>
        <v>2.2027027027027026</v>
      </c>
      <c r="LG15" s="24">
        <f t="shared" ref="LG15:LG27" si="228">IF(OR(B15="",LD15=""),"",RANK(LD15,$LD$15:$LD$27))</f>
        <v>8</v>
      </c>
      <c r="LH15" s="24" t="str">
        <f t="shared" ref="LH15:LH27" si="229">IF(B15="","",$C$9)</f>
        <v>6A</v>
      </c>
      <c r="LI15" s="24">
        <f t="shared" ref="LI15:LI27" si="230">IF(B15="","",MAX($A$15:$A$27))</f>
        <v>13</v>
      </c>
      <c r="LJ15" s="26">
        <f>IF('Q4'!G15="","",SUM((AVERAGE('Q3'!G15,'Q4'!G15)*0.5))+(HM15*0.5))</f>
        <v>88.166666666666671</v>
      </c>
      <c r="LK15" s="26">
        <f>IF('Q4'!H15="","",SUM((AVERAGE('Q3'!H15,'Q4'!H15)*1)))</f>
        <v>88.85</v>
      </c>
      <c r="LL15" s="26">
        <f>IF('Q4'!I15="","",SUM((AVERAGE('Q3'!I15,'Q4'!I15)*0.5))+(HO15*0.5))</f>
        <v>85.433333333333337</v>
      </c>
      <c r="LM15" s="26">
        <f>IF('Q4'!J15="","",SUM((AVERAGE('Q3'!J15,'Q4'!J15)*0.5))+(HP15*0.5))</f>
        <v>86.833333333333343</v>
      </c>
      <c r="LN15" s="26">
        <f>IF('Q4'!K15="","",SUM((AVERAGE('Q3'!K15,'Q4'!K15)*0.5))+(HQ15*0.5))</f>
        <v>68.866666666666674</v>
      </c>
      <c r="LO15" s="26">
        <f>IF('Q4'!L15="","",SUM((AVERAGE('Q3'!L15,'Q4'!L15)*0.5))+(HR15*0.5))</f>
        <v>84.941666666666663</v>
      </c>
      <c r="LP15" s="26">
        <f>IF('Q4'!M15="","",SUM((AVERAGE('Q3'!M15,'Q4'!M15)*0.5))+(HS15*0.5))</f>
        <v>86.666666666666657</v>
      </c>
      <c r="LQ15" s="26">
        <f>IF('Q4'!N15="","",SUM((AVERAGE('Q3'!N15,'Q4'!N15)*1)))</f>
        <v>97</v>
      </c>
      <c r="LR15" s="26">
        <f>IF('Q4'!O15="","",SUM((AVERAGE('Q3'!O15,'Q4'!O15)*1)))</f>
        <v>97</v>
      </c>
      <c r="LS15" s="26">
        <f>IF('Q4'!P15="","",SUM((AVERAGE('Q3'!P15,'Q4'!P15)*0.5))+(HV15*0.5))</f>
        <v>79.433333333333337</v>
      </c>
      <c r="LT15" s="26">
        <f>IF('Q4'!Q15="","",SUM((AVERAGE('Q3'!Q15,'Q4'!Q15)*1)))</f>
        <v>83.866666666666674</v>
      </c>
      <c r="LU15" s="26">
        <f>IF('Q4'!R15="","",SUM((AVERAGE('Q3'!R15,'Q4'!R15)*0.5))+(HX15*0.5))</f>
        <v>58.999166666666653</v>
      </c>
      <c r="LV15" s="26">
        <f>IF('Q4'!S15="","",SUM((AVERAGE('Q3'!S15,'Q4'!S15)*0.5))+(HY15*0.5))</f>
        <v>67.047499999999999</v>
      </c>
      <c r="LW15" s="26">
        <f>IF('Q4'!T15="","",SUM((AVERAGE('Q3'!T15,'Q4'!T15)*0.5))+(HZ15*0.5))</f>
        <v>76.875</v>
      </c>
      <c r="LX15" s="26">
        <f>IF('Q4'!U15="","",SUM((AVERAGE('Q3'!U15,'Q4'!U15)*0.5))+(IA15*0.5))</f>
        <v>98</v>
      </c>
      <c r="LY15" s="26">
        <f>IF('Q4'!V15="","",SUM((AVERAGE('Q3'!V15,'Q4'!V15)*0.5))+(IB15*0.5))</f>
        <v>91.541666666666671</v>
      </c>
      <c r="LZ15" s="26" t="str">
        <f t="shared" ref="LZ15:LZ27" si="231">IF(LJ15="","",IF(LJ15&gt;=90,"A",IF(LJ15&gt;=80,"B",IF(LJ15&gt;=70,"C",IF(LJ15&gt;=60,"D",IF(LJ15&gt;=50,"E",IF(LJ15&gt;=0,"F","")))))))</f>
        <v>B</v>
      </c>
      <c r="MA15" s="26" t="str">
        <f t="shared" ref="MA15:MA27" si="232">IF(LK15="","",IF(LK15&gt;=90,"A",IF(LK15&gt;=80,"B",IF(LK15&gt;=70,"C",IF(LK15&gt;=60,"D",IF(LK15&gt;=50,"E",IF(LK15&gt;=0,"F","")))))))</f>
        <v>B</v>
      </c>
      <c r="MB15" s="26" t="str">
        <f t="shared" ref="MB15:MB27" si="233">IF(LL15="","",IF(LL15&gt;=90,"A",IF(LL15&gt;=80,"B",IF(LL15&gt;=70,"C",IF(LL15&gt;=60,"D",IF(LL15&gt;=50,"E",IF(LL15&gt;=0,"F","")))))))</f>
        <v>B</v>
      </c>
      <c r="MC15" s="26" t="str">
        <f t="shared" ref="MC15:MC27" si="234">IF(LM15="","",IF(LM15&gt;=90,"A",IF(LM15&gt;=80,"B",IF(LM15&gt;=70,"C",IF(LM15&gt;=60,"D",IF(LM15&gt;=50,"E",IF(LM15&gt;=0,"F","")))))))</f>
        <v>B</v>
      </c>
      <c r="MD15" s="26" t="str">
        <f t="shared" ref="MD15:MD27" si="235">IF(LN15="","",IF(LN15&gt;=90,"A",IF(LN15&gt;=80,"B",IF(LN15&gt;=70,"C",IF(LN15&gt;=60,"D",IF(LN15&gt;=50,"E",IF(LN15&gt;=0,"F","")))))))</f>
        <v>D</v>
      </c>
      <c r="ME15" s="26" t="str">
        <f t="shared" ref="ME15:ME27" si="236">IF(LO15="","",IF(LO15&gt;=90,"A",IF(LO15&gt;=80,"B",IF(LO15&gt;=70,"C",IF(LO15&gt;=60,"D",IF(LO15&gt;=50,"E",IF(LO15&gt;=0,"F","")))))))</f>
        <v>B</v>
      </c>
      <c r="MF15" s="26" t="str">
        <f t="shared" ref="MF15:MF27" si="237">IF(LP15="","",IF(LP15&gt;=90,"A",IF(LP15&gt;=80,"B",IF(LP15&gt;=70,"C",IF(LP15&gt;=60,"D",IF(LP15&gt;=50,"E",IF(LP15&gt;=0,"F","")))))))</f>
        <v>B</v>
      </c>
      <c r="MG15" s="26" t="str">
        <f t="shared" ref="MG15:MG27" si="238">IF(LQ15="","",IF(LQ15&gt;=90,"A",IF(LQ15&gt;=80,"B",IF(LQ15&gt;=70,"C",IF(LQ15&gt;=60,"D",IF(LQ15&gt;=50,"E",IF(LQ15&gt;=0,"F","")))))))</f>
        <v>A</v>
      </c>
      <c r="MH15" s="26" t="str">
        <f t="shared" ref="MH15:MH27" si="239">IF(LR15="","",IF(LR15&gt;=90,"A",IF(LR15&gt;=80,"B",IF(LR15&gt;=70,"C",IF(LR15&gt;=60,"D",IF(LR15&gt;=50,"E",IF(LR15&gt;=0,"F","")))))))</f>
        <v>A</v>
      </c>
      <c r="MI15" s="24" t="str">
        <f t="shared" ref="MI15:MI27" si="240">IF(LS15="","",IF(LS15&gt;=90,"A",IF(LS15&gt;=80,"B",IF(LS15&gt;=70,"C",IF(LS15&gt;=60,"D",IF(LS15&gt;=50,"E",IF(LS15&gt;=0,"F","")))))))</f>
        <v>C</v>
      </c>
      <c r="MJ15" s="24" t="str">
        <f t="shared" ref="MJ15:MJ27" si="241">IF(LT15="","",IF(LT15&gt;=90,"A",IF(LT15&gt;=80,"B",IF(LT15&gt;=70,"C",IF(LT15&gt;=60,"D",IF(LT15&gt;=50,"E",IF(LT15&gt;=0,"F","")))))))</f>
        <v>B</v>
      </c>
      <c r="MK15" s="24" t="str">
        <f t="shared" ref="MK15:MK27" si="242">IF(LU15="","",IF(LU15&gt;=90,"A",IF(LU15&gt;=80,"B",IF(LU15&gt;=70,"C",IF(LU15&gt;=60,"D",IF(LU15&gt;=50,"E",IF(LU15&gt;=0,"F","")))))))</f>
        <v>E</v>
      </c>
      <c r="ML15" s="24" t="str">
        <f t="shared" ref="ML15:ML27" si="243">IF(LV15="","",IF(LV15&gt;=90,"A",IF(LV15&gt;=80,"B",IF(LV15&gt;=70,"C",IF(LV15&gt;=60,"D",IF(LV15&gt;=50,"E",IF(LV15&gt;=0,"F","")))))))</f>
        <v>D</v>
      </c>
      <c r="MM15" s="24" t="str">
        <f t="shared" ref="MM15:MM27" si="244">IF(LW15="","",IF(LW15&gt;=90,"A",IF(LW15&gt;=80,"B",IF(LW15&gt;=70,"C",IF(LW15&gt;=60,"D",IF(LW15&gt;=50,"E",IF(LW15&gt;=0,"F","")))))))</f>
        <v>C</v>
      </c>
      <c r="MN15" s="24" t="str">
        <f t="shared" ref="MN15:MN27" si="245">IF(LX15="","",IF(LX15&gt;=90,"A",IF(LX15&gt;=80,"B",IF(LX15&gt;=70,"C",IF(LX15&gt;=60,"D",IF(LX15&gt;=50,"E",IF(LX15&gt;=0,"F","")))))))</f>
        <v>A</v>
      </c>
      <c r="MO15" s="24" t="str">
        <f t="shared" ref="MO15:MO27" si="246">IF(LY15="","",IF(LY15&gt;=90,"A",IF(LY15&gt;=80,"B",IF(LY15&gt;=70,"C",IF(LY15&gt;=60,"D",IF(LY15&gt;=50,"E",IF(LY15&gt;=0,"F","")))))))</f>
        <v>A</v>
      </c>
      <c r="MP15" s="24">
        <f t="shared" ref="MP15:MP27" si="247">IF(LJ15="","",$MP$14)</f>
        <v>2</v>
      </c>
      <c r="MQ15" s="24">
        <f t="shared" ref="MQ15:MQ27" si="248">IF(LK15="","",$MQ$14)</f>
        <v>2</v>
      </c>
      <c r="MR15" s="24">
        <f t="shared" ref="MR15:MR27" si="249">IF(LL15="","",$MR$14)</f>
        <v>3</v>
      </c>
      <c r="MS15" s="24">
        <f t="shared" ref="MS15:MS27" si="250">IF(LM15="","",$MS$14)</f>
        <v>1</v>
      </c>
      <c r="MT15" s="24">
        <f t="shared" ref="MT15:MT27" si="251">IF(LN15="","",$MT$14)</f>
        <v>5</v>
      </c>
      <c r="MU15" s="24">
        <f t="shared" ref="MU15:MU27" si="252">IF(LO15="","",$MU$14)</f>
        <v>3</v>
      </c>
      <c r="MV15" s="24">
        <f t="shared" ref="MV15:MV27" si="253">IF(LP15="","",$MV$14)</f>
        <v>2</v>
      </c>
      <c r="MW15" s="24">
        <f t="shared" ref="MW15:MW27" si="254">IF(LQ15="","",$MW$14)</f>
        <v>1</v>
      </c>
      <c r="MX15" s="24">
        <f t="shared" ref="MX15:MX27" si="255">IF(LR15="","",$MX$14)</f>
        <v>1</v>
      </c>
      <c r="MY15" s="24">
        <f t="shared" ref="MY15:MY27" si="256">IF(LS15="","",$MY$14)</f>
        <v>5</v>
      </c>
      <c r="MZ15" s="24">
        <f t="shared" ref="MZ15:MZ27" si="257">IF(LT15="","",$MZ$14)</f>
        <v>1</v>
      </c>
      <c r="NA15" s="24">
        <f t="shared" ref="NA15:NA27" si="258">IF(LU15="","",$NA$14)</f>
        <v>5</v>
      </c>
      <c r="NB15" s="24">
        <f t="shared" ref="NB15:NB27" si="259">IF(LV15="","",$NB$14)</f>
        <v>3</v>
      </c>
      <c r="NC15" s="24">
        <f t="shared" ref="NC15:NC27" si="260">IF(LW15="","",$NC$14)</f>
        <v>2</v>
      </c>
      <c r="ND15" s="24">
        <f t="shared" ref="ND15:ND27" si="261">IF(LX15="","",$ND$14)</f>
        <v>2</v>
      </c>
      <c r="NE15" s="24">
        <f t="shared" ref="NE15:NE27" si="262">IF(LY15="","",$NE$14)</f>
        <v>2</v>
      </c>
      <c r="NF15" s="26">
        <f t="shared" ref="NF15:NF27" si="263">IF(OR(LJ15="",MP15=""),"",PRODUCT(LJ15,MP15))</f>
        <v>176.33333333333334</v>
      </c>
      <c r="NG15" s="26">
        <f t="shared" ref="NG15:NG27" si="264">IF(OR(LK15="",MQ15=""),"",PRODUCT(LK15,MQ15))</f>
        <v>177.7</v>
      </c>
      <c r="NH15" s="26">
        <f t="shared" ref="NH15:NH27" si="265">IF(OR(LL15="",MR15=""),"",PRODUCT(LL15,MR15))</f>
        <v>256.3</v>
      </c>
      <c r="NI15" s="26">
        <f t="shared" ref="NI15:NI27" si="266">IF(OR(LM15="",MS15=""),"",PRODUCT(LM15,MS15))</f>
        <v>86.833333333333343</v>
      </c>
      <c r="NJ15" s="26">
        <f t="shared" ref="NJ15:NJ27" si="267">IF(OR(LN15="",MT15=""),"",PRODUCT(LN15,MT15))</f>
        <v>344.33333333333337</v>
      </c>
      <c r="NK15" s="26">
        <f t="shared" ref="NK15:NK27" si="268">IF(OR(LO15="",MU15=""),"",PRODUCT(LO15,MU15))</f>
        <v>254.82499999999999</v>
      </c>
      <c r="NL15" s="26">
        <f t="shared" ref="NL15:NL27" si="269">IF(OR(LP15="",MV15=""),"",PRODUCT(LP15,MV15))</f>
        <v>173.33333333333331</v>
      </c>
      <c r="NM15" s="26">
        <f t="shared" ref="NM15:NM27" si="270">IF(OR(LQ15="",MW15=""),"",PRODUCT(LQ15,MW15))</f>
        <v>97</v>
      </c>
      <c r="NN15" s="26">
        <f t="shared" ref="NN15:NN27" si="271">IF(OR(LR15="",MX15=""),"",PRODUCT(LR15,MX15))</f>
        <v>97</v>
      </c>
      <c r="NO15" s="26">
        <f t="shared" ref="NO15:NO27" si="272">IF(OR(LS15="",MY15=""),"",PRODUCT(LS15,MY15))</f>
        <v>397.16666666666669</v>
      </c>
      <c r="NP15" s="26">
        <f t="shared" ref="NP15:NP27" si="273">IF(OR(LT15="",MZ15=""),"",PRODUCT(LT15,MZ15))</f>
        <v>83.866666666666674</v>
      </c>
      <c r="NQ15" s="26">
        <f t="shared" ref="NQ15:NQ27" si="274">IF(OR(LU15="",NA15=""),"",PRODUCT(LU15,NA15))</f>
        <v>294.99583333333328</v>
      </c>
      <c r="NR15" s="26">
        <f t="shared" ref="NR15:NR27" si="275">IF(OR(LV15="",NB15=""),"",PRODUCT(LV15,NB15))</f>
        <v>201.14249999999998</v>
      </c>
      <c r="NS15" s="26">
        <f t="shared" ref="NS15:NS27" si="276">IF(OR(LW15="",NC15=""),"",PRODUCT(LW15,NC15))</f>
        <v>153.75</v>
      </c>
      <c r="NT15" s="26">
        <f t="shared" ref="NT15:NT27" si="277">IF(OR(LX15="",ND15=""),"",PRODUCT(LX15,ND15))</f>
        <v>196</v>
      </c>
      <c r="NU15" s="26">
        <f t="shared" ref="NU15:NU27" si="278">IF(OR(LY15="",NE15=""),"",PRODUCT(LY15,NE15))</f>
        <v>183.08333333333334</v>
      </c>
      <c r="NV15" s="24">
        <f t="shared" ref="NV15:NV27" si="279">IF(OR(MP15="",LZ15=""),"",MP15*(IF(OR(LZ15="A",LZ15="a"),4,(IF(OR(LZ451="B",LZ15="b"),3,(IF(OR(LZ15="C",LZ15="c"),2,(IF(OR(LZ15="D",LZ15="d"),1.5,(IF(OR(LZ15="E",LZ15="e"),1,(IF(OR(LZ15="F",LZ15="f"),0)))))))))))))</f>
        <v>6</v>
      </c>
      <c r="NW15" s="24">
        <f t="shared" ref="NW15:NW27" si="280">IF(OR(MQ15="",MA15=""),"",MQ15*(IF(OR(MA15="A",MA15="a"),4,(IF(OR(MA451="B",MA15="b"),3,(IF(OR(MA15="C",MA15="c"),2,(IF(OR(MA15="D",MA15="d"),1.5,(IF(OR(MA15="E",MA15="e"),1,(IF(OR(MA15="F",MA15="f"),0)))))))))))))</f>
        <v>6</v>
      </c>
      <c r="NX15" s="24">
        <f t="shared" ref="NX15:NX27" si="281">IF(OR(MR15="",MB15=""),"",MR15*(IF(OR(MB15="A",MB15="a"),4,(IF(OR(MB451="B",MB15="b"),3,(IF(OR(MB15="C",MB15="c"),2,(IF(OR(MB15="D",MB15="d"),1.5,(IF(OR(MB15="E",MB15="e"),1,(IF(OR(MB15="F",MB15="f"),0)))))))))))))</f>
        <v>9</v>
      </c>
      <c r="NY15" s="24">
        <f t="shared" ref="NY15:NY27" si="282">IF(OR(MS15="",MC15=""),"",MS15*(IF(OR(MC15="A",MC15="a"),4,(IF(OR(MC451="B",MC15="b"),3,(IF(OR(MC15="C",MC15="c"),2,(IF(OR(MC15="D",MC15="d"),1.5,(IF(OR(MC15="E",MC15="e"),1,(IF(OR(MC15="F",MC15="f"),0)))))))))))))</f>
        <v>3</v>
      </c>
      <c r="NZ15" s="24">
        <f t="shared" ref="NZ15:NZ27" si="283">IF(OR(MT15="",MD15=""),"",MT15*(IF(OR(MD15="A",MD15="a"),4,(IF(OR(MD451="B",MD15="b"),3,(IF(OR(MD15="C",MD15="c"),2,(IF(OR(MD15="D",MD15="d"),1.5,(IF(OR(MD15="E",MD15="e"),1,(IF(OR(MD15="F",MD15="f"),0)))))))))))))</f>
        <v>7.5</v>
      </c>
      <c r="OA15" s="24">
        <f t="shared" ref="OA15:OA27" si="284">IF(OR(MU15="",ME15=""),"",MU15*(IF(OR(ME15="A",ME15="a"),4,(IF(OR(ME451="B",ME15="b"),3,(IF(OR(ME15="C",ME15="c"),2,(IF(OR(ME15="D",ME15="d"),1.5,(IF(OR(ME15="E",ME15="e"),1,(IF(OR(ME15="F",ME15="f"),0)))))))))))))</f>
        <v>9</v>
      </c>
      <c r="OB15" s="24">
        <f t="shared" ref="OB15:OB27" si="285">IF(OR(MV15="",MF15=""),"",MV15*(IF(OR(MF15="A",MF15="a"),4,(IF(OR(MF451="B",MF15="b"),3,(IF(OR(MF15="C",MF15="c"),2,(IF(OR(MF15="D",MF15="d"),1.5,(IF(OR(MF15="E",MF15="e"),1,(IF(OR(MF15="F",MF15="f"),0)))))))))))))</f>
        <v>6</v>
      </c>
      <c r="OC15" s="24">
        <f t="shared" ref="OC15:OC27" si="286">IF(OR(MW15="",MG15=""),"",MW15*(IF(OR(MG15="A",MG15="a"),4,(IF(OR(MG451="B",MG15="b"),3,(IF(OR(MG15="C",MG15="c"),2,(IF(OR(MG15="D",MG15="d"),1.5,(IF(OR(MG15="E",MG15="e"),1,(IF(OR(MG15="F",MG15="f"),0)))))))))))))</f>
        <v>4</v>
      </c>
      <c r="OD15" s="24">
        <f t="shared" ref="OD15:OD27" si="287">IF(OR(MX15="",MH15=""),"",MX15*(IF(OR(MH15="A",MH15="a"),4,(IF(OR(MH451="B",MH15="b"),3,(IF(OR(MH15="C",MH15="c"),2,(IF(OR(MH15="D",MH15="d"),1.5,(IF(OR(MH15="E",MH15="e"),1,(IF(OR(MH15="F",MH15="f"),0)))))))))))))</f>
        <v>4</v>
      </c>
      <c r="OE15" s="24">
        <f t="shared" ref="OE15:OE27" si="288">IF(OR(MY15="",MI15=""),"",MY15*(IF(OR(MI15="A",MI15="a"),4,(IF(OR(MI451="B",MI15="b"),3,(IF(OR(MI15="C",MI15="c"),2,(IF(OR(MI15="D",MI15="d"),1.5,(IF(OR(MI15="E",MI15="e"),1,(IF(OR(MI15="F",MI15="f"),0)))))))))))))</f>
        <v>10</v>
      </c>
      <c r="OF15" s="24">
        <f t="shared" ref="OF15:OF27" si="289">IF(OR(MZ15="",MJ15=""),"",MZ15*(IF(OR(MJ15="A",MJ15="a"),4,(IF(OR(MJ451="B",MJ15="b"),3,(IF(OR(MJ15="C",MJ15="c"),2,(IF(OR(MJ15="D",MJ15="d"),1.5,(IF(OR(MJ15="E",MJ15="e"),1,(IF(OR(MJ15="F",MJ15="f"),0)))))))))))))</f>
        <v>3</v>
      </c>
      <c r="OG15" s="24">
        <f t="shared" ref="OG15:OG27" si="290">IF(OR(NA15="",MK15=""),"",NA15*(IF(OR(MK15="A",MK15="a"),4,(IF(OR(MK451="B",MK15="b"),3,(IF(OR(MK15="C",MK15="c"),2,(IF(OR(MK15="D",MK15="d"),1.5,(IF(OR(MK15="E",MK15="e"),1,(IF(OR(MK15="F",MK15="f"),0)))))))))))))</f>
        <v>5</v>
      </c>
      <c r="OH15" s="24">
        <f t="shared" ref="OH15:OH27" si="291">IF(OR(NB15="",ML15=""),"",NB15*(IF(OR(ML15="A",ML15="a"),4,(IF(OR(ML451="B",ML15="b"),3,(IF(OR(ML15="C",ML15="c"),2,(IF(OR(ML15="D",ML15="d"),1.5,(IF(OR(ML15="E",ML15="e"),1,(IF(OR(ML15="F",ML15="f"),0)))))))))))))</f>
        <v>4.5</v>
      </c>
      <c r="OI15" s="24">
        <f t="shared" ref="OI15:OI27" si="292">IF(OR(NC15="",MM15=""),"",NC15*(IF(OR(MM15="A",MM15="a"),4,(IF(OR(MM451="B",MM15="b"),3,(IF(OR(MM15="C",MM15="c"),2,(IF(OR(MM15="D",MM15="d"),1.5,(IF(OR(MM15="E",MM15="e"),1,(IF(OR(MM15="F",MM15="f"),0)))))))))))))</f>
        <v>4</v>
      </c>
      <c r="OJ15" s="24">
        <f t="shared" ref="OJ15:OJ27" si="293">IF(OR(ND15="",MN15=""),"",ND15*(IF(OR(MN15="A",MN15="a"),4,(IF(OR(MN451="B",MN15="b"),3,(IF(OR(MN15="C",MN15="c"),2,(IF(OR(MN15="D",MN15="d"),1.5,(IF(OR(MN15="E",MN15="e"),1,(IF(OR(MN15="F",MN15="f"),0)))))))))))))</f>
        <v>8</v>
      </c>
      <c r="OK15" s="24">
        <f t="shared" ref="OK15:OK27" si="294">IF(OR(NE15="",MO15=""),"",NE15*(IF(OR(MO15="A",MO15="a"),4,(IF(OR(MO451="B",MO15="b"),3,(IF(OR(MO15="C",MO15="c"),2,(IF(OR(MO15="D",MO15="d"),1.5,(IF(OR(MO15="E",MO15="e"),1,(IF(OR(MO15="F",MO15="f"),0)))))))))))))</f>
        <v>8</v>
      </c>
      <c r="OL15" s="24">
        <f t="shared" ref="OL15:OL27" si="295">IF(B15="","",SUM(MP15:MX15))</f>
        <v>20</v>
      </c>
      <c r="OM15" s="26">
        <f t="shared" ref="OM15:OM27" si="296">IF(B15="","",SUM(NF15:NN15))</f>
        <v>1663.6583333333333</v>
      </c>
      <c r="ON15" s="26">
        <f t="shared" ref="ON15:ON27" si="297">IF(B15="","",SUM(NV15:OD15))</f>
        <v>54.5</v>
      </c>
      <c r="OO15" s="26">
        <f>IF(OR(OL15="",OM15=""),"",OM15/OL15)</f>
        <v>83.182916666666671</v>
      </c>
      <c r="OP15" s="24" t="str">
        <f>IF(OO15="","",IF(OO15&gt;=90,"A",IF(OO15&gt;=80,"B",IF(OO15&gt;=70,"C",IF(OO15&gt;=60,"D",IF(OO15&gt;=50,"E",IF(OO15&gt;=0,"F","")))))))</f>
        <v>B</v>
      </c>
      <c r="OQ15" s="26">
        <f t="shared" ref="OQ15:OQ27" si="298">IF(B15="","",ON15/OL15)</f>
        <v>2.7250000000000001</v>
      </c>
      <c r="OR15" s="24">
        <f t="shared" ref="OR15:OR27" si="299">IF(B15="","",SUM(MY15:NE15))</f>
        <v>20</v>
      </c>
      <c r="OS15" s="26">
        <f t="shared" ref="OS15:OS27" si="300">IF(B15="","",SUM(NO15:NU15))</f>
        <v>1510.0049999999999</v>
      </c>
      <c r="OT15" s="26">
        <f t="shared" ref="OT15:OT27" si="301">IF(B15="","",SUM(OE15:OK15))</f>
        <v>42.5</v>
      </c>
      <c r="OU15" s="26">
        <f>IF(OR(OR15="",OS15=""),"",OS15/OR15)</f>
        <v>75.500249999999994</v>
      </c>
      <c r="OV15" s="24" t="str">
        <f>IF(OU15="","",IF(OU15&gt;=90,"A",IF(OU15&gt;=80,"B",IF(OU15&gt;=70,"C",IF(OU15&gt;=60,"D",IF(OU15&gt;=50,"E",IF(OU15&gt;=0,"F","")))))))</f>
        <v>C</v>
      </c>
      <c r="OW15" s="27">
        <f t="shared" ref="OW15:OW27" si="302">IF(B15="","",OT15/OR15)</f>
        <v>2.125</v>
      </c>
      <c r="OX15" s="24">
        <f t="shared" ref="OX15:OX27" si="303">IF(SUM(MP15:NE15)=0,"",IF(OR(B15="",F15="I",F15="II",F15="M",F15="A"),(SUM(MP15:NE15)),IF(OR(B15="",F15="III"),(SUM(OL15,OR15)))))</f>
        <v>40</v>
      </c>
      <c r="OY15" s="26">
        <f t="shared" ref="OY15:OY27" si="304">IF(SUM(MP15:NE15)=0,"",IF(OR(B15="",F15="I",F15="II",F15="M",F15="A"),(SUM(NF15:NU15)),IF(OR(B15="",F15="III"),(SUM(OM15,OS15)))))</f>
        <v>3173.6633333333334</v>
      </c>
      <c r="OZ15" s="26">
        <f t="shared" ref="OZ15:OZ27" si="305">IF(SUM(MP15:NE15)=0,"",IF(OR(B15="",F15="I",F15="II",F15="M",F15="A"),(SUM(NV15:OK15)),IF(OR(B15="",F15="III"),(SUM(OT15,ON15)))))</f>
        <v>97</v>
      </c>
      <c r="PA15" s="26">
        <f>IF(OR(OX15=0,OY15=0),0,IF(OR(OX15="",OY15=""),"",OY15/OX15))</f>
        <v>79.341583333333332</v>
      </c>
      <c r="PB15" s="27" t="str">
        <f>IF(PA15="","",IF(PA15&gt;=90,"A",IF(PA15&gt;=80,"B",IF(PA15&gt;=70,"C",IF(PA15&gt;=60,"D",IF(PA15&gt;=50,"E",IF(PA15&gt;=0,"F","")))))))</f>
        <v>C</v>
      </c>
      <c r="PC15" s="26">
        <f t="shared" ref="PC15:PC27" si="306">IF(JV15="","",OZ15/OX15)</f>
        <v>2.4249999999999998</v>
      </c>
      <c r="PD15" s="24">
        <f t="shared" ref="PD15:PD27" si="307">IF(OR(B15="",PA15=""),"",RANK(PA15,$PA$15:$PA$27))</f>
        <v>8</v>
      </c>
      <c r="PE15" s="24" t="str">
        <f t="shared" ref="PE15:PE27" si="308">IF(B15="","",$C$9)</f>
        <v>6A</v>
      </c>
      <c r="PF15" s="24">
        <f t="shared" ref="PF15:PF27" si="309">IF(B15="","",MAX($A$15:$A$27))</f>
        <v>13</v>
      </c>
      <c r="PG15" s="24">
        <f t="shared" ref="PG15:PG27" si="310">IF(B15="","",$C$8)</f>
        <v>104</v>
      </c>
      <c r="PH15" s="24">
        <f t="shared" ref="PH15:PH27" si="311">IF(A15="","",DE15+HH15)</f>
        <v>0</v>
      </c>
      <c r="PI15" s="24">
        <f t="shared" ref="PI15:PI27" si="312">IF(B15="","",DF15+HI15)</f>
        <v>0</v>
      </c>
      <c r="PJ15" s="24">
        <f t="shared" ref="PJ15:PJ27" si="313">IF(B15="","",DG15+HJ15)</f>
        <v>0</v>
      </c>
      <c r="PK15" s="24">
        <f t="shared" ref="PK15:PK27" si="314">IF(B15="","",PI15+PJ15)</f>
        <v>0</v>
      </c>
      <c r="PL15" s="25">
        <f t="shared" ref="PL15:PL27" si="315">IF(B15="","",(PG15-PK15)/PG15)</f>
        <v>1</v>
      </c>
    </row>
    <row r="16" spans="1:428" ht="27" customHeight="1" x14ac:dyDescent="0.35">
      <c r="A16" s="24">
        <f>IF(B16="","",A15+1)</f>
        <v>2</v>
      </c>
      <c r="B16" s="28" t="str">
        <f>IF('Q1'!B16="","",'Q1'!B16)</f>
        <v>Ly Sovannarith</v>
      </c>
      <c r="C16" s="30" t="str">
        <f>IF('Q1'!C16="","",'Q1'!C16)</f>
        <v>លី សុវណ្ណារិទ្ធ</v>
      </c>
      <c r="D16" s="28" t="str">
        <f>IF('Q1'!D16="","",'Q1'!D16)</f>
        <v>M</v>
      </c>
      <c r="E16" s="24">
        <f>IF('Q1'!E16="","",'Q1'!E16)</f>
        <v>689</v>
      </c>
      <c r="F16" s="24" t="str">
        <f>IF('Q1'!F16="","",'Q1'!F16)</f>
        <v>I</v>
      </c>
      <c r="G16" s="26">
        <f>IF('Q3'!G16="","",'Q3'!G16)</f>
        <v>85.333333333333343</v>
      </c>
      <c r="H16" s="26">
        <f>IF('Q3'!H16="","",'Q3'!H16)</f>
        <v>87.966666666666669</v>
      </c>
      <c r="I16" s="26">
        <f>IF('Q3'!I16="","",'Q3'!I16)</f>
        <v>85.666666666666671</v>
      </c>
      <c r="J16" s="26">
        <f>IF('Q3'!J16="","",'Q3'!J16)</f>
        <v>85.333333333333343</v>
      </c>
      <c r="K16" s="26">
        <f>IF('Q3'!K16="","",'Q3'!K16)</f>
        <v>86.26666666666668</v>
      </c>
      <c r="L16" s="26">
        <f>IF('Q3'!L16="","",'Q3'!L16)</f>
        <v>85.366666666666674</v>
      </c>
      <c r="M16" s="26">
        <f>IF('Q3'!M16="","",'Q3'!M16)</f>
        <v>87.566666666666677</v>
      </c>
      <c r="N16" s="26">
        <f>IF('Q3'!N16="","",'Q3'!N16)</f>
        <v>96</v>
      </c>
      <c r="O16" s="26">
        <f>IF('Q3'!O16="","",'Q3'!O16)</f>
        <v>96</v>
      </c>
      <c r="P16" s="26">
        <f>IF('Q3'!P16="","",'Q3'!P16)</f>
        <v>85.740000000000009</v>
      </c>
      <c r="Q16" s="26">
        <f>IF('Q3'!Q16="","",'Q3'!Q16)</f>
        <v>85.740000000000009</v>
      </c>
      <c r="R16" s="26">
        <f>IF('Q3'!R16="","",'Q3'!R16)</f>
        <v>70.37</v>
      </c>
      <c r="S16" s="26">
        <f>IF('Q3'!S16="","",'Q3'!S16)</f>
        <v>77.34</v>
      </c>
      <c r="T16" s="26">
        <f>IF('Q3'!T16="","",'Q3'!T16)</f>
        <v>90</v>
      </c>
      <c r="U16" s="26">
        <f>IF('Q3'!U16="","",'Q3'!U16)</f>
        <v>92</v>
      </c>
      <c r="V16" s="26">
        <f>IF('Q3'!V16="","",'Q3'!V16)</f>
        <v>96</v>
      </c>
      <c r="W16" s="26" t="str">
        <f t="shared" si="0"/>
        <v>B</v>
      </c>
      <c r="X16" s="26" t="str">
        <f t="shared" si="1"/>
        <v>B</v>
      </c>
      <c r="Y16" s="26" t="str">
        <f t="shared" si="2"/>
        <v>B</v>
      </c>
      <c r="Z16" s="26" t="str">
        <f t="shared" si="3"/>
        <v>B</v>
      </c>
      <c r="AA16" s="26" t="str">
        <f t="shared" si="4"/>
        <v>B</v>
      </c>
      <c r="AB16" s="26" t="str">
        <f t="shared" si="5"/>
        <v>B</v>
      </c>
      <c r="AC16" s="26" t="str">
        <f t="shared" si="6"/>
        <v>B</v>
      </c>
      <c r="AD16" s="26" t="str">
        <f t="shared" si="7"/>
        <v>A</v>
      </c>
      <c r="AE16" s="26" t="str">
        <f t="shared" si="8"/>
        <v>A</v>
      </c>
      <c r="AF16" s="24" t="str">
        <f t="shared" si="9"/>
        <v>B</v>
      </c>
      <c r="AG16" s="24" t="str">
        <f t="shared" si="10"/>
        <v>B</v>
      </c>
      <c r="AH16" s="24" t="str">
        <f t="shared" si="11"/>
        <v>C</v>
      </c>
      <c r="AI16" s="24" t="str">
        <f t="shared" si="12"/>
        <v>C</v>
      </c>
      <c r="AJ16" s="24" t="str">
        <f t="shared" si="13"/>
        <v>A</v>
      </c>
      <c r="AK16" s="24" t="str">
        <f t="shared" si="14"/>
        <v>A</v>
      </c>
      <c r="AL16" s="24" t="str">
        <f t="shared" si="15"/>
        <v>A</v>
      </c>
      <c r="AM16" s="24">
        <f t="shared" si="16"/>
        <v>2</v>
      </c>
      <c r="AN16" s="24">
        <f t="shared" si="17"/>
        <v>2</v>
      </c>
      <c r="AO16" s="24">
        <f t="shared" si="18"/>
        <v>3</v>
      </c>
      <c r="AP16" s="24">
        <f t="shared" si="19"/>
        <v>1</v>
      </c>
      <c r="AQ16" s="24">
        <f t="shared" si="20"/>
        <v>5</v>
      </c>
      <c r="AR16" s="24">
        <f t="shared" si="21"/>
        <v>3</v>
      </c>
      <c r="AS16" s="24">
        <f t="shared" si="22"/>
        <v>2</v>
      </c>
      <c r="AT16" s="24">
        <f t="shared" si="23"/>
        <v>1</v>
      </c>
      <c r="AU16" s="24">
        <f t="shared" si="24"/>
        <v>1</v>
      </c>
      <c r="AV16" s="24">
        <f t="shared" si="25"/>
        <v>5</v>
      </c>
      <c r="AW16" s="24">
        <f t="shared" si="26"/>
        <v>1</v>
      </c>
      <c r="AX16" s="24">
        <f t="shared" si="27"/>
        <v>5</v>
      </c>
      <c r="AY16" s="24">
        <f t="shared" si="28"/>
        <v>3</v>
      </c>
      <c r="AZ16" s="24">
        <f t="shared" si="29"/>
        <v>2</v>
      </c>
      <c r="BA16" s="24">
        <f t="shared" si="30"/>
        <v>2</v>
      </c>
      <c r="BB16" s="24">
        <f t="shared" si="31"/>
        <v>2</v>
      </c>
      <c r="BC16" s="26">
        <f t="shared" si="32"/>
        <v>170.66666666666669</v>
      </c>
      <c r="BD16" s="26">
        <f t="shared" si="33"/>
        <v>175.93333333333334</v>
      </c>
      <c r="BE16" s="26">
        <f t="shared" si="34"/>
        <v>257</v>
      </c>
      <c r="BF16" s="26">
        <f t="shared" si="35"/>
        <v>85.333333333333343</v>
      </c>
      <c r="BG16" s="26">
        <f t="shared" si="36"/>
        <v>431.33333333333337</v>
      </c>
      <c r="BH16" s="26">
        <f t="shared" si="37"/>
        <v>256.10000000000002</v>
      </c>
      <c r="BI16" s="26">
        <f t="shared" si="38"/>
        <v>175.13333333333335</v>
      </c>
      <c r="BJ16" s="26">
        <f t="shared" si="39"/>
        <v>96</v>
      </c>
      <c r="BK16" s="26">
        <f t="shared" si="40"/>
        <v>96</v>
      </c>
      <c r="BL16" s="26">
        <f t="shared" si="41"/>
        <v>428.70000000000005</v>
      </c>
      <c r="BM16" s="26">
        <f t="shared" si="42"/>
        <v>85.740000000000009</v>
      </c>
      <c r="BN16" s="26">
        <f t="shared" si="43"/>
        <v>351.85</v>
      </c>
      <c r="BO16" s="26">
        <f t="shared" si="44"/>
        <v>232.02</v>
      </c>
      <c r="BP16" s="26">
        <f t="shared" si="45"/>
        <v>180</v>
      </c>
      <c r="BQ16" s="26">
        <f t="shared" si="46"/>
        <v>184</v>
      </c>
      <c r="BR16" s="26">
        <f t="shared" si="47"/>
        <v>192</v>
      </c>
      <c r="BS16" s="24">
        <f t="shared" si="48"/>
        <v>6</v>
      </c>
      <c r="BT16" s="24">
        <f t="shared" si="49"/>
        <v>6</v>
      </c>
      <c r="BU16" s="24">
        <f t="shared" si="50"/>
        <v>9</v>
      </c>
      <c r="BV16" s="24">
        <f t="shared" si="51"/>
        <v>3</v>
      </c>
      <c r="BW16" s="24">
        <f t="shared" si="52"/>
        <v>15</v>
      </c>
      <c r="BX16" s="24">
        <f t="shared" si="53"/>
        <v>9</v>
      </c>
      <c r="BY16" s="24">
        <f t="shared" si="54"/>
        <v>6</v>
      </c>
      <c r="BZ16" s="24">
        <f t="shared" si="55"/>
        <v>4</v>
      </c>
      <c r="CA16" s="24">
        <f t="shared" si="56"/>
        <v>4</v>
      </c>
      <c r="CB16" s="24">
        <f t="shared" si="57"/>
        <v>15</v>
      </c>
      <c r="CC16" s="24">
        <f t="shared" si="58"/>
        <v>3</v>
      </c>
      <c r="CD16" s="24">
        <f t="shared" si="59"/>
        <v>10</v>
      </c>
      <c r="CE16" s="24">
        <f t="shared" si="60"/>
        <v>6</v>
      </c>
      <c r="CF16" s="24">
        <f t="shared" si="61"/>
        <v>8</v>
      </c>
      <c r="CG16" s="24">
        <f t="shared" si="62"/>
        <v>8</v>
      </c>
      <c r="CH16" s="24">
        <f t="shared" si="63"/>
        <v>8</v>
      </c>
      <c r="CI16" s="24">
        <f t="shared" si="64"/>
        <v>20</v>
      </c>
      <c r="CJ16" s="26">
        <f t="shared" si="65"/>
        <v>1743.5000000000002</v>
      </c>
      <c r="CK16" s="26">
        <f t="shared" si="66"/>
        <v>68</v>
      </c>
      <c r="CL16" s="26">
        <f t="shared" ref="CL16:CL27" si="316">IF(OR(CI16="",CJ16=""),"",CJ16/CI16)</f>
        <v>87.175000000000011</v>
      </c>
      <c r="CM16" s="24" t="str">
        <f t="shared" ref="CM16:CM27" si="317">IF(CL16="","",IF(CL16&gt;=90,"A",IF(CL16&gt;=80,"B",IF(CL16&gt;=70,"C",IF(CL16&gt;=60,"D",IF(CL16&gt;=50,"E",IF(CL16&gt;=0,"F","")))))))</f>
        <v>B</v>
      </c>
      <c r="CN16" s="26">
        <f t="shared" si="67"/>
        <v>3.4</v>
      </c>
      <c r="CO16" s="24">
        <f t="shared" si="68"/>
        <v>20</v>
      </c>
      <c r="CP16" s="26">
        <f t="shared" si="69"/>
        <v>1654.3100000000002</v>
      </c>
      <c r="CQ16" s="26">
        <f t="shared" si="70"/>
        <v>58</v>
      </c>
      <c r="CR16" s="26">
        <f t="shared" ref="CR16:CR27" si="318">IF(OR(CO16="",CP16=""),"",CP16/CO16)</f>
        <v>82.715500000000006</v>
      </c>
      <c r="CS16" s="24" t="str">
        <f t="shared" ref="CS16:CS27" si="319">IF(CR16="","",IF(CR16&gt;=90,"A",IF(CR16&gt;=80,"B",IF(CR16&gt;=70,"C",IF(CR16&gt;=60,"D",IF(CR16&gt;=50,"E",IF(CR16&gt;=0,"F","")))))))</f>
        <v>B</v>
      </c>
      <c r="CT16" s="27">
        <f t="shared" si="71"/>
        <v>2.9</v>
      </c>
      <c r="CU16" s="24">
        <f t="shared" si="72"/>
        <v>40</v>
      </c>
      <c r="CV16" s="26">
        <f t="shared" si="73"/>
        <v>3397.8100000000004</v>
      </c>
      <c r="CW16" s="27">
        <f t="shared" si="74"/>
        <v>3233.1433333333334</v>
      </c>
      <c r="CX16" s="26">
        <f t="shared" ref="CX16:CX27" si="320">IF(OR(CU16=0,CV16=0),0,IF(OR(CU16="",CV16=""),"",CV16/CU16))</f>
        <v>84.945250000000016</v>
      </c>
      <c r="CY16" s="27" t="str">
        <f t="shared" ref="CY16:CY27" si="321">IF(CX16="","",IF(CX16&gt;=90,"A",IF(CX16&gt;=80,"B",IF(CX16&gt;=70,"C",IF(CX16&gt;=60,"D",IF(CX16&gt;=50,"E",IF(CX16&gt;=0,"F","")))))))</f>
        <v>B</v>
      </c>
      <c r="CZ16" s="26">
        <f t="shared" si="75"/>
        <v>80.828583333333341</v>
      </c>
      <c r="DA16" s="24">
        <f t="shared" si="76"/>
        <v>6</v>
      </c>
      <c r="DB16" s="24" t="str">
        <f t="shared" si="77"/>
        <v>6A</v>
      </c>
      <c r="DC16" s="24">
        <f t="shared" si="78"/>
        <v>13</v>
      </c>
      <c r="DD16" s="24">
        <f>IF(B16="","",'Q3'!$C$8)</f>
        <v>50</v>
      </c>
      <c r="DE16" s="24">
        <f>IF(B16="","",'Q3'!DE16)</f>
        <v>0</v>
      </c>
      <c r="DF16" s="24">
        <f>IF(C16="","",'Q3'!DF16)</f>
        <v>0</v>
      </c>
      <c r="DG16" s="24">
        <f>IF(D16="","",'Q3'!DG16)</f>
        <v>0</v>
      </c>
      <c r="DH16" s="24">
        <f>IF(E16="","",'Q3'!DH16)</f>
        <v>0</v>
      </c>
      <c r="DI16" s="25">
        <f t="shared" si="79"/>
        <v>1</v>
      </c>
      <c r="DJ16" s="26">
        <f>IF('Q4'!G16="","",'Q4'!G16)</f>
        <v>86.666666666666671</v>
      </c>
      <c r="DK16" s="26">
        <f>IF('Q4'!H16="","",'Q4'!H16)</f>
        <v>87.833333333333343</v>
      </c>
      <c r="DL16" s="26">
        <f>IF('Q4'!I16="","",'Q4'!I16)</f>
        <v>88.933333333333337</v>
      </c>
      <c r="DM16" s="26">
        <f>IF('Q4'!J16="","",'Q4'!J16)</f>
        <v>84</v>
      </c>
      <c r="DN16" s="26">
        <f>IF('Q4'!K16="","",'Q4'!K16)</f>
        <v>89.333333333333343</v>
      </c>
      <c r="DO16" s="26">
        <f>IF('Q4'!L16="","",'Q4'!L16)</f>
        <v>86.733333333333348</v>
      </c>
      <c r="DP16" s="26">
        <f>IF('Q4'!M16="","",'Q4'!M16)</f>
        <v>88.466666666666683</v>
      </c>
      <c r="DQ16" s="26">
        <f>IF('Q4'!N16="","",'Q4'!N16)</f>
        <v>96</v>
      </c>
      <c r="DR16" s="26">
        <f>IF('Q4'!O16="","",'Q4'!O16)</f>
        <v>96</v>
      </c>
      <c r="DS16" s="26">
        <f>IF('Q4'!P16="","",'Q4'!P16)</f>
        <v>71.293333333333337</v>
      </c>
      <c r="DT16" s="26">
        <f>IF('Q4'!Q16="","",'Q4'!Q16)</f>
        <v>71.293333333333337</v>
      </c>
      <c r="DU16" s="26">
        <f>IF('Q4'!R16="","",'Q4'!R16)</f>
        <v>67.146666666666604</v>
      </c>
      <c r="DV16" s="26">
        <f>IF('Q4'!S16="","",'Q4'!S16)</f>
        <v>68.23</v>
      </c>
      <c r="DW16" s="26">
        <f>IF('Q4'!T16="","",'Q4'!T16)</f>
        <v>98.5</v>
      </c>
      <c r="DX16" s="26">
        <f>IF('Q4'!U16="","",'Q4'!U16)</f>
        <v>95</v>
      </c>
      <c r="DY16" s="26">
        <f>IF('Q4'!V16="","",'Q4'!V16)</f>
        <v>92</v>
      </c>
      <c r="DZ16" s="26" t="str">
        <f t="shared" si="80"/>
        <v>B</v>
      </c>
      <c r="EA16" s="26" t="str">
        <f t="shared" si="81"/>
        <v>B</v>
      </c>
      <c r="EB16" s="26" t="str">
        <f t="shared" si="82"/>
        <v>B</v>
      </c>
      <c r="EC16" s="26" t="str">
        <f t="shared" si="83"/>
        <v>B</v>
      </c>
      <c r="ED16" s="26" t="str">
        <f t="shared" si="84"/>
        <v>B</v>
      </c>
      <c r="EE16" s="26" t="str">
        <f t="shared" si="85"/>
        <v>B</v>
      </c>
      <c r="EF16" s="26" t="str">
        <f t="shared" si="86"/>
        <v>B</v>
      </c>
      <c r="EG16" s="26" t="str">
        <f t="shared" si="87"/>
        <v>A</v>
      </c>
      <c r="EH16" s="26" t="str">
        <f t="shared" si="88"/>
        <v>A</v>
      </c>
      <c r="EI16" s="24" t="str">
        <f t="shared" si="89"/>
        <v>C</v>
      </c>
      <c r="EJ16" s="24" t="str">
        <f t="shared" si="90"/>
        <v>C</v>
      </c>
      <c r="EK16" s="24" t="str">
        <f t="shared" si="91"/>
        <v>D</v>
      </c>
      <c r="EL16" s="24" t="str">
        <f t="shared" si="92"/>
        <v>D</v>
      </c>
      <c r="EM16" s="24" t="str">
        <f t="shared" si="93"/>
        <v>A</v>
      </c>
      <c r="EN16" s="24" t="str">
        <f t="shared" si="94"/>
        <v>A</v>
      </c>
      <c r="EO16" s="24" t="str">
        <f t="shared" si="95"/>
        <v>A</v>
      </c>
      <c r="EP16" s="24">
        <f t="shared" si="96"/>
        <v>2</v>
      </c>
      <c r="EQ16" s="24">
        <f t="shared" si="97"/>
        <v>2</v>
      </c>
      <c r="ER16" s="24">
        <f t="shared" si="98"/>
        <v>3</v>
      </c>
      <c r="ES16" s="24">
        <f t="shared" si="99"/>
        <v>1</v>
      </c>
      <c r="ET16" s="24">
        <f t="shared" si="100"/>
        <v>5</v>
      </c>
      <c r="EU16" s="24">
        <f t="shared" si="101"/>
        <v>3</v>
      </c>
      <c r="EV16" s="24">
        <f t="shared" si="102"/>
        <v>2</v>
      </c>
      <c r="EW16" s="24">
        <f t="shared" ref="EW16:EW27" si="322">IF(CI16="","",$EW$14)</f>
        <v>1</v>
      </c>
      <c r="EX16" s="24">
        <f t="shared" si="103"/>
        <v>1</v>
      </c>
      <c r="EY16" s="24">
        <f t="shared" si="104"/>
        <v>5</v>
      </c>
      <c r="EZ16" s="24">
        <f t="shared" si="105"/>
        <v>1</v>
      </c>
      <c r="FA16" s="24">
        <f t="shared" si="106"/>
        <v>5</v>
      </c>
      <c r="FB16" s="24">
        <f t="shared" si="107"/>
        <v>3</v>
      </c>
      <c r="FC16" s="24">
        <f t="shared" si="108"/>
        <v>2</v>
      </c>
      <c r="FD16" s="24">
        <f t="shared" si="109"/>
        <v>2</v>
      </c>
      <c r="FE16" s="24">
        <f t="shared" si="110"/>
        <v>2</v>
      </c>
      <c r="FF16" s="26">
        <f t="shared" si="111"/>
        <v>173.33333333333334</v>
      </c>
      <c r="FG16" s="26">
        <f t="shared" si="112"/>
        <v>175.66666666666669</v>
      </c>
      <c r="FH16" s="26">
        <f t="shared" si="113"/>
        <v>266.8</v>
      </c>
      <c r="FI16" s="26">
        <f t="shared" si="114"/>
        <v>84</v>
      </c>
      <c r="FJ16" s="26">
        <f t="shared" si="115"/>
        <v>446.66666666666674</v>
      </c>
      <c r="FK16" s="26">
        <f t="shared" si="116"/>
        <v>260.20000000000005</v>
      </c>
      <c r="FL16" s="26">
        <f t="shared" si="117"/>
        <v>176.93333333333337</v>
      </c>
      <c r="FM16" s="26">
        <f t="shared" si="118"/>
        <v>96</v>
      </c>
      <c r="FN16" s="26"/>
      <c r="FO16" s="26">
        <f t="shared" si="119"/>
        <v>356.4666666666667</v>
      </c>
      <c r="FP16" s="26">
        <f t="shared" si="120"/>
        <v>71.293333333333337</v>
      </c>
      <c r="FQ16" s="26">
        <f t="shared" si="121"/>
        <v>335.73333333333301</v>
      </c>
      <c r="FR16" s="26">
        <f t="shared" si="122"/>
        <v>204.69</v>
      </c>
      <c r="FS16" s="26">
        <f t="shared" si="123"/>
        <v>197</v>
      </c>
      <c r="FT16" s="26">
        <f t="shared" si="124"/>
        <v>190</v>
      </c>
      <c r="FU16" s="26">
        <f t="shared" si="125"/>
        <v>184</v>
      </c>
      <c r="FV16" s="24">
        <f t="shared" si="126"/>
        <v>6</v>
      </c>
      <c r="FW16" s="24">
        <f t="shared" si="127"/>
        <v>6</v>
      </c>
      <c r="FX16" s="24">
        <f t="shared" si="128"/>
        <v>9</v>
      </c>
      <c r="FY16" s="24">
        <f t="shared" si="129"/>
        <v>3</v>
      </c>
      <c r="FZ16" s="24">
        <f t="shared" si="130"/>
        <v>15</v>
      </c>
      <c r="GA16" s="24">
        <f t="shared" si="131"/>
        <v>9</v>
      </c>
      <c r="GB16" s="24">
        <f t="shared" si="132"/>
        <v>6</v>
      </c>
      <c r="GC16" s="24">
        <f t="shared" si="133"/>
        <v>4</v>
      </c>
      <c r="GD16" s="24">
        <f t="shared" ref="GD16:GD27" si="323">IF(OR(EX16="",EH16=""),"",EX16*(IF(OR(EH16="A",EH16="a"),4,(IF(OR(EY452="B",EH16="b"),3,(IF(OR(EH16="C",EX16="c"),2,(IF(OR(EH16="D",EH16="d"),1.5,(IF(OR(EH16="E",EH16="e"),1,(IF(OR(EH16="F",EH16="f"),0)))))))))))))</f>
        <v>4</v>
      </c>
      <c r="GE16" s="24">
        <f t="shared" ref="GE16:GE27" si="324">IF(OR(EZ16="",EI16=""),"",EZ16*(IF(OR(EI16="A",EI16="a"),4,(IF(OR(EZ452="B",EI16="b"),3,(IF(OR(EI16="C",EZ16="c"),2,(IF(OR(EI16="D",EI16="d"),1.5,(IF(OR(EI16="E",EI16="e"),1,(IF(OR(EI16="F",EI16="f"),0)))))))))))))</f>
        <v>2</v>
      </c>
      <c r="GF16" s="24">
        <f t="shared" ref="GF16:GF27" si="325">IF(OR(FA16="",EJ16=""),"",FA16*(IF(OR(EJ16="A",EJ16="a"),4,(IF(OR(FA452="B",EJ16="b"),3,(IF(OR(EJ16="C",FA16="c"),2,(IF(OR(EJ16="D",EJ16="d"),1.5,(IF(OR(EJ16="E",EJ16="e"),1,(IF(OR(EJ16="F",EJ16="f"),0)))))))))))))</f>
        <v>10</v>
      </c>
      <c r="GG16" s="24">
        <f t="shared" ref="GG16:GG27" si="326">IF(OR(FB16="",EK16=""),"",FB16*(IF(OR(EK16="A",EK16="a"),4,(IF(OR(FB452="B",EK16="b"),3,(IF(OR(EK16="C",FB16="c"),2,(IF(OR(EK16="D",EK16="d"),1.5,(IF(OR(EK16="E",EK16="e"),1,(IF(OR(EK16="F",EK16="f"),0)))))))))))))</f>
        <v>4.5</v>
      </c>
      <c r="GH16" s="24">
        <f t="shared" ref="GH16:GH27" si="327">IF(OR(FC16="",EL16=""),"",FC16*(IF(OR(EL16="A",EL16="a"),4,(IF(OR(FC452="B",EL16="b"),3,(IF(OR(EL16="C",FC16="c"),2,(IF(OR(EL16="D",EL16="d"),1.5,(IF(OR(EL16="E",EL16="e"),1,(IF(OR(EL16="F",EL16="f"),0)))))))))))))</f>
        <v>3</v>
      </c>
      <c r="GI16" s="24">
        <f t="shared" ref="GI16:GI27" si="328">IF(OR(FD16="",EM16=""),"",FD16*(IF(OR(EM16="A",EM16="a"),4,(IF(OR(FD452="B",EM16="b"),3,(IF(OR(EM16="C",FD16="c"),2,(IF(OR(EM16="D",EM16="d"),1.5,(IF(OR(EM16="E",EM16="e"),1,(IF(OR(EM16="F",EM16="f"),0)))))))))))))</f>
        <v>8</v>
      </c>
      <c r="GJ16" s="24">
        <f t="shared" ref="GJ16:GJ27" si="329">IF(OR(FE16="",EN16=""),"",FE16*(IF(OR(EN16="A",EN16="a"),4,(IF(OR(FE452="B",EN16="b"),3,(IF(OR(EN16="C",FE16="c"),2,(IF(OR(EN16="D",EN16="d"),1.5,(IF(OR(EN16="E",EN16="e"),1,(IF(OR(EN16="F",EN16="f"),0)))))))))))))</f>
        <v>8</v>
      </c>
      <c r="GK16" s="24">
        <f t="shared" ref="GK16:GK27" si="330">IF(OR(FE16="",EO16=""),"",FE16*(IF(OR(EO16="A",EO16="a"),4,(IF(OR(FF452="B",EO16="b"),3,(IF(OR(EO16="C",FE16="c"),2,(IF(OR(EO16="D",EO16="d"),1.5,(IF(OR(EO16="E",EO16="e"),1,(IF(OR(EO16="F",EO16="f"),0)))))))))))))</f>
        <v>8</v>
      </c>
      <c r="GL16" s="24">
        <f t="shared" si="135"/>
        <v>19</v>
      </c>
      <c r="GM16" s="26">
        <f t="shared" si="136"/>
        <v>1679.6000000000001</v>
      </c>
      <c r="GN16" s="26">
        <f t="shared" si="137"/>
        <v>62</v>
      </c>
      <c r="GO16" s="26">
        <f t="shared" ref="GO16:GO27" si="331">IF(OR(GL16="",GM16=""),"",GM16/GL16)</f>
        <v>88.4</v>
      </c>
      <c r="GP16" s="24" t="str">
        <f t="shared" ref="GP16:GP27" si="332">IF(GO16="","",IF(GO16&gt;=90,"A",IF(GO16&gt;=80,"B",IF(GO16&gt;=70,"C",IF(GO16&gt;=60,"D",IF(GO16&gt;=50,"E",IF(GO16&gt;=0,"F","")))))))</f>
        <v>B</v>
      </c>
      <c r="GQ16" s="26">
        <f t="shared" si="138"/>
        <v>3.263157894736842</v>
      </c>
      <c r="GR16" s="24">
        <f t="shared" si="139"/>
        <v>20</v>
      </c>
      <c r="GS16" s="26">
        <f t="shared" si="140"/>
        <v>1539.1833333333332</v>
      </c>
      <c r="GT16" s="26">
        <f t="shared" si="141"/>
        <v>43.5</v>
      </c>
      <c r="GU16" s="26">
        <f t="shared" ref="GU16:GU27" si="333">IF(OR(GR16="",GS16=""),"",GS16/GR16)</f>
        <v>76.959166666666661</v>
      </c>
      <c r="GV16" s="24" t="str">
        <f t="shared" ref="GV16:GV27" si="334">IF(GU16="","",IF(GU16&gt;=90,"A",IF(GU16&gt;=80,"B",IF(GU16&gt;=70,"C",IF(GU16&gt;=60,"D",IF(GU16&gt;=50,"E",IF(GU16&gt;=0,"F","")))))))</f>
        <v>C</v>
      </c>
      <c r="GW16" s="27">
        <f t="shared" si="142"/>
        <v>2.1749999999999998</v>
      </c>
      <c r="GX16" s="24">
        <f t="shared" si="143"/>
        <v>40</v>
      </c>
      <c r="GY16" s="26">
        <f t="shared" si="144"/>
        <v>3218.7833333333333</v>
      </c>
      <c r="GZ16" s="26">
        <f t="shared" si="145"/>
        <v>3051.45</v>
      </c>
      <c r="HA16" s="26">
        <f t="shared" ref="HA16:HA27" si="335">IF(OR(GX16=0,GY16=0),0,IF(OR(GX16="",GY16=""),"",GY16/GX16))</f>
        <v>80.469583333333333</v>
      </c>
      <c r="HB16" s="27" t="str">
        <f t="shared" ref="HB16:HB27" si="336">IF(HA16="","",IF(HA16&gt;=90,"A",IF(HA16&gt;=80,"B",IF(HA16&gt;=70,"C",IF(HA16&gt;=60,"D",IF(HA16&gt;=50,"E",IF(HA16&gt;=0,"F","")))))))</f>
        <v>B</v>
      </c>
      <c r="HC16" s="26">
        <f t="shared" si="146"/>
        <v>76.286249999999995</v>
      </c>
      <c r="HD16" s="24">
        <f t="shared" si="147"/>
        <v>4</v>
      </c>
      <c r="HE16" s="24" t="str">
        <f t="shared" si="148"/>
        <v>6A</v>
      </c>
      <c r="HF16" s="24">
        <f t="shared" si="149"/>
        <v>13</v>
      </c>
      <c r="HG16" s="24">
        <f>IF(B16="","",'Q4'!$C$8)</f>
        <v>50</v>
      </c>
      <c r="HH16" s="24">
        <f>IF(A16="","",'Q4'!DE16)</f>
        <v>0</v>
      </c>
      <c r="HI16" s="24">
        <f>IF(B16="","",'Q4'!DF16)</f>
        <v>0</v>
      </c>
      <c r="HJ16" s="24">
        <f>IF(B16="","",'Q4'!DG16)</f>
        <v>0</v>
      </c>
      <c r="HK16" s="24">
        <f t="shared" si="150"/>
        <v>0</v>
      </c>
      <c r="HL16" s="25">
        <f t="shared" si="151"/>
        <v>1</v>
      </c>
      <c r="HM16" s="7">
        <v>95</v>
      </c>
      <c r="HN16" s="7">
        <v>70</v>
      </c>
      <c r="HO16" s="7">
        <v>95</v>
      </c>
      <c r="HP16" s="7">
        <v>95</v>
      </c>
      <c r="HQ16" s="7">
        <v>75</v>
      </c>
      <c r="HR16" s="7">
        <v>95</v>
      </c>
      <c r="HS16" s="7">
        <v>85</v>
      </c>
      <c r="HT16" s="7"/>
      <c r="HU16" s="7"/>
      <c r="HV16" s="7">
        <v>60</v>
      </c>
      <c r="HW16" s="7"/>
      <c r="HX16" s="7">
        <v>68</v>
      </c>
      <c r="HY16" s="7">
        <v>68</v>
      </c>
      <c r="HZ16" s="7">
        <v>95</v>
      </c>
      <c r="IA16" s="7">
        <v>86</v>
      </c>
      <c r="IB16" s="7">
        <v>65</v>
      </c>
      <c r="IC16" s="24" t="str">
        <f t="shared" si="152"/>
        <v>A</v>
      </c>
      <c r="ID16" s="24" t="str">
        <f t="shared" si="153"/>
        <v>C</v>
      </c>
      <c r="IE16" s="24" t="str">
        <f t="shared" si="154"/>
        <v>A</v>
      </c>
      <c r="IF16" s="24" t="str">
        <f t="shared" si="155"/>
        <v>A</v>
      </c>
      <c r="IG16" s="24" t="str">
        <f t="shared" si="156"/>
        <v>C</v>
      </c>
      <c r="IH16" s="24" t="str">
        <f t="shared" si="157"/>
        <v>A</v>
      </c>
      <c r="II16" s="24" t="str">
        <f t="shared" si="158"/>
        <v>B</v>
      </c>
      <c r="IJ16" s="24" t="str">
        <f t="shared" si="159"/>
        <v/>
      </c>
      <c r="IK16" s="24" t="str">
        <f t="shared" si="160"/>
        <v/>
      </c>
      <c r="IL16" s="24" t="str">
        <f t="shared" si="161"/>
        <v>D</v>
      </c>
      <c r="IM16" s="24" t="str">
        <f t="shared" si="162"/>
        <v/>
      </c>
      <c r="IN16" s="24" t="str">
        <f t="shared" si="163"/>
        <v>D</v>
      </c>
      <c r="IO16" s="24" t="str">
        <f t="shared" si="164"/>
        <v>D</v>
      </c>
      <c r="IP16" s="24" t="str">
        <f t="shared" si="165"/>
        <v>A</v>
      </c>
      <c r="IQ16" s="24" t="str">
        <f t="shared" si="166"/>
        <v>B</v>
      </c>
      <c r="IR16" s="24" t="str">
        <f t="shared" si="167"/>
        <v>D</v>
      </c>
      <c r="IS16" s="24">
        <f t="shared" si="168"/>
        <v>2</v>
      </c>
      <c r="IT16" s="24">
        <f t="shared" si="169"/>
        <v>2</v>
      </c>
      <c r="IU16" s="24">
        <f t="shared" si="170"/>
        <v>3</v>
      </c>
      <c r="IV16" s="24">
        <f t="shared" si="171"/>
        <v>1</v>
      </c>
      <c r="IW16" s="24">
        <f t="shared" si="172"/>
        <v>5</v>
      </c>
      <c r="IX16" s="24">
        <f t="shared" si="173"/>
        <v>3</v>
      </c>
      <c r="IY16" s="24">
        <f t="shared" si="174"/>
        <v>2</v>
      </c>
      <c r="IZ16" s="24" t="str">
        <f t="shared" si="175"/>
        <v/>
      </c>
      <c r="JA16" s="24" t="str">
        <f t="shared" si="176"/>
        <v/>
      </c>
      <c r="JB16" s="24">
        <f t="shared" si="177"/>
        <v>5</v>
      </c>
      <c r="JC16" s="24" t="str">
        <f t="shared" si="178"/>
        <v/>
      </c>
      <c r="JD16" s="24">
        <f t="shared" si="179"/>
        <v>5</v>
      </c>
      <c r="JE16" s="24">
        <f t="shared" si="180"/>
        <v>3</v>
      </c>
      <c r="JF16" s="24">
        <f t="shared" si="181"/>
        <v>2</v>
      </c>
      <c r="JG16" s="24">
        <f t="shared" si="182"/>
        <v>2</v>
      </c>
      <c r="JH16" s="24">
        <f t="shared" si="183"/>
        <v>2</v>
      </c>
      <c r="JI16" s="26">
        <f t="shared" si="184"/>
        <v>190</v>
      </c>
      <c r="JJ16" s="26">
        <f t="shared" si="185"/>
        <v>140</v>
      </c>
      <c r="JK16" s="26">
        <f t="shared" si="186"/>
        <v>285</v>
      </c>
      <c r="JL16" s="26">
        <f t="shared" si="187"/>
        <v>95</v>
      </c>
      <c r="JM16" s="26">
        <f t="shared" si="188"/>
        <v>375</v>
      </c>
      <c r="JN16" s="26">
        <f t="shared" si="189"/>
        <v>285</v>
      </c>
      <c r="JO16" s="26">
        <f t="shared" si="190"/>
        <v>170</v>
      </c>
      <c r="JP16" s="26" t="str">
        <f t="shared" si="191"/>
        <v/>
      </c>
      <c r="JQ16" s="26" t="str">
        <f t="shared" si="192"/>
        <v/>
      </c>
      <c r="JR16" s="26">
        <f t="shared" si="193"/>
        <v>300</v>
      </c>
      <c r="JS16" s="26" t="str">
        <f t="shared" si="194"/>
        <v/>
      </c>
      <c r="JT16" s="26">
        <f t="shared" si="195"/>
        <v>340</v>
      </c>
      <c r="JU16" s="26">
        <f t="shared" si="196"/>
        <v>204</v>
      </c>
      <c r="JV16" s="26">
        <f t="shared" si="197"/>
        <v>190</v>
      </c>
      <c r="JW16" s="26">
        <f t="shared" si="198"/>
        <v>172</v>
      </c>
      <c r="JX16" s="26">
        <f t="shared" si="199"/>
        <v>130</v>
      </c>
      <c r="JY16" s="24">
        <f t="shared" si="200"/>
        <v>8</v>
      </c>
      <c r="JZ16" s="24">
        <f t="shared" si="201"/>
        <v>4</v>
      </c>
      <c r="KA16" s="24">
        <f t="shared" si="202"/>
        <v>12</v>
      </c>
      <c r="KB16" s="24">
        <f t="shared" si="203"/>
        <v>4</v>
      </c>
      <c r="KC16" s="24">
        <f t="shared" si="204"/>
        <v>10</v>
      </c>
      <c r="KD16" s="24">
        <f t="shared" si="205"/>
        <v>12</v>
      </c>
      <c r="KE16" s="24">
        <f t="shared" si="206"/>
        <v>6</v>
      </c>
      <c r="KF16" s="24" t="str">
        <f t="shared" si="207"/>
        <v/>
      </c>
      <c r="KG16" s="24" t="str">
        <f t="shared" si="208"/>
        <v/>
      </c>
      <c r="KH16" s="24">
        <f t="shared" si="209"/>
        <v>7.5</v>
      </c>
      <c r="KI16" s="24" t="str">
        <f t="shared" si="210"/>
        <v/>
      </c>
      <c r="KJ16" s="24">
        <f t="shared" si="211"/>
        <v>7.5</v>
      </c>
      <c r="KK16" s="24">
        <f t="shared" si="212"/>
        <v>4.5</v>
      </c>
      <c r="KL16" s="24">
        <f t="shared" si="213"/>
        <v>8</v>
      </c>
      <c r="KM16" s="24">
        <f t="shared" si="214"/>
        <v>6</v>
      </c>
      <c r="KN16" s="24">
        <f t="shared" si="215"/>
        <v>3</v>
      </c>
      <c r="KO16" s="24">
        <f t="shared" si="216"/>
        <v>18</v>
      </c>
      <c r="KP16" s="26" t="str">
        <f t="shared" si="217"/>
        <v/>
      </c>
      <c r="KQ16" s="26">
        <f t="shared" si="218"/>
        <v>56</v>
      </c>
      <c r="KR16" s="26" t="str">
        <f t="shared" ref="KR16:KR27" si="337">IF(OR(KO16="",KP16=""),"",KP16/KO16)</f>
        <v/>
      </c>
      <c r="KS16" s="24" t="str">
        <f t="shared" ref="KS16:KS27" si="338">IF(KR16="","",IF(KR16&gt;=90,"A",IF(KR16&gt;=80,"B",IF(KR16&gt;=70,"C",IF(KR16&gt;=60,"D",IF(KR16&gt;=50,"E",IF(KR16&gt;=0,"F","")))))))</f>
        <v/>
      </c>
      <c r="KT16" s="26">
        <f t="shared" si="219"/>
        <v>3.1111111111111112</v>
      </c>
      <c r="KU16" s="24">
        <f t="shared" si="220"/>
        <v>19</v>
      </c>
      <c r="KV16" s="24">
        <f t="shared" si="221"/>
        <v>1336</v>
      </c>
      <c r="KW16" s="24">
        <f t="shared" si="222"/>
        <v>36.5</v>
      </c>
      <c r="KX16" s="26">
        <f t="shared" ref="KX16:KX27" si="339">IF(OR(KU16="",KV16=""),"",KV16/KU16)</f>
        <v>70.315789473684205</v>
      </c>
      <c r="KY16" s="24" t="str">
        <f t="shared" ref="KY16:KY27" si="340">IF(KX16="","",IF(KX16&gt;=90,"A",IF(KX16&gt;=80,"B",IF(KX16&gt;=70,"C",IF(KX16&gt;=60,"D",IF(KX16&gt;=50,"E",IF(KX16&gt;=0,"F","")))))))</f>
        <v>C</v>
      </c>
      <c r="KZ16" s="27">
        <f t="shared" si="223"/>
        <v>1.9210526315789473</v>
      </c>
      <c r="LA16" s="24">
        <f t="shared" si="224"/>
        <v>37</v>
      </c>
      <c r="LB16" s="26">
        <f t="shared" si="225"/>
        <v>2876</v>
      </c>
      <c r="LC16" s="26">
        <f t="shared" si="226"/>
        <v>92.5</v>
      </c>
      <c r="LD16" s="26">
        <f t="shared" ref="LD16:LD27" si="341">IF(OR(LA16=0,LB16=0),0,IF(OR(LA16="",LB16=""),"",LB16/LA16))</f>
        <v>77.729729729729726</v>
      </c>
      <c r="LE16" s="27" t="str">
        <f t="shared" ref="LE16:LE27" si="342">IF(LD16="","",IF(LD16&gt;=90,"A",IF(LD16&gt;=80,"B",IF(LD16&gt;=70,"C",IF(LD16&gt;=60,"D",IF(LD16&gt;=50,"E",IF(LD16&gt;=0,"F","")))))))</f>
        <v>C</v>
      </c>
      <c r="LF16" s="26">
        <f t="shared" si="227"/>
        <v>2.5</v>
      </c>
      <c r="LG16" s="24">
        <f t="shared" si="228"/>
        <v>7</v>
      </c>
      <c r="LH16" s="24" t="str">
        <f t="shared" si="229"/>
        <v>6A</v>
      </c>
      <c r="LI16" s="24">
        <f t="shared" si="230"/>
        <v>13</v>
      </c>
      <c r="LJ16" s="26">
        <f>IF('Q4'!G16="","",SUM((AVERAGE('Q3'!G16,'Q4'!G16)*0.5))+(HM16*0.5))</f>
        <v>90.5</v>
      </c>
      <c r="LK16" s="26">
        <f>IF('Q4'!H16="","",SUM((AVERAGE('Q3'!H16,'Q4'!H16)*1)))</f>
        <v>87.9</v>
      </c>
      <c r="LL16" s="26">
        <f>IF('Q4'!I16="","",SUM((AVERAGE('Q3'!I16,'Q4'!I16)*0.5))+(HO16*0.5))</f>
        <v>91.15</v>
      </c>
      <c r="LM16" s="26">
        <f>IF('Q4'!J16="","",SUM((AVERAGE('Q3'!J16,'Q4'!J16)*0.5))+(HP16*0.5))</f>
        <v>89.833333333333343</v>
      </c>
      <c r="LN16" s="26">
        <f>IF('Q4'!K16="","",SUM((AVERAGE('Q3'!K16,'Q4'!K16)*0.5))+(HQ16*0.5))</f>
        <v>81.400000000000006</v>
      </c>
      <c r="LO16" s="26">
        <f>IF('Q4'!L16="","",SUM((AVERAGE('Q3'!L16,'Q4'!L16)*0.5))+(HR16*0.5))</f>
        <v>90.525000000000006</v>
      </c>
      <c r="LP16" s="26">
        <f>IF('Q4'!M16="","",SUM((AVERAGE('Q3'!M16,'Q4'!M16)*0.5))+(HS16*0.5))</f>
        <v>86.50833333333334</v>
      </c>
      <c r="LQ16" s="26">
        <f>IF('Q4'!N16="","",SUM((AVERAGE('Q3'!N16,'Q4'!N16)*1)))</f>
        <v>96</v>
      </c>
      <c r="LR16" s="26">
        <f>IF('Q4'!O16="","",SUM((AVERAGE('Q3'!O16,'Q4'!O16)*1)))</f>
        <v>96</v>
      </c>
      <c r="LS16" s="26">
        <f>IF('Q4'!P16="","",SUM((AVERAGE('Q3'!P16,'Q4'!P16)*0.5))+(HV16*0.5))</f>
        <v>69.25833333333334</v>
      </c>
      <c r="LT16" s="26">
        <f>IF('Q4'!Q16="","",SUM((AVERAGE('Q3'!Q16,'Q4'!Q16)*1)))</f>
        <v>78.51666666666668</v>
      </c>
      <c r="LU16" s="26">
        <f>IF('Q4'!R16="","",SUM((AVERAGE('Q3'!R16,'Q4'!R16)*0.5))+(HX16*0.5))</f>
        <v>68.379166666666649</v>
      </c>
      <c r="LV16" s="26">
        <f>IF('Q4'!S16="","",SUM((AVERAGE('Q3'!S16,'Q4'!S16)*0.5))+(HY16*0.5))</f>
        <v>70.392499999999998</v>
      </c>
      <c r="LW16" s="26">
        <f>IF('Q4'!T16="","",SUM((AVERAGE('Q3'!T16,'Q4'!T16)*0.5))+(HZ16*0.5))</f>
        <v>94.625</v>
      </c>
      <c r="LX16" s="26">
        <f>IF('Q4'!U16="","",SUM((AVERAGE('Q3'!U16,'Q4'!U16)*0.5))+(IA16*0.5))</f>
        <v>89.75</v>
      </c>
      <c r="LY16" s="26">
        <f>IF('Q4'!V16="","",SUM((AVERAGE('Q3'!V16,'Q4'!V16)*0.5))+(IB16*0.5))</f>
        <v>79.5</v>
      </c>
      <c r="LZ16" s="26" t="str">
        <f t="shared" si="231"/>
        <v>A</v>
      </c>
      <c r="MA16" s="26" t="str">
        <f t="shared" si="232"/>
        <v>B</v>
      </c>
      <c r="MB16" s="26" t="str">
        <f t="shared" si="233"/>
        <v>A</v>
      </c>
      <c r="MC16" s="26" t="str">
        <f t="shared" si="234"/>
        <v>B</v>
      </c>
      <c r="MD16" s="26" t="str">
        <f t="shared" si="235"/>
        <v>B</v>
      </c>
      <c r="ME16" s="26" t="str">
        <f t="shared" si="236"/>
        <v>A</v>
      </c>
      <c r="MF16" s="26" t="str">
        <f t="shared" si="237"/>
        <v>B</v>
      </c>
      <c r="MG16" s="26" t="str">
        <f t="shared" si="238"/>
        <v>A</v>
      </c>
      <c r="MH16" s="26" t="str">
        <f t="shared" si="239"/>
        <v>A</v>
      </c>
      <c r="MI16" s="24" t="str">
        <f t="shared" si="240"/>
        <v>D</v>
      </c>
      <c r="MJ16" s="24" t="str">
        <f t="shared" si="241"/>
        <v>C</v>
      </c>
      <c r="MK16" s="24" t="str">
        <f t="shared" si="242"/>
        <v>D</v>
      </c>
      <c r="ML16" s="24" t="str">
        <f t="shared" si="243"/>
        <v>C</v>
      </c>
      <c r="MM16" s="24" t="str">
        <f t="shared" si="244"/>
        <v>A</v>
      </c>
      <c r="MN16" s="24" t="str">
        <f t="shared" si="245"/>
        <v>B</v>
      </c>
      <c r="MO16" s="24" t="str">
        <f t="shared" si="246"/>
        <v>C</v>
      </c>
      <c r="MP16" s="24">
        <f t="shared" si="247"/>
        <v>2</v>
      </c>
      <c r="MQ16" s="24">
        <f t="shared" si="248"/>
        <v>2</v>
      </c>
      <c r="MR16" s="24">
        <f t="shared" si="249"/>
        <v>3</v>
      </c>
      <c r="MS16" s="24">
        <f t="shared" si="250"/>
        <v>1</v>
      </c>
      <c r="MT16" s="24">
        <f t="shared" si="251"/>
        <v>5</v>
      </c>
      <c r="MU16" s="24">
        <f t="shared" si="252"/>
        <v>3</v>
      </c>
      <c r="MV16" s="24">
        <f t="shared" si="253"/>
        <v>2</v>
      </c>
      <c r="MW16" s="24">
        <f t="shared" si="254"/>
        <v>1</v>
      </c>
      <c r="MX16" s="24">
        <f t="shared" si="255"/>
        <v>1</v>
      </c>
      <c r="MY16" s="24">
        <f t="shared" si="256"/>
        <v>5</v>
      </c>
      <c r="MZ16" s="24">
        <f t="shared" si="257"/>
        <v>1</v>
      </c>
      <c r="NA16" s="24">
        <f t="shared" si="258"/>
        <v>5</v>
      </c>
      <c r="NB16" s="24">
        <f t="shared" si="259"/>
        <v>3</v>
      </c>
      <c r="NC16" s="24">
        <f t="shared" si="260"/>
        <v>2</v>
      </c>
      <c r="ND16" s="24">
        <f t="shared" si="261"/>
        <v>2</v>
      </c>
      <c r="NE16" s="24">
        <f t="shared" si="262"/>
        <v>2</v>
      </c>
      <c r="NF16" s="26">
        <f t="shared" si="263"/>
        <v>181</v>
      </c>
      <c r="NG16" s="26">
        <f t="shared" si="264"/>
        <v>175.8</v>
      </c>
      <c r="NH16" s="26">
        <f t="shared" si="265"/>
        <v>273.45000000000005</v>
      </c>
      <c r="NI16" s="26">
        <f t="shared" si="266"/>
        <v>89.833333333333343</v>
      </c>
      <c r="NJ16" s="26">
        <f t="shared" si="267"/>
        <v>407</v>
      </c>
      <c r="NK16" s="26">
        <f t="shared" si="268"/>
        <v>271.57500000000005</v>
      </c>
      <c r="NL16" s="26">
        <f t="shared" si="269"/>
        <v>173.01666666666668</v>
      </c>
      <c r="NM16" s="26">
        <f t="shared" si="270"/>
        <v>96</v>
      </c>
      <c r="NN16" s="26">
        <f t="shared" si="271"/>
        <v>96</v>
      </c>
      <c r="NO16" s="26">
        <f t="shared" si="272"/>
        <v>346.29166666666669</v>
      </c>
      <c r="NP16" s="26">
        <f t="shared" si="273"/>
        <v>78.51666666666668</v>
      </c>
      <c r="NQ16" s="26">
        <f t="shared" si="274"/>
        <v>341.89583333333326</v>
      </c>
      <c r="NR16" s="26">
        <f t="shared" si="275"/>
        <v>211.17750000000001</v>
      </c>
      <c r="NS16" s="26">
        <f t="shared" si="276"/>
        <v>189.25</v>
      </c>
      <c r="NT16" s="26">
        <f t="shared" si="277"/>
        <v>179.5</v>
      </c>
      <c r="NU16" s="26">
        <f t="shared" si="278"/>
        <v>159</v>
      </c>
      <c r="NV16" s="24">
        <f t="shared" si="279"/>
        <v>8</v>
      </c>
      <c r="NW16" s="24">
        <f t="shared" si="280"/>
        <v>6</v>
      </c>
      <c r="NX16" s="24">
        <f t="shared" si="281"/>
        <v>12</v>
      </c>
      <c r="NY16" s="24">
        <f t="shared" si="282"/>
        <v>3</v>
      </c>
      <c r="NZ16" s="24">
        <f t="shared" si="283"/>
        <v>15</v>
      </c>
      <c r="OA16" s="24">
        <f t="shared" si="284"/>
        <v>12</v>
      </c>
      <c r="OB16" s="24">
        <f t="shared" si="285"/>
        <v>6</v>
      </c>
      <c r="OC16" s="24">
        <f t="shared" si="286"/>
        <v>4</v>
      </c>
      <c r="OD16" s="24">
        <f t="shared" si="287"/>
        <v>4</v>
      </c>
      <c r="OE16" s="24">
        <f t="shared" si="288"/>
        <v>7.5</v>
      </c>
      <c r="OF16" s="24">
        <f t="shared" si="289"/>
        <v>2</v>
      </c>
      <c r="OG16" s="24">
        <f t="shared" si="290"/>
        <v>7.5</v>
      </c>
      <c r="OH16" s="24">
        <f t="shared" si="291"/>
        <v>6</v>
      </c>
      <c r="OI16" s="24">
        <f t="shared" si="292"/>
        <v>8</v>
      </c>
      <c r="OJ16" s="24">
        <f t="shared" si="293"/>
        <v>6</v>
      </c>
      <c r="OK16" s="24">
        <f t="shared" si="294"/>
        <v>4</v>
      </c>
      <c r="OL16" s="24">
        <f t="shared" si="295"/>
        <v>20</v>
      </c>
      <c r="OM16" s="26">
        <f t="shared" si="296"/>
        <v>1763.6750000000002</v>
      </c>
      <c r="ON16" s="26">
        <f t="shared" si="297"/>
        <v>70</v>
      </c>
      <c r="OO16" s="26">
        <f t="shared" ref="OO16:OO27" si="343">IF(OR(OL16="",OM16=""),"",OM16/OL16)</f>
        <v>88.183750000000003</v>
      </c>
      <c r="OP16" s="24" t="str">
        <f t="shared" ref="OP16:OP27" si="344">IF(OO16="","",IF(OO16&gt;=90,"A",IF(OO16&gt;=80,"B",IF(OO16&gt;=70,"C",IF(OO16&gt;=60,"D",IF(OO16&gt;=50,"E",IF(OO16&gt;=0,"F","")))))))</f>
        <v>B</v>
      </c>
      <c r="OQ16" s="26">
        <f t="shared" si="298"/>
        <v>3.5</v>
      </c>
      <c r="OR16" s="24">
        <f t="shared" si="299"/>
        <v>20</v>
      </c>
      <c r="OS16" s="26">
        <f t="shared" si="300"/>
        <v>1505.6316666666667</v>
      </c>
      <c r="OT16" s="26">
        <f t="shared" si="301"/>
        <v>41</v>
      </c>
      <c r="OU16" s="26">
        <f t="shared" ref="OU16:OU27" si="345">IF(OR(OR16="",OS16=""),"",OS16/OR16)</f>
        <v>75.28158333333333</v>
      </c>
      <c r="OV16" s="24" t="str">
        <f t="shared" ref="OV16:OV27" si="346">IF(OU16="","",IF(OU16&gt;=90,"A",IF(OU16&gt;=80,"B",IF(OU16&gt;=70,"C",IF(OU16&gt;=60,"D",IF(OU16&gt;=50,"E",IF(OU16&gt;=0,"F","")))))))</f>
        <v>C</v>
      </c>
      <c r="OW16" s="27">
        <f t="shared" si="302"/>
        <v>2.0499999999999998</v>
      </c>
      <c r="OX16" s="24">
        <f t="shared" si="303"/>
        <v>40</v>
      </c>
      <c r="OY16" s="26">
        <f t="shared" si="304"/>
        <v>3269.3066666666664</v>
      </c>
      <c r="OZ16" s="26">
        <f t="shared" si="305"/>
        <v>111</v>
      </c>
      <c r="PA16" s="26">
        <f t="shared" ref="PA16:PA27" si="347">IF(OR(OX16=0,OY16=0),0,IF(OR(OX16="",OY16=""),"",OY16/OX16))</f>
        <v>81.73266666666666</v>
      </c>
      <c r="PB16" s="27" t="str">
        <f t="shared" ref="PB16:PB27" si="348">IF(PA16="","",IF(PA16&gt;=90,"A",IF(PA16&gt;=80,"B",IF(PA16&gt;=70,"C",IF(PA16&gt;=60,"D",IF(PA16&gt;=50,"E",IF(PA16&gt;=0,"F","")))))))</f>
        <v>B</v>
      </c>
      <c r="PC16" s="26">
        <f t="shared" si="306"/>
        <v>2.7749999999999999</v>
      </c>
      <c r="PD16" s="24">
        <f t="shared" si="307"/>
        <v>7</v>
      </c>
      <c r="PE16" s="24" t="str">
        <f t="shared" si="308"/>
        <v>6A</v>
      </c>
      <c r="PF16" s="24">
        <f t="shared" si="309"/>
        <v>13</v>
      </c>
      <c r="PG16" s="24">
        <f t="shared" si="310"/>
        <v>104</v>
      </c>
      <c r="PH16" s="24">
        <f t="shared" si="311"/>
        <v>0</v>
      </c>
      <c r="PI16" s="24">
        <f t="shared" si="312"/>
        <v>0</v>
      </c>
      <c r="PJ16" s="24">
        <f t="shared" si="313"/>
        <v>0</v>
      </c>
      <c r="PK16" s="24">
        <f t="shared" si="314"/>
        <v>0</v>
      </c>
      <c r="PL16" s="25">
        <f t="shared" si="315"/>
        <v>1</v>
      </c>
    </row>
    <row r="17" spans="1:428" ht="27" customHeight="1" x14ac:dyDescent="0.35">
      <c r="A17" s="24">
        <f t="shared" ref="A17:A27" si="349">IF(B17="","",A16+1)</f>
        <v>3</v>
      </c>
      <c r="B17" s="28" t="str">
        <f>IF('Q1'!B17="","",'Q1'!B17)</f>
        <v>Phal Mengly</v>
      </c>
      <c r="C17" s="30" t="str">
        <f>IF('Q1'!C17="","",'Q1'!C17)</f>
        <v>ផល ម៉េងលី</v>
      </c>
      <c r="D17" s="28" t="str">
        <f>IF('Q1'!D17="","",'Q1'!D17)</f>
        <v>M</v>
      </c>
      <c r="E17" s="24">
        <f>IF('Q1'!E17="","",'Q1'!E17)</f>
        <v>688</v>
      </c>
      <c r="F17" s="24" t="str">
        <f>IF('Q1'!F17="","",'Q1'!F17)</f>
        <v>I</v>
      </c>
      <c r="G17" s="26">
        <f>IF('Q3'!G17="","",'Q3'!G17)</f>
        <v>90.333333333333343</v>
      </c>
      <c r="H17" s="26">
        <f>IF('Q3'!H17="","",'Q3'!H17)</f>
        <v>89.76666666666668</v>
      </c>
      <c r="I17" s="26">
        <f>IF('Q3'!I17="","",'Q3'!I17)</f>
        <v>89.76666666666668</v>
      </c>
      <c r="J17" s="26">
        <f>IF('Q3'!J17="","",'Q3'!J17)</f>
        <v>89</v>
      </c>
      <c r="K17" s="26">
        <f>IF('Q3'!K17="","",'Q3'!K17)</f>
        <v>91.5</v>
      </c>
      <c r="L17" s="26">
        <f>IF('Q3'!L17="","",'Q3'!L17)</f>
        <v>89.100000000000009</v>
      </c>
      <c r="M17" s="26">
        <f>IF('Q3'!M17="","",'Q3'!M17)</f>
        <v>90.333333333333343</v>
      </c>
      <c r="N17" s="26">
        <f>IF('Q3'!N17="","",'Q3'!N17)</f>
        <v>97</v>
      </c>
      <c r="O17" s="26">
        <f>IF('Q3'!O17="","",'Q3'!O17)</f>
        <v>97</v>
      </c>
      <c r="P17" s="26">
        <f>IF('Q3'!P17="","",'Q3'!P17)</f>
        <v>86.84</v>
      </c>
      <c r="Q17" s="26">
        <f>IF('Q3'!Q17="","",'Q3'!Q17)</f>
        <v>86.84</v>
      </c>
      <c r="R17" s="26">
        <f>IF('Q3'!R17="","",'Q3'!R17)</f>
        <v>76.400000000000006</v>
      </c>
      <c r="S17" s="26">
        <f>IF('Q3'!S17="","",'Q3'!S17)</f>
        <v>57.38</v>
      </c>
      <c r="T17" s="26">
        <f>IF('Q3'!T17="","",'Q3'!T17)</f>
        <v>87</v>
      </c>
      <c r="U17" s="26">
        <f>IF('Q3'!U17="","",'Q3'!U17)</f>
        <v>80.333333333333343</v>
      </c>
      <c r="V17" s="26">
        <f>IF('Q3'!V17="","",'Q3'!V17)</f>
        <v>79.67</v>
      </c>
      <c r="W17" s="26" t="str">
        <f t="shared" si="0"/>
        <v>A</v>
      </c>
      <c r="X17" s="26" t="str">
        <f t="shared" si="1"/>
        <v>B</v>
      </c>
      <c r="Y17" s="26" t="str">
        <f t="shared" si="2"/>
        <v>B</v>
      </c>
      <c r="Z17" s="26" t="str">
        <f t="shared" si="3"/>
        <v>B</v>
      </c>
      <c r="AA17" s="26" t="str">
        <f t="shared" si="4"/>
        <v>A</v>
      </c>
      <c r="AB17" s="26" t="str">
        <f t="shared" si="5"/>
        <v>B</v>
      </c>
      <c r="AC17" s="26" t="str">
        <f t="shared" si="6"/>
        <v>A</v>
      </c>
      <c r="AD17" s="26" t="str">
        <f t="shared" si="7"/>
        <v>A</v>
      </c>
      <c r="AE17" s="26" t="str">
        <f t="shared" si="8"/>
        <v>A</v>
      </c>
      <c r="AF17" s="24" t="str">
        <f t="shared" si="9"/>
        <v>B</v>
      </c>
      <c r="AG17" s="24" t="str">
        <f t="shared" si="10"/>
        <v>B</v>
      </c>
      <c r="AH17" s="24" t="str">
        <f t="shared" si="11"/>
        <v>C</v>
      </c>
      <c r="AI17" s="24" t="str">
        <f t="shared" si="12"/>
        <v>E</v>
      </c>
      <c r="AJ17" s="24" t="str">
        <f t="shared" si="13"/>
        <v>B</v>
      </c>
      <c r="AK17" s="24" t="str">
        <f t="shared" si="14"/>
        <v>B</v>
      </c>
      <c r="AL17" s="24" t="str">
        <f t="shared" si="15"/>
        <v>C</v>
      </c>
      <c r="AM17" s="24">
        <f t="shared" si="16"/>
        <v>2</v>
      </c>
      <c r="AN17" s="24">
        <f t="shared" si="17"/>
        <v>2</v>
      </c>
      <c r="AO17" s="24">
        <f t="shared" si="18"/>
        <v>3</v>
      </c>
      <c r="AP17" s="24">
        <f t="shared" si="19"/>
        <v>1</v>
      </c>
      <c r="AQ17" s="24">
        <f t="shared" si="20"/>
        <v>5</v>
      </c>
      <c r="AR17" s="24">
        <f t="shared" si="21"/>
        <v>3</v>
      </c>
      <c r="AS17" s="24">
        <f t="shared" si="22"/>
        <v>2</v>
      </c>
      <c r="AT17" s="24">
        <f t="shared" si="23"/>
        <v>1</v>
      </c>
      <c r="AU17" s="24">
        <f t="shared" si="24"/>
        <v>1</v>
      </c>
      <c r="AV17" s="24">
        <f t="shared" si="25"/>
        <v>5</v>
      </c>
      <c r="AW17" s="24">
        <f t="shared" si="26"/>
        <v>1</v>
      </c>
      <c r="AX17" s="24">
        <f t="shared" si="27"/>
        <v>5</v>
      </c>
      <c r="AY17" s="24">
        <f t="shared" si="28"/>
        <v>3</v>
      </c>
      <c r="AZ17" s="24">
        <f t="shared" si="29"/>
        <v>2</v>
      </c>
      <c r="BA17" s="24">
        <f t="shared" si="30"/>
        <v>2</v>
      </c>
      <c r="BB17" s="24">
        <f t="shared" si="31"/>
        <v>2</v>
      </c>
      <c r="BC17" s="26">
        <f t="shared" si="32"/>
        <v>180.66666666666669</v>
      </c>
      <c r="BD17" s="26">
        <f t="shared" si="33"/>
        <v>179.53333333333336</v>
      </c>
      <c r="BE17" s="26">
        <f t="shared" si="34"/>
        <v>269.30000000000007</v>
      </c>
      <c r="BF17" s="26">
        <f t="shared" si="35"/>
        <v>89</v>
      </c>
      <c r="BG17" s="26">
        <f t="shared" si="36"/>
        <v>457.5</v>
      </c>
      <c r="BH17" s="26">
        <f t="shared" si="37"/>
        <v>267.3</v>
      </c>
      <c r="BI17" s="26">
        <f t="shared" si="38"/>
        <v>180.66666666666669</v>
      </c>
      <c r="BJ17" s="26">
        <f t="shared" si="39"/>
        <v>97</v>
      </c>
      <c r="BK17" s="26">
        <f t="shared" si="40"/>
        <v>97</v>
      </c>
      <c r="BL17" s="26">
        <f t="shared" si="41"/>
        <v>434.20000000000005</v>
      </c>
      <c r="BM17" s="26">
        <f t="shared" si="42"/>
        <v>86.84</v>
      </c>
      <c r="BN17" s="26">
        <f t="shared" si="43"/>
        <v>382</v>
      </c>
      <c r="BO17" s="26">
        <f t="shared" si="44"/>
        <v>172.14000000000001</v>
      </c>
      <c r="BP17" s="26">
        <f t="shared" si="45"/>
        <v>174</v>
      </c>
      <c r="BQ17" s="26">
        <f t="shared" si="46"/>
        <v>160.66666666666669</v>
      </c>
      <c r="BR17" s="26">
        <f t="shared" si="47"/>
        <v>159.34</v>
      </c>
      <c r="BS17" s="24">
        <f t="shared" si="48"/>
        <v>8</v>
      </c>
      <c r="BT17" s="24">
        <f t="shared" si="49"/>
        <v>6</v>
      </c>
      <c r="BU17" s="24">
        <f t="shared" si="50"/>
        <v>9</v>
      </c>
      <c r="BV17" s="24">
        <f t="shared" si="51"/>
        <v>3</v>
      </c>
      <c r="BW17" s="24">
        <f t="shared" si="52"/>
        <v>20</v>
      </c>
      <c r="BX17" s="24">
        <f t="shared" si="53"/>
        <v>9</v>
      </c>
      <c r="BY17" s="24">
        <f t="shared" si="54"/>
        <v>8</v>
      </c>
      <c r="BZ17" s="24">
        <f t="shared" si="55"/>
        <v>4</v>
      </c>
      <c r="CA17" s="24">
        <f t="shared" si="56"/>
        <v>4</v>
      </c>
      <c r="CB17" s="24">
        <f t="shared" si="57"/>
        <v>15</v>
      </c>
      <c r="CC17" s="24">
        <f t="shared" si="58"/>
        <v>3</v>
      </c>
      <c r="CD17" s="24">
        <f t="shared" si="59"/>
        <v>10</v>
      </c>
      <c r="CE17" s="24">
        <f t="shared" si="60"/>
        <v>3</v>
      </c>
      <c r="CF17" s="24">
        <f t="shared" si="61"/>
        <v>6</v>
      </c>
      <c r="CG17" s="24">
        <f t="shared" si="62"/>
        <v>6</v>
      </c>
      <c r="CH17" s="24">
        <f t="shared" si="63"/>
        <v>4</v>
      </c>
      <c r="CI17" s="24">
        <f t="shared" si="64"/>
        <v>20</v>
      </c>
      <c r="CJ17" s="26">
        <f t="shared" si="65"/>
        <v>1817.9666666666667</v>
      </c>
      <c r="CK17" s="26">
        <f t="shared" si="66"/>
        <v>75</v>
      </c>
      <c r="CL17" s="26">
        <f t="shared" si="316"/>
        <v>90.898333333333341</v>
      </c>
      <c r="CM17" s="24" t="str">
        <f t="shared" si="317"/>
        <v>A</v>
      </c>
      <c r="CN17" s="26">
        <f t="shared" si="67"/>
        <v>3.75</v>
      </c>
      <c r="CO17" s="24">
        <f t="shared" si="68"/>
        <v>20</v>
      </c>
      <c r="CP17" s="26">
        <f t="shared" si="69"/>
        <v>1569.1866666666667</v>
      </c>
      <c r="CQ17" s="26">
        <f t="shared" si="70"/>
        <v>47</v>
      </c>
      <c r="CR17" s="26">
        <f t="shared" si="318"/>
        <v>78.459333333333333</v>
      </c>
      <c r="CS17" s="24" t="str">
        <f t="shared" si="319"/>
        <v>C</v>
      </c>
      <c r="CT17" s="27">
        <f t="shared" si="71"/>
        <v>2.35</v>
      </c>
      <c r="CU17" s="24">
        <f t="shared" si="72"/>
        <v>40</v>
      </c>
      <c r="CV17" s="26">
        <f t="shared" si="73"/>
        <v>3387.1533333333336</v>
      </c>
      <c r="CW17" s="27">
        <f t="shared" si="74"/>
        <v>3214.4866666666667</v>
      </c>
      <c r="CX17" s="26">
        <f t="shared" si="320"/>
        <v>84.678833333333344</v>
      </c>
      <c r="CY17" s="27" t="str">
        <f t="shared" si="321"/>
        <v>B</v>
      </c>
      <c r="CZ17" s="26">
        <f t="shared" si="75"/>
        <v>80.362166666666667</v>
      </c>
      <c r="DA17" s="24">
        <f t="shared" si="76"/>
        <v>8</v>
      </c>
      <c r="DB17" s="24" t="str">
        <f t="shared" si="77"/>
        <v>6A</v>
      </c>
      <c r="DC17" s="24">
        <f t="shared" si="78"/>
        <v>13</v>
      </c>
      <c r="DD17" s="24">
        <f>IF(B17="","",'Q3'!$C$8)</f>
        <v>50</v>
      </c>
      <c r="DE17" s="24">
        <f>IF(B17="","",'Q3'!DE17)</f>
        <v>0</v>
      </c>
      <c r="DF17" s="24">
        <f>IF(C17="","",'Q3'!DF17)</f>
        <v>0</v>
      </c>
      <c r="DG17" s="24">
        <f>IF(D17="","",'Q3'!DG17)</f>
        <v>0</v>
      </c>
      <c r="DH17" s="24">
        <f>IF(E17="","",'Q3'!DH17)</f>
        <v>0</v>
      </c>
      <c r="DI17" s="25">
        <f t="shared" si="79"/>
        <v>1</v>
      </c>
      <c r="DJ17" s="26">
        <f>IF('Q4'!G17="","",'Q4'!G17)</f>
        <v>85.333333333333343</v>
      </c>
      <c r="DK17" s="26">
        <f>IF('Q4'!H17="","",'Q4'!H17)</f>
        <v>88.166666666666686</v>
      </c>
      <c r="DL17" s="26">
        <f>IF('Q4'!I17="","",'Q4'!I17)</f>
        <v>89.066666666666663</v>
      </c>
      <c r="DM17" s="26">
        <f>IF('Q4'!J17="","",'Q4'!J17)</f>
        <v>88</v>
      </c>
      <c r="DN17" s="26">
        <f>IF('Q4'!K17="","",'Q4'!K17)</f>
        <v>90.9</v>
      </c>
      <c r="DO17" s="26">
        <f>IF('Q4'!L17="","",'Q4'!L17)</f>
        <v>88.366666666666674</v>
      </c>
      <c r="DP17" s="26">
        <f>IF('Q4'!M17="","",'Q4'!M17)</f>
        <v>89.166666666666686</v>
      </c>
      <c r="DQ17" s="26">
        <f>IF('Q4'!N17="","",'Q4'!N17)</f>
        <v>96</v>
      </c>
      <c r="DR17" s="26">
        <f>IF('Q4'!O17="","",'Q4'!O17)</f>
        <v>96</v>
      </c>
      <c r="DS17" s="26">
        <f>IF('Q4'!P17="","",'Q4'!P17)</f>
        <v>61.266666666666673</v>
      </c>
      <c r="DT17" s="26">
        <f>IF('Q4'!Q17="","",'Q4'!Q17)</f>
        <v>61.266666666666673</v>
      </c>
      <c r="DU17" s="26">
        <f>IF('Q4'!R17="","",'Q4'!R17)</f>
        <v>80.746666666666599</v>
      </c>
      <c r="DV17" s="26">
        <f>IF('Q4'!S17="","",'Q4'!S17)</f>
        <v>52.18</v>
      </c>
      <c r="DW17" s="26">
        <f>IF('Q4'!T17="","",'Q4'!T17)</f>
        <v>85.5</v>
      </c>
      <c r="DX17" s="26">
        <f>IF('Q4'!U17="","",'Q4'!U17)</f>
        <v>89.833333333333343</v>
      </c>
      <c r="DY17" s="26">
        <f>IF('Q4'!V17="","",'Q4'!V17)</f>
        <v>88.333333333333343</v>
      </c>
      <c r="DZ17" s="26" t="str">
        <f t="shared" si="80"/>
        <v>B</v>
      </c>
      <c r="EA17" s="26" t="str">
        <f t="shared" si="81"/>
        <v>B</v>
      </c>
      <c r="EB17" s="26" t="str">
        <f t="shared" si="82"/>
        <v>B</v>
      </c>
      <c r="EC17" s="26" t="str">
        <f t="shared" si="83"/>
        <v>B</v>
      </c>
      <c r="ED17" s="26" t="str">
        <f t="shared" si="84"/>
        <v>A</v>
      </c>
      <c r="EE17" s="26" t="str">
        <f t="shared" si="85"/>
        <v>B</v>
      </c>
      <c r="EF17" s="26" t="str">
        <f t="shared" si="86"/>
        <v>B</v>
      </c>
      <c r="EG17" s="26" t="str">
        <f t="shared" si="87"/>
        <v>A</v>
      </c>
      <c r="EH17" s="26" t="str">
        <f t="shared" si="88"/>
        <v>A</v>
      </c>
      <c r="EI17" s="24" t="str">
        <f t="shared" si="89"/>
        <v>D</v>
      </c>
      <c r="EJ17" s="24" t="str">
        <f t="shared" si="90"/>
        <v>D</v>
      </c>
      <c r="EK17" s="24" t="str">
        <f t="shared" si="91"/>
        <v>B</v>
      </c>
      <c r="EL17" s="24" t="str">
        <f t="shared" si="92"/>
        <v>E</v>
      </c>
      <c r="EM17" s="24" t="str">
        <f t="shared" si="93"/>
        <v>B</v>
      </c>
      <c r="EN17" s="24" t="str">
        <f t="shared" si="94"/>
        <v>B</v>
      </c>
      <c r="EO17" s="24" t="str">
        <f t="shared" si="95"/>
        <v>B</v>
      </c>
      <c r="EP17" s="24">
        <f t="shared" si="96"/>
        <v>2</v>
      </c>
      <c r="EQ17" s="24">
        <f t="shared" si="97"/>
        <v>2</v>
      </c>
      <c r="ER17" s="24">
        <f t="shared" si="98"/>
        <v>3</v>
      </c>
      <c r="ES17" s="24">
        <f t="shared" si="99"/>
        <v>1</v>
      </c>
      <c r="ET17" s="24">
        <f t="shared" si="100"/>
        <v>5</v>
      </c>
      <c r="EU17" s="24">
        <f t="shared" si="101"/>
        <v>3</v>
      </c>
      <c r="EV17" s="24">
        <f t="shared" si="102"/>
        <v>2</v>
      </c>
      <c r="EW17" s="24">
        <f t="shared" si="322"/>
        <v>1</v>
      </c>
      <c r="EX17" s="24">
        <f t="shared" si="103"/>
        <v>1</v>
      </c>
      <c r="EY17" s="24">
        <f t="shared" si="104"/>
        <v>5</v>
      </c>
      <c r="EZ17" s="24">
        <f t="shared" si="105"/>
        <v>1</v>
      </c>
      <c r="FA17" s="24">
        <f t="shared" si="106"/>
        <v>5</v>
      </c>
      <c r="FB17" s="24">
        <f t="shared" si="107"/>
        <v>3</v>
      </c>
      <c r="FC17" s="24">
        <f t="shared" si="108"/>
        <v>2</v>
      </c>
      <c r="FD17" s="24">
        <f t="shared" si="109"/>
        <v>2</v>
      </c>
      <c r="FE17" s="24">
        <f t="shared" si="110"/>
        <v>2</v>
      </c>
      <c r="FF17" s="26">
        <f t="shared" si="111"/>
        <v>170.66666666666669</v>
      </c>
      <c r="FG17" s="26">
        <f t="shared" si="112"/>
        <v>176.33333333333337</v>
      </c>
      <c r="FH17" s="26">
        <f t="shared" si="113"/>
        <v>267.2</v>
      </c>
      <c r="FI17" s="26">
        <f t="shared" si="114"/>
        <v>88</v>
      </c>
      <c r="FJ17" s="26">
        <f t="shared" si="115"/>
        <v>454.5</v>
      </c>
      <c r="FK17" s="26">
        <f t="shared" si="116"/>
        <v>265.10000000000002</v>
      </c>
      <c r="FL17" s="26">
        <f t="shared" si="117"/>
        <v>178.33333333333337</v>
      </c>
      <c r="FM17" s="26">
        <f t="shared" si="118"/>
        <v>96</v>
      </c>
      <c r="FN17" s="26"/>
      <c r="FO17" s="26">
        <f t="shared" si="119"/>
        <v>306.33333333333337</v>
      </c>
      <c r="FP17" s="26">
        <f t="shared" si="120"/>
        <v>61.266666666666673</v>
      </c>
      <c r="FQ17" s="26">
        <f t="shared" si="121"/>
        <v>403.73333333333301</v>
      </c>
      <c r="FR17" s="26">
        <f t="shared" si="122"/>
        <v>156.54</v>
      </c>
      <c r="FS17" s="26">
        <f t="shared" si="123"/>
        <v>171</v>
      </c>
      <c r="FT17" s="26">
        <f t="shared" si="124"/>
        <v>179.66666666666669</v>
      </c>
      <c r="FU17" s="26">
        <f t="shared" si="125"/>
        <v>176.66666666666669</v>
      </c>
      <c r="FV17" s="24">
        <f t="shared" si="126"/>
        <v>6</v>
      </c>
      <c r="FW17" s="24">
        <f t="shared" si="127"/>
        <v>6</v>
      </c>
      <c r="FX17" s="24">
        <f t="shared" si="128"/>
        <v>9</v>
      </c>
      <c r="FY17" s="24">
        <f t="shared" si="129"/>
        <v>3</v>
      </c>
      <c r="FZ17" s="24">
        <f t="shared" si="130"/>
        <v>20</v>
      </c>
      <c r="GA17" s="24">
        <f t="shared" si="131"/>
        <v>9</v>
      </c>
      <c r="GB17" s="24">
        <f t="shared" si="132"/>
        <v>6</v>
      </c>
      <c r="GC17" s="24">
        <f t="shared" si="133"/>
        <v>4</v>
      </c>
      <c r="GD17" s="24">
        <f t="shared" si="323"/>
        <v>4</v>
      </c>
      <c r="GE17" s="24">
        <f t="shared" si="324"/>
        <v>1.5</v>
      </c>
      <c r="GF17" s="24">
        <f t="shared" si="325"/>
        <v>7.5</v>
      </c>
      <c r="GG17" s="24">
        <f t="shared" si="326"/>
        <v>9</v>
      </c>
      <c r="GH17" s="24">
        <f t="shared" si="327"/>
        <v>2</v>
      </c>
      <c r="GI17" s="24">
        <f t="shared" si="328"/>
        <v>6</v>
      </c>
      <c r="GJ17" s="24">
        <f t="shared" si="329"/>
        <v>6</v>
      </c>
      <c r="GK17" s="24">
        <f t="shared" si="330"/>
        <v>6</v>
      </c>
      <c r="GL17" s="24">
        <f t="shared" si="135"/>
        <v>19</v>
      </c>
      <c r="GM17" s="26">
        <f t="shared" si="136"/>
        <v>1696.1333333333337</v>
      </c>
      <c r="GN17" s="26">
        <f t="shared" si="137"/>
        <v>64</v>
      </c>
      <c r="GO17" s="26">
        <f t="shared" si="331"/>
        <v>89.27017543859651</v>
      </c>
      <c r="GP17" s="24" t="str">
        <f t="shared" si="332"/>
        <v>B</v>
      </c>
      <c r="GQ17" s="26">
        <f t="shared" si="138"/>
        <v>3.3684210526315788</v>
      </c>
      <c r="GR17" s="24">
        <f t="shared" si="139"/>
        <v>20</v>
      </c>
      <c r="GS17" s="26">
        <f t="shared" si="140"/>
        <v>1455.2066666666665</v>
      </c>
      <c r="GT17" s="26">
        <f t="shared" si="141"/>
        <v>38</v>
      </c>
      <c r="GU17" s="26">
        <f t="shared" si="333"/>
        <v>72.760333333333321</v>
      </c>
      <c r="GV17" s="24" t="str">
        <f t="shared" si="334"/>
        <v>C</v>
      </c>
      <c r="GW17" s="27">
        <f t="shared" si="142"/>
        <v>1.9</v>
      </c>
      <c r="GX17" s="24">
        <f t="shared" si="143"/>
        <v>40</v>
      </c>
      <c r="GY17" s="26">
        <f t="shared" si="144"/>
        <v>3151.34</v>
      </c>
      <c r="GZ17" s="26">
        <f t="shared" si="145"/>
        <v>2986.6733333333327</v>
      </c>
      <c r="HA17" s="26">
        <f t="shared" si="335"/>
        <v>78.783500000000004</v>
      </c>
      <c r="HB17" s="27" t="str">
        <f t="shared" si="336"/>
        <v>C</v>
      </c>
      <c r="HC17" s="26">
        <f t="shared" si="146"/>
        <v>74.666833333333315</v>
      </c>
      <c r="HD17" s="24">
        <f t="shared" si="147"/>
        <v>6</v>
      </c>
      <c r="HE17" s="24" t="str">
        <f t="shared" si="148"/>
        <v>6A</v>
      </c>
      <c r="HF17" s="24">
        <f t="shared" si="149"/>
        <v>13</v>
      </c>
      <c r="HG17" s="24">
        <f>IF(B17="","",'Q4'!$C$8)</f>
        <v>50</v>
      </c>
      <c r="HH17" s="24">
        <f>IF(A17="","",'Q4'!DE17)</f>
        <v>0</v>
      </c>
      <c r="HI17" s="24">
        <f>IF(B17="","",'Q4'!DF17)</f>
        <v>0</v>
      </c>
      <c r="HJ17" s="24">
        <f>IF(B17="","",'Q4'!DG17)</f>
        <v>0</v>
      </c>
      <c r="HK17" s="24">
        <f t="shared" si="150"/>
        <v>0</v>
      </c>
      <c r="HL17" s="25">
        <f t="shared" si="151"/>
        <v>1</v>
      </c>
      <c r="HM17" s="7">
        <v>65</v>
      </c>
      <c r="HN17" s="7">
        <v>85</v>
      </c>
      <c r="HO17" s="7">
        <v>90</v>
      </c>
      <c r="HP17" s="7">
        <v>90</v>
      </c>
      <c r="HQ17" s="7">
        <v>85</v>
      </c>
      <c r="HR17" s="7">
        <v>75</v>
      </c>
      <c r="HS17" s="7">
        <v>90</v>
      </c>
      <c r="HT17" s="7"/>
      <c r="HU17" s="7"/>
      <c r="HV17" s="7">
        <v>71</v>
      </c>
      <c r="HW17" s="7"/>
      <c r="HX17" s="7">
        <v>90</v>
      </c>
      <c r="HY17" s="7">
        <v>65</v>
      </c>
      <c r="HZ17" s="7">
        <v>85</v>
      </c>
      <c r="IA17" s="7">
        <v>94.5</v>
      </c>
      <c r="IB17" s="7">
        <v>75</v>
      </c>
      <c r="IC17" s="24" t="str">
        <f t="shared" si="152"/>
        <v>D</v>
      </c>
      <c r="ID17" s="24" t="str">
        <f t="shared" si="153"/>
        <v>B</v>
      </c>
      <c r="IE17" s="24" t="str">
        <f t="shared" si="154"/>
        <v>A</v>
      </c>
      <c r="IF17" s="24" t="str">
        <f t="shared" si="155"/>
        <v>A</v>
      </c>
      <c r="IG17" s="24" t="str">
        <f t="shared" si="156"/>
        <v>B</v>
      </c>
      <c r="IH17" s="24" t="str">
        <f t="shared" si="157"/>
        <v>C</v>
      </c>
      <c r="II17" s="24" t="str">
        <f t="shared" si="158"/>
        <v>A</v>
      </c>
      <c r="IJ17" s="24" t="str">
        <f t="shared" si="159"/>
        <v/>
      </c>
      <c r="IK17" s="24" t="str">
        <f t="shared" si="160"/>
        <v/>
      </c>
      <c r="IL17" s="24" t="str">
        <f t="shared" si="161"/>
        <v>C</v>
      </c>
      <c r="IM17" s="24" t="str">
        <f t="shared" si="162"/>
        <v/>
      </c>
      <c r="IN17" s="24" t="str">
        <f t="shared" si="163"/>
        <v>A</v>
      </c>
      <c r="IO17" s="24" t="str">
        <f t="shared" si="164"/>
        <v>D</v>
      </c>
      <c r="IP17" s="24" t="str">
        <f t="shared" si="165"/>
        <v>B</v>
      </c>
      <c r="IQ17" s="24" t="str">
        <f t="shared" si="166"/>
        <v>A</v>
      </c>
      <c r="IR17" s="24" t="str">
        <f t="shared" si="167"/>
        <v>C</v>
      </c>
      <c r="IS17" s="24">
        <f t="shared" si="168"/>
        <v>2</v>
      </c>
      <c r="IT17" s="24">
        <f t="shared" si="169"/>
        <v>2</v>
      </c>
      <c r="IU17" s="24">
        <f t="shared" si="170"/>
        <v>3</v>
      </c>
      <c r="IV17" s="24">
        <f t="shared" si="171"/>
        <v>1</v>
      </c>
      <c r="IW17" s="24">
        <f t="shared" si="172"/>
        <v>5</v>
      </c>
      <c r="IX17" s="24">
        <f t="shared" si="173"/>
        <v>3</v>
      </c>
      <c r="IY17" s="24">
        <f t="shared" si="174"/>
        <v>2</v>
      </c>
      <c r="IZ17" s="24" t="str">
        <f t="shared" si="175"/>
        <v/>
      </c>
      <c r="JA17" s="24" t="str">
        <f t="shared" si="176"/>
        <v/>
      </c>
      <c r="JB17" s="24">
        <f t="shared" si="177"/>
        <v>5</v>
      </c>
      <c r="JC17" s="24" t="str">
        <f t="shared" si="178"/>
        <v/>
      </c>
      <c r="JD17" s="24">
        <f t="shared" si="179"/>
        <v>5</v>
      </c>
      <c r="JE17" s="24">
        <f t="shared" si="180"/>
        <v>3</v>
      </c>
      <c r="JF17" s="24">
        <f t="shared" si="181"/>
        <v>2</v>
      </c>
      <c r="JG17" s="24">
        <f t="shared" si="182"/>
        <v>2</v>
      </c>
      <c r="JH17" s="24">
        <f t="shared" si="183"/>
        <v>2</v>
      </c>
      <c r="JI17" s="26">
        <f t="shared" si="184"/>
        <v>130</v>
      </c>
      <c r="JJ17" s="26">
        <f t="shared" si="185"/>
        <v>170</v>
      </c>
      <c r="JK17" s="26">
        <f t="shared" si="186"/>
        <v>270</v>
      </c>
      <c r="JL17" s="26">
        <f t="shared" si="187"/>
        <v>90</v>
      </c>
      <c r="JM17" s="26">
        <f t="shared" si="188"/>
        <v>425</v>
      </c>
      <c r="JN17" s="26">
        <f t="shared" si="189"/>
        <v>225</v>
      </c>
      <c r="JO17" s="26">
        <f t="shared" si="190"/>
        <v>180</v>
      </c>
      <c r="JP17" s="26" t="str">
        <f t="shared" si="191"/>
        <v/>
      </c>
      <c r="JQ17" s="26" t="str">
        <f t="shared" si="192"/>
        <v/>
      </c>
      <c r="JR17" s="26">
        <f t="shared" si="193"/>
        <v>355</v>
      </c>
      <c r="JS17" s="26" t="str">
        <f t="shared" si="194"/>
        <v/>
      </c>
      <c r="JT17" s="26">
        <f t="shared" si="195"/>
        <v>450</v>
      </c>
      <c r="JU17" s="26">
        <f t="shared" si="196"/>
        <v>195</v>
      </c>
      <c r="JV17" s="26">
        <f t="shared" si="197"/>
        <v>170</v>
      </c>
      <c r="JW17" s="26">
        <f t="shared" si="198"/>
        <v>189</v>
      </c>
      <c r="JX17" s="26">
        <f t="shared" si="199"/>
        <v>150</v>
      </c>
      <c r="JY17" s="24">
        <f t="shared" si="200"/>
        <v>3</v>
      </c>
      <c r="JZ17" s="24">
        <f t="shared" si="201"/>
        <v>6</v>
      </c>
      <c r="KA17" s="24">
        <f t="shared" si="202"/>
        <v>12</v>
      </c>
      <c r="KB17" s="24">
        <f t="shared" si="203"/>
        <v>4</v>
      </c>
      <c r="KC17" s="24">
        <f t="shared" si="204"/>
        <v>15</v>
      </c>
      <c r="KD17" s="24">
        <f t="shared" si="205"/>
        <v>6</v>
      </c>
      <c r="KE17" s="24">
        <f t="shared" si="206"/>
        <v>8</v>
      </c>
      <c r="KF17" s="24" t="str">
        <f t="shared" si="207"/>
        <v/>
      </c>
      <c r="KG17" s="24" t="str">
        <f t="shared" si="208"/>
        <v/>
      </c>
      <c r="KH17" s="24">
        <f t="shared" si="209"/>
        <v>10</v>
      </c>
      <c r="KI17" s="24" t="str">
        <f t="shared" si="210"/>
        <v/>
      </c>
      <c r="KJ17" s="24">
        <f t="shared" si="211"/>
        <v>20</v>
      </c>
      <c r="KK17" s="24">
        <f t="shared" si="212"/>
        <v>4.5</v>
      </c>
      <c r="KL17" s="24">
        <f t="shared" si="213"/>
        <v>6</v>
      </c>
      <c r="KM17" s="24">
        <f t="shared" si="214"/>
        <v>8</v>
      </c>
      <c r="KN17" s="24">
        <f t="shared" si="215"/>
        <v>4</v>
      </c>
      <c r="KO17" s="24">
        <f t="shared" si="216"/>
        <v>18</v>
      </c>
      <c r="KP17" s="26" t="str">
        <f t="shared" si="217"/>
        <v/>
      </c>
      <c r="KQ17" s="26">
        <f t="shared" si="218"/>
        <v>54</v>
      </c>
      <c r="KR17" s="26" t="str">
        <f t="shared" si="337"/>
        <v/>
      </c>
      <c r="KS17" s="24" t="str">
        <f t="shared" si="338"/>
        <v/>
      </c>
      <c r="KT17" s="26">
        <f t="shared" si="219"/>
        <v>3</v>
      </c>
      <c r="KU17" s="24">
        <f t="shared" si="220"/>
        <v>19</v>
      </c>
      <c r="KV17" s="24">
        <f t="shared" si="221"/>
        <v>1509</v>
      </c>
      <c r="KW17" s="24">
        <f t="shared" si="222"/>
        <v>52.5</v>
      </c>
      <c r="KX17" s="26">
        <f t="shared" si="339"/>
        <v>79.421052631578945</v>
      </c>
      <c r="KY17" s="24" t="str">
        <f t="shared" si="340"/>
        <v>C</v>
      </c>
      <c r="KZ17" s="27">
        <f t="shared" si="223"/>
        <v>2.763157894736842</v>
      </c>
      <c r="LA17" s="24">
        <f t="shared" si="224"/>
        <v>37</v>
      </c>
      <c r="LB17" s="26">
        <f t="shared" si="225"/>
        <v>2999</v>
      </c>
      <c r="LC17" s="26">
        <f t="shared" si="226"/>
        <v>106.5</v>
      </c>
      <c r="LD17" s="26">
        <f t="shared" si="341"/>
        <v>81.054054054054049</v>
      </c>
      <c r="LE17" s="27" t="str">
        <f t="shared" si="342"/>
        <v>B</v>
      </c>
      <c r="LF17" s="26">
        <f t="shared" si="227"/>
        <v>2.8783783783783785</v>
      </c>
      <c r="LG17" s="24">
        <f t="shared" si="228"/>
        <v>6</v>
      </c>
      <c r="LH17" s="24" t="str">
        <f t="shared" si="229"/>
        <v>6A</v>
      </c>
      <c r="LI17" s="24">
        <f t="shared" si="230"/>
        <v>13</v>
      </c>
      <c r="LJ17" s="26">
        <f>IF('Q4'!G17="","",SUM((AVERAGE('Q3'!G17,'Q4'!G17)*0.5))+(HM17*0.5))</f>
        <v>76.416666666666671</v>
      </c>
      <c r="LK17" s="26">
        <f>IF('Q4'!H17="","",SUM((AVERAGE('Q3'!H17,'Q4'!H17)*1)))</f>
        <v>88.966666666666683</v>
      </c>
      <c r="LL17" s="26">
        <f>IF('Q4'!I17="","",SUM((AVERAGE('Q3'!I17,'Q4'!I17)*0.5))+(HO17*0.5))</f>
        <v>89.708333333333343</v>
      </c>
      <c r="LM17" s="26">
        <f>IF('Q4'!J17="","",SUM((AVERAGE('Q3'!J17,'Q4'!J17)*0.5))+(HP17*0.5))</f>
        <v>89.25</v>
      </c>
      <c r="LN17" s="26">
        <f>IF('Q4'!K17="","",SUM((AVERAGE('Q3'!K17,'Q4'!K17)*0.5))+(HQ17*0.5))</f>
        <v>88.1</v>
      </c>
      <c r="LO17" s="26">
        <f>IF('Q4'!L17="","",SUM((AVERAGE('Q3'!L17,'Q4'!L17)*0.5))+(HR17*0.5))</f>
        <v>81.866666666666674</v>
      </c>
      <c r="LP17" s="26">
        <f>IF('Q4'!M17="","",SUM((AVERAGE('Q3'!M17,'Q4'!M17)*0.5))+(HS17*0.5))</f>
        <v>89.875</v>
      </c>
      <c r="LQ17" s="26">
        <f>IF('Q4'!N17="","",SUM((AVERAGE('Q3'!N17,'Q4'!N17)*1)))</f>
        <v>96.5</v>
      </c>
      <c r="LR17" s="26">
        <f>IF('Q4'!O17="","",SUM((AVERAGE('Q3'!O17,'Q4'!O17)*1)))</f>
        <v>96.5</v>
      </c>
      <c r="LS17" s="26">
        <f>IF('Q4'!P17="","",SUM((AVERAGE('Q3'!P17,'Q4'!P17)*0.5))+(HV17*0.5))</f>
        <v>72.526666666666671</v>
      </c>
      <c r="LT17" s="26">
        <f>IF('Q4'!Q17="","",SUM((AVERAGE('Q3'!Q17,'Q4'!Q17)*1)))</f>
        <v>74.053333333333342</v>
      </c>
      <c r="LU17" s="26">
        <f>IF('Q4'!R17="","",SUM((AVERAGE('Q3'!R17,'Q4'!R17)*0.5))+(HX17*0.5))</f>
        <v>84.286666666666648</v>
      </c>
      <c r="LV17" s="26">
        <f>IF('Q4'!S17="","",SUM((AVERAGE('Q3'!S17,'Q4'!S17)*0.5))+(HY17*0.5))</f>
        <v>59.89</v>
      </c>
      <c r="LW17" s="26">
        <f>IF('Q4'!T17="","",SUM((AVERAGE('Q3'!T17,'Q4'!T17)*0.5))+(HZ17*0.5))</f>
        <v>85.625</v>
      </c>
      <c r="LX17" s="26">
        <f>IF('Q4'!U17="","",SUM((AVERAGE('Q3'!U17,'Q4'!U17)*0.5))+(IA17*0.5))</f>
        <v>89.791666666666671</v>
      </c>
      <c r="LY17" s="26">
        <f>IF('Q4'!V17="","",SUM((AVERAGE('Q3'!V17,'Q4'!V17)*0.5))+(IB17*0.5))</f>
        <v>79.500833333333333</v>
      </c>
      <c r="LZ17" s="26" t="str">
        <f t="shared" si="231"/>
        <v>C</v>
      </c>
      <c r="MA17" s="26" t="str">
        <f t="shared" si="232"/>
        <v>B</v>
      </c>
      <c r="MB17" s="26" t="str">
        <f t="shared" si="233"/>
        <v>B</v>
      </c>
      <c r="MC17" s="26" t="str">
        <f t="shared" si="234"/>
        <v>B</v>
      </c>
      <c r="MD17" s="26" t="str">
        <f t="shared" si="235"/>
        <v>B</v>
      </c>
      <c r="ME17" s="26" t="str">
        <f t="shared" si="236"/>
        <v>B</v>
      </c>
      <c r="MF17" s="26" t="str">
        <f t="shared" si="237"/>
        <v>B</v>
      </c>
      <c r="MG17" s="26" t="str">
        <f t="shared" si="238"/>
        <v>A</v>
      </c>
      <c r="MH17" s="26" t="str">
        <f t="shared" si="239"/>
        <v>A</v>
      </c>
      <c r="MI17" s="24" t="str">
        <f t="shared" si="240"/>
        <v>C</v>
      </c>
      <c r="MJ17" s="24" t="str">
        <f t="shared" si="241"/>
        <v>C</v>
      </c>
      <c r="MK17" s="24" t="str">
        <f t="shared" si="242"/>
        <v>B</v>
      </c>
      <c r="ML17" s="24" t="str">
        <f t="shared" si="243"/>
        <v>E</v>
      </c>
      <c r="MM17" s="24" t="str">
        <f t="shared" si="244"/>
        <v>B</v>
      </c>
      <c r="MN17" s="24" t="str">
        <f t="shared" si="245"/>
        <v>B</v>
      </c>
      <c r="MO17" s="24" t="str">
        <f t="shared" si="246"/>
        <v>C</v>
      </c>
      <c r="MP17" s="24">
        <f t="shared" si="247"/>
        <v>2</v>
      </c>
      <c r="MQ17" s="24">
        <f t="shared" si="248"/>
        <v>2</v>
      </c>
      <c r="MR17" s="24">
        <f t="shared" si="249"/>
        <v>3</v>
      </c>
      <c r="MS17" s="24">
        <f t="shared" si="250"/>
        <v>1</v>
      </c>
      <c r="MT17" s="24">
        <f t="shared" si="251"/>
        <v>5</v>
      </c>
      <c r="MU17" s="24">
        <f t="shared" si="252"/>
        <v>3</v>
      </c>
      <c r="MV17" s="24">
        <f t="shared" si="253"/>
        <v>2</v>
      </c>
      <c r="MW17" s="24">
        <f t="shared" si="254"/>
        <v>1</v>
      </c>
      <c r="MX17" s="24">
        <f t="shared" si="255"/>
        <v>1</v>
      </c>
      <c r="MY17" s="24">
        <f t="shared" si="256"/>
        <v>5</v>
      </c>
      <c r="MZ17" s="24">
        <f t="shared" si="257"/>
        <v>1</v>
      </c>
      <c r="NA17" s="24">
        <f t="shared" si="258"/>
        <v>5</v>
      </c>
      <c r="NB17" s="24">
        <f t="shared" si="259"/>
        <v>3</v>
      </c>
      <c r="NC17" s="24">
        <f t="shared" si="260"/>
        <v>2</v>
      </c>
      <c r="ND17" s="24">
        <f t="shared" si="261"/>
        <v>2</v>
      </c>
      <c r="NE17" s="24">
        <f t="shared" si="262"/>
        <v>2</v>
      </c>
      <c r="NF17" s="26">
        <f t="shared" si="263"/>
        <v>152.83333333333334</v>
      </c>
      <c r="NG17" s="26">
        <f t="shared" si="264"/>
        <v>177.93333333333337</v>
      </c>
      <c r="NH17" s="26">
        <f t="shared" si="265"/>
        <v>269.125</v>
      </c>
      <c r="NI17" s="26">
        <f t="shared" si="266"/>
        <v>89.25</v>
      </c>
      <c r="NJ17" s="26">
        <f t="shared" si="267"/>
        <v>440.5</v>
      </c>
      <c r="NK17" s="26">
        <f t="shared" si="268"/>
        <v>245.60000000000002</v>
      </c>
      <c r="NL17" s="26">
        <f t="shared" si="269"/>
        <v>179.75</v>
      </c>
      <c r="NM17" s="26">
        <f t="shared" si="270"/>
        <v>96.5</v>
      </c>
      <c r="NN17" s="26">
        <f t="shared" si="271"/>
        <v>96.5</v>
      </c>
      <c r="NO17" s="26">
        <f t="shared" si="272"/>
        <v>362.63333333333333</v>
      </c>
      <c r="NP17" s="26">
        <f t="shared" si="273"/>
        <v>74.053333333333342</v>
      </c>
      <c r="NQ17" s="26">
        <f t="shared" si="274"/>
        <v>421.43333333333322</v>
      </c>
      <c r="NR17" s="26">
        <f t="shared" si="275"/>
        <v>179.67000000000002</v>
      </c>
      <c r="NS17" s="26">
        <f t="shared" si="276"/>
        <v>171.25</v>
      </c>
      <c r="NT17" s="26">
        <f t="shared" si="277"/>
        <v>179.58333333333334</v>
      </c>
      <c r="NU17" s="26">
        <f t="shared" si="278"/>
        <v>159.00166666666667</v>
      </c>
      <c r="NV17" s="24">
        <f t="shared" si="279"/>
        <v>4</v>
      </c>
      <c r="NW17" s="24">
        <f t="shared" si="280"/>
        <v>6</v>
      </c>
      <c r="NX17" s="24">
        <f t="shared" si="281"/>
        <v>9</v>
      </c>
      <c r="NY17" s="24">
        <f t="shared" si="282"/>
        <v>3</v>
      </c>
      <c r="NZ17" s="24">
        <f t="shared" si="283"/>
        <v>15</v>
      </c>
      <c r="OA17" s="24">
        <f t="shared" si="284"/>
        <v>9</v>
      </c>
      <c r="OB17" s="24">
        <f t="shared" si="285"/>
        <v>6</v>
      </c>
      <c r="OC17" s="24">
        <f t="shared" si="286"/>
        <v>4</v>
      </c>
      <c r="OD17" s="24">
        <f t="shared" si="287"/>
        <v>4</v>
      </c>
      <c r="OE17" s="24">
        <f t="shared" si="288"/>
        <v>10</v>
      </c>
      <c r="OF17" s="24">
        <f t="shared" si="289"/>
        <v>2</v>
      </c>
      <c r="OG17" s="24">
        <f t="shared" si="290"/>
        <v>15</v>
      </c>
      <c r="OH17" s="24">
        <f t="shared" si="291"/>
        <v>3</v>
      </c>
      <c r="OI17" s="24">
        <f t="shared" si="292"/>
        <v>6</v>
      </c>
      <c r="OJ17" s="24">
        <f t="shared" si="293"/>
        <v>6</v>
      </c>
      <c r="OK17" s="24">
        <f t="shared" si="294"/>
        <v>4</v>
      </c>
      <c r="OL17" s="24">
        <f t="shared" si="295"/>
        <v>20</v>
      </c>
      <c r="OM17" s="26">
        <f t="shared" si="296"/>
        <v>1747.9916666666668</v>
      </c>
      <c r="ON17" s="26">
        <f t="shared" si="297"/>
        <v>60</v>
      </c>
      <c r="OO17" s="26">
        <f t="shared" si="343"/>
        <v>87.399583333333339</v>
      </c>
      <c r="OP17" s="24" t="str">
        <f t="shared" si="344"/>
        <v>B</v>
      </c>
      <c r="OQ17" s="26">
        <f t="shared" si="298"/>
        <v>3</v>
      </c>
      <c r="OR17" s="24">
        <f t="shared" si="299"/>
        <v>20</v>
      </c>
      <c r="OS17" s="26">
        <f t="shared" si="300"/>
        <v>1547.625</v>
      </c>
      <c r="OT17" s="26">
        <f t="shared" si="301"/>
        <v>46</v>
      </c>
      <c r="OU17" s="26">
        <f t="shared" si="345"/>
        <v>77.381249999999994</v>
      </c>
      <c r="OV17" s="24" t="str">
        <f t="shared" si="346"/>
        <v>C</v>
      </c>
      <c r="OW17" s="27">
        <f t="shared" si="302"/>
        <v>2.2999999999999998</v>
      </c>
      <c r="OX17" s="24">
        <f t="shared" si="303"/>
        <v>40</v>
      </c>
      <c r="OY17" s="26">
        <f t="shared" si="304"/>
        <v>3295.6166666666668</v>
      </c>
      <c r="OZ17" s="26">
        <f t="shared" si="305"/>
        <v>106</v>
      </c>
      <c r="PA17" s="26">
        <f t="shared" si="347"/>
        <v>82.390416666666667</v>
      </c>
      <c r="PB17" s="27" t="str">
        <f t="shared" si="348"/>
        <v>B</v>
      </c>
      <c r="PC17" s="26">
        <f t="shared" si="306"/>
        <v>2.65</v>
      </c>
      <c r="PD17" s="24">
        <f t="shared" si="307"/>
        <v>6</v>
      </c>
      <c r="PE17" s="24" t="str">
        <f t="shared" si="308"/>
        <v>6A</v>
      </c>
      <c r="PF17" s="24">
        <f t="shared" si="309"/>
        <v>13</v>
      </c>
      <c r="PG17" s="24">
        <f t="shared" si="310"/>
        <v>104</v>
      </c>
      <c r="PH17" s="24">
        <f t="shared" si="311"/>
        <v>0</v>
      </c>
      <c r="PI17" s="24">
        <f t="shared" si="312"/>
        <v>0</v>
      </c>
      <c r="PJ17" s="24">
        <f t="shared" si="313"/>
        <v>0</v>
      </c>
      <c r="PK17" s="24">
        <f t="shared" si="314"/>
        <v>0</v>
      </c>
      <c r="PL17" s="25">
        <f t="shared" si="315"/>
        <v>1</v>
      </c>
    </row>
    <row r="18" spans="1:428" ht="27" customHeight="1" x14ac:dyDescent="0.35">
      <c r="A18" s="24">
        <f t="shared" si="349"/>
        <v>4</v>
      </c>
      <c r="B18" s="28" t="str">
        <f>IF('Q1'!B18="","",'Q1'!B18)</f>
        <v>Song Santharasatya</v>
      </c>
      <c r="C18" s="30" t="str">
        <f>IF('Q1'!C18="","",'Q1'!C18)</f>
        <v>សុង សន្ទរសត្យា</v>
      </c>
      <c r="D18" s="28" t="str">
        <f>IF('Q1'!D18="","",'Q1'!D18)</f>
        <v>M</v>
      </c>
      <c r="E18" s="24">
        <f>IF('Q1'!E18="","",'Q1'!E18)</f>
        <v>693</v>
      </c>
      <c r="F18" s="24" t="str">
        <f>IF('Q1'!F18="","",'Q1'!F18)</f>
        <v>I</v>
      </c>
      <c r="G18" s="26">
        <f>IF('Q3'!G18="","",'Q3'!G18)</f>
        <v>89</v>
      </c>
      <c r="H18" s="26">
        <f>IF('Q3'!H18="","",'Q3'!H18)</f>
        <v>93.5</v>
      </c>
      <c r="I18" s="26">
        <f>IF('Q3'!I18="","",'Q3'!I18)</f>
        <v>89.5</v>
      </c>
      <c r="J18" s="26">
        <f>IF('Q3'!J18="","",'Q3'!J18)</f>
        <v>90</v>
      </c>
      <c r="K18" s="26">
        <f>IF('Q3'!K18="","",'Q3'!K18)</f>
        <v>91.4</v>
      </c>
      <c r="L18" s="26">
        <f>IF('Q3'!L18="","",'Q3'!L18)</f>
        <v>88.733333333333348</v>
      </c>
      <c r="M18" s="26">
        <f>IF('Q3'!M18="","",'Q3'!M18)</f>
        <v>91.2</v>
      </c>
      <c r="N18" s="26">
        <f>IF('Q3'!N18="","",'Q3'!N18)</f>
        <v>97</v>
      </c>
      <c r="O18" s="26">
        <f>IF('Q3'!O18="","",'Q3'!O18)</f>
        <v>97</v>
      </c>
      <c r="P18" s="26">
        <f>IF('Q3'!P18="","",'Q3'!P18)</f>
        <v>94.286666666666662</v>
      </c>
      <c r="Q18" s="26">
        <f>IF('Q3'!Q18="","",'Q3'!Q18)</f>
        <v>94.286666666666662</v>
      </c>
      <c r="R18" s="26">
        <f>IF('Q3'!R18="","",'Q3'!R18)</f>
        <v>89.57</v>
      </c>
      <c r="S18" s="26">
        <f>IF('Q3'!S18="","",'Q3'!S18)</f>
        <v>88.67</v>
      </c>
      <c r="T18" s="26">
        <f>IF('Q3'!T18="","",'Q3'!T18)</f>
        <v>88</v>
      </c>
      <c r="U18" s="26">
        <f>IF('Q3'!U18="","",'Q3'!U18)</f>
        <v>90.333333333333343</v>
      </c>
      <c r="V18" s="26">
        <f>IF('Q3'!V18="","",'Q3'!V18)</f>
        <v>88.67</v>
      </c>
      <c r="W18" s="26" t="str">
        <f t="shared" si="0"/>
        <v>B</v>
      </c>
      <c r="X18" s="26" t="str">
        <f t="shared" si="1"/>
        <v>A</v>
      </c>
      <c r="Y18" s="26" t="str">
        <f t="shared" si="2"/>
        <v>B</v>
      </c>
      <c r="Z18" s="26" t="str">
        <f t="shared" si="3"/>
        <v>A</v>
      </c>
      <c r="AA18" s="26" t="str">
        <f t="shared" si="4"/>
        <v>A</v>
      </c>
      <c r="AB18" s="26" t="str">
        <f t="shared" si="5"/>
        <v>B</v>
      </c>
      <c r="AC18" s="26" t="str">
        <f t="shared" si="6"/>
        <v>A</v>
      </c>
      <c r="AD18" s="26" t="str">
        <f t="shared" si="7"/>
        <v>A</v>
      </c>
      <c r="AE18" s="26" t="str">
        <f t="shared" si="8"/>
        <v>A</v>
      </c>
      <c r="AF18" s="24" t="str">
        <f t="shared" si="9"/>
        <v>A</v>
      </c>
      <c r="AG18" s="24" t="str">
        <f t="shared" si="10"/>
        <v>A</v>
      </c>
      <c r="AH18" s="24" t="str">
        <f t="shared" si="11"/>
        <v>B</v>
      </c>
      <c r="AI18" s="24" t="str">
        <f t="shared" si="12"/>
        <v>B</v>
      </c>
      <c r="AJ18" s="24" t="str">
        <f t="shared" si="13"/>
        <v>B</v>
      </c>
      <c r="AK18" s="24" t="str">
        <f t="shared" si="14"/>
        <v>A</v>
      </c>
      <c r="AL18" s="24" t="str">
        <f t="shared" si="15"/>
        <v>B</v>
      </c>
      <c r="AM18" s="24">
        <f t="shared" si="16"/>
        <v>2</v>
      </c>
      <c r="AN18" s="24">
        <f t="shared" si="17"/>
        <v>2</v>
      </c>
      <c r="AO18" s="24">
        <f t="shared" si="18"/>
        <v>3</v>
      </c>
      <c r="AP18" s="24">
        <f t="shared" si="19"/>
        <v>1</v>
      </c>
      <c r="AQ18" s="24">
        <f t="shared" si="20"/>
        <v>5</v>
      </c>
      <c r="AR18" s="24">
        <f t="shared" si="21"/>
        <v>3</v>
      </c>
      <c r="AS18" s="24">
        <f t="shared" si="22"/>
        <v>2</v>
      </c>
      <c r="AT18" s="24">
        <f t="shared" si="23"/>
        <v>1</v>
      </c>
      <c r="AU18" s="24">
        <f t="shared" si="24"/>
        <v>1</v>
      </c>
      <c r="AV18" s="24">
        <f t="shared" si="25"/>
        <v>5</v>
      </c>
      <c r="AW18" s="24">
        <f t="shared" si="26"/>
        <v>1</v>
      </c>
      <c r="AX18" s="24">
        <f t="shared" si="27"/>
        <v>5</v>
      </c>
      <c r="AY18" s="24">
        <f t="shared" si="28"/>
        <v>3</v>
      </c>
      <c r="AZ18" s="24">
        <f t="shared" si="29"/>
        <v>2</v>
      </c>
      <c r="BA18" s="24">
        <f t="shared" si="30"/>
        <v>2</v>
      </c>
      <c r="BB18" s="24">
        <f t="shared" si="31"/>
        <v>2</v>
      </c>
      <c r="BC18" s="26">
        <f t="shared" si="32"/>
        <v>178</v>
      </c>
      <c r="BD18" s="26">
        <f t="shared" si="33"/>
        <v>187</v>
      </c>
      <c r="BE18" s="26">
        <f t="shared" si="34"/>
        <v>268.5</v>
      </c>
      <c r="BF18" s="26">
        <f t="shared" si="35"/>
        <v>90</v>
      </c>
      <c r="BG18" s="26">
        <f t="shared" si="36"/>
        <v>457</v>
      </c>
      <c r="BH18" s="26">
        <f t="shared" si="37"/>
        <v>266.20000000000005</v>
      </c>
      <c r="BI18" s="26">
        <f t="shared" si="38"/>
        <v>182.4</v>
      </c>
      <c r="BJ18" s="26">
        <f t="shared" si="39"/>
        <v>97</v>
      </c>
      <c r="BK18" s="26">
        <f t="shared" si="40"/>
        <v>97</v>
      </c>
      <c r="BL18" s="26">
        <f t="shared" si="41"/>
        <v>471.43333333333328</v>
      </c>
      <c r="BM18" s="26">
        <f t="shared" si="42"/>
        <v>94.286666666666662</v>
      </c>
      <c r="BN18" s="26">
        <f t="shared" si="43"/>
        <v>447.84999999999997</v>
      </c>
      <c r="BO18" s="26">
        <f t="shared" si="44"/>
        <v>266.01</v>
      </c>
      <c r="BP18" s="26">
        <f t="shared" si="45"/>
        <v>176</v>
      </c>
      <c r="BQ18" s="26">
        <f t="shared" si="46"/>
        <v>180.66666666666669</v>
      </c>
      <c r="BR18" s="26">
        <f t="shared" si="47"/>
        <v>177.34</v>
      </c>
      <c r="BS18" s="24">
        <f t="shared" si="48"/>
        <v>6</v>
      </c>
      <c r="BT18" s="24">
        <f t="shared" si="49"/>
        <v>8</v>
      </c>
      <c r="BU18" s="24">
        <f t="shared" si="50"/>
        <v>9</v>
      </c>
      <c r="BV18" s="24">
        <f t="shared" si="51"/>
        <v>4</v>
      </c>
      <c r="BW18" s="24">
        <f t="shared" si="52"/>
        <v>20</v>
      </c>
      <c r="BX18" s="24">
        <f t="shared" si="53"/>
        <v>9</v>
      </c>
      <c r="BY18" s="24">
        <f t="shared" si="54"/>
        <v>8</v>
      </c>
      <c r="BZ18" s="24">
        <f t="shared" si="55"/>
        <v>4</v>
      </c>
      <c r="CA18" s="24">
        <f t="shared" si="56"/>
        <v>4</v>
      </c>
      <c r="CB18" s="24">
        <f t="shared" si="57"/>
        <v>20</v>
      </c>
      <c r="CC18" s="24">
        <f t="shared" si="58"/>
        <v>4</v>
      </c>
      <c r="CD18" s="24">
        <f t="shared" si="59"/>
        <v>15</v>
      </c>
      <c r="CE18" s="24">
        <f t="shared" si="60"/>
        <v>9</v>
      </c>
      <c r="CF18" s="24">
        <f t="shared" si="61"/>
        <v>6</v>
      </c>
      <c r="CG18" s="24">
        <f t="shared" si="62"/>
        <v>8</v>
      </c>
      <c r="CH18" s="24">
        <f t="shared" si="63"/>
        <v>6</v>
      </c>
      <c r="CI18" s="24">
        <f t="shared" si="64"/>
        <v>20</v>
      </c>
      <c r="CJ18" s="26">
        <f t="shared" si="65"/>
        <v>1823.1000000000001</v>
      </c>
      <c r="CK18" s="26">
        <f t="shared" si="66"/>
        <v>82</v>
      </c>
      <c r="CL18" s="26">
        <f t="shared" si="316"/>
        <v>91.155000000000001</v>
      </c>
      <c r="CM18" s="24" t="str">
        <f t="shared" si="317"/>
        <v>A</v>
      </c>
      <c r="CN18" s="26">
        <f t="shared" si="67"/>
        <v>4.0999999999999996</v>
      </c>
      <c r="CO18" s="24">
        <f t="shared" si="68"/>
        <v>20</v>
      </c>
      <c r="CP18" s="26">
        <f t="shared" si="69"/>
        <v>1813.5866666666666</v>
      </c>
      <c r="CQ18" s="26">
        <f t="shared" si="70"/>
        <v>68</v>
      </c>
      <c r="CR18" s="26">
        <f t="shared" si="318"/>
        <v>90.679333333333332</v>
      </c>
      <c r="CS18" s="24" t="str">
        <f t="shared" si="319"/>
        <v>A</v>
      </c>
      <c r="CT18" s="27">
        <f t="shared" si="71"/>
        <v>3.4</v>
      </c>
      <c r="CU18" s="24">
        <f t="shared" si="72"/>
        <v>40</v>
      </c>
      <c r="CV18" s="26">
        <f t="shared" si="73"/>
        <v>3636.686666666667</v>
      </c>
      <c r="CW18" s="27">
        <f t="shared" si="74"/>
        <v>3464.686666666667</v>
      </c>
      <c r="CX18" s="26">
        <f t="shared" si="320"/>
        <v>90.917166666666674</v>
      </c>
      <c r="CY18" s="27" t="str">
        <f t="shared" si="321"/>
        <v>A</v>
      </c>
      <c r="CZ18" s="26">
        <f t="shared" si="75"/>
        <v>86.617166666666677</v>
      </c>
      <c r="DA18" s="24">
        <f t="shared" si="76"/>
        <v>2</v>
      </c>
      <c r="DB18" s="24" t="str">
        <f t="shared" si="77"/>
        <v>6A</v>
      </c>
      <c r="DC18" s="24">
        <f t="shared" si="78"/>
        <v>13</v>
      </c>
      <c r="DD18" s="24">
        <f>IF(B18="","",'Q3'!$C$8)</f>
        <v>50</v>
      </c>
      <c r="DE18" s="24">
        <f>IF(B18="","",'Q3'!DE18)</f>
        <v>0</v>
      </c>
      <c r="DF18" s="24">
        <f>IF(C18="","",'Q3'!DF18)</f>
        <v>0</v>
      </c>
      <c r="DG18" s="24">
        <f>IF(D18="","",'Q3'!DG18)</f>
        <v>2</v>
      </c>
      <c r="DH18" s="24">
        <f>IF(E18="","",'Q3'!DH18)</f>
        <v>2</v>
      </c>
      <c r="DI18" s="25">
        <f t="shared" si="79"/>
        <v>0.96</v>
      </c>
      <c r="DJ18" s="26">
        <f>IF('Q4'!G18="","",'Q4'!G18)</f>
        <v>91.333333333333343</v>
      </c>
      <c r="DK18" s="26">
        <f>IF('Q4'!H18="","",'Q4'!H18)</f>
        <v>92.266666666666666</v>
      </c>
      <c r="DL18" s="26">
        <f>IF('Q4'!I18="","",'Q4'!I18)</f>
        <v>91.966666666666669</v>
      </c>
      <c r="DM18" s="26">
        <f>IF('Q4'!J18="","",'Q4'!J18)</f>
        <v>90</v>
      </c>
      <c r="DN18" s="26">
        <f>IF('Q4'!K18="","",'Q4'!K18)</f>
        <v>92.63333333333334</v>
      </c>
      <c r="DO18" s="26">
        <f>IF('Q4'!L18="","",'Q4'!L18)</f>
        <v>92.233333333333348</v>
      </c>
      <c r="DP18" s="26">
        <f>IF('Q4'!M18="","",'Q4'!M18)</f>
        <v>92.233333333333348</v>
      </c>
      <c r="DQ18" s="26">
        <f>IF('Q4'!N18="","",'Q4'!N18)</f>
        <v>98</v>
      </c>
      <c r="DR18" s="26">
        <f>IF('Q4'!O18="","",'Q4'!O18)</f>
        <v>98</v>
      </c>
      <c r="DS18" s="26">
        <f>IF('Q4'!P18="","",'Q4'!P18)</f>
        <v>79.406666666666666</v>
      </c>
      <c r="DT18" s="26">
        <f>IF('Q4'!Q18="","",'Q4'!Q18)</f>
        <v>79.406666666666666</v>
      </c>
      <c r="DU18" s="26">
        <f>IF('Q4'!R18="","",'Q4'!R18)</f>
        <v>93.706666666666607</v>
      </c>
      <c r="DV18" s="26">
        <f>IF('Q4'!S18="","",'Q4'!S18)</f>
        <v>63.77</v>
      </c>
      <c r="DW18" s="26">
        <f>IF('Q4'!T18="","",'Q4'!T18)</f>
        <v>85.5</v>
      </c>
      <c r="DX18" s="26">
        <f>IF('Q4'!U18="","",'Q4'!U18)</f>
        <v>96.833333333333343</v>
      </c>
      <c r="DY18" s="26">
        <f>IF('Q4'!V18="","",'Q4'!V18)</f>
        <v>94.666666666666671</v>
      </c>
      <c r="DZ18" s="26" t="str">
        <f t="shared" si="80"/>
        <v>A</v>
      </c>
      <c r="EA18" s="26" t="str">
        <f t="shared" si="81"/>
        <v>A</v>
      </c>
      <c r="EB18" s="26" t="str">
        <f t="shared" si="82"/>
        <v>A</v>
      </c>
      <c r="EC18" s="26" t="str">
        <f t="shared" si="83"/>
        <v>A</v>
      </c>
      <c r="ED18" s="26" t="str">
        <f t="shared" si="84"/>
        <v>A</v>
      </c>
      <c r="EE18" s="26" t="str">
        <f t="shared" si="85"/>
        <v>A</v>
      </c>
      <c r="EF18" s="26" t="str">
        <f t="shared" si="86"/>
        <v>A</v>
      </c>
      <c r="EG18" s="26" t="str">
        <f t="shared" si="87"/>
        <v>A</v>
      </c>
      <c r="EH18" s="26" t="str">
        <f t="shared" si="88"/>
        <v>A</v>
      </c>
      <c r="EI18" s="24" t="str">
        <f t="shared" si="89"/>
        <v>C</v>
      </c>
      <c r="EJ18" s="24" t="str">
        <f t="shared" si="90"/>
        <v>C</v>
      </c>
      <c r="EK18" s="24" t="str">
        <f t="shared" si="91"/>
        <v>A</v>
      </c>
      <c r="EL18" s="24" t="str">
        <f t="shared" si="92"/>
        <v>D</v>
      </c>
      <c r="EM18" s="24" t="str">
        <f t="shared" si="93"/>
        <v>B</v>
      </c>
      <c r="EN18" s="24" t="str">
        <f t="shared" si="94"/>
        <v>A</v>
      </c>
      <c r="EO18" s="24" t="str">
        <f t="shared" si="95"/>
        <v>A</v>
      </c>
      <c r="EP18" s="24">
        <f t="shared" si="96"/>
        <v>2</v>
      </c>
      <c r="EQ18" s="24">
        <f t="shared" si="97"/>
        <v>2</v>
      </c>
      <c r="ER18" s="24">
        <f t="shared" si="98"/>
        <v>3</v>
      </c>
      <c r="ES18" s="24">
        <f t="shared" si="99"/>
        <v>1</v>
      </c>
      <c r="ET18" s="24">
        <f t="shared" si="100"/>
        <v>5</v>
      </c>
      <c r="EU18" s="24">
        <f t="shared" si="101"/>
        <v>3</v>
      </c>
      <c r="EV18" s="24">
        <f t="shared" si="102"/>
        <v>2</v>
      </c>
      <c r="EW18" s="24">
        <f t="shared" si="322"/>
        <v>1</v>
      </c>
      <c r="EX18" s="24">
        <f t="shared" si="103"/>
        <v>1</v>
      </c>
      <c r="EY18" s="24">
        <f t="shared" si="104"/>
        <v>5</v>
      </c>
      <c r="EZ18" s="24">
        <f t="shared" si="105"/>
        <v>1</v>
      </c>
      <c r="FA18" s="24">
        <f t="shared" si="106"/>
        <v>5</v>
      </c>
      <c r="FB18" s="24">
        <f t="shared" si="107"/>
        <v>3</v>
      </c>
      <c r="FC18" s="24">
        <f t="shared" si="108"/>
        <v>2</v>
      </c>
      <c r="FD18" s="24">
        <f t="shared" si="109"/>
        <v>2</v>
      </c>
      <c r="FE18" s="24">
        <f t="shared" si="110"/>
        <v>2</v>
      </c>
      <c r="FF18" s="26">
        <f t="shared" si="111"/>
        <v>182.66666666666669</v>
      </c>
      <c r="FG18" s="26">
        <f t="shared" si="112"/>
        <v>184.53333333333333</v>
      </c>
      <c r="FH18" s="26">
        <f t="shared" si="113"/>
        <v>275.89999999999998</v>
      </c>
      <c r="FI18" s="26">
        <f t="shared" si="114"/>
        <v>90</v>
      </c>
      <c r="FJ18" s="26">
        <f t="shared" si="115"/>
        <v>463.16666666666669</v>
      </c>
      <c r="FK18" s="26">
        <f t="shared" si="116"/>
        <v>276.70000000000005</v>
      </c>
      <c r="FL18" s="26">
        <f t="shared" si="117"/>
        <v>184.4666666666667</v>
      </c>
      <c r="FM18" s="26">
        <f t="shared" si="118"/>
        <v>98</v>
      </c>
      <c r="FN18" s="26"/>
      <c r="FO18" s="26">
        <f t="shared" si="119"/>
        <v>397.0333333333333</v>
      </c>
      <c r="FP18" s="26">
        <f t="shared" si="120"/>
        <v>79.406666666666666</v>
      </c>
      <c r="FQ18" s="26">
        <f t="shared" si="121"/>
        <v>468.53333333333302</v>
      </c>
      <c r="FR18" s="26">
        <f t="shared" si="122"/>
        <v>191.31</v>
      </c>
      <c r="FS18" s="26">
        <f t="shared" si="123"/>
        <v>171</v>
      </c>
      <c r="FT18" s="26">
        <f t="shared" si="124"/>
        <v>193.66666666666669</v>
      </c>
      <c r="FU18" s="26">
        <f t="shared" si="125"/>
        <v>189.33333333333334</v>
      </c>
      <c r="FV18" s="24">
        <f t="shared" si="126"/>
        <v>8</v>
      </c>
      <c r="FW18" s="24">
        <f t="shared" si="127"/>
        <v>8</v>
      </c>
      <c r="FX18" s="24">
        <f t="shared" si="128"/>
        <v>12</v>
      </c>
      <c r="FY18" s="24">
        <f t="shared" si="129"/>
        <v>4</v>
      </c>
      <c r="FZ18" s="24">
        <f t="shared" si="130"/>
        <v>20</v>
      </c>
      <c r="GA18" s="24">
        <f t="shared" si="131"/>
        <v>12</v>
      </c>
      <c r="GB18" s="24">
        <f t="shared" si="132"/>
        <v>8</v>
      </c>
      <c r="GC18" s="24">
        <f t="shared" si="133"/>
        <v>4</v>
      </c>
      <c r="GD18" s="24">
        <f t="shared" si="323"/>
        <v>4</v>
      </c>
      <c r="GE18" s="24">
        <f t="shared" si="324"/>
        <v>2</v>
      </c>
      <c r="GF18" s="24">
        <f t="shared" si="325"/>
        <v>10</v>
      </c>
      <c r="GG18" s="24">
        <f t="shared" si="326"/>
        <v>12</v>
      </c>
      <c r="GH18" s="24">
        <f t="shared" si="327"/>
        <v>3</v>
      </c>
      <c r="GI18" s="24">
        <f t="shared" si="328"/>
        <v>6</v>
      </c>
      <c r="GJ18" s="24">
        <f t="shared" si="329"/>
        <v>8</v>
      </c>
      <c r="GK18" s="24">
        <f t="shared" si="330"/>
        <v>8</v>
      </c>
      <c r="GL18" s="24">
        <f t="shared" si="135"/>
        <v>19</v>
      </c>
      <c r="GM18" s="26">
        <f t="shared" si="136"/>
        <v>1755.4333333333334</v>
      </c>
      <c r="GN18" s="26">
        <f t="shared" si="137"/>
        <v>76</v>
      </c>
      <c r="GO18" s="26">
        <f t="shared" si="331"/>
        <v>92.391228070175444</v>
      </c>
      <c r="GP18" s="24" t="str">
        <f t="shared" si="332"/>
        <v>A</v>
      </c>
      <c r="GQ18" s="26">
        <f t="shared" si="138"/>
        <v>4</v>
      </c>
      <c r="GR18" s="24">
        <f t="shared" si="139"/>
        <v>20</v>
      </c>
      <c r="GS18" s="26">
        <f t="shared" si="140"/>
        <v>1690.2833333333328</v>
      </c>
      <c r="GT18" s="26">
        <f t="shared" si="141"/>
        <v>49</v>
      </c>
      <c r="GU18" s="26">
        <f t="shared" si="333"/>
        <v>84.51416666666664</v>
      </c>
      <c r="GV18" s="24" t="str">
        <f t="shared" si="334"/>
        <v>B</v>
      </c>
      <c r="GW18" s="27">
        <f t="shared" si="142"/>
        <v>2.4500000000000002</v>
      </c>
      <c r="GX18" s="24">
        <f t="shared" si="143"/>
        <v>40</v>
      </c>
      <c r="GY18" s="26">
        <f t="shared" si="144"/>
        <v>3445.7166666666662</v>
      </c>
      <c r="GZ18" s="26">
        <f t="shared" si="145"/>
        <v>3271.0499999999993</v>
      </c>
      <c r="HA18" s="26">
        <f t="shared" si="335"/>
        <v>86.14291666666665</v>
      </c>
      <c r="HB18" s="27" t="str">
        <f t="shared" si="336"/>
        <v>B</v>
      </c>
      <c r="HC18" s="26">
        <f t="shared" si="146"/>
        <v>81.776249999999976</v>
      </c>
      <c r="HD18" s="24">
        <f t="shared" si="147"/>
        <v>1</v>
      </c>
      <c r="HE18" s="24" t="str">
        <f t="shared" si="148"/>
        <v>6A</v>
      </c>
      <c r="HF18" s="24">
        <f t="shared" si="149"/>
        <v>13</v>
      </c>
      <c r="HG18" s="24">
        <f>IF(B18="","",'Q4'!$C$8)</f>
        <v>50</v>
      </c>
      <c r="HH18" s="24">
        <f>IF(A18="","",'Q4'!DE18)</f>
        <v>0</v>
      </c>
      <c r="HI18" s="24">
        <f>IF(B18="","",'Q4'!DF18)</f>
        <v>0</v>
      </c>
      <c r="HJ18" s="24">
        <f>IF(B18="","",'Q4'!DG18)</f>
        <v>0</v>
      </c>
      <c r="HK18" s="24">
        <f t="shared" si="150"/>
        <v>0</v>
      </c>
      <c r="HL18" s="25">
        <f t="shared" si="151"/>
        <v>1</v>
      </c>
      <c r="HM18" s="7">
        <v>60</v>
      </c>
      <c r="HN18" s="7">
        <v>80</v>
      </c>
      <c r="HO18" s="7">
        <v>90</v>
      </c>
      <c r="HP18" s="7">
        <v>95</v>
      </c>
      <c r="HQ18" s="7">
        <v>85</v>
      </c>
      <c r="HR18" s="7">
        <v>95</v>
      </c>
      <c r="HS18" s="7">
        <v>95</v>
      </c>
      <c r="HT18" s="7"/>
      <c r="HU18" s="7"/>
      <c r="HV18" s="7">
        <v>90</v>
      </c>
      <c r="HW18" s="7"/>
      <c r="HX18" s="7">
        <v>97</v>
      </c>
      <c r="HY18" s="7">
        <v>91</v>
      </c>
      <c r="HZ18" s="7">
        <v>95</v>
      </c>
      <c r="IA18" s="7">
        <v>92.5</v>
      </c>
      <c r="IB18" s="7">
        <v>80</v>
      </c>
      <c r="IC18" s="24" t="str">
        <f t="shared" si="152"/>
        <v>D</v>
      </c>
      <c r="ID18" s="24" t="str">
        <f t="shared" si="153"/>
        <v>B</v>
      </c>
      <c r="IE18" s="24" t="str">
        <f t="shared" si="154"/>
        <v>A</v>
      </c>
      <c r="IF18" s="24" t="str">
        <f t="shared" si="155"/>
        <v>A</v>
      </c>
      <c r="IG18" s="24" t="str">
        <f t="shared" si="156"/>
        <v>B</v>
      </c>
      <c r="IH18" s="24" t="str">
        <f t="shared" si="157"/>
        <v>A</v>
      </c>
      <c r="II18" s="24" t="str">
        <f t="shared" si="158"/>
        <v>A</v>
      </c>
      <c r="IJ18" s="24" t="str">
        <f t="shared" si="159"/>
        <v/>
      </c>
      <c r="IK18" s="24" t="str">
        <f t="shared" si="160"/>
        <v/>
      </c>
      <c r="IL18" s="24" t="str">
        <f t="shared" si="161"/>
        <v>A</v>
      </c>
      <c r="IM18" s="24" t="str">
        <f t="shared" si="162"/>
        <v/>
      </c>
      <c r="IN18" s="24" t="str">
        <f t="shared" si="163"/>
        <v>A</v>
      </c>
      <c r="IO18" s="24" t="str">
        <f t="shared" si="164"/>
        <v>A</v>
      </c>
      <c r="IP18" s="24" t="str">
        <f t="shared" si="165"/>
        <v>A</v>
      </c>
      <c r="IQ18" s="24" t="str">
        <f t="shared" si="166"/>
        <v>A</v>
      </c>
      <c r="IR18" s="24" t="str">
        <f t="shared" si="167"/>
        <v>B</v>
      </c>
      <c r="IS18" s="24">
        <f t="shared" si="168"/>
        <v>2</v>
      </c>
      <c r="IT18" s="24">
        <f t="shared" si="169"/>
        <v>2</v>
      </c>
      <c r="IU18" s="24">
        <f t="shared" si="170"/>
        <v>3</v>
      </c>
      <c r="IV18" s="24">
        <f t="shared" si="171"/>
        <v>1</v>
      </c>
      <c r="IW18" s="24">
        <f t="shared" si="172"/>
        <v>5</v>
      </c>
      <c r="IX18" s="24">
        <f t="shared" si="173"/>
        <v>3</v>
      </c>
      <c r="IY18" s="24">
        <f t="shared" si="174"/>
        <v>2</v>
      </c>
      <c r="IZ18" s="24" t="str">
        <f t="shared" si="175"/>
        <v/>
      </c>
      <c r="JA18" s="24" t="str">
        <f t="shared" si="176"/>
        <v/>
      </c>
      <c r="JB18" s="24">
        <f t="shared" si="177"/>
        <v>5</v>
      </c>
      <c r="JC18" s="24" t="str">
        <f t="shared" si="178"/>
        <v/>
      </c>
      <c r="JD18" s="24">
        <f t="shared" si="179"/>
        <v>5</v>
      </c>
      <c r="JE18" s="24">
        <f t="shared" si="180"/>
        <v>3</v>
      </c>
      <c r="JF18" s="24">
        <f t="shared" si="181"/>
        <v>2</v>
      </c>
      <c r="JG18" s="24">
        <f t="shared" si="182"/>
        <v>2</v>
      </c>
      <c r="JH18" s="24">
        <f t="shared" si="183"/>
        <v>2</v>
      </c>
      <c r="JI18" s="26">
        <f t="shared" si="184"/>
        <v>120</v>
      </c>
      <c r="JJ18" s="26">
        <f t="shared" si="185"/>
        <v>160</v>
      </c>
      <c r="JK18" s="26">
        <f t="shared" si="186"/>
        <v>270</v>
      </c>
      <c r="JL18" s="26">
        <f t="shared" si="187"/>
        <v>95</v>
      </c>
      <c r="JM18" s="26">
        <f t="shared" si="188"/>
        <v>425</v>
      </c>
      <c r="JN18" s="26">
        <f t="shared" si="189"/>
        <v>285</v>
      </c>
      <c r="JO18" s="26">
        <f t="shared" si="190"/>
        <v>190</v>
      </c>
      <c r="JP18" s="26" t="str">
        <f t="shared" si="191"/>
        <v/>
      </c>
      <c r="JQ18" s="26" t="str">
        <f t="shared" si="192"/>
        <v/>
      </c>
      <c r="JR18" s="26">
        <f t="shared" si="193"/>
        <v>450</v>
      </c>
      <c r="JS18" s="26" t="str">
        <f t="shared" si="194"/>
        <v/>
      </c>
      <c r="JT18" s="26">
        <f t="shared" si="195"/>
        <v>485</v>
      </c>
      <c r="JU18" s="26">
        <f t="shared" si="196"/>
        <v>273</v>
      </c>
      <c r="JV18" s="26">
        <f t="shared" si="197"/>
        <v>190</v>
      </c>
      <c r="JW18" s="26">
        <f t="shared" si="198"/>
        <v>185</v>
      </c>
      <c r="JX18" s="26">
        <f t="shared" si="199"/>
        <v>160</v>
      </c>
      <c r="JY18" s="24">
        <f t="shared" si="200"/>
        <v>3</v>
      </c>
      <c r="JZ18" s="24">
        <f t="shared" si="201"/>
        <v>6</v>
      </c>
      <c r="KA18" s="24">
        <f t="shared" si="202"/>
        <v>12</v>
      </c>
      <c r="KB18" s="24">
        <f t="shared" si="203"/>
        <v>4</v>
      </c>
      <c r="KC18" s="24">
        <f t="shared" si="204"/>
        <v>15</v>
      </c>
      <c r="KD18" s="24">
        <f t="shared" si="205"/>
        <v>12</v>
      </c>
      <c r="KE18" s="24">
        <f t="shared" si="206"/>
        <v>8</v>
      </c>
      <c r="KF18" s="24" t="str">
        <f t="shared" si="207"/>
        <v/>
      </c>
      <c r="KG18" s="24" t="str">
        <f t="shared" si="208"/>
        <v/>
      </c>
      <c r="KH18" s="24">
        <f t="shared" si="209"/>
        <v>20</v>
      </c>
      <c r="KI18" s="24" t="str">
        <f t="shared" si="210"/>
        <v/>
      </c>
      <c r="KJ18" s="24">
        <f t="shared" si="211"/>
        <v>20</v>
      </c>
      <c r="KK18" s="24">
        <f t="shared" si="212"/>
        <v>12</v>
      </c>
      <c r="KL18" s="24">
        <f t="shared" si="213"/>
        <v>8</v>
      </c>
      <c r="KM18" s="24">
        <f t="shared" si="214"/>
        <v>8</v>
      </c>
      <c r="KN18" s="24">
        <f t="shared" si="215"/>
        <v>6</v>
      </c>
      <c r="KO18" s="24">
        <f t="shared" si="216"/>
        <v>18</v>
      </c>
      <c r="KP18" s="26" t="str">
        <f t="shared" si="217"/>
        <v/>
      </c>
      <c r="KQ18" s="26">
        <f t="shared" si="218"/>
        <v>60</v>
      </c>
      <c r="KR18" s="26" t="str">
        <f t="shared" si="337"/>
        <v/>
      </c>
      <c r="KS18" s="24" t="str">
        <f t="shared" si="338"/>
        <v/>
      </c>
      <c r="KT18" s="26">
        <f t="shared" si="219"/>
        <v>3.3333333333333335</v>
      </c>
      <c r="KU18" s="24">
        <f t="shared" si="220"/>
        <v>19</v>
      </c>
      <c r="KV18" s="24">
        <f t="shared" si="221"/>
        <v>1743</v>
      </c>
      <c r="KW18" s="24">
        <f t="shared" si="222"/>
        <v>74</v>
      </c>
      <c r="KX18" s="26">
        <f t="shared" si="339"/>
        <v>91.736842105263165</v>
      </c>
      <c r="KY18" s="24" t="str">
        <f t="shared" si="340"/>
        <v>A</v>
      </c>
      <c r="KZ18" s="27">
        <f t="shared" si="223"/>
        <v>3.8947368421052633</v>
      </c>
      <c r="LA18" s="24">
        <f t="shared" si="224"/>
        <v>37</v>
      </c>
      <c r="LB18" s="26">
        <f t="shared" si="225"/>
        <v>3288</v>
      </c>
      <c r="LC18" s="26">
        <f t="shared" si="226"/>
        <v>134</v>
      </c>
      <c r="LD18" s="26">
        <f t="shared" si="341"/>
        <v>88.86486486486487</v>
      </c>
      <c r="LE18" s="27" t="str">
        <f t="shared" si="342"/>
        <v>B</v>
      </c>
      <c r="LF18" s="26">
        <f t="shared" si="227"/>
        <v>3.6216216216216215</v>
      </c>
      <c r="LG18" s="24">
        <f t="shared" si="228"/>
        <v>2</v>
      </c>
      <c r="LH18" s="24" t="str">
        <f t="shared" si="229"/>
        <v>6A</v>
      </c>
      <c r="LI18" s="24">
        <f t="shared" si="230"/>
        <v>13</v>
      </c>
      <c r="LJ18" s="26">
        <f>IF('Q4'!G18="","",SUM((AVERAGE('Q3'!G18,'Q4'!G18)*0.5))+(HM18*0.5))</f>
        <v>75.083333333333343</v>
      </c>
      <c r="LK18" s="26">
        <f>IF('Q4'!H18="","",SUM((AVERAGE('Q3'!H18,'Q4'!H18)*1)))</f>
        <v>92.883333333333326</v>
      </c>
      <c r="LL18" s="26">
        <f>IF('Q4'!I18="","",SUM((AVERAGE('Q3'!I18,'Q4'!I18)*0.5))+(HO18*0.5))</f>
        <v>90.366666666666674</v>
      </c>
      <c r="LM18" s="26">
        <f>IF('Q4'!J18="","",SUM((AVERAGE('Q3'!J18,'Q4'!J18)*0.5))+(HP18*0.5))</f>
        <v>92.5</v>
      </c>
      <c r="LN18" s="26">
        <f>IF('Q4'!K18="","",SUM((AVERAGE('Q3'!K18,'Q4'!K18)*0.5))+(HQ18*0.5))</f>
        <v>88.50833333333334</v>
      </c>
      <c r="LO18" s="26">
        <f>IF('Q4'!L18="","",SUM((AVERAGE('Q3'!L18,'Q4'!L18)*0.5))+(HR18*0.5))</f>
        <v>92.741666666666674</v>
      </c>
      <c r="LP18" s="26">
        <f>IF('Q4'!M18="","",SUM((AVERAGE('Q3'!M18,'Q4'!M18)*0.5))+(HS18*0.5))</f>
        <v>93.358333333333334</v>
      </c>
      <c r="LQ18" s="26">
        <f>IF('Q4'!N18="","",SUM((AVERAGE('Q3'!N18,'Q4'!N18)*1)))</f>
        <v>97.5</v>
      </c>
      <c r="LR18" s="26">
        <f>IF('Q4'!O18="","",SUM((AVERAGE('Q3'!O18,'Q4'!O18)*1)))</f>
        <v>97.5</v>
      </c>
      <c r="LS18" s="26">
        <f>IF('Q4'!P18="","",SUM((AVERAGE('Q3'!P18,'Q4'!P18)*0.5))+(HV18*0.5))</f>
        <v>88.423333333333332</v>
      </c>
      <c r="LT18" s="26">
        <f>IF('Q4'!Q18="","",SUM((AVERAGE('Q3'!Q18,'Q4'!Q18)*1)))</f>
        <v>86.846666666666664</v>
      </c>
      <c r="LU18" s="26">
        <f>IF('Q4'!R18="","",SUM((AVERAGE('Q3'!R18,'Q4'!R18)*0.5))+(HX18*0.5))</f>
        <v>94.319166666666646</v>
      </c>
      <c r="LV18" s="26">
        <f>IF('Q4'!S18="","",SUM((AVERAGE('Q3'!S18,'Q4'!S18)*0.5))+(HY18*0.5))</f>
        <v>83.61</v>
      </c>
      <c r="LW18" s="26">
        <f>IF('Q4'!T18="","",SUM((AVERAGE('Q3'!T18,'Q4'!T18)*0.5))+(HZ18*0.5))</f>
        <v>90.875</v>
      </c>
      <c r="LX18" s="26">
        <f>IF('Q4'!U18="","",SUM((AVERAGE('Q3'!U18,'Q4'!U18)*0.5))+(IA18*0.5))</f>
        <v>93.041666666666671</v>
      </c>
      <c r="LY18" s="26">
        <f>IF('Q4'!V18="","",SUM((AVERAGE('Q3'!V18,'Q4'!V18)*0.5))+(IB18*0.5))</f>
        <v>85.834166666666675</v>
      </c>
      <c r="LZ18" s="26" t="str">
        <f t="shared" si="231"/>
        <v>C</v>
      </c>
      <c r="MA18" s="26" t="str">
        <f t="shared" si="232"/>
        <v>A</v>
      </c>
      <c r="MB18" s="26" t="str">
        <f t="shared" si="233"/>
        <v>A</v>
      </c>
      <c r="MC18" s="26" t="str">
        <f t="shared" si="234"/>
        <v>A</v>
      </c>
      <c r="MD18" s="26" t="str">
        <f t="shared" si="235"/>
        <v>B</v>
      </c>
      <c r="ME18" s="26" t="str">
        <f t="shared" si="236"/>
        <v>A</v>
      </c>
      <c r="MF18" s="26" t="str">
        <f t="shared" si="237"/>
        <v>A</v>
      </c>
      <c r="MG18" s="26" t="str">
        <f t="shared" si="238"/>
        <v>A</v>
      </c>
      <c r="MH18" s="26" t="str">
        <f t="shared" si="239"/>
        <v>A</v>
      </c>
      <c r="MI18" s="24" t="str">
        <f t="shared" si="240"/>
        <v>B</v>
      </c>
      <c r="MJ18" s="24" t="str">
        <f t="shared" si="241"/>
        <v>B</v>
      </c>
      <c r="MK18" s="24" t="str">
        <f t="shared" si="242"/>
        <v>A</v>
      </c>
      <c r="ML18" s="24" t="str">
        <f t="shared" si="243"/>
        <v>B</v>
      </c>
      <c r="MM18" s="24" t="str">
        <f t="shared" si="244"/>
        <v>A</v>
      </c>
      <c r="MN18" s="24" t="str">
        <f t="shared" si="245"/>
        <v>A</v>
      </c>
      <c r="MO18" s="24" t="str">
        <f t="shared" si="246"/>
        <v>B</v>
      </c>
      <c r="MP18" s="24">
        <f t="shared" si="247"/>
        <v>2</v>
      </c>
      <c r="MQ18" s="24">
        <f t="shared" si="248"/>
        <v>2</v>
      </c>
      <c r="MR18" s="24">
        <f t="shared" si="249"/>
        <v>3</v>
      </c>
      <c r="MS18" s="24">
        <f t="shared" si="250"/>
        <v>1</v>
      </c>
      <c r="MT18" s="24">
        <f t="shared" si="251"/>
        <v>5</v>
      </c>
      <c r="MU18" s="24">
        <f t="shared" si="252"/>
        <v>3</v>
      </c>
      <c r="MV18" s="24">
        <f t="shared" si="253"/>
        <v>2</v>
      </c>
      <c r="MW18" s="24">
        <f t="shared" si="254"/>
        <v>1</v>
      </c>
      <c r="MX18" s="24">
        <f t="shared" si="255"/>
        <v>1</v>
      </c>
      <c r="MY18" s="24">
        <f t="shared" si="256"/>
        <v>5</v>
      </c>
      <c r="MZ18" s="24">
        <f t="shared" si="257"/>
        <v>1</v>
      </c>
      <c r="NA18" s="24">
        <f t="shared" si="258"/>
        <v>5</v>
      </c>
      <c r="NB18" s="24">
        <f t="shared" si="259"/>
        <v>3</v>
      </c>
      <c r="NC18" s="24">
        <f t="shared" si="260"/>
        <v>2</v>
      </c>
      <c r="ND18" s="24">
        <f t="shared" si="261"/>
        <v>2</v>
      </c>
      <c r="NE18" s="24">
        <f t="shared" si="262"/>
        <v>2</v>
      </c>
      <c r="NF18" s="26">
        <f t="shared" si="263"/>
        <v>150.16666666666669</v>
      </c>
      <c r="NG18" s="26">
        <f t="shared" si="264"/>
        <v>185.76666666666665</v>
      </c>
      <c r="NH18" s="26">
        <f t="shared" si="265"/>
        <v>271.10000000000002</v>
      </c>
      <c r="NI18" s="26">
        <f t="shared" si="266"/>
        <v>92.5</v>
      </c>
      <c r="NJ18" s="26">
        <f t="shared" si="267"/>
        <v>442.54166666666669</v>
      </c>
      <c r="NK18" s="26">
        <f t="shared" si="268"/>
        <v>278.22500000000002</v>
      </c>
      <c r="NL18" s="26">
        <f t="shared" si="269"/>
        <v>186.71666666666667</v>
      </c>
      <c r="NM18" s="26">
        <f t="shared" si="270"/>
        <v>97.5</v>
      </c>
      <c r="NN18" s="26">
        <f t="shared" si="271"/>
        <v>97.5</v>
      </c>
      <c r="NO18" s="26">
        <f t="shared" si="272"/>
        <v>442.11666666666667</v>
      </c>
      <c r="NP18" s="26">
        <f t="shared" si="273"/>
        <v>86.846666666666664</v>
      </c>
      <c r="NQ18" s="26">
        <f t="shared" si="274"/>
        <v>471.59583333333325</v>
      </c>
      <c r="NR18" s="26">
        <f t="shared" si="275"/>
        <v>250.82999999999998</v>
      </c>
      <c r="NS18" s="26">
        <f t="shared" si="276"/>
        <v>181.75</v>
      </c>
      <c r="NT18" s="26">
        <f t="shared" si="277"/>
        <v>186.08333333333334</v>
      </c>
      <c r="NU18" s="26">
        <f t="shared" si="278"/>
        <v>171.66833333333335</v>
      </c>
      <c r="NV18" s="24">
        <f t="shared" si="279"/>
        <v>4</v>
      </c>
      <c r="NW18" s="24">
        <f t="shared" si="280"/>
        <v>8</v>
      </c>
      <c r="NX18" s="24">
        <f t="shared" si="281"/>
        <v>12</v>
      </c>
      <c r="NY18" s="24">
        <f t="shared" si="282"/>
        <v>4</v>
      </c>
      <c r="NZ18" s="24">
        <f t="shared" si="283"/>
        <v>15</v>
      </c>
      <c r="OA18" s="24">
        <f t="shared" si="284"/>
        <v>12</v>
      </c>
      <c r="OB18" s="24">
        <f t="shared" si="285"/>
        <v>8</v>
      </c>
      <c r="OC18" s="24">
        <f t="shared" si="286"/>
        <v>4</v>
      </c>
      <c r="OD18" s="24">
        <f t="shared" si="287"/>
        <v>4</v>
      </c>
      <c r="OE18" s="24">
        <f t="shared" si="288"/>
        <v>15</v>
      </c>
      <c r="OF18" s="24">
        <f t="shared" si="289"/>
        <v>3</v>
      </c>
      <c r="OG18" s="24">
        <f t="shared" si="290"/>
        <v>20</v>
      </c>
      <c r="OH18" s="24">
        <f t="shared" si="291"/>
        <v>9</v>
      </c>
      <c r="OI18" s="24">
        <f t="shared" si="292"/>
        <v>8</v>
      </c>
      <c r="OJ18" s="24">
        <f t="shared" si="293"/>
        <v>8</v>
      </c>
      <c r="OK18" s="24">
        <f t="shared" si="294"/>
        <v>6</v>
      </c>
      <c r="OL18" s="24">
        <f t="shared" si="295"/>
        <v>20</v>
      </c>
      <c r="OM18" s="26">
        <f t="shared" si="296"/>
        <v>1802.0166666666669</v>
      </c>
      <c r="ON18" s="26">
        <f t="shared" si="297"/>
        <v>71</v>
      </c>
      <c r="OO18" s="26">
        <f t="shared" si="343"/>
        <v>90.100833333333341</v>
      </c>
      <c r="OP18" s="24" t="str">
        <f t="shared" si="344"/>
        <v>A</v>
      </c>
      <c r="OQ18" s="26">
        <f t="shared" si="298"/>
        <v>3.55</v>
      </c>
      <c r="OR18" s="24">
        <f t="shared" si="299"/>
        <v>20</v>
      </c>
      <c r="OS18" s="26">
        <f t="shared" si="300"/>
        <v>1790.8908333333331</v>
      </c>
      <c r="OT18" s="26">
        <f t="shared" si="301"/>
        <v>69</v>
      </c>
      <c r="OU18" s="26">
        <f t="shared" si="345"/>
        <v>89.54454166666666</v>
      </c>
      <c r="OV18" s="24" t="str">
        <f t="shared" si="346"/>
        <v>B</v>
      </c>
      <c r="OW18" s="27">
        <f t="shared" si="302"/>
        <v>3.45</v>
      </c>
      <c r="OX18" s="24">
        <f t="shared" si="303"/>
        <v>40</v>
      </c>
      <c r="OY18" s="26">
        <f t="shared" si="304"/>
        <v>3592.9075000000007</v>
      </c>
      <c r="OZ18" s="26">
        <f t="shared" si="305"/>
        <v>140</v>
      </c>
      <c r="PA18" s="26">
        <f t="shared" si="347"/>
        <v>89.822687500000015</v>
      </c>
      <c r="PB18" s="27" t="str">
        <f t="shared" si="348"/>
        <v>B</v>
      </c>
      <c r="PC18" s="26">
        <f t="shared" si="306"/>
        <v>3.5</v>
      </c>
      <c r="PD18" s="24">
        <f t="shared" si="307"/>
        <v>2</v>
      </c>
      <c r="PE18" s="24" t="str">
        <f t="shared" si="308"/>
        <v>6A</v>
      </c>
      <c r="PF18" s="24">
        <f t="shared" si="309"/>
        <v>13</v>
      </c>
      <c r="PG18" s="24">
        <f t="shared" si="310"/>
        <v>104</v>
      </c>
      <c r="PH18" s="24">
        <f t="shared" si="311"/>
        <v>0</v>
      </c>
      <c r="PI18" s="24">
        <f t="shared" si="312"/>
        <v>0</v>
      </c>
      <c r="PJ18" s="24">
        <f t="shared" si="313"/>
        <v>2</v>
      </c>
      <c r="PK18" s="24">
        <f t="shared" si="314"/>
        <v>2</v>
      </c>
      <c r="PL18" s="25">
        <f t="shared" si="315"/>
        <v>0.98076923076923073</v>
      </c>
    </row>
    <row r="19" spans="1:428" ht="27" customHeight="1" x14ac:dyDescent="0.35">
      <c r="A19" s="24">
        <f t="shared" si="349"/>
        <v>5</v>
      </c>
      <c r="B19" s="28" t="str">
        <f>IF('Q1'!B19="","",'Q1'!B19)</f>
        <v>Heng Bunpiseth</v>
      </c>
      <c r="C19" s="30" t="str">
        <f>IF('Q1'!C19="","",'Q1'!C19)</f>
        <v>ហេង ប៊ុនពិសិដ្ឋ</v>
      </c>
      <c r="D19" s="28" t="str">
        <f>IF('Q1'!D19="","",'Q1'!D19)</f>
        <v>M</v>
      </c>
      <c r="E19" s="24">
        <f>IF('Q1'!E19="","",'Q1'!E19)</f>
        <v>694</v>
      </c>
      <c r="F19" s="24" t="str">
        <f>IF('Q1'!F19="","",'Q1'!F19)</f>
        <v>I</v>
      </c>
      <c r="G19" s="26">
        <f>IF('Q3'!G19="","",'Q3'!G19)</f>
        <v>67</v>
      </c>
      <c r="H19" s="26">
        <f>IF('Q3'!H19="","",'Q3'!H19)</f>
        <v>76.933333333333337</v>
      </c>
      <c r="I19" s="26">
        <f>IF('Q3'!I19="","",'Q3'!I19)</f>
        <v>69.800000000000011</v>
      </c>
      <c r="J19" s="26">
        <f>IF('Q3'!J19="","",'Q3'!J19)</f>
        <v>68.333333333333343</v>
      </c>
      <c r="K19" s="26">
        <f>IF('Q3'!K19="","",'Q3'!K19)</f>
        <v>75.366666666666674</v>
      </c>
      <c r="L19" s="26">
        <f>IF('Q3'!L19="","",'Q3'!L19)</f>
        <v>73.466666666666669</v>
      </c>
      <c r="M19" s="26">
        <f>IF('Q3'!M19="","",'Q3'!M19)</f>
        <v>76.5</v>
      </c>
      <c r="N19" s="26">
        <f>IF('Q3'!N19="","",'Q3'!N19)</f>
        <v>95</v>
      </c>
      <c r="O19" s="26">
        <f>IF('Q3'!O19="","",'Q3'!O19)</f>
        <v>95</v>
      </c>
      <c r="P19" s="26">
        <f>IF('Q3'!P19="","",'Q3'!P19)</f>
        <v>80.88000000000001</v>
      </c>
      <c r="Q19" s="26">
        <f>IF('Q3'!Q19="","",'Q3'!Q19)</f>
        <v>80.88000000000001</v>
      </c>
      <c r="R19" s="26">
        <f>IF('Q3'!R19="","",'Q3'!R19)</f>
        <v>54.83</v>
      </c>
      <c r="S19" s="26">
        <f>IF('Q3'!S19="","",'Q3'!S19)</f>
        <v>66.91</v>
      </c>
      <c r="T19" s="26">
        <f>IF('Q3'!T19="","",'Q3'!T19)</f>
        <v>80</v>
      </c>
      <c r="U19" s="26">
        <f>IF('Q3'!U19="","",'Q3'!U19)</f>
        <v>79</v>
      </c>
      <c r="V19" s="26">
        <f>IF('Q3'!V19="","",'Q3'!V19)</f>
        <v>76.33</v>
      </c>
      <c r="W19" s="26" t="str">
        <f t="shared" si="0"/>
        <v>D</v>
      </c>
      <c r="X19" s="26" t="str">
        <f t="shared" si="1"/>
        <v>C</v>
      </c>
      <c r="Y19" s="26" t="str">
        <f t="shared" si="2"/>
        <v>D</v>
      </c>
      <c r="Z19" s="26" t="str">
        <f t="shared" si="3"/>
        <v>D</v>
      </c>
      <c r="AA19" s="26" t="str">
        <f t="shared" si="4"/>
        <v>C</v>
      </c>
      <c r="AB19" s="26" t="str">
        <f t="shared" si="5"/>
        <v>C</v>
      </c>
      <c r="AC19" s="26" t="str">
        <f t="shared" si="6"/>
        <v>C</v>
      </c>
      <c r="AD19" s="26" t="str">
        <f t="shared" si="7"/>
        <v>A</v>
      </c>
      <c r="AE19" s="26" t="str">
        <f t="shared" si="8"/>
        <v>A</v>
      </c>
      <c r="AF19" s="24" t="str">
        <f t="shared" si="9"/>
        <v>B</v>
      </c>
      <c r="AG19" s="24" t="str">
        <f t="shared" si="10"/>
        <v>B</v>
      </c>
      <c r="AH19" s="24" t="str">
        <f t="shared" si="11"/>
        <v>E</v>
      </c>
      <c r="AI19" s="24" t="str">
        <f t="shared" si="12"/>
        <v>D</v>
      </c>
      <c r="AJ19" s="24" t="str">
        <f t="shared" si="13"/>
        <v>B</v>
      </c>
      <c r="AK19" s="24" t="str">
        <f t="shared" si="14"/>
        <v>C</v>
      </c>
      <c r="AL19" s="24" t="str">
        <f t="shared" si="15"/>
        <v>C</v>
      </c>
      <c r="AM19" s="24">
        <f t="shared" si="16"/>
        <v>2</v>
      </c>
      <c r="AN19" s="24">
        <f t="shared" si="17"/>
        <v>2</v>
      </c>
      <c r="AO19" s="24">
        <f t="shared" si="18"/>
        <v>3</v>
      </c>
      <c r="AP19" s="24">
        <f t="shared" si="19"/>
        <v>1</v>
      </c>
      <c r="AQ19" s="24">
        <f t="shared" si="20"/>
        <v>5</v>
      </c>
      <c r="AR19" s="24">
        <f t="shared" si="21"/>
        <v>3</v>
      </c>
      <c r="AS19" s="24">
        <f t="shared" si="22"/>
        <v>2</v>
      </c>
      <c r="AT19" s="24">
        <f t="shared" si="23"/>
        <v>1</v>
      </c>
      <c r="AU19" s="24">
        <f t="shared" si="24"/>
        <v>1</v>
      </c>
      <c r="AV19" s="24">
        <f t="shared" si="25"/>
        <v>5</v>
      </c>
      <c r="AW19" s="24">
        <f t="shared" si="26"/>
        <v>1</v>
      </c>
      <c r="AX19" s="24">
        <f t="shared" si="27"/>
        <v>5</v>
      </c>
      <c r="AY19" s="24">
        <f t="shared" si="28"/>
        <v>3</v>
      </c>
      <c r="AZ19" s="24">
        <f t="shared" si="29"/>
        <v>2</v>
      </c>
      <c r="BA19" s="24">
        <f t="shared" si="30"/>
        <v>2</v>
      </c>
      <c r="BB19" s="24">
        <f t="shared" si="31"/>
        <v>2</v>
      </c>
      <c r="BC19" s="26">
        <f t="shared" si="32"/>
        <v>134</v>
      </c>
      <c r="BD19" s="26">
        <f t="shared" si="33"/>
        <v>153.86666666666667</v>
      </c>
      <c r="BE19" s="26">
        <f t="shared" si="34"/>
        <v>209.40000000000003</v>
      </c>
      <c r="BF19" s="26">
        <f t="shared" si="35"/>
        <v>68.333333333333343</v>
      </c>
      <c r="BG19" s="26">
        <f t="shared" si="36"/>
        <v>376.83333333333337</v>
      </c>
      <c r="BH19" s="26">
        <f t="shared" si="37"/>
        <v>220.4</v>
      </c>
      <c r="BI19" s="26">
        <f t="shared" si="38"/>
        <v>153</v>
      </c>
      <c r="BJ19" s="26">
        <f t="shared" si="39"/>
        <v>95</v>
      </c>
      <c r="BK19" s="26">
        <f t="shared" si="40"/>
        <v>95</v>
      </c>
      <c r="BL19" s="26">
        <f t="shared" si="41"/>
        <v>404.40000000000003</v>
      </c>
      <c r="BM19" s="26">
        <f t="shared" si="42"/>
        <v>80.88000000000001</v>
      </c>
      <c r="BN19" s="26">
        <f t="shared" si="43"/>
        <v>274.14999999999998</v>
      </c>
      <c r="BO19" s="26">
        <f t="shared" si="44"/>
        <v>200.73</v>
      </c>
      <c r="BP19" s="26">
        <f t="shared" si="45"/>
        <v>160</v>
      </c>
      <c r="BQ19" s="26">
        <f t="shared" si="46"/>
        <v>158</v>
      </c>
      <c r="BR19" s="26">
        <f t="shared" si="47"/>
        <v>152.66</v>
      </c>
      <c r="BS19" s="24">
        <f t="shared" si="48"/>
        <v>3</v>
      </c>
      <c r="BT19" s="24">
        <f t="shared" si="49"/>
        <v>4</v>
      </c>
      <c r="BU19" s="24">
        <f t="shared" si="50"/>
        <v>4.5</v>
      </c>
      <c r="BV19" s="24">
        <f t="shared" si="51"/>
        <v>1.5</v>
      </c>
      <c r="BW19" s="24">
        <f t="shared" si="52"/>
        <v>10</v>
      </c>
      <c r="BX19" s="24">
        <f t="shared" si="53"/>
        <v>6</v>
      </c>
      <c r="BY19" s="24">
        <f t="shared" si="54"/>
        <v>4</v>
      </c>
      <c r="BZ19" s="24">
        <f t="shared" si="55"/>
        <v>4</v>
      </c>
      <c r="CA19" s="24">
        <f t="shared" si="56"/>
        <v>4</v>
      </c>
      <c r="CB19" s="24">
        <f t="shared" si="57"/>
        <v>15</v>
      </c>
      <c r="CC19" s="24">
        <f t="shared" si="58"/>
        <v>3</v>
      </c>
      <c r="CD19" s="24">
        <f t="shared" si="59"/>
        <v>5</v>
      </c>
      <c r="CE19" s="24">
        <f t="shared" si="60"/>
        <v>4.5</v>
      </c>
      <c r="CF19" s="24">
        <f t="shared" si="61"/>
        <v>6</v>
      </c>
      <c r="CG19" s="24">
        <f t="shared" si="62"/>
        <v>4</v>
      </c>
      <c r="CH19" s="24">
        <f t="shared" si="63"/>
        <v>4</v>
      </c>
      <c r="CI19" s="24">
        <f t="shared" si="64"/>
        <v>20</v>
      </c>
      <c r="CJ19" s="26">
        <f t="shared" si="65"/>
        <v>1505.8333333333335</v>
      </c>
      <c r="CK19" s="26">
        <f t="shared" si="66"/>
        <v>52</v>
      </c>
      <c r="CL19" s="26">
        <f t="shared" si="316"/>
        <v>75.291666666666671</v>
      </c>
      <c r="CM19" s="24" t="str">
        <f t="shared" si="317"/>
        <v>C</v>
      </c>
      <c r="CN19" s="26">
        <f t="shared" si="67"/>
        <v>2.6</v>
      </c>
      <c r="CO19" s="24">
        <f t="shared" si="68"/>
        <v>20</v>
      </c>
      <c r="CP19" s="26">
        <f t="shared" si="69"/>
        <v>1430.8200000000002</v>
      </c>
      <c r="CQ19" s="26">
        <f t="shared" si="70"/>
        <v>41.5</v>
      </c>
      <c r="CR19" s="26">
        <f t="shared" si="318"/>
        <v>71.541000000000011</v>
      </c>
      <c r="CS19" s="24" t="str">
        <f t="shared" si="319"/>
        <v>C</v>
      </c>
      <c r="CT19" s="27">
        <f t="shared" si="71"/>
        <v>2.0750000000000002</v>
      </c>
      <c r="CU19" s="24">
        <f t="shared" si="72"/>
        <v>40</v>
      </c>
      <c r="CV19" s="26">
        <f t="shared" si="73"/>
        <v>2936.6533333333336</v>
      </c>
      <c r="CW19" s="27">
        <f t="shared" si="74"/>
        <v>2805.6533333333336</v>
      </c>
      <c r="CX19" s="26">
        <f t="shared" si="320"/>
        <v>73.416333333333341</v>
      </c>
      <c r="CY19" s="27" t="str">
        <f t="shared" si="321"/>
        <v>C</v>
      </c>
      <c r="CZ19" s="26">
        <f t="shared" si="75"/>
        <v>70.141333333333336</v>
      </c>
      <c r="DA19" s="24">
        <f t="shared" si="76"/>
        <v>11</v>
      </c>
      <c r="DB19" s="24" t="str">
        <f t="shared" si="77"/>
        <v>6A</v>
      </c>
      <c r="DC19" s="24">
        <f t="shared" si="78"/>
        <v>13</v>
      </c>
      <c r="DD19" s="24">
        <f>IF(B19="","",'Q3'!$C$8)</f>
        <v>50</v>
      </c>
      <c r="DE19" s="24">
        <f>IF(B19="","",'Q3'!DE19)</f>
        <v>0</v>
      </c>
      <c r="DF19" s="24">
        <f>IF(C19="","",'Q3'!DF19)</f>
        <v>0</v>
      </c>
      <c r="DG19" s="24">
        <f>IF(D19="","",'Q3'!DG19)</f>
        <v>0</v>
      </c>
      <c r="DH19" s="24">
        <f>IF(E19="","",'Q3'!DH19)</f>
        <v>0</v>
      </c>
      <c r="DI19" s="25">
        <f t="shared" si="79"/>
        <v>1</v>
      </c>
      <c r="DJ19" s="26">
        <f>IF('Q4'!G19="","",'Q4'!G19)</f>
        <v>73.333333333333343</v>
      </c>
      <c r="DK19" s="26">
        <f>IF('Q4'!H19="","",'Q4'!H19)</f>
        <v>77.166666666666671</v>
      </c>
      <c r="DL19" s="26">
        <f>IF('Q4'!I19="","",'Q4'!I19)</f>
        <v>79.733333333333334</v>
      </c>
      <c r="DM19" s="26">
        <f>IF('Q4'!J19="","",'Q4'!J19)</f>
        <v>69.333333333333343</v>
      </c>
      <c r="DN19" s="26">
        <f>IF('Q4'!K19="","",'Q4'!K19)</f>
        <v>81.5</v>
      </c>
      <c r="DO19" s="26">
        <f>IF('Q4'!L19="","",'Q4'!L19)</f>
        <v>81.466666666666669</v>
      </c>
      <c r="DP19" s="26">
        <f>IF('Q4'!M19="","",'Q4'!M19)</f>
        <v>77.900000000000006</v>
      </c>
      <c r="DQ19" s="26">
        <f>IF('Q4'!N19="","",'Q4'!N19)</f>
        <v>96</v>
      </c>
      <c r="DR19" s="26">
        <f>IF('Q4'!O19="","",'Q4'!O19)</f>
        <v>96</v>
      </c>
      <c r="DS19" s="26">
        <f>IF('Q4'!P19="","",'Q4'!P19)</f>
        <v>59.9</v>
      </c>
      <c r="DT19" s="26">
        <f>IF('Q4'!Q19="","",'Q4'!Q19)</f>
        <v>59.9</v>
      </c>
      <c r="DU19" s="26">
        <f>IF('Q4'!R19="","",'Q4'!R19)</f>
        <v>54.12</v>
      </c>
      <c r="DV19" s="26">
        <f>IF('Q4'!S19="","",'Q4'!S19)</f>
        <v>64.3</v>
      </c>
      <c r="DW19" s="26">
        <f>IF('Q4'!T19="","",'Q4'!T19)</f>
        <v>78.5</v>
      </c>
      <c r="DX19" s="26">
        <f>IF('Q4'!U19="","",'Q4'!U19)</f>
        <v>78.166666666666671</v>
      </c>
      <c r="DY19" s="26">
        <f>IF('Q4'!V19="","",'Q4'!V19)</f>
        <v>79.166666666666657</v>
      </c>
      <c r="DZ19" s="26" t="str">
        <f t="shared" si="80"/>
        <v>C</v>
      </c>
      <c r="EA19" s="26" t="str">
        <f t="shared" si="81"/>
        <v>C</v>
      </c>
      <c r="EB19" s="26" t="str">
        <f t="shared" si="82"/>
        <v>C</v>
      </c>
      <c r="EC19" s="26" t="str">
        <f t="shared" si="83"/>
        <v>D</v>
      </c>
      <c r="ED19" s="26" t="str">
        <f t="shared" si="84"/>
        <v>B</v>
      </c>
      <c r="EE19" s="26" t="str">
        <f t="shared" si="85"/>
        <v>B</v>
      </c>
      <c r="EF19" s="26" t="str">
        <f t="shared" si="86"/>
        <v>C</v>
      </c>
      <c r="EG19" s="26" t="str">
        <f t="shared" si="87"/>
        <v>A</v>
      </c>
      <c r="EH19" s="26" t="str">
        <f t="shared" si="88"/>
        <v>A</v>
      </c>
      <c r="EI19" s="24" t="str">
        <f t="shared" si="89"/>
        <v>E</v>
      </c>
      <c r="EJ19" s="24" t="str">
        <f t="shared" si="90"/>
        <v>E</v>
      </c>
      <c r="EK19" s="24" t="str">
        <f t="shared" si="91"/>
        <v>E</v>
      </c>
      <c r="EL19" s="24" t="str">
        <f t="shared" si="92"/>
        <v>D</v>
      </c>
      <c r="EM19" s="24" t="str">
        <f t="shared" si="93"/>
        <v>C</v>
      </c>
      <c r="EN19" s="24" t="str">
        <f t="shared" si="94"/>
        <v>C</v>
      </c>
      <c r="EO19" s="24" t="str">
        <f t="shared" si="95"/>
        <v>C</v>
      </c>
      <c r="EP19" s="24">
        <f t="shared" si="96"/>
        <v>2</v>
      </c>
      <c r="EQ19" s="24">
        <f t="shared" si="97"/>
        <v>2</v>
      </c>
      <c r="ER19" s="24">
        <f t="shared" si="98"/>
        <v>3</v>
      </c>
      <c r="ES19" s="24">
        <f t="shared" si="99"/>
        <v>1</v>
      </c>
      <c r="ET19" s="24">
        <f t="shared" si="100"/>
        <v>5</v>
      </c>
      <c r="EU19" s="24">
        <f t="shared" si="101"/>
        <v>3</v>
      </c>
      <c r="EV19" s="24">
        <f t="shared" si="102"/>
        <v>2</v>
      </c>
      <c r="EW19" s="24">
        <f t="shared" si="322"/>
        <v>1</v>
      </c>
      <c r="EX19" s="24">
        <f t="shared" si="103"/>
        <v>1</v>
      </c>
      <c r="EY19" s="24">
        <f t="shared" si="104"/>
        <v>5</v>
      </c>
      <c r="EZ19" s="24">
        <f t="shared" si="105"/>
        <v>1</v>
      </c>
      <c r="FA19" s="24">
        <f t="shared" si="106"/>
        <v>5</v>
      </c>
      <c r="FB19" s="24">
        <f t="shared" si="107"/>
        <v>3</v>
      </c>
      <c r="FC19" s="24">
        <f t="shared" si="108"/>
        <v>2</v>
      </c>
      <c r="FD19" s="24">
        <f t="shared" si="109"/>
        <v>2</v>
      </c>
      <c r="FE19" s="24">
        <f t="shared" si="110"/>
        <v>2</v>
      </c>
      <c r="FF19" s="26">
        <f t="shared" si="111"/>
        <v>146.66666666666669</v>
      </c>
      <c r="FG19" s="26">
        <f t="shared" si="112"/>
        <v>154.33333333333334</v>
      </c>
      <c r="FH19" s="26">
        <f t="shared" si="113"/>
        <v>239.2</v>
      </c>
      <c r="FI19" s="26">
        <f t="shared" si="114"/>
        <v>69.333333333333343</v>
      </c>
      <c r="FJ19" s="26">
        <f t="shared" si="115"/>
        <v>407.5</v>
      </c>
      <c r="FK19" s="26">
        <f t="shared" si="116"/>
        <v>244.4</v>
      </c>
      <c r="FL19" s="26">
        <f t="shared" si="117"/>
        <v>155.80000000000001</v>
      </c>
      <c r="FM19" s="26">
        <f t="shared" si="118"/>
        <v>96</v>
      </c>
      <c r="FN19" s="26"/>
      <c r="FO19" s="26">
        <f t="shared" si="119"/>
        <v>299.5</v>
      </c>
      <c r="FP19" s="26">
        <f t="shared" si="120"/>
        <v>59.9</v>
      </c>
      <c r="FQ19" s="26">
        <f t="shared" si="121"/>
        <v>270.59999999999997</v>
      </c>
      <c r="FR19" s="26">
        <f t="shared" si="122"/>
        <v>192.89999999999998</v>
      </c>
      <c r="FS19" s="26">
        <f t="shared" si="123"/>
        <v>157</v>
      </c>
      <c r="FT19" s="26">
        <f t="shared" si="124"/>
        <v>156.33333333333334</v>
      </c>
      <c r="FU19" s="26">
        <f t="shared" si="125"/>
        <v>158.33333333333331</v>
      </c>
      <c r="FV19" s="24">
        <f t="shared" si="126"/>
        <v>4</v>
      </c>
      <c r="FW19" s="24">
        <f t="shared" si="127"/>
        <v>4</v>
      </c>
      <c r="FX19" s="24">
        <f t="shared" si="128"/>
        <v>6</v>
      </c>
      <c r="FY19" s="24">
        <f t="shared" si="129"/>
        <v>1.5</v>
      </c>
      <c r="FZ19" s="24">
        <f t="shared" si="130"/>
        <v>15</v>
      </c>
      <c r="GA19" s="24">
        <f t="shared" si="131"/>
        <v>9</v>
      </c>
      <c r="GB19" s="24">
        <f t="shared" si="132"/>
        <v>4</v>
      </c>
      <c r="GC19" s="24">
        <f t="shared" si="133"/>
        <v>4</v>
      </c>
      <c r="GD19" s="24">
        <f t="shared" si="323"/>
        <v>4</v>
      </c>
      <c r="GE19" s="24">
        <f t="shared" si="324"/>
        <v>1</v>
      </c>
      <c r="GF19" s="24">
        <f t="shared" si="325"/>
        <v>5</v>
      </c>
      <c r="GG19" s="24">
        <f t="shared" si="326"/>
        <v>3</v>
      </c>
      <c r="GH19" s="24">
        <f t="shared" si="327"/>
        <v>3</v>
      </c>
      <c r="GI19" s="24">
        <f t="shared" si="328"/>
        <v>4</v>
      </c>
      <c r="GJ19" s="24">
        <f t="shared" si="329"/>
        <v>4</v>
      </c>
      <c r="GK19" s="24">
        <f t="shared" si="330"/>
        <v>4</v>
      </c>
      <c r="GL19" s="24">
        <f t="shared" si="135"/>
        <v>19</v>
      </c>
      <c r="GM19" s="26">
        <f t="shared" si="136"/>
        <v>1513.2333333333333</v>
      </c>
      <c r="GN19" s="26">
        <f t="shared" si="137"/>
        <v>49.5</v>
      </c>
      <c r="GO19" s="26">
        <f t="shared" si="331"/>
        <v>79.643859649122803</v>
      </c>
      <c r="GP19" s="24" t="str">
        <f t="shared" si="332"/>
        <v>C</v>
      </c>
      <c r="GQ19" s="26">
        <f t="shared" si="138"/>
        <v>2.6052631578947367</v>
      </c>
      <c r="GR19" s="24">
        <f t="shared" si="139"/>
        <v>20</v>
      </c>
      <c r="GS19" s="26">
        <f t="shared" si="140"/>
        <v>1294.5666666666666</v>
      </c>
      <c r="GT19" s="26">
        <f t="shared" si="141"/>
        <v>24</v>
      </c>
      <c r="GU19" s="26">
        <f t="shared" si="333"/>
        <v>64.728333333333325</v>
      </c>
      <c r="GV19" s="24" t="str">
        <f t="shared" si="334"/>
        <v>D</v>
      </c>
      <c r="GW19" s="27">
        <f t="shared" si="142"/>
        <v>1.2</v>
      </c>
      <c r="GX19" s="24">
        <f t="shared" si="143"/>
        <v>40</v>
      </c>
      <c r="GY19" s="26">
        <f t="shared" si="144"/>
        <v>2807.8000000000006</v>
      </c>
      <c r="GZ19" s="26">
        <f t="shared" si="145"/>
        <v>2665.1333333333337</v>
      </c>
      <c r="HA19" s="26">
        <f t="shared" si="335"/>
        <v>70.195000000000022</v>
      </c>
      <c r="HB19" s="27" t="str">
        <f t="shared" si="336"/>
        <v>C</v>
      </c>
      <c r="HC19" s="26">
        <f t="shared" si="146"/>
        <v>66.628333333333345</v>
      </c>
      <c r="HD19" s="24">
        <f t="shared" si="147"/>
        <v>10</v>
      </c>
      <c r="HE19" s="24" t="str">
        <f t="shared" si="148"/>
        <v>6A</v>
      </c>
      <c r="HF19" s="24">
        <f t="shared" si="149"/>
        <v>13</v>
      </c>
      <c r="HG19" s="24">
        <f>IF(B19="","",'Q4'!$C$8)</f>
        <v>50</v>
      </c>
      <c r="HH19" s="24">
        <f>IF(A19="","",'Q4'!DE19)</f>
        <v>0</v>
      </c>
      <c r="HI19" s="24">
        <f>IF(B19="","",'Q4'!DF19)</f>
        <v>0</v>
      </c>
      <c r="HJ19" s="24">
        <f>IF(B19="","",'Q4'!DG19)</f>
        <v>0</v>
      </c>
      <c r="HK19" s="24">
        <f t="shared" si="150"/>
        <v>0</v>
      </c>
      <c r="HL19" s="25">
        <f t="shared" si="151"/>
        <v>1</v>
      </c>
      <c r="HM19" s="7">
        <v>55</v>
      </c>
      <c r="HN19" s="7">
        <v>85</v>
      </c>
      <c r="HO19" s="7">
        <v>80</v>
      </c>
      <c r="HP19" s="7">
        <v>80</v>
      </c>
      <c r="HQ19" s="7">
        <v>80</v>
      </c>
      <c r="HR19" s="7">
        <v>65</v>
      </c>
      <c r="HS19" s="7">
        <v>75</v>
      </c>
      <c r="HT19" s="7"/>
      <c r="HU19" s="7"/>
      <c r="HV19" s="7">
        <v>87</v>
      </c>
      <c r="HW19" s="7"/>
      <c r="HX19" s="7">
        <v>30</v>
      </c>
      <c r="HY19" s="7">
        <v>51</v>
      </c>
      <c r="HZ19" s="7">
        <v>45</v>
      </c>
      <c r="IA19" s="7">
        <v>77.5</v>
      </c>
      <c r="IB19" s="7">
        <v>48</v>
      </c>
      <c r="IC19" s="24" t="str">
        <f t="shared" si="152"/>
        <v>E</v>
      </c>
      <c r="ID19" s="24" t="str">
        <f t="shared" si="153"/>
        <v>B</v>
      </c>
      <c r="IE19" s="24" t="str">
        <f t="shared" si="154"/>
        <v>B</v>
      </c>
      <c r="IF19" s="24" t="str">
        <f t="shared" si="155"/>
        <v>B</v>
      </c>
      <c r="IG19" s="24" t="str">
        <f t="shared" si="156"/>
        <v>B</v>
      </c>
      <c r="IH19" s="24" t="str">
        <f t="shared" si="157"/>
        <v>D</v>
      </c>
      <c r="II19" s="24" t="str">
        <f t="shared" si="158"/>
        <v>C</v>
      </c>
      <c r="IJ19" s="24" t="str">
        <f t="shared" si="159"/>
        <v/>
      </c>
      <c r="IK19" s="24" t="str">
        <f t="shared" si="160"/>
        <v/>
      </c>
      <c r="IL19" s="24" t="str">
        <f t="shared" si="161"/>
        <v>B</v>
      </c>
      <c r="IM19" s="24" t="str">
        <f t="shared" si="162"/>
        <v/>
      </c>
      <c r="IN19" s="24" t="str">
        <f t="shared" si="163"/>
        <v>F</v>
      </c>
      <c r="IO19" s="24" t="str">
        <f t="shared" si="164"/>
        <v>E</v>
      </c>
      <c r="IP19" s="24" t="str">
        <f t="shared" si="165"/>
        <v>F</v>
      </c>
      <c r="IQ19" s="24" t="str">
        <f t="shared" si="166"/>
        <v>C</v>
      </c>
      <c r="IR19" s="24" t="str">
        <f t="shared" si="167"/>
        <v>F</v>
      </c>
      <c r="IS19" s="24">
        <f t="shared" si="168"/>
        <v>2</v>
      </c>
      <c r="IT19" s="24">
        <f t="shared" si="169"/>
        <v>2</v>
      </c>
      <c r="IU19" s="24">
        <f t="shared" si="170"/>
        <v>3</v>
      </c>
      <c r="IV19" s="24">
        <f t="shared" si="171"/>
        <v>1</v>
      </c>
      <c r="IW19" s="24">
        <f t="shared" si="172"/>
        <v>5</v>
      </c>
      <c r="IX19" s="24">
        <f t="shared" si="173"/>
        <v>3</v>
      </c>
      <c r="IY19" s="24">
        <f t="shared" si="174"/>
        <v>2</v>
      </c>
      <c r="IZ19" s="24" t="str">
        <f t="shared" si="175"/>
        <v/>
      </c>
      <c r="JA19" s="24" t="str">
        <f t="shared" si="176"/>
        <v/>
      </c>
      <c r="JB19" s="24">
        <f t="shared" si="177"/>
        <v>5</v>
      </c>
      <c r="JC19" s="24" t="str">
        <f t="shared" si="178"/>
        <v/>
      </c>
      <c r="JD19" s="24">
        <f t="shared" si="179"/>
        <v>5</v>
      </c>
      <c r="JE19" s="24">
        <f t="shared" si="180"/>
        <v>3</v>
      </c>
      <c r="JF19" s="24">
        <f t="shared" si="181"/>
        <v>2</v>
      </c>
      <c r="JG19" s="24">
        <f t="shared" si="182"/>
        <v>2</v>
      </c>
      <c r="JH19" s="24">
        <f t="shared" si="183"/>
        <v>2</v>
      </c>
      <c r="JI19" s="26">
        <f t="shared" si="184"/>
        <v>110</v>
      </c>
      <c r="JJ19" s="26">
        <f t="shared" si="185"/>
        <v>170</v>
      </c>
      <c r="JK19" s="26">
        <f t="shared" si="186"/>
        <v>240</v>
      </c>
      <c r="JL19" s="26">
        <f t="shared" si="187"/>
        <v>80</v>
      </c>
      <c r="JM19" s="26">
        <f t="shared" si="188"/>
        <v>400</v>
      </c>
      <c r="JN19" s="26">
        <f t="shared" si="189"/>
        <v>195</v>
      </c>
      <c r="JO19" s="26">
        <f t="shared" si="190"/>
        <v>150</v>
      </c>
      <c r="JP19" s="26" t="str">
        <f t="shared" si="191"/>
        <v/>
      </c>
      <c r="JQ19" s="26" t="str">
        <f t="shared" si="192"/>
        <v/>
      </c>
      <c r="JR19" s="26">
        <f t="shared" si="193"/>
        <v>435</v>
      </c>
      <c r="JS19" s="26" t="str">
        <f t="shared" si="194"/>
        <v/>
      </c>
      <c r="JT19" s="26">
        <f t="shared" si="195"/>
        <v>150</v>
      </c>
      <c r="JU19" s="26">
        <f t="shared" si="196"/>
        <v>153</v>
      </c>
      <c r="JV19" s="26">
        <f t="shared" si="197"/>
        <v>90</v>
      </c>
      <c r="JW19" s="26">
        <f t="shared" si="198"/>
        <v>155</v>
      </c>
      <c r="JX19" s="26">
        <f t="shared" si="199"/>
        <v>96</v>
      </c>
      <c r="JY19" s="24">
        <f t="shared" si="200"/>
        <v>2</v>
      </c>
      <c r="JZ19" s="24">
        <f t="shared" si="201"/>
        <v>6</v>
      </c>
      <c r="KA19" s="24">
        <f t="shared" si="202"/>
        <v>9</v>
      </c>
      <c r="KB19" s="24">
        <f t="shared" si="203"/>
        <v>3</v>
      </c>
      <c r="KC19" s="24">
        <f t="shared" si="204"/>
        <v>15</v>
      </c>
      <c r="KD19" s="24">
        <f t="shared" si="205"/>
        <v>4.5</v>
      </c>
      <c r="KE19" s="24">
        <f t="shared" si="206"/>
        <v>4</v>
      </c>
      <c r="KF19" s="24" t="str">
        <f t="shared" si="207"/>
        <v/>
      </c>
      <c r="KG19" s="24" t="str">
        <f t="shared" si="208"/>
        <v/>
      </c>
      <c r="KH19" s="24">
        <f t="shared" si="209"/>
        <v>15</v>
      </c>
      <c r="KI19" s="24" t="str">
        <f t="shared" si="210"/>
        <v/>
      </c>
      <c r="KJ19" s="24">
        <f t="shared" si="211"/>
        <v>0</v>
      </c>
      <c r="KK19" s="24">
        <f t="shared" si="212"/>
        <v>3</v>
      </c>
      <c r="KL19" s="24">
        <f t="shared" si="213"/>
        <v>0</v>
      </c>
      <c r="KM19" s="24">
        <f t="shared" si="214"/>
        <v>4</v>
      </c>
      <c r="KN19" s="24">
        <f t="shared" si="215"/>
        <v>0</v>
      </c>
      <c r="KO19" s="24">
        <f t="shared" si="216"/>
        <v>18</v>
      </c>
      <c r="KP19" s="26" t="str">
        <f t="shared" si="217"/>
        <v/>
      </c>
      <c r="KQ19" s="26">
        <f t="shared" si="218"/>
        <v>43.5</v>
      </c>
      <c r="KR19" s="26" t="str">
        <f t="shared" si="337"/>
        <v/>
      </c>
      <c r="KS19" s="24" t="str">
        <f t="shared" si="338"/>
        <v/>
      </c>
      <c r="KT19" s="26">
        <f t="shared" si="219"/>
        <v>2.4166666666666665</v>
      </c>
      <c r="KU19" s="24">
        <f t="shared" si="220"/>
        <v>19</v>
      </c>
      <c r="KV19" s="24">
        <f t="shared" si="221"/>
        <v>1079</v>
      </c>
      <c r="KW19" s="24">
        <f t="shared" si="222"/>
        <v>22</v>
      </c>
      <c r="KX19" s="26">
        <f t="shared" si="339"/>
        <v>56.789473684210527</v>
      </c>
      <c r="KY19" s="24" t="str">
        <f t="shared" si="340"/>
        <v>E</v>
      </c>
      <c r="KZ19" s="27">
        <f t="shared" si="223"/>
        <v>1.1578947368421053</v>
      </c>
      <c r="LA19" s="24">
        <f t="shared" si="224"/>
        <v>37</v>
      </c>
      <c r="LB19" s="26">
        <f t="shared" si="225"/>
        <v>2424</v>
      </c>
      <c r="LC19" s="26">
        <f t="shared" si="226"/>
        <v>65.5</v>
      </c>
      <c r="LD19" s="26">
        <f t="shared" si="341"/>
        <v>65.513513513513516</v>
      </c>
      <c r="LE19" s="27" t="str">
        <f t="shared" si="342"/>
        <v>D</v>
      </c>
      <c r="LF19" s="26">
        <f t="shared" si="227"/>
        <v>1.7702702702702702</v>
      </c>
      <c r="LG19" s="24">
        <f t="shared" si="228"/>
        <v>11</v>
      </c>
      <c r="LH19" s="24" t="str">
        <f t="shared" si="229"/>
        <v>6A</v>
      </c>
      <c r="LI19" s="24">
        <f t="shared" si="230"/>
        <v>13</v>
      </c>
      <c r="LJ19" s="26">
        <f>IF('Q4'!G19="","",SUM((AVERAGE('Q3'!G19,'Q4'!G19)*0.5))+(HM19*0.5))</f>
        <v>62.583333333333336</v>
      </c>
      <c r="LK19" s="26">
        <f>IF('Q4'!H19="","",SUM((AVERAGE('Q3'!H19,'Q4'!H19)*1)))</f>
        <v>77.050000000000011</v>
      </c>
      <c r="LL19" s="26">
        <f>IF('Q4'!I19="","",SUM((AVERAGE('Q3'!I19,'Q4'!I19)*0.5))+(HO19*0.5))</f>
        <v>77.38333333333334</v>
      </c>
      <c r="LM19" s="26">
        <f>IF('Q4'!J19="","",SUM((AVERAGE('Q3'!J19,'Q4'!J19)*0.5))+(HP19*0.5))</f>
        <v>74.416666666666671</v>
      </c>
      <c r="LN19" s="26">
        <f>IF('Q4'!K19="","",SUM((AVERAGE('Q3'!K19,'Q4'!K19)*0.5))+(HQ19*0.5))</f>
        <v>79.216666666666669</v>
      </c>
      <c r="LO19" s="26">
        <f>IF('Q4'!L19="","",SUM((AVERAGE('Q3'!L19,'Q4'!L19)*0.5))+(HR19*0.5))</f>
        <v>71.233333333333334</v>
      </c>
      <c r="LP19" s="26">
        <f>IF('Q4'!M19="","",SUM((AVERAGE('Q3'!M19,'Q4'!M19)*0.5))+(HS19*0.5))</f>
        <v>76.099999999999994</v>
      </c>
      <c r="LQ19" s="26">
        <f>IF('Q4'!N19="","",SUM((AVERAGE('Q3'!N19,'Q4'!N19)*1)))</f>
        <v>95.5</v>
      </c>
      <c r="LR19" s="26">
        <f>IF('Q4'!O19="","",SUM((AVERAGE('Q3'!O19,'Q4'!O19)*1)))</f>
        <v>95.5</v>
      </c>
      <c r="LS19" s="26">
        <f>IF('Q4'!P19="","",SUM((AVERAGE('Q3'!P19,'Q4'!P19)*0.5))+(HV19*0.5))</f>
        <v>78.694999999999993</v>
      </c>
      <c r="LT19" s="26">
        <f>IF('Q4'!Q19="","",SUM((AVERAGE('Q3'!Q19,'Q4'!Q19)*1)))</f>
        <v>70.39</v>
      </c>
      <c r="LU19" s="26">
        <f>IF('Q4'!R19="","",SUM((AVERAGE('Q3'!R19,'Q4'!R19)*0.5))+(HX19*0.5))</f>
        <v>42.237499999999997</v>
      </c>
      <c r="LV19" s="26">
        <f>IF('Q4'!S19="","",SUM((AVERAGE('Q3'!S19,'Q4'!S19)*0.5))+(HY19*0.5))</f>
        <v>58.302499999999995</v>
      </c>
      <c r="LW19" s="26">
        <f>IF('Q4'!T19="","",SUM((AVERAGE('Q3'!T19,'Q4'!T19)*0.5))+(HZ19*0.5))</f>
        <v>62.125</v>
      </c>
      <c r="LX19" s="26">
        <f>IF('Q4'!U19="","",SUM((AVERAGE('Q3'!U19,'Q4'!U19)*0.5))+(IA19*0.5))</f>
        <v>78.041666666666671</v>
      </c>
      <c r="LY19" s="26">
        <f>IF('Q4'!V19="","",SUM((AVERAGE('Q3'!V19,'Q4'!V19)*0.5))+(IB19*0.5))</f>
        <v>62.874166666666667</v>
      </c>
      <c r="LZ19" s="26" t="str">
        <f t="shared" si="231"/>
        <v>D</v>
      </c>
      <c r="MA19" s="26" t="str">
        <f t="shared" si="232"/>
        <v>C</v>
      </c>
      <c r="MB19" s="26" t="str">
        <f t="shared" si="233"/>
        <v>C</v>
      </c>
      <c r="MC19" s="26" t="str">
        <f t="shared" si="234"/>
        <v>C</v>
      </c>
      <c r="MD19" s="26" t="str">
        <f t="shared" si="235"/>
        <v>C</v>
      </c>
      <c r="ME19" s="26" t="str">
        <f t="shared" si="236"/>
        <v>C</v>
      </c>
      <c r="MF19" s="26" t="str">
        <f t="shared" si="237"/>
        <v>C</v>
      </c>
      <c r="MG19" s="26" t="str">
        <f t="shared" si="238"/>
        <v>A</v>
      </c>
      <c r="MH19" s="26" t="str">
        <f t="shared" si="239"/>
        <v>A</v>
      </c>
      <c r="MI19" s="24" t="str">
        <f t="shared" si="240"/>
        <v>C</v>
      </c>
      <c r="MJ19" s="24" t="str">
        <f t="shared" si="241"/>
        <v>C</v>
      </c>
      <c r="MK19" s="24" t="str">
        <f t="shared" si="242"/>
        <v>F</v>
      </c>
      <c r="ML19" s="24" t="str">
        <f t="shared" si="243"/>
        <v>E</v>
      </c>
      <c r="MM19" s="24" t="str">
        <f t="shared" si="244"/>
        <v>D</v>
      </c>
      <c r="MN19" s="24" t="str">
        <f t="shared" si="245"/>
        <v>C</v>
      </c>
      <c r="MO19" s="24" t="str">
        <f t="shared" si="246"/>
        <v>D</v>
      </c>
      <c r="MP19" s="24">
        <f t="shared" si="247"/>
        <v>2</v>
      </c>
      <c r="MQ19" s="24">
        <f t="shared" si="248"/>
        <v>2</v>
      </c>
      <c r="MR19" s="24">
        <f t="shared" si="249"/>
        <v>3</v>
      </c>
      <c r="MS19" s="24">
        <f t="shared" si="250"/>
        <v>1</v>
      </c>
      <c r="MT19" s="24">
        <f t="shared" si="251"/>
        <v>5</v>
      </c>
      <c r="MU19" s="24">
        <f t="shared" si="252"/>
        <v>3</v>
      </c>
      <c r="MV19" s="24">
        <f t="shared" si="253"/>
        <v>2</v>
      </c>
      <c r="MW19" s="24">
        <f t="shared" si="254"/>
        <v>1</v>
      </c>
      <c r="MX19" s="24">
        <f t="shared" si="255"/>
        <v>1</v>
      </c>
      <c r="MY19" s="24">
        <f t="shared" si="256"/>
        <v>5</v>
      </c>
      <c r="MZ19" s="24">
        <f t="shared" si="257"/>
        <v>1</v>
      </c>
      <c r="NA19" s="24">
        <f t="shared" si="258"/>
        <v>5</v>
      </c>
      <c r="NB19" s="24">
        <f t="shared" si="259"/>
        <v>3</v>
      </c>
      <c r="NC19" s="24">
        <f t="shared" si="260"/>
        <v>2</v>
      </c>
      <c r="ND19" s="24">
        <f t="shared" si="261"/>
        <v>2</v>
      </c>
      <c r="NE19" s="24">
        <f t="shared" si="262"/>
        <v>2</v>
      </c>
      <c r="NF19" s="26">
        <f t="shared" si="263"/>
        <v>125.16666666666667</v>
      </c>
      <c r="NG19" s="26">
        <f t="shared" si="264"/>
        <v>154.10000000000002</v>
      </c>
      <c r="NH19" s="26">
        <f t="shared" si="265"/>
        <v>232.15000000000003</v>
      </c>
      <c r="NI19" s="26">
        <f t="shared" si="266"/>
        <v>74.416666666666671</v>
      </c>
      <c r="NJ19" s="26">
        <f t="shared" si="267"/>
        <v>396.08333333333337</v>
      </c>
      <c r="NK19" s="26">
        <f t="shared" si="268"/>
        <v>213.7</v>
      </c>
      <c r="NL19" s="26">
        <f t="shared" si="269"/>
        <v>152.19999999999999</v>
      </c>
      <c r="NM19" s="26">
        <f t="shared" si="270"/>
        <v>95.5</v>
      </c>
      <c r="NN19" s="26">
        <f t="shared" si="271"/>
        <v>95.5</v>
      </c>
      <c r="NO19" s="26">
        <f t="shared" si="272"/>
        <v>393.47499999999997</v>
      </c>
      <c r="NP19" s="26">
        <f t="shared" si="273"/>
        <v>70.39</v>
      </c>
      <c r="NQ19" s="26">
        <f t="shared" si="274"/>
        <v>211.1875</v>
      </c>
      <c r="NR19" s="26">
        <f t="shared" si="275"/>
        <v>174.90749999999997</v>
      </c>
      <c r="NS19" s="26">
        <f t="shared" si="276"/>
        <v>124.25</v>
      </c>
      <c r="NT19" s="26">
        <f t="shared" si="277"/>
        <v>156.08333333333334</v>
      </c>
      <c r="NU19" s="26">
        <f t="shared" si="278"/>
        <v>125.74833333333333</v>
      </c>
      <c r="NV19" s="24">
        <f t="shared" si="279"/>
        <v>3</v>
      </c>
      <c r="NW19" s="24">
        <f t="shared" si="280"/>
        <v>4</v>
      </c>
      <c r="NX19" s="24">
        <f t="shared" si="281"/>
        <v>6</v>
      </c>
      <c r="NY19" s="24">
        <f t="shared" si="282"/>
        <v>2</v>
      </c>
      <c r="NZ19" s="24">
        <f t="shared" si="283"/>
        <v>10</v>
      </c>
      <c r="OA19" s="24">
        <f t="shared" si="284"/>
        <v>6</v>
      </c>
      <c r="OB19" s="24">
        <f t="shared" si="285"/>
        <v>4</v>
      </c>
      <c r="OC19" s="24">
        <f t="shared" si="286"/>
        <v>4</v>
      </c>
      <c r="OD19" s="24">
        <f t="shared" si="287"/>
        <v>4</v>
      </c>
      <c r="OE19" s="24">
        <f t="shared" si="288"/>
        <v>10</v>
      </c>
      <c r="OF19" s="24">
        <f t="shared" si="289"/>
        <v>2</v>
      </c>
      <c r="OG19" s="24">
        <f t="shared" si="290"/>
        <v>0</v>
      </c>
      <c r="OH19" s="24">
        <f t="shared" si="291"/>
        <v>3</v>
      </c>
      <c r="OI19" s="24">
        <f t="shared" si="292"/>
        <v>3</v>
      </c>
      <c r="OJ19" s="24">
        <f t="shared" si="293"/>
        <v>4</v>
      </c>
      <c r="OK19" s="24">
        <f t="shared" si="294"/>
        <v>3</v>
      </c>
      <c r="OL19" s="24">
        <f t="shared" si="295"/>
        <v>20</v>
      </c>
      <c r="OM19" s="26">
        <f t="shared" si="296"/>
        <v>1538.8166666666668</v>
      </c>
      <c r="ON19" s="26">
        <f t="shared" si="297"/>
        <v>43</v>
      </c>
      <c r="OO19" s="26">
        <f t="shared" si="343"/>
        <v>76.940833333333345</v>
      </c>
      <c r="OP19" s="24" t="str">
        <f t="shared" si="344"/>
        <v>C</v>
      </c>
      <c r="OQ19" s="26">
        <f t="shared" si="298"/>
        <v>2.15</v>
      </c>
      <c r="OR19" s="24">
        <f t="shared" si="299"/>
        <v>20</v>
      </c>
      <c r="OS19" s="26">
        <f t="shared" si="300"/>
        <v>1256.0416666666665</v>
      </c>
      <c r="OT19" s="26">
        <f t="shared" si="301"/>
        <v>25</v>
      </c>
      <c r="OU19" s="26">
        <f t="shared" si="345"/>
        <v>62.802083333333329</v>
      </c>
      <c r="OV19" s="24" t="str">
        <f t="shared" si="346"/>
        <v>D</v>
      </c>
      <c r="OW19" s="27">
        <f t="shared" si="302"/>
        <v>1.25</v>
      </c>
      <c r="OX19" s="24">
        <f t="shared" si="303"/>
        <v>40</v>
      </c>
      <c r="OY19" s="26">
        <f t="shared" si="304"/>
        <v>2794.8583333333336</v>
      </c>
      <c r="OZ19" s="26">
        <f t="shared" si="305"/>
        <v>68</v>
      </c>
      <c r="PA19" s="26">
        <f t="shared" si="347"/>
        <v>69.871458333333337</v>
      </c>
      <c r="PB19" s="27" t="str">
        <f t="shared" si="348"/>
        <v>D</v>
      </c>
      <c r="PC19" s="26">
        <f t="shared" si="306"/>
        <v>1.7</v>
      </c>
      <c r="PD19" s="24">
        <f t="shared" si="307"/>
        <v>11</v>
      </c>
      <c r="PE19" s="24" t="str">
        <f t="shared" si="308"/>
        <v>6A</v>
      </c>
      <c r="PF19" s="24">
        <f t="shared" si="309"/>
        <v>13</v>
      </c>
      <c r="PG19" s="24">
        <f t="shared" si="310"/>
        <v>104</v>
      </c>
      <c r="PH19" s="24">
        <f t="shared" si="311"/>
        <v>0</v>
      </c>
      <c r="PI19" s="24">
        <f t="shared" si="312"/>
        <v>0</v>
      </c>
      <c r="PJ19" s="24">
        <f t="shared" si="313"/>
        <v>0</v>
      </c>
      <c r="PK19" s="24">
        <f t="shared" si="314"/>
        <v>0</v>
      </c>
      <c r="PL19" s="25">
        <f t="shared" si="315"/>
        <v>1</v>
      </c>
    </row>
    <row r="20" spans="1:428" ht="27" customHeight="1" x14ac:dyDescent="0.35">
      <c r="A20" s="24">
        <f t="shared" si="349"/>
        <v>6</v>
      </c>
      <c r="B20" s="28" t="str">
        <f>IF('Q1'!B20="","",'Q1'!B20)</f>
        <v>Pheng Meili</v>
      </c>
      <c r="C20" s="30" t="str">
        <f>IF('Q1'!C20="","",'Q1'!C20)</f>
        <v>ផេង ម៉ីលី</v>
      </c>
      <c r="D20" s="28" t="str">
        <f>IF('Q1'!D20="","",'Q1'!D20)</f>
        <v>F</v>
      </c>
      <c r="E20" s="24">
        <f>IF('Q1'!E20="","",'Q1'!E20)</f>
        <v>720</v>
      </c>
      <c r="F20" s="24" t="str">
        <f>IF('Q1'!F20="","",'Q1'!F20)</f>
        <v>I</v>
      </c>
      <c r="G20" s="26">
        <f>IF('Q3'!G20="","",'Q3'!G20)</f>
        <v>87.333333333333343</v>
      </c>
      <c r="H20" s="26">
        <f>IF('Q3'!H20="","",'Q3'!H20)</f>
        <v>91.233333333333348</v>
      </c>
      <c r="I20" s="26">
        <f>IF('Q3'!I20="","",'Q3'!I20)</f>
        <v>88.066666666666677</v>
      </c>
      <c r="J20" s="26">
        <f>IF('Q3'!J20="","",'Q3'!J20)</f>
        <v>91.333333333333343</v>
      </c>
      <c r="K20" s="26">
        <f>IF('Q3'!K20="","",'Q3'!K20)</f>
        <v>90.066666666666677</v>
      </c>
      <c r="L20" s="26">
        <f>IF('Q3'!L20="","",'Q3'!L20)</f>
        <v>87.26666666666668</v>
      </c>
      <c r="M20" s="26">
        <f>IF('Q3'!M20="","",'Q3'!M20)</f>
        <v>90.133333333333326</v>
      </c>
      <c r="N20" s="26">
        <f>IF('Q3'!N20="","",'Q3'!N20)</f>
        <v>98</v>
      </c>
      <c r="O20" s="26">
        <f>IF('Q3'!O20="","",'Q3'!O20)</f>
        <v>98</v>
      </c>
      <c r="P20" s="26">
        <f>IF('Q3'!P20="","",'Q3'!P20)</f>
        <v>92.593333333333334</v>
      </c>
      <c r="Q20" s="26">
        <f>IF('Q3'!Q20="","",'Q3'!Q20)</f>
        <v>92.593333333333334</v>
      </c>
      <c r="R20" s="26">
        <f>IF('Q3'!R20="","",'Q3'!R20)</f>
        <v>69.23</v>
      </c>
      <c r="S20" s="26">
        <f>IF('Q3'!S20="","",'Q3'!S20)</f>
        <v>70.72</v>
      </c>
      <c r="T20" s="26">
        <f>IF('Q3'!T20="","",'Q3'!T20)</f>
        <v>93</v>
      </c>
      <c r="U20" s="26">
        <f>IF('Q3'!U20="","",'Q3'!U20)</f>
        <v>95.666666666666671</v>
      </c>
      <c r="V20" s="26">
        <f>IF('Q3'!V20="","",'Q3'!V20)</f>
        <v>96.5</v>
      </c>
      <c r="W20" s="26" t="str">
        <f t="shared" si="0"/>
        <v>B</v>
      </c>
      <c r="X20" s="26" t="str">
        <f t="shared" si="1"/>
        <v>A</v>
      </c>
      <c r="Y20" s="26" t="str">
        <f t="shared" si="2"/>
        <v>B</v>
      </c>
      <c r="Z20" s="26" t="str">
        <f t="shared" si="3"/>
        <v>A</v>
      </c>
      <c r="AA20" s="26" t="str">
        <f t="shared" si="4"/>
        <v>A</v>
      </c>
      <c r="AB20" s="26" t="str">
        <f t="shared" si="5"/>
        <v>B</v>
      </c>
      <c r="AC20" s="26" t="str">
        <f t="shared" si="6"/>
        <v>A</v>
      </c>
      <c r="AD20" s="26" t="str">
        <f t="shared" si="7"/>
        <v>A</v>
      </c>
      <c r="AE20" s="26" t="str">
        <f t="shared" si="8"/>
        <v>A</v>
      </c>
      <c r="AF20" s="24" t="str">
        <f t="shared" si="9"/>
        <v>A</v>
      </c>
      <c r="AG20" s="24" t="str">
        <f t="shared" si="10"/>
        <v>A</v>
      </c>
      <c r="AH20" s="24" t="str">
        <f t="shared" si="11"/>
        <v>D</v>
      </c>
      <c r="AI20" s="24" t="str">
        <f t="shared" si="12"/>
        <v>C</v>
      </c>
      <c r="AJ20" s="24" t="str">
        <f t="shared" si="13"/>
        <v>A</v>
      </c>
      <c r="AK20" s="24" t="str">
        <f t="shared" si="14"/>
        <v>A</v>
      </c>
      <c r="AL20" s="24" t="str">
        <f t="shared" si="15"/>
        <v>A</v>
      </c>
      <c r="AM20" s="24">
        <f t="shared" si="16"/>
        <v>2</v>
      </c>
      <c r="AN20" s="24">
        <f t="shared" si="17"/>
        <v>2</v>
      </c>
      <c r="AO20" s="24">
        <f t="shared" si="18"/>
        <v>3</v>
      </c>
      <c r="AP20" s="24">
        <f t="shared" si="19"/>
        <v>1</v>
      </c>
      <c r="AQ20" s="24">
        <f t="shared" si="20"/>
        <v>5</v>
      </c>
      <c r="AR20" s="24">
        <f t="shared" si="21"/>
        <v>3</v>
      </c>
      <c r="AS20" s="24">
        <f t="shared" si="22"/>
        <v>2</v>
      </c>
      <c r="AT20" s="24">
        <f t="shared" si="23"/>
        <v>1</v>
      </c>
      <c r="AU20" s="24">
        <f t="shared" si="24"/>
        <v>1</v>
      </c>
      <c r="AV20" s="24">
        <f t="shared" si="25"/>
        <v>5</v>
      </c>
      <c r="AW20" s="24">
        <f t="shared" si="26"/>
        <v>1</v>
      </c>
      <c r="AX20" s="24">
        <f t="shared" si="27"/>
        <v>5</v>
      </c>
      <c r="AY20" s="24">
        <f t="shared" si="28"/>
        <v>3</v>
      </c>
      <c r="AZ20" s="24">
        <f t="shared" si="29"/>
        <v>2</v>
      </c>
      <c r="BA20" s="24">
        <f t="shared" si="30"/>
        <v>2</v>
      </c>
      <c r="BB20" s="24">
        <f t="shared" si="31"/>
        <v>2</v>
      </c>
      <c r="BC20" s="26">
        <f t="shared" si="32"/>
        <v>174.66666666666669</v>
      </c>
      <c r="BD20" s="26">
        <f t="shared" si="33"/>
        <v>182.4666666666667</v>
      </c>
      <c r="BE20" s="26">
        <f t="shared" si="34"/>
        <v>264.20000000000005</v>
      </c>
      <c r="BF20" s="26">
        <f t="shared" si="35"/>
        <v>91.333333333333343</v>
      </c>
      <c r="BG20" s="26">
        <f t="shared" si="36"/>
        <v>450.33333333333337</v>
      </c>
      <c r="BH20" s="26">
        <f t="shared" si="37"/>
        <v>261.80000000000007</v>
      </c>
      <c r="BI20" s="26">
        <f t="shared" si="38"/>
        <v>180.26666666666665</v>
      </c>
      <c r="BJ20" s="26">
        <f t="shared" si="39"/>
        <v>98</v>
      </c>
      <c r="BK20" s="26">
        <f t="shared" si="40"/>
        <v>98</v>
      </c>
      <c r="BL20" s="26">
        <f t="shared" si="41"/>
        <v>462.9666666666667</v>
      </c>
      <c r="BM20" s="26">
        <f t="shared" si="42"/>
        <v>92.593333333333334</v>
      </c>
      <c r="BN20" s="26">
        <f t="shared" si="43"/>
        <v>346.15000000000003</v>
      </c>
      <c r="BO20" s="26">
        <f t="shared" si="44"/>
        <v>212.16</v>
      </c>
      <c r="BP20" s="26">
        <f t="shared" si="45"/>
        <v>186</v>
      </c>
      <c r="BQ20" s="26">
        <f t="shared" si="46"/>
        <v>191.33333333333334</v>
      </c>
      <c r="BR20" s="26">
        <f t="shared" si="47"/>
        <v>193</v>
      </c>
      <c r="BS20" s="24">
        <f t="shared" si="48"/>
        <v>6</v>
      </c>
      <c r="BT20" s="24">
        <f t="shared" si="49"/>
        <v>8</v>
      </c>
      <c r="BU20" s="24">
        <f t="shared" si="50"/>
        <v>9</v>
      </c>
      <c r="BV20" s="24">
        <f t="shared" si="51"/>
        <v>4</v>
      </c>
      <c r="BW20" s="24">
        <f t="shared" si="52"/>
        <v>20</v>
      </c>
      <c r="BX20" s="24">
        <f t="shared" si="53"/>
        <v>9</v>
      </c>
      <c r="BY20" s="24">
        <f t="shared" si="54"/>
        <v>8</v>
      </c>
      <c r="BZ20" s="24">
        <f t="shared" si="55"/>
        <v>4</v>
      </c>
      <c r="CA20" s="24">
        <f t="shared" si="56"/>
        <v>4</v>
      </c>
      <c r="CB20" s="24">
        <f t="shared" si="57"/>
        <v>20</v>
      </c>
      <c r="CC20" s="24">
        <f t="shared" si="58"/>
        <v>4</v>
      </c>
      <c r="CD20" s="24">
        <f t="shared" si="59"/>
        <v>7.5</v>
      </c>
      <c r="CE20" s="24">
        <f t="shared" si="60"/>
        <v>6</v>
      </c>
      <c r="CF20" s="24">
        <f t="shared" si="61"/>
        <v>8</v>
      </c>
      <c r="CG20" s="24">
        <f t="shared" si="62"/>
        <v>8</v>
      </c>
      <c r="CH20" s="24">
        <f t="shared" si="63"/>
        <v>8</v>
      </c>
      <c r="CI20" s="24">
        <f t="shared" si="64"/>
        <v>20</v>
      </c>
      <c r="CJ20" s="26">
        <f t="shared" si="65"/>
        <v>1801.0666666666668</v>
      </c>
      <c r="CK20" s="26">
        <f t="shared" si="66"/>
        <v>82</v>
      </c>
      <c r="CL20" s="26">
        <f t="shared" si="316"/>
        <v>90.053333333333342</v>
      </c>
      <c r="CM20" s="24" t="str">
        <f t="shared" si="317"/>
        <v>A</v>
      </c>
      <c r="CN20" s="26">
        <f t="shared" si="67"/>
        <v>4.0999999999999996</v>
      </c>
      <c r="CO20" s="24">
        <f t="shared" si="68"/>
        <v>20</v>
      </c>
      <c r="CP20" s="26">
        <f t="shared" si="69"/>
        <v>1684.2033333333334</v>
      </c>
      <c r="CQ20" s="26">
        <f t="shared" si="70"/>
        <v>61.5</v>
      </c>
      <c r="CR20" s="26">
        <f t="shared" si="318"/>
        <v>84.210166666666666</v>
      </c>
      <c r="CS20" s="24" t="str">
        <f t="shared" si="319"/>
        <v>B</v>
      </c>
      <c r="CT20" s="27">
        <f t="shared" si="71"/>
        <v>3.0750000000000002</v>
      </c>
      <c r="CU20" s="24">
        <f t="shared" si="72"/>
        <v>40</v>
      </c>
      <c r="CV20" s="26">
        <f t="shared" si="73"/>
        <v>3485.2700000000004</v>
      </c>
      <c r="CW20" s="27">
        <f t="shared" si="74"/>
        <v>3316.6033333333335</v>
      </c>
      <c r="CX20" s="26">
        <f t="shared" si="320"/>
        <v>87.131750000000011</v>
      </c>
      <c r="CY20" s="27" t="str">
        <f t="shared" si="321"/>
        <v>B</v>
      </c>
      <c r="CZ20" s="26">
        <f t="shared" si="75"/>
        <v>82.915083333333342</v>
      </c>
      <c r="DA20" s="24">
        <f t="shared" si="76"/>
        <v>5</v>
      </c>
      <c r="DB20" s="24" t="str">
        <f t="shared" si="77"/>
        <v>6A</v>
      </c>
      <c r="DC20" s="24">
        <f t="shared" si="78"/>
        <v>13</v>
      </c>
      <c r="DD20" s="24">
        <f>IF(B20="","",'Q3'!$C$8)</f>
        <v>50</v>
      </c>
      <c r="DE20" s="24">
        <f>IF(B20="","",'Q3'!DE20)</f>
        <v>0</v>
      </c>
      <c r="DF20" s="24">
        <f>IF(C20="","",'Q3'!DF20)</f>
        <v>0</v>
      </c>
      <c r="DG20" s="24">
        <f>IF(D20="","",'Q3'!DG20)</f>
        <v>0</v>
      </c>
      <c r="DH20" s="24">
        <f>IF(E20="","",'Q3'!DH20)</f>
        <v>0</v>
      </c>
      <c r="DI20" s="25">
        <f t="shared" si="79"/>
        <v>1</v>
      </c>
      <c r="DJ20" s="26">
        <f>IF('Q4'!G20="","",'Q4'!G20)</f>
        <v>90</v>
      </c>
      <c r="DK20" s="26">
        <f>IF('Q4'!H20="","",'Q4'!H20)</f>
        <v>91.6</v>
      </c>
      <c r="DL20" s="26">
        <f>IF('Q4'!I20="","",'Q4'!I20)</f>
        <v>90.066666666666677</v>
      </c>
      <c r="DM20" s="26">
        <f>IF('Q4'!J20="","",'Q4'!J20)</f>
        <v>91.333333333333343</v>
      </c>
      <c r="DN20" s="26">
        <f>IF('Q4'!K20="","",'Q4'!K20)</f>
        <v>93.466666666666683</v>
      </c>
      <c r="DO20" s="26">
        <f>IF('Q4'!L20="","",'Q4'!L20)</f>
        <v>92.033333333333331</v>
      </c>
      <c r="DP20" s="26">
        <f>IF('Q4'!M20="","",'Q4'!M20)</f>
        <v>91.166666666666671</v>
      </c>
      <c r="DQ20" s="26">
        <f>IF('Q4'!N20="","",'Q4'!N20)</f>
        <v>98</v>
      </c>
      <c r="DR20" s="26">
        <f>IF('Q4'!O20="","",'Q4'!O20)</f>
        <v>98</v>
      </c>
      <c r="DS20" s="26">
        <f>IF('Q4'!P20="","",'Q4'!P20)</f>
        <v>65.599999999999994</v>
      </c>
      <c r="DT20" s="26">
        <f>IF('Q4'!Q20="","",'Q4'!Q20)</f>
        <v>65.599999999999994</v>
      </c>
      <c r="DU20" s="26">
        <f>IF('Q4'!R20="","",'Q4'!R20)</f>
        <v>72.56</v>
      </c>
      <c r="DV20" s="26">
        <f>IF('Q4'!S20="","",'Q4'!S20)</f>
        <v>62.57</v>
      </c>
      <c r="DW20" s="26">
        <f>IF('Q4'!T20="","",'Q4'!T20)</f>
        <v>87.5</v>
      </c>
      <c r="DX20" s="26">
        <f>IF('Q4'!U20="","",'Q4'!U20)</f>
        <v>97</v>
      </c>
      <c r="DY20" s="26">
        <f>IF('Q4'!V20="","",'Q4'!V20)</f>
        <v>92.333333333333343</v>
      </c>
      <c r="DZ20" s="26" t="str">
        <f t="shared" si="80"/>
        <v>A</v>
      </c>
      <c r="EA20" s="26" t="str">
        <f t="shared" si="81"/>
        <v>A</v>
      </c>
      <c r="EB20" s="26" t="str">
        <f t="shared" si="82"/>
        <v>A</v>
      </c>
      <c r="EC20" s="26" t="str">
        <f t="shared" si="83"/>
        <v>A</v>
      </c>
      <c r="ED20" s="26" t="str">
        <f t="shared" si="84"/>
        <v>A</v>
      </c>
      <c r="EE20" s="26" t="str">
        <f t="shared" si="85"/>
        <v>A</v>
      </c>
      <c r="EF20" s="26" t="str">
        <f t="shared" si="86"/>
        <v>A</v>
      </c>
      <c r="EG20" s="26" t="str">
        <f t="shared" si="87"/>
        <v>A</v>
      </c>
      <c r="EH20" s="26" t="str">
        <f t="shared" si="88"/>
        <v>A</v>
      </c>
      <c r="EI20" s="24" t="str">
        <f t="shared" si="89"/>
        <v>D</v>
      </c>
      <c r="EJ20" s="24" t="str">
        <f t="shared" si="90"/>
        <v>D</v>
      </c>
      <c r="EK20" s="24" t="str">
        <f t="shared" si="91"/>
        <v>C</v>
      </c>
      <c r="EL20" s="24" t="str">
        <f t="shared" si="92"/>
        <v>D</v>
      </c>
      <c r="EM20" s="24" t="str">
        <f t="shared" si="93"/>
        <v>B</v>
      </c>
      <c r="EN20" s="24" t="str">
        <f t="shared" si="94"/>
        <v>A</v>
      </c>
      <c r="EO20" s="24" t="str">
        <f t="shared" si="95"/>
        <v>A</v>
      </c>
      <c r="EP20" s="24">
        <f t="shared" si="96"/>
        <v>2</v>
      </c>
      <c r="EQ20" s="24">
        <f t="shared" si="97"/>
        <v>2</v>
      </c>
      <c r="ER20" s="24">
        <f t="shared" si="98"/>
        <v>3</v>
      </c>
      <c r="ES20" s="24">
        <f t="shared" si="99"/>
        <v>1</v>
      </c>
      <c r="ET20" s="24">
        <f t="shared" si="100"/>
        <v>5</v>
      </c>
      <c r="EU20" s="24">
        <f t="shared" si="101"/>
        <v>3</v>
      </c>
      <c r="EV20" s="24">
        <f t="shared" si="102"/>
        <v>2</v>
      </c>
      <c r="EW20" s="24">
        <f t="shared" si="322"/>
        <v>1</v>
      </c>
      <c r="EX20" s="24">
        <f t="shared" si="103"/>
        <v>1</v>
      </c>
      <c r="EY20" s="24">
        <f t="shared" si="104"/>
        <v>5</v>
      </c>
      <c r="EZ20" s="24">
        <f t="shared" si="105"/>
        <v>1</v>
      </c>
      <c r="FA20" s="24">
        <f t="shared" si="106"/>
        <v>5</v>
      </c>
      <c r="FB20" s="24">
        <f t="shared" si="107"/>
        <v>3</v>
      </c>
      <c r="FC20" s="24">
        <f t="shared" si="108"/>
        <v>2</v>
      </c>
      <c r="FD20" s="24">
        <f t="shared" si="109"/>
        <v>2</v>
      </c>
      <c r="FE20" s="24">
        <f t="shared" si="110"/>
        <v>2</v>
      </c>
      <c r="FF20" s="26">
        <f t="shared" si="111"/>
        <v>180</v>
      </c>
      <c r="FG20" s="26">
        <f t="shared" si="112"/>
        <v>183.2</v>
      </c>
      <c r="FH20" s="26">
        <f t="shared" si="113"/>
        <v>270.20000000000005</v>
      </c>
      <c r="FI20" s="26">
        <f t="shared" si="114"/>
        <v>91.333333333333343</v>
      </c>
      <c r="FJ20" s="26">
        <f t="shared" si="115"/>
        <v>467.33333333333343</v>
      </c>
      <c r="FK20" s="26">
        <f t="shared" si="116"/>
        <v>276.10000000000002</v>
      </c>
      <c r="FL20" s="26">
        <f t="shared" si="117"/>
        <v>182.33333333333334</v>
      </c>
      <c r="FM20" s="26">
        <f t="shared" si="118"/>
        <v>98</v>
      </c>
      <c r="FN20" s="26"/>
      <c r="FO20" s="26">
        <f t="shared" si="119"/>
        <v>328</v>
      </c>
      <c r="FP20" s="26">
        <f t="shared" si="120"/>
        <v>65.599999999999994</v>
      </c>
      <c r="FQ20" s="26">
        <f t="shared" si="121"/>
        <v>362.8</v>
      </c>
      <c r="FR20" s="26">
        <f t="shared" si="122"/>
        <v>187.71</v>
      </c>
      <c r="FS20" s="26">
        <f t="shared" si="123"/>
        <v>175</v>
      </c>
      <c r="FT20" s="26">
        <f t="shared" si="124"/>
        <v>194</v>
      </c>
      <c r="FU20" s="26">
        <f t="shared" si="125"/>
        <v>184.66666666666669</v>
      </c>
      <c r="FV20" s="24">
        <f t="shared" si="126"/>
        <v>8</v>
      </c>
      <c r="FW20" s="24">
        <f t="shared" si="127"/>
        <v>8</v>
      </c>
      <c r="FX20" s="24">
        <f t="shared" si="128"/>
        <v>12</v>
      </c>
      <c r="FY20" s="24">
        <f t="shared" si="129"/>
        <v>4</v>
      </c>
      <c r="FZ20" s="24">
        <f t="shared" si="130"/>
        <v>20</v>
      </c>
      <c r="GA20" s="24">
        <f t="shared" si="131"/>
        <v>12</v>
      </c>
      <c r="GB20" s="24">
        <f t="shared" si="132"/>
        <v>8</v>
      </c>
      <c r="GC20" s="24">
        <f t="shared" si="133"/>
        <v>4</v>
      </c>
      <c r="GD20" s="24">
        <f t="shared" si="323"/>
        <v>4</v>
      </c>
      <c r="GE20" s="24">
        <f t="shared" si="324"/>
        <v>1.5</v>
      </c>
      <c r="GF20" s="24">
        <f t="shared" si="325"/>
        <v>7.5</v>
      </c>
      <c r="GG20" s="24">
        <f t="shared" si="326"/>
        <v>6</v>
      </c>
      <c r="GH20" s="24">
        <f t="shared" si="327"/>
        <v>3</v>
      </c>
      <c r="GI20" s="24">
        <f t="shared" si="328"/>
        <v>6</v>
      </c>
      <c r="GJ20" s="24">
        <f t="shared" si="329"/>
        <v>8</v>
      </c>
      <c r="GK20" s="24">
        <f t="shared" si="330"/>
        <v>8</v>
      </c>
      <c r="GL20" s="24">
        <f t="shared" si="135"/>
        <v>19</v>
      </c>
      <c r="GM20" s="26">
        <f t="shared" si="136"/>
        <v>1748.5000000000002</v>
      </c>
      <c r="GN20" s="26">
        <f t="shared" si="137"/>
        <v>73</v>
      </c>
      <c r="GO20" s="26">
        <f t="shared" si="331"/>
        <v>92.026315789473699</v>
      </c>
      <c r="GP20" s="24" t="str">
        <f t="shared" si="332"/>
        <v>A</v>
      </c>
      <c r="GQ20" s="26">
        <f t="shared" si="138"/>
        <v>3.8421052631578947</v>
      </c>
      <c r="GR20" s="24">
        <f t="shared" si="139"/>
        <v>20</v>
      </c>
      <c r="GS20" s="26">
        <f t="shared" si="140"/>
        <v>1497.7766666666669</v>
      </c>
      <c r="GT20" s="26">
        <f t="shared" si="141"/>
        <v>40</v>
      </c>
      <c r="GU20" s="26">
        <f t="shared" si="333"/>
        <v>74.888833333333338</v>
      </c>
      <c r="GV20" s="24" t="str">
        <f t="shared" si="334"/>
        <v>C</v>
      </c>
      <c r="GW20" s="27">
        <f t="shared" si="142"/>
        <v>2</v>
      </c>
      <c r="GX20" s="24">
        <f t="shared" si="143"/>
        <v>40</v>
      </c>
      <c r="GY20" s="26">
        <f t="shared" si="144"/>
        <v>3246.2766666666666</v>
      </c>
      <c r="GZ20" s="26">
        <f t="shared" si="145"/>
        <v>3074.2766666666666</v>
      </c>
      <c r="HA20" s="26">
        <f t="shared" si="335"/>
        <v>81.15691666666666</v>
      </c>
      <c r="HB20" s="27" t="str">
        <f t="shared" si="336"/>
        <v>B</v>
      </c>
      <c r="HC20" s="26">
        <f t="shared" si="146"/>
        <v>76.856916666666663</v>
      </c>
      <c r="HD20" s="24">
        <f t="shared" si="147"/>
        <v>3</v>
      </c>
      <c r="HE20" s="24" t="str">
        <f t="shared" si="148"/>
        <v>6A</v>
      </c>
      <c r="HF20" s="24">
        <f t="shared" si="149"/>
        <v>13</v>
      </c>
      <c r="HG20" s="24">
        <f>IF(B20="","",'Q4'!$C$8)</f>
        <v>50</v>
      </c>
      <c r="HH20" s="24">
        <f>IF(A20="","",'Q4'!DE20)</f>
        <v>0</v>
      </c>
      <c r="HI20" s="24">
        <f>IF(B20="","",'Q4'!DF20)</f>
        <v>0</v>
      </c>
      <c r="HJ20" s="24">
        <f>IF(B20="","",'Q4'!DG20)</f>
        <v>0</v>
      </c>
      <c r="HK20" s="24">
        <f t="shared" si="150"/>
        <v>0</v>
      </c>
      <c r="HL20" s="25">
        <f t="shared" si="151"/>
        <v>1</v>
      </c>
      <c r="HM20" s="7">
        <v>95</v>
      </c>
      <c r="HN20" s="7">
        <v>90</v>
      </c>
      <c r="HO20" s="7">
        <v>95</v>
      </c>
      <c r="HP20" s="7">
        <v>95</v>
      </c>
      <c r="HQ20" s="7">
        <v>65</v>
      </c>
      <c r="HR20" s="7">
        <v>85</v>
      </c>
      <c r="HS20" s="7">
        <v>85</v>
      </c>
      <c r="HT20" s="7"/>
      <c r="HU20" s="7"/>
      <c r="HV20" s="7">
        <v>95</v>
      </c>
      <c r="HW20" s="7"/>
      <c r="HX20" s="7">
        <v>60</v>
      </c>
      <c r="HY20" s="7">
        <v>77</v>
      </c>
      <c r="HZ20" s="7">
        <v>90</v>
      </c>
      <c r="IA20" s="7">
        <v>85</v>
      </c>
      <c r="IB20" s="7">
        <v>78</v>
      </c>
      <c r="IC20" s="24" t="str">
        <f t="shared" si="152"/>
        <v>A</v>
      </c>
      <c r="ID20" s="24" t="str">
        <f t="shared" si="153"/>
        <v>A</v>
      </c>
      <c r="IE20" s="24" t="str">
        <f t="shared" si="154"/>
        <v>A</v>
      </c>
      <c r="IF20" s="24" t="str">
        <f t="shared" si="155"/>
        <v>A</v>
      </c>
      <c r="IG20" s="24" t="str">
        <f t="shared" si="156"/>
        <v>D</v>
      </c>
      <c r="IH20" s="24" t="str">
        <f t="shared" si="157"/>
        <v>B</v>
      </c>
      <c r="II20" s="24" t="str">
        <f t="shared" si="158"/>
        <v>B</v>
      </c>
      <c r="IJ20" s="24" t="str">
        <f t="shared" si="159"/>
        <v/>
      </c>
      <c r="IK20" s="24" t="str">
        <f t="shared" si="160"/>
        <v/>
      </c>
      <c r="IL20" s="24" t="str">
        <f t="shared" si="161"/>
        <v>A</v>
      </c>
      <c r="IM20" s="24" t="str">
        <f t="shared" si="162"/>
        <v/>
      </c>
      <c r="IN20" s="24" t="str">
        <f t="shared" si="163"/>
        <v>D</v>
      </c>
      <c r="IO20" s="24" t="str">
        <f t="shared" si="164"/>
        <v>C</v>
      </c>
      <c r="IP20" s="24" t="str">
        <f t="shared" si="165"/>
        <v>A</v>
      </c>
      <c r="IQ20" s="24" t="str">
        <f t="shared" si="166"/>
        <v>B</v>
      </c>
      <c r="IR20" s="24" t="str">
        <f t="shared" si="167"/>
        <v>C</v>
      </c>
      <c r="IS20" s="24">
        <f t="shared" si="168"/>
        <v>2</v>
      </c>
      <c r="IT20" s="24">
        <f t="shared" si="169"/>
        <v>2</v>
      </c>
      <c r="IU20" s="24">
        <f t="shared" si="170"/>
        <v>3</v>
      </c>
      <c r="IV20" s="24">
        <f t="shared" si="171"/>
        <v>1</v>
      </c>
      <c r="IW20" s="24">
        <f t="shared" si="172"/>
        <v>5</v>
      </c>
      <c r="IX20" s="24">
        <f t="shared" si="173"/>
        <v>3</v>
      </c>
      <c r="IY20" s="24">
        <f t="shared" si="174"/>
        <v>2</v>
      </c>
      <c r="IZ20" s="24" t="str">
        <f t="shared" si="175"/>
        <v/>
      </c>
      <c r="JA20" s="24" t="str">
        <f t="shared" si="176"/>
        <v/>
      </c>
      <c r="JB20" s="24">
        <f t="shared" si="177"/>
        <v>5</v>
      </c>
      <c r="JC20" s="24" t="str">
        <f t="shared" si="178"/>
        <v/>
      </c>
      <c r="JD20" s="24">
        <f t="shared" si="179"/>
        <v>5</v>
      </c>
      <c r="JE20" s="24">
        <f t="shared" si="180"/>
        <v>3</v>
      </c>
      <c r="JF20" s="24">
        <f t="shared" si="181"/>
        <v>2</v>
      </c>
      <c r="JG20" s="24">
        <f t="shared" si="182"/>
        <v>2</v>
      </c>
      <c r="JH20" s="24">
        <f t="shared" si="183"/>
        <v>2</v>
      </c>
      <c r="JI20" s="26">
        <f t="shared" si="184"/>
        <v>190</v>
      </c>
      <c r="JJ20" s="26">
        <f t="shared" si="185"/>
        <v>180</v>
      </c>
      <c r="JK20" s="26">
        <f t="shared" si="186"/>
        <v>285</v>
      </c>
      <c r="JL20" s="26">
        <f t="shared" si="187"/>
        <v>95</v>
      </c>
      <c r="JM20" s="26">
        <f t="shared" si="188"/>
        <v>325</v>
      </c>
      <c r="JN20" s="26">
        <f t="shared" si="189"/>
        <v>255</v>
      </c>
      <c r="JO20" s="26">
        <f t="shared" si="190"/>
        <v>170</v>
      </c>
      <c r="JP20" s="26" t="str">
        <f t="shared" si="191"/>
        <v/>
      </c>
      <c r="JQ20" s="26" t="str">
        <f t="shared" si="192"/>
        <v/>
      </c>
      <c r="JR20" s="26">
        <f t="shared" si="193"/>
        <v>475</v>
      </c>
      <c r="JS20" s="26" t="str">
        <f t="shared" si="194"/>
        <v/>
      </c>
      <c r="JT20" s="26">
        <f t="shared" si="195"/>
        <v>300</v>
      </c>
      <c r="JU20" s="26">
        <f t="shared" si="196"/>
        <v>231</v>
      </c>
      <c r="JV20" s="26">
        <f t="shared" si="197"/>
        <v>180</v>
      </c>
      <c r="JW20" s="26">
        <f t="shared" si="198"/>
        <v>170</v>
      </c>
      <c r="JX20" s="26">
        <f t="shared" si="199"/>
        <v>156</v>
      </c>
      <c r="JY20" s="24">
        <f t="shared" si="200"/>
        <v>8</v>
      </c>
      <c r="JZ20" s="24">
        <f t="shared" si="201"/>
        <v>8</v>
      </c>
      <c r="KA20" s="24">
        <f t="shared" si="202"/>
        <v>12</v>
      </c>
      <c r="KB20" s="24">
        <f t="shared" si="203"/>
        <v>4</v>
      </c>
      <c r="KC20" s="24">
        <f t="shared" si="204"/>
        <v>7.5</v>
      </c>
      <c r="KD20" s="24">
        <f t="shared" si="205"/>
        <v>9</v>
      </c>
      <c r="KE20" s="24">
        <f t="shared" si="206"/>
        <v>6</v>
      </c>
      <c r="KF20" s="24" t="str">
        <f t="shared" si="207"/>
        <v/>
      </c>
      <c r="KG20" s="24" t="str">
        <f t="shared" si="208"/>
        <v/>
      </c>
      <c r="KH20" s="24">
        <f t="shared" si="209"/>
        <v>20</v>
      </c>
      <c r="KI20" s="24" t="str">
        <f t="shared" si="210"/>
        <v/>
      </c>
      <c r="KJ20" s="24">
        <f t="shared" si="211"/>
        <v>7.5</v>
      </c>
      <c r="KK20" s="24">
        <f t="shared" si="212"/>
        <v>6</v>
      </c>
      <c r="KL20" s="24">
        <f t="shared" si="213"/>
        <v>8</v>
      </c>
      <c r="KM20" s="24">
        <f t="shared" si="214"/>
        <v>6</v>
      </c>
      <c r="KN20" s="24">
        <f t="shared" si="215"/>
        <v>4</v>
      </c>
      <c r="KO20" s="24">
        <f t="shared" si="216"/>
        <v>18</v>
      </c>
      <c r="KP20" s="26" t="str">
        <f t="shared" si="217"/>
        <v/>
      </c>
      <c r="KQ20" s="26">
        <f t="shared" si="218"/>
        <v>54.5</v>
      </c>
      <c r="KR20" s="26" t="str">
        <f t="shared" si="337"/>
        <v/>
      </c>
      <c r="KS20" s="24" t="str">
        <f t="shared" si="338"/>
        <v/>
      </c>
      <c r="KT20" s="26">
        <f t="shared" si="219"/>
        <v>3.0277777777777777</v>
      </c>
      <c r="KU20" s="24">
        <f t="shared" si="220"/>
        <v>19</v>
      </c>
      <c r="KV20" s="24">
        <f t="shared" si="221"/>
        <v>1512</v>
      </c>
      <c r="KW20" s="24">
        <f t="shared" si="222"/>
        <v>51.5</v>
      </c>
      <c r="KX20" s="26">
        <f t="shared" si="339"/>
        <v>79.578947368421055</v>
      </c>
      <c r="KY20" s="24" t="str">
        <f t="shared" si="340"/>
        <v>C</v>
      </c>
      <c r="KZ20" s="27">
        <f t="shared" si="223"/>
        <v>2.7105263157894739</v>
      </c>
      <c r="LA20" s="24">
        <f t="shared" si="224"/>
        <v>37</v>
      </c>
      <c r="LB20" s="26">
        <f t="shared" si="225"/>
        <v>3012</v>
      </c>
      <c r="LC20" s="26">
        <f t="shared" si="226"/>
        <v>106</v>
      </c>
      <c r="LD20" s="26">
        <f t="shared" si="341"/>
        <v>81.405405405405403</v>
      </c>
      <c r="LE20" s="27" t="str">
        <f t="shared" si="342"/>
        <v>B</v>
      </c>
      <c r="LF20" s="26">
        <f t="shared" si="227"/>
        <v>2.8648648648648649</v>
      </c>
      <c r="LG20" s="24">
        <f t="shared" si="228"/>
        <v>5</v>
      </c>
      <c r="LH20" s="24" t="str">
        <f t="shared" si="229"/>
        <v>6A</v>
      </c>
      <c r="LI20" s="24">
        <f t="shared" si="230"/>
        <v>13</v>
      </c>
      <c r="LJ20" s="26">
        <f>IF('Q4'!G20="","",SUM((AVERAGE('Q3'!G20,'Q4'!G20)*0.5))+(HM20*0.5))</f>
        <v>91.833333333333343</v>
      </c>
      <c r="LK20" s="26">
        <f>IF('Q4'!H20="","",SUM((AVERAGE('Q3'!H20,'Q4'!H20)*1)))</f>
        <v>91.416666666666671</v>
      </c>
      <c r="LL20" s="26">
        <f>IF('Q4'!I20="","",SUM((AVERAGE('Q3'!I20,'Q4'!I20)*0.5))+(HO20*0.5))</f>
        <v>92.033333333333331</v>
      </c>
      <c r="LM20" s="26">
        <f>IF('Q4'!J20="","",SUM((AVERAGE('Q3'!J20,'Q4'!J20)*0.5))+(HP20*0.5))</f>
        <v>93.166666666666671</v>
      </c>
      <c r="LN20" s="26">
        <f>IF('Q4'!K20="","",SUM((AVERAGE('Q3'!K20,'Q4'!K20)*0.5))+(HQ20*0.5))</f>
        <v>78.38333333333334</v>
      </c>
      <c r="LO20" s="26">
        <f>IF('Q4'!L20="","",SUM((AVERAGE('Q3'!L20,'Q4'!L20)*0.5))+(HR20*0.5))</f>
        <v>87.325000000000003</v>
      </c>
      <c r="LP20" s="26">
        <f>IF('Q4'!M20="","",SUM((AVERAGE('Q3'!M20,'Q4'!M20)*0.5))+(HS20*0.5))</f>
        <v>87.825000000000003</v>
      </c>
      <c r="LQ20" s="26">
        <f>IF('Q4'!N20="","",SUM((AVERAGE('Q3'!N20,'Q4'!N20)*1)))</f>
        <v>98</v>
      </c>
      <c r="LR20" s="26">
        <f>IF('Q4'!O20="","",SUM((AVERAGE('Q3'!O20,'Q4'!O20)*1)))</f>
        <v>98</v>
      </c>
      <c r="LS20" s="26">
        <f>IF('Q4'!P20="","",SUM((AVERAGE('Q3'!P20,'Q4'!P20)*0.5))+(HV20*0.5))</f>
        <v>87.048333333333332</v>
      </c>
      <c r="LT20" s="26">
        <f>IF('Q4'!Q20="","",SUM((AVERAGE('Q3'!Q20,'Q4'!Q20)*1)))</f>
        <v>79.096666666666664</v>
      </c>
      <c r="LU20" s="26">
        <f>IF('Q4'!R20="","",SUM((AVERAGE('Q3'!R20,'Q4'!R20)*0.5))+(HX20*0.5))</f>
        <v>65.447500000000005</v>
      </c>
      <c r="LV20" s="26">
        <f>IF('Q4'!S20="","",SUM((AVERAGE('Q3'!S20,'Q4'!S20)*0.5))+(HY20*0.5))</f>
        <v>71.822499999999991</v>
      </c>
      <c r="LW20" s="26">
        <f>IF('Q4'!T20="","",SUM((AVERAGE('Q3'!T20,'Q4'!T20)*0.5))+(HZ20*0.5))</f>
        <v>90.125</v>
      </c>
      <c r="LX20" s="26">
        <f>IF('Q4'!U20="","",SUM((AVERAGE('Q3'!U20,'Q4'!U20)*0.5))+(IA20*0.5))</f>
        <v>90.666666666666671</v>
      </c>
      <c r="LY20" s="26">
        <f>IF('Q4'!V20="","",SUM((AVERAGE('Q3'!V20,'Q4'!V20)*0.5))+(IB20*0.5))</f>
        <v>86.208333333333343</v>
      </c>
      <c r="LZ20" s="26" t="str">
        <f t="shared" si="231"/>
        <v>A</v>
      </c>
      <c r="MA20" s="26" t="str">
        <f t="shared" si="232"/>
        <v>A</v>
      </c>
      <c r="MB20" s="26" t="str">
        <f t="shared" si="233"/>
        <v>A</v>
      </c>
      <c r="MC20" s="26" t="str">
        <f t="shared" si="234"/>
        <v>A</v>
      </c>
      <c r="MD20" s="26" t="str">
        <f t="shared" si="235"/>
        <v>C</v>
      </c>
      <c r="ME20" s="26" t="str">
        <f t="shared" si="236"/>
        <v>B</v>
      </c>
      <c r="MF20" s="26" t="str">
        <f t="shared" si="237"/>
        <v>B</v>
      </c>
      <c r="MG20" s="26" t="str">
        <f t="shared" si="238"/>
        <v>A</v>
      </c>
      <c r="MH20" s="26" t="str">
        <f t="shared" si="239"/>
        <v>A</v>
      </c>
      <c r="MI20" s="24" t="str">
        <f t="shared" si="240"/>
        <v>B</v>
      </c>
      <c r="MJ20" s="24" t="str">
        <f t="shared" si="241"/>
        <v>C</v>
      </c>
      <c r="MK20" s="24" t="str">
        <f t="shared" si="242"/>
        <v>D</v>
      </c>
      <c r="ML20" s="24" t="str">
        <f t="shared" si="243"/>
        <v>C</v>
      </c>
      <c r="MM20" s="24" t="str">
        <f t="shared" si="244"/>
        <v>A</v>
      </c>
      <c r="MN20" s="24" t="str">
        <f t="shared" si="245"/>
        <v>A</v>
      </c>
      <c r="MO20" s="24" t="str">
        <f t="shared" si="246"/>
        <v>B</v>
      </c>
      <c r="MP20" s="24">
        <f t="shared" si="247"/>
        <v>2</v>
      </c>
      <c r="MQ20" s="24">
        <f t="shared" si="248"/>
        <v>2</v>
      </c>
      <c r="MR20" s="24">
        <f t="shared" si="249"/>
        <v>3</v>
      </c>
      <c r="MS20" s="24">
        <f t="shared" si="250"/>
        <v>1</v>
      </c>
      <c r="MT20" s="24">
        <f t="shared" si="251"/>
        <v>5</v>
      </c>
      <c r="MU20" s="24">
        <f t="shared" si="252"/>
        <v>3</v>
      </c>
      <c r="MV20" s="24">
        <f t="shared" si="253"/>
        <v>2</v>
      </c>
      <c r="MW20" s="24">
        <f t="shared" si="254"/>
        <v>1</v>
      </c>
      <c r="MX20" s="24">
        <f t="shared" si="255"/>
        <v>1</v>
      </c>
      <c r="MY20" s="24">
        <f t="shared" si="256"/>
        <v>5</v>
      </c>
      <c r="MZ20" s="24">
        <f t="shared" si="257"/>
        <v>1</v>
      </c>
      <c r="NA20" s="24">
        <f t="shared" si="258"/>
        <v>5</v>
      </c>
      <c r="NB20" s="24">
        <f t="shared" si="259"/>
        <v>3</v>
      </c>
      <c r="NC20" s="24">
        <f t="shared" si="260"/>
        <v>2</v>
      </c>
      <c r="ND20" s="24">
        <f t="shared" si="261"/>
        <v>2</v>
      </c>
      <c r="NE20" s="24">
        <f t="shared" si="262"/>
        <v>2</v>
      </c>
      <c r="NF20" s="26">
        <f t="shared" si="263"/>
        <v>183.66666666666669</v>
      </c>
      <c r="NG20" s="26">
        <f t="shared" si="264"/>
        <v>182.83333333333334</v>
      </c>
      <c r="NH20" s="26">
        <f t="shared" si="265"/>
        <v>276.10000000000002</v>
      </c>
      <c r="NI20" s="26">
        <f t="shared" si="266"/>
        <v>93.166666666666671</v>
      </c>
      <c r="NJ20" s="26">
        <f t="shared" si="267"/>
        <v>391.91666666666669</v>
      </c>
      <c r="NK20" s="26">
        <f t="shared" si="268"/>
        <v>261.97500000000002</v>
      </c>
      <c r="NL20" s="26">
        <f t="shared" si="269"/>
        <v>175.65</v>
      </c>
      <c r="NM20" s="26">
        <f t="shared" si="270"/>
        <v>98</v>
      </c>
      <c r="NN20" s="26">
        <f t="shared" si="271"/>
        <v>98</v>
      </c>
      <c r="NO20" s="26">
        <f t="shared" si="272"/>
        <v>435.24166666666667</v>
      </c>
      <c r="NP20" s="26">
        <f t="shared" si="273"/>
        <v>79.096666666666664</v>
      </c>
      <c r="NQ20" s="26">
        <f t="shared" si="274"/>
        <v>327.23750000000001</v>
      </c>
      <c r="NR20" s="26">
        <f t="shared" si="275"/>
        <v>215.46749999999997</v>
      </c>
      <c r="NS20" s="26">
        <f t="shared" si="276"/>
        <v>180.25</v>
      </c>
      <c r="NT20" s="26">
        <f t="shared" si="277"/>
        <v>181.33333333333334</v>
      </c>
      <c r="NU20" s="26">
        <f t="shared" si="278"/>
        <v>172.41666666666669</v>
      </c>
      <c r="NV20" s="24">
        <f t="shared" si="279"/>
        <v>8</v>
      </c>
      <c r="NW20" s="24">
        <f t="shared" si="280"/>
        <v>8</v>
      </c>
      <c r="NX20" s="24">
        <f t="shared" si="281"/>
        <v>12</v>
      </c>
      <c r="NY20" s="24">
        <f t="shared" si="282"/>
        <v>4</v>
      </c>
      <c r="NZ20" s="24">
        <f t="shared" si="283"/>
        <v>10</v>
      </c>
      <c r="OA20" s="24">
        <f t="shared" si="284"/>
        <v>9</v>
      </c>
      <c r="OB20" s="24">
        <f t="shared" si="285"/>
        <v>6</v>
      </c>
      <c r="OC20" s="24">
        <f t="shared" si="286"/>
        <v>4</v>
      </c>
      <c r="OD20" s="24">
        <f t="shared" si="287"/>
        <v>4</v>
      </c>
      <c r="OE20" s="24">
        <f t="shared" si="288"/>
        <v>15</v>
      </c>
      <c r="OF20" s="24">
        <f t="shared" si="289"/>
        <v>2</v>
      </c>
      <c r="OG20" s="24">
        <f t="shared" si="290"/>
        <v>7.5</v>
      </c>
      <c r="OH20" s="24">
        <f t="shared" si="291"/>
        <v>6</v>
      </c>
      <c r="OI20" s="24">
        <f t="shared" si="292"/>
        <v>8</v>
      </c>
      <c r="OJ20" s="24">
        <f t="shared" si="293"/>
        <v>8</v>
      </c>
      <c r="OK20" s="24">
        <f t="shared" si="294"/>
        <v>6</v>
      </c>
      <c r="OL20" s="24">
        <f t="shared" si="295"/>
        <v>20</v>
      </c>
      <c r="OM20" s="26">
        <f t="shared" si="296"/>
        <v>1761.3083333333334</v>
      </c>
      <c r="ON20" s="26">
        <f t="shared" si="297"/>
        <v>65</v>
      </c>
      <c r="OO20" s="26">
        <f t="shared" si="343"/>
        <v>88.065416666666664</v>
      </c>
      <c r="OP20" s="24" t="str">
        <f t="shared" si="344"/>
        <v>B</v>
      </c>
      <c r="OQ20" s="26">
        <f t="shared" si="298"/>
        <v>3.25</v>
      </c>
      <c r="OR20" s="24">
        <f t="shared" si="299"/>
        <v>20</v>
      </c>
      <c r="OS20" s="26">
        <f t="shared" si="300"/>
        <v>1591.0433333333333</v>
      </c>
      <c r="OT20" s="26">
        <f t="shared" si="301"/>
        <v>52.5</v>
      </c>
      <c r="OU20" s="26">
        <f t="shared" si="345"/>
        <v>79.552166666666665</v>
      </c>
      <c r="OV20" s="24" t="str">
        <f t="shared" si="346"/>
        <v>C</v>
      </c>
      <c r="OW20" s="27">
        <f t="shared" si="302"/>
        <v>2.625</v>
      </c>
      <c r="OX20" s="24">
        <f t="shared" si="303"/>
        <v>40</v>
      </c>
      <c r="OY20" s="26">
        <f t="shared" si="304"/>
        <v>3352.3516666666674</v>
      </c>
      <c r="OZ20" s="26">
        <f t="shared" si="305"/>
        <v>117.5</v>
      </c>
      <c r="PA20" s="26">
        <f t="shared" si="347"/>
        <v>83.808791666666679</v>
      </c>
      <c r="PB20" s="27" t="str">
        <f t="shared" si="348"/>
        <v>B</v>
      </c>
      <c r="PC20" s="26">
        <f t="shared" si="306"/>
        <v>2.9375</v>
      </c>
      <c r="PD20" s="24">
        <f t="shared" si="307"/>
        <v>3</v>
      </c>
      <c r="PE20" s="24" t="str">
        <f t="shared" si="308"/>
        <v>6A</v>
      </c>
      <c r="PF20" s="24">
        <f t="shared" si="309"/>
        <v>13</v>
      </c>
      <c r="PG20" s="24">
        <f t="shared" si="310"/>
        <v>104</v>
      </c>
      <c r="PH20" s="24">
        <f t="shared" si="311"/>
        <v>0</v>
      </c>
      <c r="PI20" s="24">
        <f t="shared" si="312"/>
        <v>0</v>
      </c>
      <c r="PJ20" s="24">
        <f t="shared" si="313"/>
        <v>0</v>
      </c>
      <c r="PK20" s="24">
        <f t="shared" si="314"/>
        <v>0</v>
      </c>
      <c r="PL20" s="25">
        <f t="shared" si="315"/>
        <v>1</v>
      </c>
    </row>
    <row r="21" spans="1:428" ht="27" customHeight="1" x14ac:dyDescent="0.35">
      <c r="A21" s="24">
        <f t="shared" si="349"/>
        <v>7</v>
      </c>
      <c r="B21" s="28" t="str">
        <f>IF('Q1'!B21="","",'Q1'!B21)</f>
        <v>Vuthy Eanvisal</v>
      </c>
      <c r="C21" s="30" t="str">
        <f>IF('Q1'!C21="","",'Q1'!C21)</f>
        <v>វុទ្ធី អ៊ានវិសាល</v>
      </c>
      <c r="D21" s="28" t="str">
        <f>IF('Q1'!D21="","",'Q1'!D21)</f>
        <v>M</v>
      </c>
      <c r="E21" s="24">
        <f>IF('Q1'!E21="","",'Q1'!E21)</f>
        <v>690</v>
      </c>
      <c r="F21" s="24" t="str">
        <f>IF('Q1'!F21="","",'Q1'!F21)</f>
        <v>I</v>
      </c>
      <c r="G21" s="26">
        <f>IF('Q3'!G21="","",'Q3'!G21)</f>
        <v>78.666666666666657</v>
      </c>
      <c r="H21" s="26">
        <f>IF('Q3'!H21="","",'Q3'!H21)</f>
        <v>83.300000000000011</v>
      </c>
      <c r="I21" s="26">
        <f>IF('Q3'!I21="","",'Q3'!I21)</f>
        <v>79.733333333333334</v>
      </c>
      <c r="J21" s="26">
        <f>IF('Q3'!J21="","",'Q3'!J21)</f>
        <v>78.666666666666657</v>
      </c>
      <c r="K21" s="26">
        <f>IF('Q3'!K21="","",'Q3'!K21)</f>
        <v>82.9</v>
      </c>
      <c r="L21" s="26">
        <f>IF('Q3'!L21="","",'Q3'!L21)</f>
        <v>81.066666666666663</v>
      </c>
      <c r="M21" s="26">
        <f>IF('Q3'!M21="","",'Q3'!M21)</f>
        <v>82.5</v>
      </c>
      <c r="N21" s="26">
        <f>IF('Q3'!N21="","",'Q3'!N21)</f>
        <v>96</v>
      </c>
      <c r="O21" s="26">
        <f>IF('Q3'!O21="","",'Q3'!O21)</f>
        <v>96</v>
      </c>
      <c r="P21" s="26">
        <f>IF('Q3'!P21="","",'Q3'!P21)</f>
        <v>89.753333333333345</v>
      </c>
      <c r="Q21" s="26">
        <f>IF('Q3'!Q21="","",'Q3'!Q21)</f>
        <v>89.753333333333345</v>
      </c>
      <c r="R21" s="26">
        <f>IF('Q3'!R21="","",'Q3'!R21)</f>
        <v>68.099999999999994</v>
      </c>
      <c r="S21" s="26">
        <f>IF('Q3'!S21="","",'Q3'!S21)</f>
        <v>84.62</v>
      </c>
      <c r="T21" s="26">
        <f>IF('Q3'!T21="","",'Q3'!T21)</f>
        <v>85</v>
      </c>
      <c r="U21" s="26">
        <f>IF('Q3'!U21="","",'Q3'!U21)</f>
        <v>98</v>
      </c>
      <c r="V21" s="26">
        <f>IF('Q3'!V21="","",'Q3'!V21)</f>
        <v>98</v>
      </c>
      <c r="W21" s="26" t="str">
        <f t="shared" si="0"/>
        <v>C</v>
      </c>
      <c r="X21" s="26" t="str">
        <f t="shared" si="1"/>
        <v>B</v>
      </c>
      <c r="Y21" s="26" t="str">
        <f t="shared" si="2"/>
        <v>C</v>
      </c>
      <c r="Z21" s="26" t="str">
        <f t="shared" si="3"/>
        <v>C</v>
      </c>
      <c r="AA21" s="26" t="str">
        <f t="shared" si="4"/>
        <v>B</v>
      </c>
      <c r="AB21" s="26" t="str">
        <f t="shared" si="5"/>
        <v>B</v>
      </c>
      <c r="AC21" s="26" t="str">
        <f t="shared" si="6"/>
        <v>B</v>
      </c>
      <c r="AD21" s="26" t="str">
        <f t="shared" si="7"/>
        <v>A</v>
      </c>
      <c r="AE21" s="26" t="str">
        <f t="shared" si="8"/>
        <v>A</v>
      </c>
      <c r="AF21" s="24" t="str">
        <f t="shared" si="9"/>
        <v>B</v>
      </c>
      <c r="AG21" s="24" t="str">
        <f t="shared" si="10"/>
        <v>B</v>
      </c>
      <c r="AH21" s="24" t="str">
        <f t="shared" si="11"/>
        <v>D</v>
      </c>
      <c r="AI21" s="24" t="str">
        <f t="shared" si="12"/>
        <v>B</v>
      </c>
      <c r="AJ21" s="24" t="str">
        <f t="shared" si="13"/>
        <v>B</v>
      </c>
      <c r="AK21" s="24" t="str">
        <f t="shared" si="14"/>
        <v>A</v>
      </c>
      <c r="AL21" s="24" t="str">
        <f t="shared" si="15"/>
        <v>A</v>
      </c>
      <c r="AM21" s="24">
        <f t="shared" si="16"/>
        <v>2</v>
      </c>
      <c r="AN21" s="24">
        <f t="shared" si="17"/>
        <v>2</v>
      </c>
      <c r="AO21" s="24">
        <f t="shared" si="18"/>
        <v>3</v>
      </c>
      <c r="AP21" s="24">
        <f t="shared" si="19"/>
        <v>1</v>
      </c>
      <c r="AQ21" s="24">
        <f t="shared" si="20"/>
        <v>5</v>
      </c>
      <c r="AR21" s="24">
        <f t="shared" si="21"/>
        <v>3</v>
      </c>
      <c r="AS21" s="24">
        <f t="shared" si="22"/>
        <v>2</v>
      </c>
      <c r="AT21" s="24">
        <f t="shared" si="23"/>
        <v>1</v>
      </c>
      <c r="AU21" s="24">
        <f t="shared" si="24"/>
        <v>1</v>
      </c>
      <c r="AV21" s="24">
        <f t="shared" si="25"/>
        <v>5</v>
      </c>
      <c r="AW21" s="24">
        <f t="shared" si="26"/>
        <v>1</v>
      </c>
      <c r="AX21" s="24">
        <f t="shared" si="27"/>
        <v>5</v>
      </c>
      <c r="AY21" s="24">
        <f t="shared" si="28"/>
        <v>3</v>
      </c>
      <c r="AZ21" s="24">
        <f t="shared" si="29"/>
        <v>2</v>
      </c>
      <c r="BA21" s="24">
        <f t="shared" si="30"/>
        <v>2</v>
      </c>
      <c r="BB21" s="24">
        <f t="shared" si="31"/>
        <v>2</v>
      </c>
      <c r="BC21" s="26">
        <f t="shared" si="32"/>
        <v>157.33333333333331</v>
      </c>
      <c r="BD21" s="26">
        <f t="shared" si="33"/>
        <v>166.60000000000002</v>
      </c>
      <c r="BE21" s="26">
        <f t="shared" si="34"/>
        <v>239.2</v>
      </c>
      <c r="BF21" s="26">
        <f t="shared" si="35"/>
        <v>78.666666666666657</v>
      </c>
      <c r="BG21" s="26">
        <f t="shared" si="36"/>
        <v>414.5</v>
      </c>
      <c r="BH21" s="26">
        <f t="shared" si="37"/>
        <v>243.2</v>
      </c>
      <c r="BI21" s="26">
        <f t="shared" si="38"/>
        <v>165</v>
      </c>
      <c r="BJ21" s="26">
        <f t="shared" si="39"/>
        <v>96</v>
      </c>
      <c r="BK21" s="26">
        <f t="shared" si="40"/>
        <v>96</v>
      </c>
      <c r="BL21" s="26">
        <f t="shared" si="41"/>
        <v>448.76666666666671</v>
      </c>
      <c r="BM21" s="26">
        <f t="shared" si="42"/>
        <v>89.753333333333345</v>
      </c>
      <c r="BN21" s="26">
        <f t="shared" si="43"/>
        <v>340.5</v>
      </c>
      <c r="BO21" s="26">
        <f t="shared" si="44"/>
        <v>253.86</v>
      </c>
      <c r="BP21" s="26">
        <f t="shared" si="45"/>
        <v>170</v>
      </c>
      <c r="BQ21" s="26">
        <f t="shared" si="46"/>
        <v>196</v>
      </c>
      <c r="BR21" s="26">
        <f t="shared" si="47"/>
        <v>196</v>
      </c>
      <c r="BS21" s="24">
        <f t="shared" si="48"/>
        <v>4</v>
      </c>
      <c r="BT21" s="24">
        <f t="shared" si="49"/>
        <v>6</v>
      </c>
      <c r="BU21" s="24">
        <f t="shared" si="50"/>
        <v>6</v>
      </c>
      <c r="BV21" s="24">
        <f t="shared" si="51"/>
        <v>2</v>
      </c>
      <c r="BW21" s="24">
        <f t="shared" si="52"/>
        <v>15</v>
      </c>
      <c r="BX21" s="24">
        <f t="shared" si="53"/>
        <v>9</v>
      </c>
      <c r="BY21" s="24">
        <f t="shared" si="54"/>
        <v>6</v>
      </c>
      <c r="BZ21" s="24">
        <f t="shared" si="55"/>
        <v>4</v>
      </c>
      <c r="CA21" s="24">
        <f t="shared" si="56"/>
        <v>4</v>
      </c>
      <c r="CB21" s="24">
        <f t="shared" si="57"/>
        <v>15</v>
      </c>
      <c r="CC21" s="24">
        <f t="shared" si="58"/>
        <v>3</v>
      </c>
      <c r="CD21" s="24">
        <f t="shared" si="59"/>
        <v>7.5</v>
      </c>
      <c r="CE21" s="24">
        <f t="shared" si="60"/>
        <v>9</v>
      </c>
      <c r="CF21" s="24">
        <f t="shared" si="61"/>
        <v>6</v>
      </c>
      <c r="CG21" s="24">
        <f t="shared" si="62"/>
        <v>8</v>
      </c>
      <c r="CH21" s="24">
        <f t="shared" si="63"/>
        <v>8</v>
      </c>
      <c r="CI21" s="24">
        <f t="shared" si="64"/>
        <v>20</v>
      </c>
      <c r="CJ21" s="26">
        <f t="shared" si="65"/>
        <v>1656.5</v>
      </c>
      <c r="CK21" s="26">
        <f t="shared" si="66"/>
        <v>64</v>
      </c>
      <c r="CL21" s="26">
        <f t="shared" si="316"/>
        <v>82.825000000000003</v>
      </c>
      <c r="CM21" s="24" t="str">
        <f t="shared" si="317"/>
        <v>B</v>
      </c>
      <c r="CN21" s="26">
        <f t="shared" si="67"/>
        <v>3.2</v>
      </c>
      <c r="CO21" s="24">
        <f t="shared" si="68"/>
        <v>20</v>
      </c>
      <c r="CP21" s="26">
        <f t="shared" si="69"/>
        <v>1694.88</v>
      </c>
      <c r="CQ21" s="26">
        <f t="shared" si="70"/>
        <v>56.5</v>
      </c>
      <c r="CR21" s="26">
        <f t="shared" si="318"/>
        <v>84.744</v>
      </c>
      <c r="CS21" s="24" t="str">
        <f t="shared" si="319"/>
        <v>B</v>
      </c>
      <c r="CT21" s="27">
        <f t="shared" si="71"/>
        <v>2.8250000000000002</v>
      </c>
      <c r="CU21" s="24">
        <f t="shared" si="72"/>
        <v>40</v>
      </c>
      <c r="CV21" s="26">
        <f t="shared" si="73"/>
        <v>3351.3800000000006</v>
      </c>
      <c r="CW21" s="27">
        <f t="shared" si="74"/>
        <v>3198.0466666666666</v>
      </c>
      <c r="CX21" s="26">
        <f t="shared" si="320"/>
        <v>83.784500000000008</v>
      </c>
      <c r="CY21" s="27" t="str">
        <f t="shared" si="321"/>
        <v>B</v>
      </c>
      <c r="CZ21" s="26">
        <f t="shared" si="75"/>
        <v>79.951166666666666</v>
      </c>
      <c r="DA21" s="24">
        <f t="shared" si="76"/>
        <v>4</v>
      </c>
      <c r="DB21" s="24" t="str">
        <f t="shared" si="77"/>
        <v>6A</v>
      </c>
      <c r="DC21" s="24">
        <f t="shared" si="78"/>
        <v>13</v>
      </c>
      <c r="DD21" s="24">
        <f>IF(B21="","",'Q3'!$C$8)</f>
        <v>50</v>
      </c>
      <c r="DE21" s="24">
        <f>IF(B21="","",'Q3'!DE21)</f>
        <v>0</v>
      </c>
      <c r="DF21" s="24">
        <f>IF(C21="","",'Q3'!DF21)</f>
        <v>0</v>
      </c>
      <c r="DG21" s="24">
        <f>IF(D21="","",'Q3'!DG21)</f>
        <v>0</v>
      </c>
      <c r="DH21" s="24">
        <f>IF(E21="","",'Q3'!DH21)</f>
        <v>0</v>
      </c>
      <c r="DI21" s="25">
        <f t="shared" si="79"/>
        <v>1</v>
      </c>
      <c r="DJ21" s="26">
        <f>IF('Q4'!G21="","",'Q4'!G21)</f>
        <v>82</v>
      </c>
      <c r="DK21" s="26">
        <f>IF('Q4'!H21="","",'Q4'!H21)</f>
        <v>83.9</v>
      </c>
      <c r="DL21" s="26">
        <f>IF('Q4'!I21="","",'Q4'!I21)</f>
        <v>86.4</v>
      </c>
      <c r="DM21" s="26">
        <f>IF('Q4'!J21="","",'Q4'!J21)</f>
        <v>80.666666666666657</v>
      </c>
      <c r="DN21" s="26">
        <f>IF('Q4'!K21="","",'Q4'!K21)</f>
        <v>86.066666666666663</v>
      </c>
      <c r="DO21" s="26">
        <f>IF('Q4'!L21="","",'Q4'!L21)</f>
        <v>85.4</v>
      </c>
      <c r="DP21" s="26">
        <f>IF('Q4'!M21="","",'Q4'!M21)</f>
        <v>84.7</v>
      </c>
      <c r="DQ21" s="26">
        <f>IF('Q4'!N21="","",'Q4'!N21)</f>
        <v>98</v>
      </c>
      <c r="DR21" s="26">
        <f>IF('Q4'!O21="","",'Q4'!O21)</f>
        <v>98</v>
      </c>
      <c r="DS21" s="26">
        <f>IF('Q4'!P21="","",'Q4'!P21)</f>
        <v>59.753333333333337</v>
      </c>
      <c r="DT21" s="26">
        <f>IF('Q4'!Q21="","",'Q4'!Q21)</f>
        <v>59.753333333333337</v>
      </c>
      <c r="DU21" s="26">
        <f>IF('Q4'!R21="","",'Q4'!R21)</f>
        <v>72.066666666666606</v>
      </c>
      <c r="DV21" s="26">
        <f>IF('Q4'!S21="","",'Q4'!S21)</f>
        <v>74.48</v>
      </c>
      <c r="DW21" s="26">
        <f>IF('Q4'!T21="","",'Q4'!T21)</f>
        <v>77.5</v>
      </c>
      <c r="DX21" s="26">
        <f>IF('Q4'!U21="","",'Q4'!U21)</f>
        <v>97.8</v>
      </c>
      <c r="DY21" s="26">
        <f>IF('Q4'!V21="","",'Q4'!V21)</f>
        <v>98</v>
      </c>
      <c r="DZ21" s="26" t="str">
        <f t="shared" si="80"/>
        <v>B</v>
      </c>
      <c r="EA21" s="26" t="str">
        <f t="shared" si="81"/>
        <v>B</v>
      </c>
      <c r="EB21" s="26" t="str">
        <f t="shared" si="82"/>
        <v>B</v>
      </c>
      <c r="EC21" s="26" t="str">
        <f t="shared" si="83"/>
        <v>B</v>
      </c>
      <c r="ED21" s="26" t="str">
        <f t="shared" si="84"/>
        <v>B</v>
      </c>
      <c r="EE21" s="26" t="str">
        <f t="shared" si="85"/>
        <v>B</v>
      </c>
      <c r="EF21" s="26" t="str">
        <f t="shared" si="86"/>
        <v>B</v>
      </c>
      <c r="EG21" s="26" t="str">
        <f t="shared" si="87"/>
        <v>A</v>
      </c>
      <c r="EH21" s="26" t="str">
        <f t="shared" si="88"/>
        <v>A</v>
      </c>
      <c r="EI21" s="24" t="str">
        <f t="shared" si="89"/>
        <v>E</v>
      </c>
      <c r="EJ21" s="24" t="str">
        <f t="shared" si="90"/>
        <v>E</v>
      </c>
      <c r="EK21" s="24" t="str">
        <f t="shared" si="91"/>
        <v>C</v>
      </c>
      <c r="EL21" s="24" t="str">
        <f t="shared" si="92"/>
        <v>C</v>
      </c>
      <c r="EM21" s="24" t="str">
        <f t="shared" si="93"/>
        <v>C</v>
      </c>
      <c r="EN21" s="24" t="str">
        <f t="shared" si="94"/>
        <v>A</v>
      </c>
      <c r="EO21" s="24" t="str">
        <f t="shared" si="95"/>
        <v>A</v>
      </c>
      <c r="EP21" s="24">
        <f t="shared" si="96"/>
        <v>2</v>
      </c>
      <c r="EQ21" s="24">
        <f t="shared" si="97"/>
        <v>2</v>
      </c>
      <c r="ER21" s="24">
        <f t="shared" si="98"/>
        <v>3</v>
      </c>
      <c r="ES21" s="24">
        <f t="shared" si="99"/>
        <v>1</v>
      </c>
      <c r="ET21" s="24">
        <f t="shared" si="100"/>
        <v>5</v>
      </c>
      <c r="EU21" s="24">
        <f t="shared" si="101"/>
        <v>3</v>
      </c>
      <c r="EV21" s="24">
        <f t="shared" si="102"/>
        <v>2</v>
      </c>
      <c r="EW21" s="24">
        <f t="shared" si="322"/>
        <v>1</v>
      </c>
      <c r="EX21" s="24">
        <f t="shared" si="103"/>
        <v>1</v>
      </c>
      <c r="EY21" s="24">
        <f t="shared" si="104"/>
        <v>5</v>
      </c>
      <c r="EZ21" s="24">
        <f t="shared" si="105"/>
        <v>1</v>
      </c>
      <c r="FA21" s="24">
        <f t="shared" si="106"/>
        <v>5</v>
      </c>
      <c r="FB21" s="24">
        <f t="shared" si="107"/>
        <v>3</v>
      </c>
      <c r="FC21" s="24">
        <f t="shared" si="108"/>
        <v>2</v>
      </c>
      <c r="FD21" s="24">
        <f t="shared" si="109"/>
        <v>2</v>
      </c>
      <c r="FE21" s="24">
        <f t="shared" si="110"/>
        <v>2</v>
      </c>
      <c r="FF21" s="26">
        <f t="shared" si="111"/>
        <v>164</v>
      </c>
      <c r="FG21" s="26">
        <f t="shared" si="112"/>
        <v>167.8</v>
      </c>
      <c r="FH21" s="26">
        <f t="shared" si="113"/>
        <v>259.20000000000005</v>
      </c>
      <c r="FI21" s="26">
        <f t="shared" si="114"/>
        <v>80.666666666666657</v>
      </c>
      <c r="FJ21" s="26">
        <f t="shared" si="115"/>
        <v>430.33333333333331</v>
      </c>
      <c r="FK21" s="26">
        <f t="shared" si="116"/>
        <v>256.20000000000005</v>
      </c>
      <c r="FL21" s="26">
        <f t="shared" si="117"/>
        <v>169.4</v>
      </c>
      <c r="FM21" s="26">
        <f t="shared" si="118"/>
        <v>98</v>
      </c>
      <c r="FN21" s="26"/>
      <c r="FO21" s="26">
        <f t="shared" si="119"/>
        <v>298.76666666666671</v>
      </c>
      <c r="FP21" s="26">
        <f t="shared" si="120"/>
        <v>59.753333333333337</v>
      </c>
      <c r="FQ21" s="26">
        <f t="shared" si="121"/>
        <v>360.33333333333303</v>
      </c>
      <c r="FR21" s="26">
        <f t="shared" si="122"/>
        <v>223.44</v>
      </c>
      <c r="FS21" s="26">
        <f t="shared" si="123"/>
        <v>155</v>
      </c>
      <c r="FT21" s="26">
        <f t="shared" si="124"/>
        <v>195.6</v>
      </c>
      <c r="FU21" s="26">
        <f t="shared" si="125"/>
        <v>196</v>
      </c>
      <c r="FV21" s="24">
        <f t="shared" si="126"/>
        <v>6</v>
      </c>
      <c r="FW21" s="24">
        <f t="shared" si="127"/>
        <v>6</v>
      </c>
      <c r="FX21" s="24">
        <f t="shared" si="128"/>
        <v>9</v>
      </c>
      <c r="FY21" s="24">
        <f t="shared" si="129"/>
        <v>3</v>
      </c>
      <c r="FZ21" s="24">
        <f t="shared" si="130"/>
        <v>15</v>
      </c>
      <c r="GA21" s="24">
        <f t="shared" si="131"/>
        <v>9</v>
      </c>
      <c r="GB21" s="24">
        <f t="shared" si="132"/>
        <v>6</v>
      </c>
      <c r="GC21" s="24">
        <f t="shared" si="133"/>
        <v>4</v>
      </c>
      <c r="GD21" s="24">
        <f t="shared" si="323"/>
        <v>4</v>
      </c>
      <c r="GE21" s="24">
        <f t="shared" si="324"/>
        <v>1</v>
      </c>
      <c r="GF21" s="24">
        <f t="shared" si="325"/>
        <v>5</v>
      </c>
      <c r="GG21" s="24">
        <f t="shared" si="326"/>
        <v>6</v>
      </c>
      <c r="GH21" s="24">
        <f t="shared" si="327"/>
        <v>4</v>
      </c>
      <c r="GI21" s="24">
        <f t="shared" si="328"/>
        <v>4</v>
      </c>
      <c r="GJ21" s="24">
        <f t="shared" si="329"/>
        <v>8</v>
      </c>
      <c r="GK21" s="24">
        <f t="shared" si="330"/>
        <v>8</v>
      </c>
      <c r="GL21" s="24">
        <f t="shared" si="135"/>
        <v>19</v>
      </c>
      <c r="GM21" s="26">
        <f t="shared" si="136"/>
        <v>1625.6000000000001</v>
      </c>
      <c r="GN21" s="26">
        <f t="shared" si="137"/>
        <v>56</v>
      </c>
      <c r="GO21" s="26">
        <f t="shared" si="331"/>
        <v>85.557894736842115</v>
      </c>
      <c r="GP21" s="24" t="str">
        <f t="shared" si="332"/>
        <v>B</v>
      </c>
      <c r="GQ21" s="26">
        <f t="shared" si="138"/>
        <v>2.9473684210526314</v>
      </c>
      <c r="GR21" s="24">
        <f t="shared" si="139"/>
        <v>20</v>
      </c>
      <c r="GS21" s="26">
        <f t="shared" si="140"/>
        <v>1488.893333333333</v>
      </c>
      <c r="GT21" s="26">
        <f t="shared" si="141"/>
        <v>36</v>
      </c>
      <c r="GU21" s="26">
        <f t="shared" si="333"/>
        <v>74.444666666666649</v>
      </c>
      <c r="GV21" s="24" t="str">
        <f t="shared" si="334"/>
        <v>C</v>
      </c>
      <c r="GW21" s="27">
        <f t="shared" si="142"/>
        <v>1.8</v>
      </c>
      <c r="GX21" s="24">
        <f t="shared" si="143"/>
        <v>40</v>
      </c>
      <c r="GY21" s="26">
        <f t="shared" si="144"/>
        <v>3114.4933333333329</v>
      </c>
      <c r="GZ21" s="26">
        <f t="shared" si="145"/>
        <v>2956.4933333333329</v>
      </c>
      <c r="HA21" s="26">
        <f t="shared" si="335"/>
        <v>77.862333333333325</v>
      </c>
      <c r="HB21" s="27" t="str">
        <f t="shared" si="336"/>
        <v>C</v>
      </c>
      <c r="HC21" s="26">
        <f t="shared" si="146"/>
        <v>73.912333333333322</v>
      </c>
      <c r="HD21" s="24">
        <f t="shared" si="147"/>
        <v>8</v>
      </c>
      <c r="HE21" s="24" t="str">
        <f t="shared" si="148"/>
        <v>6A</v>
      </c>
      <c r="HF21" s="24">
        <f t="shared" si="149"/>
        <v>13</v>
      </c>
      <c r="HG21" s="24">
        <f>IF(B21="","",'Q4'!$C$8)</f>
        <v>50</v>
      </c>
      <c r="HH21" s="24">
        <f>IF(A21="","",'Q4'!DE21)</f>
        <v>0</v>
      </c>
      <c r="HI21" s="24">
        <f>IF(B21="","",'Q4'!DF21)</f>
        <v>0</v>
      </c>
      <c r="HJ21" s="24">
        <f>IF(B21="","",'Q4'!DG21)</f>
        <v>0</v>
      </c>
      <c r="HK21" s="24">
        <f t="shared" si="150"/>
        <v>0</v>
      </c>
      <c r="HL21" s="25">
        <f t="shared" si="151"/>
        <v>1</v>
      </c>
      <c r="HM21" s="7">
        <v>60</v>
      </c>
      <c r="HN21" s="7">
        <v>70</v>
      </c>
      <c r="HO21" s="7">
        <v>85</v>
      </c>
      <c r="HP21" s="7">
        <v>85</v>
      </c>
      <c r="HQ21" s="7">
        <v>80</v>
      </c>
      <c r="HR21" s="7">
        <v>60</v>
      </c>
      <c r="HS21" s="7">
        <v>80</v>
      </c>
      <c r="HT21" s="7"/>
      <c r="HU21" s="7"/>
      <c r="HV21" s="7">
        <v>86</v>
      </c>
      <c r="HW21" s="7"/>
      <c r="HX21" s="7">
        <v>87</v>
      </c>
      <c r="HY21" s="7">
        <v>98</v>
      </c>
      <c r="HZ21" s="7">
        <v>68</v>
      </c>
      <c r="IA21" s="7">
        <v>92</v>
      </c>
      <c r="IB21" s="7">
        <v>100</v>
      </c>
      <c r="IC21" s="24" t="str">
        <f t="shared" si="152"/>
        <v>D</v>
      </c>
      <c r="ID21" s="24" t="str">
        <f t="shared" si="153"/>
        <v>C</v>
      </c>
      <c r="IE21" s="24" t="str">
        <f t="shared" si="154"/>
        <v>B</v>
      </c>
      <c r="IF21" s="24" t="str">
        <f t="shared" si="155"/>
        <v>B</v>
      </c>
      <c r="IG21" s="24" t="str">
        <f t="shared" si="156"/>
        <v>B</v>
      </c>
      <c r="IH21" s="24" t="str">
        <f t="shared" si="157"/>
        <v>D</v>
      </c>
      <c r="II21" s="24" t="str">
        <f t="shared" si="158"/>
        <v>B</v>
      </c>
      <c r="IJ21" s="24" t="str">
        <f t="shared" si="159"/>
        <v/>
      </c>
      <c r="IK21" s="24" t="str">
        <f t="shared" si="160"/>
        <v/>
      </c>
      <c r="IL21" s="24" t="str">
        <f t="shared" si="161"/>
        <v>B</v>
      </c>
      <c r="IM21" s="24" t="str">
        <f t="shared" si="162"/>
        <v/>
      </c>
      <c r="IN21" s="24" t="str">
        <f t="shared" si="163"/>
        <v>B</v>
      </c>
      <c r="IO21" s="24" t="str">
        <f t="shared" si="164"/>
        <v>A</v>
      </c>
      <c r="IP21" s="24" t="str">
        <f t="shared" si="165"/>
        <v>D</v>
      </c>
      <c r="IQ21" s="24" t="str">
        <f t="shared" si="166"/>
        <v>A</v>
      </c>
      <c r="IR21" s="24" t="str">
        <f t="shared" si="167"/>
        <v>A</v>
      </c>
      <c r="IS21" s="24">
        <f t="shared" si="168"/>
        <v>2</v>
      </c>
      <c r="IT21" s="24">
        <f t="shared" si="169"/>
        <v>2</v>
      </c>
      <c r="IU21" s="24">
        <f t="shared" si="170"/>
        <v>3</v>
      </c>
      <c r="IV21" s="24">
        <f t="shared" si="171"/>
        <v>1</v>
      </c>
      <c r="IW21" s="24">
        <f t="shared" si="172"/>
        <v>5</v>
      </c>
      <c r="IX21" s="24">
        <f t="shared" si="173"/>
        <v>3</v>
      </c>
      <c r="IY21" s="24">
        <f t="shared" si="174"/>
        <v>2</v>
      </c>
      <c r="IZ21" s="24" t="str">
        <f t="shared" si="175"/>
        <v/>
      </c>
      <c r="JA21" s="24" t="str">
        <f t="shared" si="176"/>
        <v/>
      </c>
      <c r="JB21" s="24">
        <f t="shared" si="177"/>
        <v>5</v>
      </c>
      <c r="JC21" s="24" t="str">
        <f t="shared" si="178"/>
        <v/>
      </c>
      <c r="JD21" s="24">
        <f t="shared" si="179"/>
        <v>5</v>
      </c>
      <c r="JE21" s="24">
        <f t="shared" si="180"/>
        <v>3</v>
      </c>
      <c r="JF21" s="24">
        <f t="shared" si="181"/>
        <v>2</v>
      </c>
      <c r="JG21" s="24">
        <f t="shared" si="182"/>
        <v>2</v>
      </c>
      <c r="JH21" s="24">
        <f t="shared" si="183"/>
        <v>2</v>
      </c>
      <c r="JI21" s="26">
        <f t="shared" si="184"/>
        <v>120</v>
      </c>
      <c r="JJ21" s="26">
        <f t="shared" si="185"/>
        <v>140</v>
      </c>
      <c r="JK21" s="26">
        <f t="shared" si="186"/>
        <v>255</v>
      </c>
      <c r="JL21" s="26">
        <f t="shared" si="187"/>
        <v>85</v>
      </c>
      <c r="JM21" s="26">
        <f t="shared" si="188"/>
        <v>400</v>
      </c>
      <c r="JN21" s="26">
        <f t="shared" si="189"/>
        <v>180</v>
      </c>
      <c r="JO21" s="26">
        <f t="shared" si="190"/>
        <v>160</v>
      </c>
      <c r="JP21" s="26" t="str">
        <f t="shared" si="191"/>
        <v/>
      </c>
      <c r="JQ21" s="26" t="str">
        <f t="shared" si="192"/>
        <v/>
      </c>
      <c r="JR21" s="26">
        <f t="shared" si="193"/>
        <v>430</v>
      </c>
      <c r="JS21" s="26" t="str">
        <f t="shared" si="194"/>
        <v/>
      </c>
      <c r="JT21" s="26">
        <f t="shared" si="195"/>
        <v>435</v>
      </c>
      <c r="JU21" s="26">
        <f t="shared" si="196"/>
        <v>294</v>
      </c>
      <c r="JV21" s="26">
        <f t="shared" si="197"/>
        <v>136</v>
      </c>
      <c r="JW21" s="26">
        <f t="shared" si="198"/>
        <v>184</v>
      </c>
      <c r="JX21" s="26">
        <f t="shared" si="199"/>
        <v>200</v>
      </c>
      <c r="JY21" s="24">
        <f t="shared" si="200"/>
        <v>3</v>
      </c>
      <c r="JZ21" s="24">
        <f t="shared" si="201"/>
        <v>4</v>
      </c>
      <c r="KA21" s="24">
        <f t="shared" si="202"/>
        <v>9</v>
      </c>
      <c r="KB21" s="24">
        <f t="shared" si="203"/>
        <v>3</v>
      </c>
      <c r="KC21" s="24">
        <f t="shared" si="204"/>
        <v>15</v>
      </c>
      <c r="KD21" s="24">
        <f t="shared" si="205"/>
        <v>4.5</v>
      </c>
      <c r="KE21" s="24">
        <f t="shared" si="206"/>
        <v>6</v>
      </c>
      <c r="KF21" s="24" t="str">
        <f t="shared" si="207"/>
        <v/>
      </c>
      <c r="KG21" s="24" t="str">
        <f t="shared" si="208"/>
        <v/>
      </c>
      <c r="KH21" s="24">
        <f t="shared" si="209"/>
        <v>15</v>
      </c>
      <c r="KI21" s="24" t="str">
        <f t="shared" si="210"/>
        <v/>
      </c>
      <c r="KJ21" s="24">
        <f t="shared" si="211"/>
        <v>15</v>
      </c>
      <c r="KK21" s="24">
        <f t="shared" si="212"/>
        <v>12</v>
      </c>
      <c r="KL21" s="24">
        <f t="shared" si="213"/>
        <v>3</v>
      </c>
      <c r="KM21" s="24">
        <f t="shared" si="214"/>
        <v>8</v>
      </c>
      <c r="KN21" s="24">
        <f t="shared" si="215"/>
        <v>8</v>
      </c>
      <c r="KO21" s="24">
        <f t="shared" si="216"/>
        <v>18</v>
      </c>
      <c r="KP21" s="26" t="str">
        <f t="shared" si="217"/>
        <v/>
      </c>
      <c r="KQ21" s="26">
        <f t="shared" si="218"/>
        <v>44.5</v>
      </c>
      <c r="KR21" s="26" t="str">
        <f t="shared" si="337"/>
        <v/>
      </c>
      <c r="KS21" s="24" t="str">
        <f t="shared" si="338"/>
        <v/>
      </c>
      <c r="KT21" s="26">
        <f t="shared" si="219"/>
        <v>2.4722222222222223</v>
      </c>
      <c r="KU21" s="24">
        <f t="shared" si="220"/>
        <v>19</v>
      </c>
      <c r="KV21" s="24">
        <f t="shared" si="221"/>
        <v>1679</v>
      </c>
      <c r="KW21" s="24">
        <f t="shared" si="222"/>
        <v>61</v>
      </c>
      <c r="KX21" s="26">
        <f t="shared" si="339"/>
        <v>88.368421052631575</v>
      </c>
      <c r="KY21" s="24" t="str">
        <f t="shared" si="340"/>
        <v>B</v>
      </c>
      <c r="KZ21" s="27">
        <f t="shared" si="223"/>
        <v>3.2105263157894739</v>
      </c>
      <c r="LA21" s="24">
        <f t="shared" si="224"/>
        <v>37</v>
      </c>
      <c r="LB21" s="26">
        <f t="shared" si="225"/>
        <v>3019</v>
      </c>
      <c r="LC21" s="26">
        <f t="shared" si="226"/>
        <v>105.5</v>
      </c>
      <c r="LD21" s="26">
        <f t="shared" si="341"/>
        <v>81.594594594594597</v>
      </c>
      <c r="LE21" s="27" t="str">
        <f t="shared" si="342"/>
        <v>B</v>
      </c>
      <c r="LF21" s="26">
        <f t="shared" si="227"/>
        <v>2.8513513513513513</v>
      </c>
      <c r="LG21" s="24">
        <f t="shared" si="228"/>
        <v>4</v>
      </c>
      <c r="LH21" s="24" t="str">
        <f t="shared" si="229"/>
        <v>6A</v>
      </c>
      <c r="LI21" s="24">
        <f t="shared" si="230"/>
        <v>13</v>
      </c>
      <c r="LJ21" s="26">
        <f>IF('Q4'!G21="","",SUM((AVERAGE('Q3'!G21,'Q4'!G21)*0.5))+(HM21*0.5))</f>
        <v>70.166666666666657</v>
      </c>
      <c r="LK21" s="26">
        <f>IF('Q4'!H21="","",SUM((AVERAGE('Q3'!H21,'Q4'!H21)*1)))</f>
        <v>83.600000000000009</v>
      </c>
      <c r="LL21" s="26">
        <f>IF('Q4'!I21="","",SUM((AVERAGE('Q3'!I21,'Q4'!I21)*0.5))+(HO21*0.5))</f>
        <v>84.033333333333331</v>
      </c>
      <c r="LM21" s="26">
        <f>IF('Q4'!J21="","",SUM((AVERAGE('Q3'!J21,'Q4'!J21)*0.5))+(HP21*0.5))</f>
        <v>82.333333333333329</v>
      </c>
      <c r="LN21" s="26">
        <f>IF('Q4'!K21="","",SUM((AVERAGE('Q3'!K21,'Q4'!K21)*0.5))+(HQ21*0.5))</f>
        <v>82.241666666666674</v>
      </c>
      <c r="LO21" s="26">
        <f>IF('Q4'!L21="","",SUM((AVERAGE('Q3'!L21,'Q4'!L21)*0.5))+(HR21*0.5))</f>
        <v>71.616666666666674</v>
      </c>
      <c r="LP21" s="26">
        <f>IF('Q4'!M21="","",SUM((AVERAGE('Q3'!M21,'Q4'!M21)*0.5))+(HS21*0.5))</f>
        <v>81.8</v>
      </c>
      <c r="LQ21" s="26">
        <f>IF('Q4'!N21="","",SUM((AVERAGE('Q3'!N21,'Q4'!N21)*1)))</f>
        <v>97</v>
      </c>
      <c r="LR21" s="26">
        <f>IF('Q4'!O21="","",SUM((AVERAGE('Q3'!O21,'Q4'!O21)*1)))</f>
        <v>97</v>
      </c>
      <c r="LS21" s="26">
        <f>IF('Q4'!P21="","",SUM((AVERAGE('Q3'!P21,'Q4'!P21)*0.5))+(HV21*0.5))</f>
        <v>80.376666666666665</v>
      </c>
      <c r="LT21" s="26">
        <f>IF('Q4'!Q21="","",SUM((AVERAGE('Q3'!Q21,'Q4'!Q21)*1)))</f>
        <v>74.753333333333345</v>
      </c>
      <c r="LU21" s="26">
        <f>IF('Q4'!R21="","",SUM((AVERAGE('Q3'!R21,'Q4'!R21)*0.5))+(HX21*0.5))</f>
        <v>78.541666666666657</v>
      </c>
      <c r="LV21" s="26">
        <f>IF('Q4'!S21="","",SUM((AVERAGE('Q3'!S21,'Q4'!S21)*0.5))+(HY21*0.5))</f>
        <v>88.775000000000006</v>
      </c>
      <c r="LW21" s="26">
        <f>IF('Q4'!T21="","",SUM((AVERAGE('Q3'!T21,'Q4'!T21)*0.5))+(HZ21*0.5))</f>
        <v>74.625</v>
      </c>
      <c r="LX21" s="26">
        <f>IF('Q4'!U21="","",SUM((AVERAGE('Q3'!U21,'Q4'!U21)*0.5))+(IA21*0.5))</f>
        <v>94.95</v>
      </c>
      <c r="LY21" s="26">
        <f>IF('Q4'!V21="","",SUM((AVERAGE('Q3'!V21,'Q4'!V21)*0.5))+(IB21*0.5))</f>
        <v>99</v>
      </c>
      <c r="LZ21" s="26" t="str">
        <f t="shared" si="231"/>
        <v>C</v>
      </c>
      <c r="MA21" s="26" t="str">
        <f t="shared" si="232"/>
        <v>B</v>
      </c>
      <c r="MB21" s="26" t="str">
        <f t="shared" si="233"/>
        <v>B</v>
      </c>
      <c r="MC21" s="26" t="str">
        <f t="shared" si="234"/>
        <v>B</v>
      </c>
      <c r="MD21" s="26" t="str">
        <f t="shared" si="235"/>
        <v>B</v>
      </c>
      <c r="ME21" s="26" t="str">
        <f t="shared" si="236"/>
        <v>C</v>
      </c>
      <c r="MF21" s="26" t="str">
        <f t="shared" si="237"/>
        <v>B</v>
      </c>
      <c r="MG21" s="26" t="str">
        <f t="shared" si="238"/>
        <v>A</v>
      </c>
      <c r="MH21" s="26" t="str">
        <f t="shared" si="239"/>
        <v>A</v>
      </c>
      <c r="MI21" s="24" t="str">
        <f t="shared" si="240"/>
        <v>B</v>
      </c>
      <c r="MJ21" s="24" t="str">
        <f t="shared" si="241"/>
        <v>C</v>
      </c>
      <c r="MK21" s="24" t="str">
        <f t="shared" si="242"/>
        <v>C</v>
      </c>
      <c r="ML21" s="24" t="str">
        <f t="shared" si="243"/>
        <v>B</v>
      </c>
      <c r="MM21" s="24" t="str">
        <f t="shared" si="244"/>
        <v>C</v>
      </c>
      <c r="MN21" s="24" t="str">
        <f t="shared" si="245"/>
        <v>A</v>
      </c>
      <c r="MO21" s="24" t="str">
        <f t="shared" si="246"/>
        <v>A</v>
      </c>
      <c r="MP21" s="24">
        <f t="shared" si="247"/>
        <v>2</v>
      </c>
      <c r="MQ21" s="24">
        <f t="shared" si="248"/>
        <v>2</v>
      </c>
      <c r="MR21" s="24">
        <f t="shared" si="249"/>
        <v>3</v>
      </c>
      <c r="MS21" s="24">
        <f t="shared" si="250"/>
        <v>1</v>
      </c>
      <c r="MT21" s="24">
        <f t="shared" si="251"/>
        <v>5</v>
      </c>
      <c r="MU21" s="24">
        <f t="shared" si="252"/>
        <v>3</v>
      </c>
      <c r="MV21" s="24">
        <f t="shared" si="253"/>
        <v>2</v>
      </c>
      <c r="MW21" s="24">
        <f t="shared" si="254"/>
        <v>1</v>
      </c>
      <c r="MX21" s="24">
        <f t="shared" si="255"/>
        <v>1</v>
      </c>
      <c r="MY21" s="24">
        <f t="shared" si="256"/>
        <v>5</v>
      </c>
      <c r="MZ21" s="24">
        <f t="shared" si="257"/>
        <v>1</v>
      </c>
      <c r="NA21" s="24">
        <f t="shared" si="258"/>
        <v>5</v>
      </c>
      <c r="NB21" s="24">
        <f t="shared" si="259"/>
        <v>3</v>
      </c>
      <c r="NC21" s="24">
        <f t="shared" si="260"/>
        <v>2</v>
      </c>
      <c r="ND21" s="24">
        <f t="shared" si="261"/>
        <v>2</v>
      </c>
      <c r="NE21" s="24">
        <f t="shared" si="262"/>
        <v>2</v>
      </c>
      <c r="NF21" s="26">
        <f t="shared" si="263"/>
        <v>140.33333333333331</v>
      </c>
      <c r="NG21" s="26">
        <f t="shared" si="264"/>
        <v>167.20000000000002</v>
      </c>
      <c r="NH21" s="26">
        <f t="shared" si="265"/>
        <v>252.1</v>
      </c>
      <c r="NI21" s="26">
        <f t="shared" si="266"/>
        <v>82.333333333333329</v>
      </c>
      <c r="NJ21" s="26">
        <f t="shared" si="267"/>
        <v>411.20833333333337</v>
      </c>
      <c r="NK21" s="26">
        <f t="shared" si="268"/>
        <v>214.85000000000002</v>
      </c>
      <c r="NL21" s="26">
        <f t="shared" si="269"/>
        <v>163.6</v>
      </c>
      <c r="NM21" s="26">
        <f t="shared" si="270"/>
        <v>97</v>
      </c>
      <c r="NN21" s="26">
        <f t="shared" si="271"/>
        <v>97</v>
      </c>
      <c r="NO21" s="26">
        <f t="shared" si="272"/>
        <v>401.88333333333333</v>
      </c>
      <c r="NP21" s="26">
        <f t="shared" si="273"/>
        <v>74.753333333333345</v>
      </c>
      <c r="NQ21" s="26">
        <f t="shared" si="274"/>
        <v>392.70833333333326</v>
      </c>
      <c r="NR21" s="26">
        <f t="shared" si="275"/>
        <v>266.32500000000005</v>
      </c>
      <c r="NS21" s="26">
        <f t="shared" si="276"/>
        <v>149.25</v>
      </c>
      <c r="NT21" s="26">
        <f t="shared" si="277"/>
        <v>189.9</v>
      </c>
      <c r="NU21" s="26">
        <f t="shared" si="278"/>
        <v>198</v>
      </c>
      <c r="NV21" s="24">
        <f t="shared" si="279"/>
        <v>4</v>
      </c>
      <c r="NW21" s="24">
        <f t="shared" si="280"/>
        <v>6</v>
      </c>
      <c r="NX21" s="24">
        <f t="shared" si="281"/>
        <v>9</v>
      </c>
      <c r="NY21" s="24">
        <f t="shared" si="282"/>
        <v>3</v>
      </c>
      <c r="NZ21" s="24">
        <f t="shared" si="283"/>
        <v>15</v>
      </c>
      <c r="OA21" s="24">
        <f t="shared" si="284"/>
        <v>6</v>
      </c>
      <c r="OB21" s="24">
        <f t="shared" si="285"/>
        <v>6</v>
      </c>
      <c r="OC21" s="24">
        <f t="shared" si="286"/>
        <v>4</v>
      </c>
      <c r="OD21" s="24">
        <f t="shared" si="287"/>
        <v>4</v>
      </c>
      <c r="OE21" s="24">
        <f t="shared" si="288"/>
        <v>15</v>
      </c>
      <c r="OF21" s="24">
        <f t="shared" si="289"/>
        <v>2</v>
      </c>
      <c r="OG21" s="24">
        <f t="shared" si="290"/>
        <v>10</v>
      </c>
      <c r="OH21" s="24">
        <f t="shared" si="291"/>
        <v>9</v>
      </c>
      <c r="OI21" s="24">
        <f t="shared" si="292"/>
        <v>4</v>
      </c>
      <c r="OJ21" s="24">
        <f t="shared" si="293"/>
        <v>8</v>
      </c>
      <c r="OK21" s="24">
        <f t="shared" si="294"/>
        <v>8</v>
      </c>
      <c r="OL21" s="24">
        <f t="shared" si="295"/>
        <v>20</v>
      </c>
      <c r="OM21" s="26">
        <f t="shared" si="296"/>
        <v>1625.625</v>
      </c>
      <c r="ON21" s="26">
        <f t="shared" si="297"/>
        <v>57</v>
      </c>
      <c r="OO21" s="26">
        <f t="shared" si="343"/>
        <v>81.28125</v>
      </c>
      <c r="OP21" s="24" t="str">
        <f t="shared" si="344"/>
        <v>B</v>
      </c>
      <c r="OQ21" s="26">
        <f t="shared" si="298"/>
        <v>2.85</v>
      </c>
      <c r="OR21" s="24">
        <f t="shared" si="299"/>
        <v>20</v>
      </c>
      <c r="OS21" s="26">
        <f t="shared" si="300"/>
        <v>1672.8200000000002</v>
      </c>
      <c r="OT21" s="26">
        <f t="shared" si="301"/>
        <v>56</v>
      </c>
      <c r="OU21" s="26">
        <f t="shared" si="345"/>
        <v>83.641000000000005</v>
      </c>
      <c r="OV21" s="24" t="str">
        <f t="shared" si="346"/>
        <v>B</v>
      </c>
      <c r="OW21" s="27">
        <f t="shared" si="302"/>
        <v>2.8</v>
      </c>
      <c r="OX21" s="24">
        <f t="shared" si="303"/>
        <v>40</v>
      </c>
      <c r="OY21" s="26">
        <f t="shared" si="304"/>
        <v>3298.4450000000002</v>
      </c>
      <c r="OZ21" s="26">
        <f t="shared" si="305"/>
        <v>113</v>
      </c>
      <c r="PA21" s="26">
        <f t="shared" si="347"/>
        <v>82.46112500000001</v>
      </c>
      <c r="PB21" s="27" t="str">
        <f t="shared" si="348"/>
        <v>B</v>
      </c>
      <c r="PC21" s="26">
        <f t="shared" si="306"/>
        <v>2.8250000000000002</v>
      </c>
      <c r="PD21" s="24">
        <f t="shared" si="307"/>
        <v>5</v>
      </c>
      <c r="PE21" s="24" t="str">
        <f t="shared" si="308"/>
        <v>6A</v>
      </c>
      <c r="PF21" s="24">
        <f t="shared" si="309"/>
        <v>13</v>
      </c>
      <c r="PG21" s="24">
        <f t="shared" si="310"/>
        <v>104</v>
      </c>
      <c r="PH21" s="24">
        <f t="shared" si="311"/>
        <v>0</v>
      </c>
      <c r="PI21" s="24">
        <f t="shared" si="312"/>
        <v>0</v>
      </c>
      <c r="PJ21" s="24">
        <f t="shared" si="313"/>
        <v>0</v>
      </c>
      <c r="PK21" s="24">
        <f t="shared" si="314"/>
        <v>0</v>
      </c>
      <c r="PL21" s="25">
        <f t="shared" si="315"/>
        <v>1</v>
      </c>
    </row>
    <row r="22" spans="1:428" ht="27" customHeight="1" x14ac:dyDescent="0.35">
      <c r="A22" s="24">
        <f t="shared" si="349"/>
        <v>8</v>
      </c>
      <c r="B22" s="28" t="str">
        <f>IF('Q1'!B22="","",'Q1'!B22)</f>
        <v>Dyna Sovanysa</v>
      </c>
      <c r="C22" s="30" t="str">
        <f>IF('Q1'!C22="","",'Q1'!C22)</f>
        <v>ឌីណា សុវណ្ណីហ្សា</v>
      </c>
      <c r="D22" s="28" t="str">
        <f>IF('Q1'!D22="","",'Q1'!D22)</f>
        <v>F</v>
      </c>
      <c r="E22" s="24">
        <f>IF('Q1'!E22="","",'Q1'!E22)</f>
        <v>687</v>
      </c>
      <c r="F22" s="24" t="str">
        <f>IF('Q1'!F22="","",'Q1'!F22)</f>
        <v>I</v>
      </c>
      <c r="G22" s="26">
        <f>IF('Q3'!G22="","",'Q3'!G22)</f>
        <v>86</v>
      </c>
      <c r="H22" s="26">
        <f>IF('Q3'!H22="","",'Q3'!H22)</f>
        <v>90.166666666666671</v>
      </c>
      <c r="I22" s="26">
        <f>IF('Q3'!I22="","",'Q3'!I22)</f>
        <v>87.300000000000011</v>
      </c>
      <c r="J22" s="26">
        <f>IF('Q3'!J22="","",'Q3'!J22)</f>
        <v>86</v>
      </c>
      <c r="K22" s="26">
        <f>IF('Q3'!K22="","",'Q3'!K22)</f>
        <v>90.466666666666669</v>
      </c>
      <c r="L22" s="26">
        <f>IF('Q3'!L22="","",'Q3'!L22)</f>
        <v>86.4</v>
      </c>
      <c r="M22" s="26">
        <f>IF('Q3'!M22="","",'Q3'!M22)</f>
        <v>89.833333333333343</v>
      </c>
      <c r="N22" s="26">
        <f>IF('Q3'!N22="","",'Q3'!N22)</f>
        <v>98</v>
      </c>
      <c r="O22" s="26">
        <f>IF('Q3'!O22="","",'Q3'!O22)</f>
        <v>98</v>
      </c>
      <c r="P22" s="26">
        <f>IF('Q3'!P22="","",'Q3'!P22)</f>
        <v>95.126666666666665</v>
      </c>
      <c r="Q22" s="26">
        <f>IF('Q3'!Q22="","",'Q3'!Q22)</f>
        <v>95.126666666666665</v>
      </c>
      <c r="R22" s="26">
        <f>IF('Q3'!R22="","",'Q3'!R22)</f>
        <v>91.23</v>
      </c>
      <c r="S22" s="26">
        <f>IF('Q3'!S22="","",'Q3'!S22)</f>
        <v>83.43</v>
      </c>
      <c r="T22" s="26">
        <f>IF('Q3'!T22="","",'Q3'!T22)</f>
        <v>89</v>
      </c>
      <c r="U22" s="26">
        <f>IF('Q3'!U22="","",'Q3'!U22)</f>
        <v>97</v>
      </c>
      <c r="V22" s="26">
        <f>IF('Q3'!V22="","",'Q3'!V22)</f>
        <v>96</v>
      </c>
      <c r="W22" s="26" t="str">
        <f t="shared" si="0"/>
        <v>B</v>
      </c>
      <c r="X22" s="26" t="str">
        <f t="shared" si="1"/>
        <v>A</v>
      </c>
      <c r="Y22" s="26" t="str">
        <f t="shared" si="2"/>
        <v>B</v>
      </c>
      <c r="Z22" s="26" t="str">
        <f t="shared" si="3"/>
        <v>B</v>
      </c>
      <c r="AA22" s="26" t="str">
        <f t="shared" si="4"/>
        <v>A</v>
      </c>
      <c r="AB22" s="26" t="str">
        <f t="shared" si="5"/>
        <v>B</v>
      </c>
      <c r="AC22" s="26" t="str">
        <f t="shared" si="6"/>
        <v>B</v>
      </c>
      <c r="AD22" s="26" t="str">
        <f t="shared" si="7"/>
        <v>A</v>
      </c>
      <c r="AE22" s="26" t="str">
        <f t="shared" si="8"/>
        <v>A</v>
      </c>
      <c r="AF22" s="24" t="str">
        <f t="shared" si="9"/>
        <v>A</v>
      </c>
      <c r="AG22" s="24" t="str">
        <f t="shared" si="10"/>
        <v>A</v>
      </c>
      <c r="AH22" s="24" t="str">
        <f t="shared" si="11"/>
        <v>A</v>
      </c>
      <c r="AI22" s="24" t="str">
        <f t="shared" si="12"/>
        <v>B</v>
      </c>
      <c r="AJ22" s="24" t="str">
        <f t="shared" si="13"/>
        <v>B</v>
      </c>
      <c r="AK22" s="24" t="str">
        <f t="shared" si="14"/>
        <v>A</v>
      </c>
      <c r="AL22" s="24" t="str">
        <f t="shared" si="15"/>
        <v>A</v>
      </c>
      <c r="AM22" s="24">
        <f t="shared" si="16"/>
        <v>2</v>
      </c>
      <c r="AN22" s="24">
        <f t="shared" si="17"/>
        <v>2</v>
      </c>
      <c r="AO22" s="24">
        <f t="shared" si="18"/>
        <v>3</v>
      </c>
      <c r="AP22" s="24">
        <f t="shared" si="19"/>
        <v>1</v>
      </c>
      <c r="AQ22" s="24">
        <f t="shared" si="20"/>
        <v>5</v>
      </c>
      <c r="AR22" s="24">
        <f t="shared" si="21"/>
        <v>3</v>
      </c>
      <c r="AS22" s="24">
        <f t="shared" si="22"/>
        <v>2</v>
      </c>
      <c r="AT22" s="24">
        <f t="shared" si="23"/>
        <v>1</v>
      </c>
      <c r="AU22" s="24">
        <f t="shared" si="24"/>
        <v>1</v>
      </c>
      <c r="AV22" s="24">
        <f t="shared" si="25"/>
        <v>5</v>
      </c>
      <c r="AW22" s="24">
        <f t="shared" si="26"/>
        <v>1</v>
      </c>
      <c r="AX22" s="24">
        <f t="shared" si="27"/>
        <v>5</v>
      </c>
      <c r="AY22" s="24">
        <f t="shared" si="28"/>
        <v>3</v>
      </c>
      <c r="AZ22" s="24">
        <f t="shared" si="29"/>
        <v>2</v>
      </c>
      <c r="BA22" s="24">
        <f t="shared" si="30"/>
        <v>2</v>
      </c>
      <c r="BB22" s="24">
        <f t="shared" si="31"/>
        <v>2</v>
      </c>
      <c r="BC22" s="26">
        <f t="shared" si="32"/>
        <v>172</v>
      </c>
      <c r="BD22" s="26">
        <f t="shared" si="33"/>
        <v>180.33333333333334</v>
      </c>
      <c r="BE22" s="26">
        <f t="shared" si="34"/>
        <v>261.90000000000003</v>
      </c>
      <c r="BF22" s="26">
        <f t="shared" si="35"/>
        <v>86</v>
      </c>
      <c r="BG22" s="26">
        <f t="shared" si="36"/>
        <v>452.33333333333337</v>
      </c>
      <c r="BH22" s="26">
        <f t="shared" si="37"/>
        <v>259.20000000000005</v>
      </c>
      <c r="BI22" s="26">
        <f t="shared" si="38"/>
        <v>179.66666666666669</v>
      </c>
      <c r="BJ22" s="26">
        <f t="shared" si="39"/>
        <v>98</v>
      </c>
      <c r="BK22" s="26">
        <f t="shared" si="40"/>
        <v>98</v>
      </c>
      <c r="BL22" s="26">
        <f t="shared" si="41"/>
        <v>475.63333333333333</v>
      </c>
      <c r="BM22" s="26">
        <f t="shared" si="42"/>
        <v>95.126666666666665</v>
      </c>
      <c r="BN22" s="26">
        <f t="shared" si="43"/>
        <v>456.15000000000003</v>
      </c>
      <c r="BO22" s="26">
        <f t="shared" si="44"/>
        <v>250.29000000000002</v>
      </c>
      <c r="BP22" s="26">
        <f t="shared" si="45"/>
        <v>178</v>
      </c>
      <c r="BQ22" s="26">
        <f t="shared" si="46"/>
        <v>194</v>
      </c>
      <c r="BR22" s="26">
        <f t="shared" si="47"/>
        <v>192</v>
      </c>
      <c r="BS22" s="24">
        <f t="shared" si="48"/>
        <v>6</v>
      </c>
      <c r="BT22" s="24">
        <f t="shared" si="49"/>
        <v>8</v>
      </c>
      <c r="BU22" s="24">
        <f t="shared" si="50"/>
        <v>9</v>
      </c>
      <c r="BV22" s="24">
        <f t="shared" si="51"/>
        <v>3</v>
      </c>
      <c r="BW22" s="24">
        <f t="shared" si="52"/>
        <v>20</v>
      </c>
      <c r="BX22" s="24">
        <f t="shared" si="53"/>
        <v>9</v>
      </c>
      <c r="BY22" s="24">
        <f t="shared" si="54"/>
        <v>6</v>
      </c>
      <c r="BZ22" s="24">
        <f t="shared" si="55"/>
        <v>4</v>
      </c>
      <c r="CA22" s="24">
        <f t="shared" si="56"/>
        <v>4</v>
      </c>
      <c r="CB22" s="24">
        <f t="shared" si="57"/>
        <v>20</v>
      </c>
      <c r="CC22" s="24">
        <f t="shared" si="58"/>
        <v>4</v>
      </c>
      <c r="CD22" s="24">
        <f t="shared" si="59"/>
        <v>20</v>
      </c>
      <c r="CE22" s="24">
        <f t="shared" si="60"/>
        <v>9</v>
      </c>
      <c r="CF22" s="24">
        <f t="shared" si="61"/>
        <v>6</v>
      </c>
      <c r="CG22" s="24">
        <f t="shared" si="62"/>
        <v>8</v>
      </c>
      <c r="CH22" s="24">
        <f t="shared" si="63"/>
        <v>8</v>
      </c>
      <c r="CI22" s="24">
        <f t="shared" si="64"/>
        <v>20</v>
      </c>
      <c r="CJ22" s="26">
        <f t="shared" si="65"/>
        <v>1787.4333333333334</v>
      </c>
      <c r="CK22" s="26">
        <f t="shared" si="66"/>
        <v>79</v>
      </c>
      <c r="CL22" s="26">
        <f t="shared" si="316"/>
        <v>89.37166666666667</v>
      </c>
      <c r="CM22" s="24" t="str">
        <f t="shared" si="317"/>
        <v>B</v>
      </c>
      <c r="CN22" s="26">
        <f t="shared" si="67"/>
        <v>3.95</v>
      </c>
      <c r="CO22" s="24">
        <f t="shared" si="68"/>
        <v>20</v>
      </c>
      <c r="CP22" s="26">
        <f t="shared" si="69"/>
        <v>1841.2</v>
      </c>
      <c r="CQ22" s="26">
        <f t="shared" si="70"/>
        <v>75</v>
      </c>
      <c r="CR22" s="26">
        <f t="shared" si="318"/>
        <v>92.06</v>
      </c>
      <c r="CS22" s="24" t="str">
        <f t="shared" si="319"/>
        <v>A</v>
      </c>
      <c r="CT22" s="27">
        <f t="shared" si="71"/>
        <v>3.75</v>
      </c>
      <c r="CU22" s="24">
        <f t="shared" si="72"/>
        <v>40</v>
      </c>
      <c r="CV22" s="26">
        <f t="shared" si="73"/>
        <v>3628.6333333333332</v>
      </c>
      <c r="CW22" s="27">
        <f t="shared" si="74"/>
        <v>3462.6333333333337</v>
      </c>
      <c r="CX22" s="26">
        <f t="shared" si="320"/>
        <v>90.715833333333336</v>
      </c>
      <c r="CY22" s="27" t="str">
        <f t="shared" si="321"/>
        <v>A</v>
      </c>
      <c r="CZ22" s="26">
        <f t="shared" si="75"/>
        <v>86.565833333333345</v>
      </c>
      <c r="DA22" s="24">
        <f t="shared" si="76"/>
        <v>1</v>
      </c>
      <c r="DB22" s="24" t="str">
        <f t="shared" si="77"/>
        <v>6A</v>
      </c>
      <c r="DC22" s="24">
        <f t="shared" si="78"/>
        <v>13</v>
      </c>
      <c r="DD22" s="24">
        <f>IF(B22="","",'Q3'!$C$8)</f>
        <v>50</v>
      </c>
      <c r="DE22" s="24">
        <f>IF(B22="","",'Q3'!DE22)</f>
        <v>0</v>
      </c>
      <c r="DF22" s="24">
        <f>IF(C22="","",'Q3'!DF22)</f>
        <v>0</v>
      </c>
      <c r="DG22" s="24">
        <f>IF(D22="","",'Q3'!DG22)</f>
        <v>2</v>
      </c>
      <c r="DH22" s="24">
        <f>IF(E22="","",'Q3'!DH22)</f>
        <v>2</v>
      </c>
      <c r="DI22" s="25">
        <f t="shared" si="79"/>
        <v>0.96</v>
      </c>
      <c r="DJ22" s="26">
        <f>IF('Q4'!G22="","",'Q4'!G22)</f>
        <v>88.666666666666671</v>
      </c>
      <c r="DK22" s="26">
        <f>IF('Q4'!H22="","",'Q4'!H22)</f>
        <v>90.933333333333337</v>
      </c>
      <c r="DL22" s="26">
        <f>IF('Q4'!I22="","",'Q4'!I22)</f>
        <v>89.300000000000011</v>
      </c>
      <c r="DM22" s="26">
        <f>IF('Q4'!J22="","",'Q4'!J22)</f>
        <v>86</v>
      </c>
      <c r="DN22" s="26">
        <f>IF('Q4'!K22="","",'Q4'!K22)</f>
        <v>93.26666666666668</v>
      </c>
      <c r="DO22" s="26">
        <f>IF('Q4'!L22="","",'Q4'!L22)</f>
        <v>89.6</v>
      </c>
      <c r="DP22" s="26">
        <f>IF('Q4'!M22="","",'Q4'!M22)</f>
        <v>90.1</v>
      </c>
      <c r="DQ22" s="26">
        <f>IF('Q4'!N22="","",'Q4'!N22)</f>
        <v>98</v>
      </c>
      <c r="DR22" s="26">
        <f>IF('Q4'!O22="","",'Q4'!O22)</f>
        <v>98</v>
      </c>
      <c r="DS22" s="26">
        <f>IF('Q4'!P22="","",'Q4'!P22)</f>
        <v>81.960000000000008</v>
      </c>
      <c r="DT22" s="26">
        <f>IF('Q4'!Q22="","",'Q4'!Q22)</f>
        <v>81.960000000000008</v>
      </c>
      <c r="DU22" s="26">
        <f>IF('Q4'!R22="","",'Q4'!R22)</f>
        <v>79.48</v>
      </c>
      <c r="DV22" s="26">
        <f>IF('Q4'!S22="","",'Q4'!S22)</f>
        <v>82.68</v>
      </c>
      <c r="DW22" s="26">
        <f>IF('Q4'!T22="","",'Q4'!T22)</f>
        <v>86</v>
      </c>
      <c r="DX22" s="26">
        <f>IF('Q4'!U22="","",'Q4'!U22)</f>
        <v>97.333333333333343</v>
      </c>
      <c r="DY22" s="26">
        <f>IF('Q4'!V22="","",'Q4'!V22)</f>
        <v>97.666666666666671</v>
      </c>
      <c r="DZ22" s="26" t="str">
        <f t="shared" si="80"/>
        <v>B</v>
      </c>
      <c r="EA22" s="26" t="str">
        <f t="shared" si="81"/>
        <v>A</v>
      </c>
      <c r="EB22" s="26" t="str">
        <f t="shared" si="82"/>
        <v>B</v>
      </c>
      <c r="EC22" s="26" t="str">
        <f t="shared" si="83"/>
        <v>B</v>
      </c>
      <c r="ED22" s="26" t="str">
        <f t="shared" si="84"/>
        <v>A</v>
      </c>
      <c r="EE22" s="26" t="str">
        <f t="shared" si="85"/>
        <v>B</v>
      </c>
      <c r="EF22" s="26" t="str">
        <f t="shared" si="86"/>
        <v>A</v>
      </c>
      <c r="EG22" s="26" t="str">
        <f t="shared" si="87"/>
        <v>A</v>
      </c>
      <c r="EH22" s="26" t="str">
        <f t="shared" si="88"/>
        <v>A</v>
      </c>
      <c r="EI22" s="24" t="str">
        <f t="shared" si="89"/>
        <v>B</v>
      </c>
      <c r="EJ22" s="24" t="str">
        <f t="shared" si="90"/>
        <v>B</v>
      </c>
      <c r="EK22" s="24" t="str">
        <f t="shared" si="91"/>
        <v>C</v>
      </c>
      <c r="EL22" s="24" t="str">
        <f t="shared" si="92"/>
        <v>B</v>
      </c>
      <c r="EM22" s="24" t="str">
        <f t="shared" si="93"/>
        <v>B</v>
      </c>
      <c r="EN22" s="24" t="str">
        <f t="shared" si="94"/>
        <v>A</v>
      </c>
      <c r="EO22" s="24" t="str">
        <f t="shared" si="95"/>
        <v>A</v>
      </c>
      <c r="EP22" s="24">
        <f t="shared" si="96"/>
        <v>2</v>
      </c>
      <c r="EQ22" s="24">
        <f t="shared" si="97"/>
        <v>2</v>
      </c>
      <c r="ER22" s="24">
        <f t="shared" si="98"/>
        <v>3</v>
      </c>
      <c r="ES22" s="24">
        <f t="shared" si="99"/>
        <v>1</v>
      </c>
      <c r="ET22" s="24">
        <f t="shared" si="100"/>
        <v>5</v>
      </c>
      <c r="EU22" s="24">
        <f t="shared" si="101"/>
        <v>3</v>
      </c>
      <c r="EV22" s="24">
        <f t="shared" si="102"/>
        <v>2</v>
      </c>
      <c r="EW22" s="24">
        <f t="shared" si="322"/>
        <v>1</v>
      </c>
      <c r="EX22" s="24">
        <f t="shared" si="103"/>
        <v>1</v>
      </c>
      <c r="EY22" s="24">
        <f t="shared" si="104"/>
        <v>5</v>
      </c>
      <c r="EZ22" s="24">
        <f t="shared" si="105"/>
        <v>1</v>
      </c>
      <c r="FA22" s="24">
        <f t="shared" si="106"/>
        <v>5</v>
      </c>
      <c r="FB22" s="24">
        <f t="shared" si="107"/>
        <v>3</v>
      </c>
      <c r="FC22" s="24">
        <f t="shared" si="108"/>
        <v>2</v>
      </c>
      <c r="FD22" s="24">
        <f t="shared" si="109"/>
        <v>2</v>
      </c>
      <c r="FE22" s="24">
        <f t="shared" si="110"/>
        <v>2</v>
      </c>
      <c r="FF22" s="26">
        <f t="shared" si="111"/>
        <v>177.33333333333334</v>
      </c>
      <c r="FG22" s="26">
        <f t="shared" si="112"/>
        <v>181.86666666666667</v>
      </c>
      <c r="FH22" s="26">
        <f t="shared" si="113"/>
        <v>267.90000000000003</v>
      </c>
      <c r="FI22" s="26">
        <f t="shared" si="114"/>
        <v>86</v>
      </c>
      <c r="FJ22" s="26">
        <f t="shared" si="115"/>
        <v>466.33333333333337</v>
      </c>
      <c r="FK22" s="26">
        <f t="shared" si="116"/>
        <v>268.79999999999995</v>
      </c>
      <c r="FL22" s="26">
        <f t="shared" si="117"/>
        <v>180.2</v>
      </c>
      <c r="FM22" s="26">
        <f t="shared" si="118"/>
        <v>98</v>
      </c>
      <c r="FN22" s="26"/>
      <c r="FO22" s="26">
        <f t="shared" si="119"/>
        <v>409.80000000000007</v>
      </c>
      <c r="FP22" s="26">
        <f t="shared" si="120"/>
        <v>81.960000000000008</v>
      </c>
      <c r="FQ22" s="26">
        <f t="shared" si="121"/>
        <v>397.40000000000003</v>
      </c>
      <c r="FR22" s="26">
        <f t="shared" si="122"/>
        <v>248.04000000000002</v>
      </c>
      <c r="FS22" s="26">
        <f t="shared" si="123"/>
        <v>172</v>
      </c>
      <c r="FT22" s="26">
        <f t="shared" si="124"/>
        <v>194.66666666666669</v>
      </c>
      <c r="FU22" s="26">
        <f t="shared" si="125"/>
        <v>195.33333333333334</v>
      </c>
      <c r="FV22" s="24">
        <f t="shared" si="126"/>
        <v>6</v>
      </c>
      <c r="FW22" s="24">
        <f t="shared" si="127"/>
        <v>8</v>
      </c>
      <c r="FX22" s="24">
        <f t="shared" si="128"/>
        <v>9</v>
      </c>
      <c r="FY22" s="24">
        <f t="shared" si="129"/>
        <v>3</v>
      </c>
      <c r="FZ22" s="24">
        <f t="shared" si="130"/>
        <v>20</v>
      </c>
      <c r="GA22" s="24">
        <f t="shared" si="131"/>
        <v>9</v>
      </c>
      <c r="GB22" s="24">
        <f t="shared" si="132"/>
        <v>8</v>
      </c>
      <c r="GC22" s="24">
        <f t="shared" si="133"/>
        <v>4</v>
      </c>
      <c r="GD22" s="24">
        <f t="shared" si="323"/>
        <v>4</v>
      </c>
      <c r="GE22" s="24">
        <f t="shared" si="324"/>
        <v>3</v>
      </c>
      <c r="GF22" s="24">
        <f t="shared" si="325"/>
        <v>15</v>
      </c>
      <c r="GG22" s="24">
        <f t="shared" si="326"/>
        <v>6</v>
      </c>
      <c r="GH22" s="24">
        <f t="shared" si="327"/>
        <v>6</v>
      </c>
      <c r="GI22" s="24">
        <f t="shared" si="328"/>
        <v>6</v>
      </c>
      <c r="GJ22" s="24">
        <f t="shared" si="329"/>
        <v>8</v>
      </c>
      <c r="GK22" s="24">
        <f t="shared" si="330"/>
        <v>8</v>
      </c>
      <c r="GL22" s="24">
        <f t="shared" si="135"/>
        <v>19</v>
      </c>
      <c r="GM22" s="26">
        <f t="shared" si="136"/>
        <v>1726.4333333333334</v>
      </c>
      <c r="GN22" s="26">
        <f t="shared" si="137"/>
        <v>75</v>
      </c>
      <c r="GO22" s="26">
        <f t="shared" si="331"/>
        <v>90.864912280701759</v>
      </c>
      <c r="GP22" s="24" t="str">
        <f t="shared" si="332"/>
        <v>A</v>
      </c>
      <c r="GQ22" s="26">
        <f t="shared" si="138"/>
        <v>3.9473684210526314</v>
      </c>
      <c r="GR22" s="24">
        <f t="shared" si="139"/>
        <v>20</v>
      </c>
      <c r="GS22" s="26">
        <f t="shared" si="140"/>
        <v>1699.2</v>
      </c>
      <c r="GT22" s="26">
        <f t="shared" si="141"/>
        <v>52</v>
      </c>
      <c r="GU22" s="26">
        <f t="shared" si="333"/>
        <v>84.960000000000008</v>
      </c>
      <c r="GV22" s="24" t="str">
        <f t="shared" si="334"/>
        <v>B</v>
      </c>
      <c r="GW22" s="27">
        <f t="shared" si="142"/>
        <v>2.6</v>
      </c>
      <c r="GX22" s="24">
        <f t="shared" si="143"/>
        <v>40</v>
      </c>
      <c r="GY22" s="26">
        <f t="shared" si="144"/>
        <v>3425.6333333333337</v>
      </c>
      <c r="GZ22" s="26">
        <f t="shared" si="145"/>
        <v>3254.3</v>
      </c>
      <c r="HA22" s="26">
        <f t="shared" si="335"/>
        <v>85.640833333333347</v>
      </c>
      <c r="HB22" s="27" t="str">
        <f t="shared" si="336"/>
        <v>B</v>
      </c>
      <c r="HC22" s="26">
        <f t="shared" si="146"/>
        <v>81.357500000000002</v>
      </c>
      <c r="HD22" s="24">
        <f t="shared" si="147"/>
        <v>2</v>
      </c>
      <c r="HE22" s="24" t="str">
        <f t="shared" si="148"/>
        <v>6A</v>
      </c>
      <c r="HF22" s="24">
        <f t="shared" si="149"/>
        <v>13</v>
      </c>
      <c r="HG22" s="24">
        <f>IF(B22="","",'Q4'!$C$8)</f>
        <v>50</v>
      </c>
      <c r="HH22" s="24">
        <f>IF(A22="","",'Q4'!DE22)</f>
        <v>0</v>
      </c>
      <c r="HI22" s="24">
        <f>IF(B22="","",'Q4'!DF22)</f>
        <v>0</v>
      </c>
      <c r="HJ22" s="24">
        <f>IF(B22="","",'Q4'!DG22)</f>
        <v>0</v>
      </c>
      <c r="HK22" s="24">
        <f t="shared" si="150"/>
        <v>0</v>
      </c>
      <c r="HL22" s="25">
        <f t="shared" si="151"/>
        <v>1</v>
      </c>
      <c r="HM22" s="7">
        <v>80</v>
      </c>
      <c r="HN22" s="7">
        <v>95</v>
      </c>
      <c r="HO22" s="7">
        <v>95</v>
      </c>
      <c r="HP22" s="7">
        <v>95</v>
      </c>
      <c r="HQ22" s="7">
        <v>95</v>
      </c>
      <c r="HR22" s="7">
        <v>95</v>
      </c>
      <c r="HS22" s="7">
        <v>80</v>
      </c>
      <c r="HT22" s="7"/>
      <c r="HU22" s="7"/>
      <c r="HV22" s="7">
        <v>98</v>
      </c>
      <c r="HW22" s="7"/>
      <c r="HX22" s="7">
        <v>88</v>
      </c>
      <c r="HY22" s="7">
        <v>88</v>
      </c>
      <c r="HZ22" s="7">
        <v>90</v>
      </c>
      <c r="IA22" s="7">
        <v>94.5</v>
      </c>
      <c r="IB22" s="7">
        <v>90</v>
      </c>
      <c r="IC22" s="24" t="str">
        <f t="shared" si="152"/>
        <v>B</v>
      </c>
      <c r="ID22" s="24" t="str">
        <f t="shared" si="153"/>
        <v>A</v>
      </c>
      <c r="IE22" s="24" t="str">
        <f t="shared" si="154"/>
        <v>A</v>
      </c>
      <c r="IF22" s="24" t="str">
        <f t="shared" si="155"/>
        <v>A</v>
      </c>
      <c r="IG22" s="24" t="str">
        <f t="shared" si="156"/>
        <v>A</v>
      </c>
      <c r="IH22" s="24" t="str">
        <f t="shared" si="157"/>
        <v>A</v>
      </c>
      <c r="II22" s="24" t="str">
        <f t="shared" si="158"/>
        <v>B</v>
      </c>
      <c r="IJ22" s="24" t="str">
        <f t="shared" si="159"/>
        <v/>
      </c>
      <c r="IK22" s="24" t="str">
        <f t="shared" si="160"/>
        <v/>
      </c>
      <c r="IL22" s="24" t="str">
        <f t="shared" si="161"/>
        <v>A</v>
      </c>
      <c r="IM22" s="24" t="str">
        <f t="shared" si="162"/>
        <v/>
      </c>
      <c r="IN22" s="24" t="str">
        <f t="shared" si="163"/>
        <v>B</v>
      </c>
      <c r="IO22" s="24" t="str">
        <f t="shared" si="164"/>
        <v>B</v>
      </c>
      <c r="IP22" s="24" t="str">
        <f t="shared" si="165"/>
        <v>A</v>
      </c>
      <c r="IQ22" s="24" t="str">
        <f t="shared" si="166"/>
        <v>A</v>
      </c>
      <c r="IR22" s="24" t="str">
        <f t="shared" si="167"/>
        <v>A</v>
      </c>
      <c r="IS22" s="24">
        <f t="shared" si="168"/>
        <v>2</v>
      </c>
      <c r="IT22" s="24">
        <f t="shared" si="169"/>
        <v>2</v>
      </c>
      <c r="IU22" s="24">
        <f t="shared" si="170"/>
        <v>3</v>
      </c>
      <c r="IV22" s="24">
        <f t="shared" si="171"/>
        <v>1</v>
      </c>
      <c r="IW22" s="24">
        <f t="shared" si="172"/>
        <v>5</v>
      </c>
      <c r="IX22" s="24">
        <f t="shared" si="173"/>
        <v>3</v>
      </c>
      <c r="IY22" s="24">
        <f t="shared" si="174"/>
        <v>2</v>
      </c>
      <c r="IZ22" s="24" t="str">
        <f t="shared" si="175"/>
        <v/>
      </c>
      <c r="JA22" s="24" t="str">
        <f t="shared" si="176"/>
        <v/>
      </c>
      <c r="JB22" s="24">
        <f t="shared" si="177"/>
        <v>5</v>
      </c>
      <c r="JC22" s="24" t="str">
        <f t="shared" si="178"/>
        <v/>
      </c>
      <c r="JD22" s="24">
        <f t="shared" si="179"/>
        <v>5</v>
      </c>
      <c r="JE22" s="24">
        <f t="shared" si="180"/>
        <v>3</v>
      </c>
      <c r="JF22" s="24">
        <f t="shared" si="181"/>
        <v>2</v>
      </c>
      <c r="JG22" s="24">
        <f t="shared" si="182"/>
        <v>2</v>
      </c>
      <c r="JH22" s="24">
        <f t="shared" si="183"/>
        <v>2</v>
      </c>
      <c r="JI22" s="26">
        <f t="shared" si="184"/>
        <v>160</v>
      </c>
      <c r="JJ22" s="26">
        <f t="shared" si="185"/>
        <v>190</v>
      </c>
      <c r="JK22" s="26">
        <f t="shared" si="186"/>
        <v>285</v>
      </c>
      <c r="JL22" s="26">
        <f t="shared" si="187"/>
        <v>95</v>
      </c>
      <c r="JM22" s="26">
        <f t="shared" si="188"/>
        <v>475</v>
      </c>
      <c r="JN22" s="26">
        <f t="shared" si="189"/>
        <v>285</v>
      </c>
      <c r="JO22" s="26">
        <f t="shared" si="190"/>
        <v>160</v>
      </c>
      <c r="JP22" s="26" t="str">
        <f t="shared" si="191"/>
        <v/>
      </c>
      <c r="JQ22" s="26" t="str">
        <f t="shared" si="192"/>
        <v/>
      </c>
      <c r="JR22" s="26">
        <f t="shared" si="193"/>
        <v>490</v>
      </c>
      <c r="JS22" s="26" t="str">
        <f t="shared" si="194"/>
        <v/>
      </c>
      <c r="JT22" s="26">
        <f t="shared" si="195"/>
        <v>440</v>
      </c>
      <c r="JU22" s="26">
        <f t="shared" si="196"/>
        <v>264</v>
      </c>
      <c r="JV22" s="26">
        <f t="shared" si="197"/>
        <v>180</v>
      </c>
      <c r="JW22" s="26">
        <f t="shared" si="198"/>
        <v>189</v>
      </c>
      <c r="JX22" s="26">
        <f t="shared" si="199"/>
        <v>180</v>
      </c>
      <c r="JY22" s="24">
        <f t="shared" si="200"/>
        <v>6</v>
      </c>
      <c r="JZ22" s="24">
        <f t="shared" si="201"/>
        <v>8</v>
      </c>
      <c r="KA22" s="24">
        <f t="shared" si="202"/>
        <v>12</v>
      </c>
      <c r="KB22" s="24">
        <f t="shared" si="203"/>
        <v>4</v>
      </c>
      <c r="KC22" s="24">
        <f t="shared" si="204"/>
        <v>20</v>
      </c>
      <c r="KD22" s="24">
        <f t="shared" si="205"/>
        <v>12</v>
      </c>
      <c r="KE22" s="24">
        <f t="shared" si="206"/>
        <v>6</v>
      </c>
      <c r="KF22" s="24" t="str">
        <f t="shared" si="207"/>
        <v/>
      </c>
      <c r="KG22" s="24" t="str">
        <f t="shared" si="208"/>
        <v/>
      </c>
      <c r="KH22" s="24">
        <f t="shared" si="209"/>
        <v>20</v>
      </c>
      <c r="KI22" s="24" t="str">
        <f t="shared" si="210"/>
        <v/>
      </c>
      <c r="KJ22" s="24">
        <f t="shared" si="211"/>
        <v>15</v>
      </c>
      <c r="KK22" s="24">
        <f t="shared" si="212"/>
        <v>9</v>
      </c>
      <c r="KL22" s="24">
        <f t="shared" si="213"/>
        <v>8</v>
      </c>
      <c r="KM22" s="24">
        <f t="shared" si="214"/>
        <v>8</v>
      </c>
      <c r="KN22" s="24">
        <f t="shared" si="215"/>
        <v>8</v>
      </c>
      <c r="KO22" s="24">
        <f t="shared" si="216"/>
        <v>18</v>
      </c>
      <c r="KP22" s="26" t="str">
        <f t="shared" si="217"/>
        <v/>
      </c>
      <c r="KQ22" s="26">
        <f t="shared" si="218"/>
        <v>68</v>
      </c>
      <c r="KR22" s="26" t="str">
        <f t="shared" si="337"/>
        <v/>
      </c>
      <c r="KS22" s="24" t="str">
        <f t="shared" si="338"/>
        <v/>
      </c>
      <c r="KT22" s="26">
        <f t="shared" si="219"/>
        <v>3.7777777777777777</v>
      </c>
      <c r="KU22" s="24">
        <f t="shared" si="220"/>
        <v>19</v>
      </c>
      <c r="KV22" s="24">
        <f t="shared" si="221"/>
        <v>1743</v>
      </c>
      <c r="KW22" s="24">
        <f t="shared" si="222"/>
        <v>68</v>
      </c>
      <c r="KX22" s="26">
        <f t="shared" si="339"/>
        <v>91.736842105263165</v>
      </c>
      <c r="KY22" s="24" t="str">
        <f t="shared" si="340"/>
        <v>A</v>
      </c>
      <c r="KZ22" s="27">
        <f t="shared" si="223"/>
        <v>3.5789473684210527</v>
      </c>
      <c r="LA22" s="24">
        <f t="shared" si="224"/>
        <v>37</v>
      </c>
      <c r="LB22" s="26">
        <f t="shared" si="225"/>
        <v>3393</v>
      </c>
      <c r="LC22" s="26">
        <f t="shared" si="226"/>
        <v>136</v>
      </c>
      <c r="LD22" s="26">
        <f t="shared" si="341"/>
        <v>91.702702702702709</v>
      </c>
      <c r="LE22" s="27" t="str">
        <f t="shared" si="342"/>
        <v>A</v>
      </c>
      <c r="LF22" s="26">
        <f t="shared" si="227"/>
        <v>3.6756756756756759</v>
      </c>
      <c r="LG22" s="24">
        <f t="shared" si="228"/>
        <v>1</v>
      </c>
      <c r="LH22" s="24" t="str">
        <f t="shared" si="229"/>
        <v>6A</v>
      </c>
      <c r="LI22" s="24">
        <f t="shared" si="230"/>
        <v>13</v>
      </c>
      <c r="LJ22" s="26">
        <f>IF('Q4'!G22="","",SUM((AVERAGE('Q3'!G22,'Q4'!G22)*0.5))+(HM22*0.5))</f>
        <v>83.666666666666671</v>
      </c>
      <c r="LK22" s="26">
        <f>IF('Q4'!H22="","",SUM((AVERAGE('Q3'!H22,'Q4'!H22)*1)))</f>
        <v>90.550000000000011</v>
      </c>
      <c r="LL22" s="26">
        <f>IF('Q4'!I22="","",SUM((AVERAGE('Q3'!I22,'Q4'!I22)*0.5))+(HO22*0.5))</f>
        <v>91.65</v>
      </c>
      <c r="LM22" s="26">
        <f>IF('Q4'!J22="","",SUM((AVERAGE('Q3'!J22,'Q4'!J22)*0.5))+(HP22*0.5))</f>
        <v>90.5</v>
      </c>
      <c r="LN22" s="26">
        <f>IF('Q4'!K22="","",SUM((AVERAGE('Q3'!K22,'Q4'!K22)*0.5))+(HQ22*0.5))</f>
        <v>93.433333333333337</v>
      </c>
      <c r="LO22" s="26">
        <f>IF('Q4'!L22="","",SUM((AVERAGE('Q3'!L22,'Q4'!L22)*0.5))+(HR22*0.5))</f>
        <v>91.5</v>
      </c>
      <c r="LP22" s="26">
        <f>IF('Q4'!M22="","",SUM((AVERAGE('Q3'!M22,'Q4'!M22)*0.5))+(HS22*0.5))</f>
        <v>84.983333333333334</v>
      </c>
      <c r="LQ22" s="26">
        <f>IF('Q4'!N22="","",SUM((AVERAGE('Q3'!N22,'Q4'!N22)*1)))</f>
        <v>98</v>
      </c>
      <c r="LR22" s="26">
        <f>IF('Q4'!O22="","",SUM((AVERAGE('Q3'!O22,'Q4'!O22)*1)))</f>
        <v>98</v>
      </c>
      <c r="LS22" s="26">
        <f>IF('Q4'!P22="","",SUM((AVERAGE('Q3'!P22,'Q4'!P22)*0.5))+(HV22*0.5))</f>
        <v>93.271666666666675</v>
      </c>
      <c r="LT22" s="26">
        <f>IF('Q4'!Q22="","",SUM((AVERAGE('Q3'!Q22,'Q4'!Q22)*1)))</f>
        <v>88.543333333333337</v>
      </c>
      <c r="LU22" s="26">
        <f>IF('Q4'!R22="","",SUM((AVERAGE('Q3'!R22,'Q4'!R22)*0.5))+(HX22*0.5))</f>
        <v>86.677500000000009</v>
      </c>
      <c r="LV22" s="26">
        <f>IF('Q4'!S22="","",SUM((AVERAGE('Q3'!S22,'Q4'!S22)*0.5))+(HY22*0.5))</f>
        <v>85.527500000000003</v>
      </c>
      <c r="LW22" s="26">
        <f>IF('Q4'!T22="","",SUM((AVERAGE('Q3'!T22,'Q4'!T22)*0.5))+(HZ22*0.5))</f>
        <v>88.75</v>
      </c>
      <c r="LX22" s="26">
        <f>IF('Q4'!U22="","",SUM((AVERAGE('Q3'!U22,'Q4'!U22)*0.5))+(IA22*0.5))</f>
        <v>95.833333333333343</v>
      </c>
      <c r="LY22" s="26">
        <f>IF('Q4'!V22="","",SUM((AVERAGE('Q3'!V22,'Q4'!V22)*0.5))+(IB22*0.5))</f>
        <v>93.416666666666671</v>
      </c>
      <c r="LZ22" s="26" t="str">
        <f t="shared" si="231"/>
        <v>B</v>
      </c>
      <c r="MA22" s="26" t="str">
        <f t="shared" si="232"/>
        <v>A</v>
      </c>
      <c r="MB22" s="26" t="str">
        <f t="shared" si="233"/>
        <v>A</v>
      </c>
      <c r="MC22" s="26" t="str">
        <f t="shared" si="234"/>
        <v>A</v>
      </c>
      <c r="MD22" s="26" t="str">
        <f t="shared" si="235"/>
        <v>A</v>
      </c>
      <c r="ME22" s="26" t="str">
        <f t="shared" si="236"/>
        <v>A</v>
      </c>
      <c r="MF22" s="26" t="str">
        <f t="shared" si="237"/>
        <v>B</v>
      </c>
      <c r="MG22" s="26" t="str">
        <f t="shared" si="238"/>
        <v>A</v>
      </c>
      <c r="MH22" s="26" t="str">
        <f t="shared" si="239"/>
        <v>A</v>
      </c>
      <c r="MI22" s="24" t="str">
        <f t="shared" si="240"/>
        <v>A</v>
      </c>
      <c r="MJ22" s="24" t="str">
        <f t="shared" si="241"/>
        <v>B</v>
      </c>
      <c r="MK22" s="24" t="str">
        <f t="shared" si="242"/>
        <v>B</v>
      </c>
      <c r="ML22" s="24" t="str">
        <f t="shared" si="243"/>
        <v>B</v>
      </c>
      <c r="MM22" s="24" t="str">
        <f t="shared" si="244"/>
        <v>B</v>
      </c>
      <c r="MN22" s="24" t="str">
        <f t="shared" si="245"/>
        <v>A</v>
      </c>
      <c r="MO22" s="24" t="str">
        <f t="shared" si="246"/>
        <v>A</v>
      </c>
      <c r="MP22" s="24">
        <f t="shared" si="247"/>
        <v>2</v>
      </c>
      <c r="MQ22" s="24">
        <f t="shared" si="248"/>
        <v>2</v>
      </c>
      <c r="MR22" s="24">
        <f t="shared" si="249"/>
        <v>3</v>
      </c>
      <c r="MS22" s="24">
        <f t="shared" si="250"/>
        <v>1</v>
      </c>
      <c r="MT22" s="24">
        <f t="shared" si="251"/>
        <v>5</v>
      </c>
      <c r="MU22" s="24">
        <f t="shared" si="252"/>
        <v>3</v>
      </c>
      <c r="MV22" s="24">
        <f t="shared" si="253"/>
        <v>2</v>
      </c>
      <c r="MW22" s="24">
        <f t="shared" si="254"/>
        <v>1</v>
      </c>
      <c r="MX22" s="24">
        <f t="shared" si="255"/>
        <v>1</v>
      </c>
      <c r="MY22" s="24">
        <f t="shared" si="256"/>
        <v>5</v>
      </c>
      <c r="MZ22" s="24">
        <f t="shared" si="257"/>
        <v>1</v>
      </c>
      <c r="NA22" s="24">
        <f t="shared" si="258"/>
        <v>5</v>
      </c>
      <c r="NB22" s="24">
        <f t="shared" si="259"/>
        <v>3</v>
      </c>
      <c r="NC22" s="24">
        <f t="shared" si="260"/>
        <v>2</v>
      </c>
      <c r="ND22" s="24">
        <f t="shared" si="261"/>
        <v>2</v>
      </c>
      <c r="NE22" s="24">
        <f t="shared" si="262"/>
        <v>2</v>
      </c>
      <c r="NF22" s="26">
        <f t="shared" si="263"/>
        <v>167.33333333333334</v>
      </c>
      <c r="NG22" s="26">
        <f t="shared" si="264"/>
        <v>181.10000000000002</v>
      </c>
      <c r="NH22" s="26">
        <f t="shared" si="265"/>
        <v>274.95000000000005</v>
      </c>
      <c r="NI22" s="26">
        <f t="shared" si="266"/>
        <v>90.5</v>
      </c>
      <c r="NJ22" s="26">
        <f t="shared" si="267"/>
        <v>467.16666666666669</v>
      </c>
      <c r="NK22" s="26">
        <f t="shared" si="268"/>
        <v>274.5</v>
      </c>
      <c r="NL22" s="26">
        <f t="shared" si="269"/>
        <v>169.96666666666667</v>
      </c>
      <c r="NM22" s="26">
        <f t="shared" si="270"/>
        <v>98</v>
      </c>
      <c r="NN22" s="26">
        <f t="shared" si="271"/>
        <v>98</v>
      </c>
      <c r="NO22" s="26">
        <f t="shared" si="272"/>
        <v>466.35833333333335</v>
      </c>
      <c r="NP22" s="26">
        <f t="shared" si="273"/>
        <v>88.543333333333337</v>
      </c>
      <c r="NQ22" s="26">
        <f t="shared" si="274"/>
        <v>433.38750000000005</v>
      </c>
      <c r="NR22" s="26">
        <f t="shared" si="275"/>
        <v>256.58249999999998</v>
      </c>
      <c r="NS22" s="26">
        <f t="shared" si="276"/>
        <v>177.5</v>
      </c>
      <c r="NT22" s="26">
        <f t="shared" si="277"/>
        <v>191.66666666666669</v>
      </c>
      <c r="NU22" s="26">
        <f t="shared" si="278"/>
        <v>186.83333333333334</v>
      </c>
      <c r="NV22" s="24">
        <f t="shared" si="279"/>
        <v>6</v>
      </c>
      <c r="NW22" s="24">
        <f t="shared" si="280"/>
        <v>8</v>
      </c>
      <c r="NX22" s="24">
        <f t="shared" si="281"/>
        <v>12</v>
      </c>
      <c r="NY22" s="24">
        <f t="shared" si="282"/>
        <v>4</v>
      </c>
      <c r="NZ22" s="24">
        <f t="shared" si="283"/>
        <v>20</v>
      </c>
      <c r="OA22" s="24">
        <f t="shared" si="284"/>
        <v>12</v>
      </c>
      <c r="OB22" s="24">
        <f t="shared" si="285"/>
        <v>6</v>
      </c>
      <c r="OC22" s="24">
        <f t="shared" si="286"/>
        <v>4</v>
      </c>
      <c r="OD22" s="24">
        <f t="shared" si="287"/>
        <v>4</v>
      </c>
      <c r="OE22" s="24">
        <f t="shared" si="288"/>
        <v>20</v>
      </c>
      <c r="OF22" s="24">
        <f t="shared" si="289"/>
        <v>3</v>
      </c>
      <c r="OG22" s="24">
        <f t="shared" si="290"/>
        <v>15</v>
      </c>
      <c r="OH22" s="24">
        <f t="shared" si="291"/>
        <v>9</v>
      </c>
      <c r="OI22" s="24">
        <f t="shared" si="292"/>
        <v>6</v>
      </c>
      <c r="OJ22" s="24">
        <f t="shared" si="293"/>
        <v>8</v>
      </c>
      <c r="OK22" s="24">
        <f t="shared" si="294"/>
        <v>8</v>
      </c>
      <c r="OL22" s="24">
        <f t="shared" si="295"/>
        <v>20</v>
      </c>
      <c r="OM22" s="26">
        <f t="shared" si="296"/>
        <v>1821.5166666666669</v>
      </c>
      <c r="ON22" s="26">
        <f t="shared" si="297"/>
        <v>76</v>
      </c>
      <c r="OO22" s="26">
        <f t="shared" si="343"/>
        <v>91.07583333333335</v>
      </c>
      <c r="OP22" s="24" t="str">
        <f t="shared" si="344"/>
        <v>A</v>
      </c>
      <c r="OQ22" s="26">
        <f t="shared" si="298"/>
        <v>3.8</v>
      </c>
      <c r="OR22" s="24">
        <f t="shared" si="299"/>
        <v>20</v>
      </c>
      <c r="OS22" s="26">
        <f t="shared" si="300"/>
        <v>1800.8716666666667</v>
      </c>
      <c r="OT22" s="26">
        <f t="shared" si="301"/>
        <v>69</v>
      </c>
      <c r="OU22" s="26">
        <f t="shared" si="345"/>
        <v>90.043583333333331</v>
      </c>
      <c r="OV22" s="24" t="str">
        <f t="shared" si="346"/>
        <v>A</v>
      </c>
      <c r="OW22" s="27">
        <f t="shared" si="302"/>
        <v>3.45</v>
      </c>
      <c r="OX22" s="24">
        <f t="shared" si="303"/>
        <v>40</v>
      </c>
      <c r="OY22" s="26">
        <f t="shared" si="304"/>
        <v>3622.3883333333338</v>
      </c>
      <c r="OZ22" s="26">
        <f t="shared" si="305"/>
        <v>145</v>
      </c>
      <c r="PA22" s="26">
        <f t="shared" si="347"/>
        <v>90.559708333333347</v>
      </c>
      <c r="PB22" s="27" t="str">
        <f t="shared" si="348"/>
        <v>A</v>
      </c>
      <c r="PC22" s="26">
        <f t="shared" si="306"/>
        <v>3.625</v>
      </c>
      <c r="PD22" s="24">
        <f t="shared" si="307"/>
        <v>1</v>
      </c>
      <c r="PE22" s="24" t="str">
        <f t="shared" si="308"/>
        <v>6A</v>
      </c>
      <c r="PF22" s="24">
        <f t="shared" si="309"/>
        <v>13</v>
      </c>
      <c r="PG22" s="24">
        <f t="shared" si="310"/>
        <v>104</v>
      </c>
      <c r="PH22" s="24">
        <f t="shared" si="311"/>
        <v>0</v>
      </c>
      <c r="PI22" s="24">
        <f t="shared" si="312"/>
        <v>0</v>
      </c>
      <c r="PJ22" s="24">
        <f t="shared" si="313"/>
        <v>2</v>
      </c>
      <c r="PK22" s="24">
        <f t="shared" si="314"/>
        <v>2</v>
      </c>
      <c r="PL22" s="25">
        <f t="shared" si="315"/>
        <v>0.98076923076923073</v>
      </c>
    </row>
    <row r="23" spans="1:428" ht="27" customHeight="1" x14ac:dyDescent="0.35">
      <c r="A23" s="24">
        <f t="shared" si="349"/>
        <v>9</v>
      </c>
      <c r="B23" s="28" t="str">
        <f>IF('Q1'!B23="","",'Q1'!B23)</f>
        <v>Sann Visorth</v>
      </c>
      <c r="C23" s="30" t="str">
        <f>IF('Q1'!C23="","",'Q1'!C23)</f>
        <v>សាន វីសុទ្ធ</v>
      </c>
      <c r="D23" s="28" t="str">
        <f>IF('Q1'!D23="","",'Q1'!D23)</f>
        <v>M</v>
      </c>
      <c r="E23" s="24">
        <f>IF('Q1'!E23="","",'Q1'!E23)</f>
        <v>692</v>
      </c>
      <c r="F23" s="24" t="str">
        <f>IF('Q1'!F23="","",'Q1'!F23)</f>
        <v>I</v>
      </c>
      <c r="G23" s="26">
        <f>IF('Q3'!G23="","",'Q3'!G23)</f>
        <v>69.333333333333343</v>
      </c>
      <c r="H23" s="26">
        <f>IF('Q3'!H23="","",'Q3'!H23)</f>
        <v>81.333333333333343</v>
      </c>
      <c r="I23" s="26">
        <f>IF('Q3'!I23="","",'Q3'!I23)</f>
        <v>72.366666666666674</v>
      </c>
      <c r="J23" s="26">
        <f>IF('Q3'!J23="","",'Q3'!J23)</f>
        <v>70.666666666666657</v>
      </c>
      <c r="K23" s="26">
        <f>IF('Q3'!K23="","",'Q3'!K23)</f>
        <v>78.7</v>
      </c>
      <c r="L23" s="26">
        <f>IF('Q3'!L23="","",'Q3'!L23)</f>
        <v>76.3</v>
      </c>
      <c r="M23" s="26">
        <f>IF('Q3'!M23="","",'Q3'!M23)</f>
        <v>78.966666666666669</v>
      </c>
      <c r="N23" s="26">
        <f>IF('Q3'!N23="","",'Q3'!N23)</f>
        <v>96</v>
      </c>
      <c r="O23" s="26">
        <f>IF('Q3'!O23="","",'Q3'!O23)</f>
        <v>96</v>
      </c>
      <c r="P23" s="26">
        <f>IF('Q3'!P23="","",'Q3'!P23)</f>
        <v>64.793333333333337</v>
      </c>
      <c r="Q23" s="26">
        <f>IF('Q3'!Q23="","",'Q3'!Q23)</f>
        <v>64.793333333333337</v>
      </c>
      <c r="R23" s="26">
        <f>IF('Q3'!R23="","",'Q3'!R23)</f>
        <v>60.3</v>
      </c>
      <c r="S23" s="26">
        <f>IF('Q3'!S23="","",'Q3'!S23)</f>
        <v>58.27</v>
      </c>
      <c r="T23" s="26">
        <f>IF('Q3'!T23="","",'Q3'!T23)</f>
        <v>79</v>
      </c>
      <c r="U23" s="26">
        <f>IF('Q3'!U23="","",'Q3'!U23)</f>
        <v>76.333333333333343</v>
      </c>
      <c r="V23" s="26">
        <f>IF('Q3'!V23="","",'Q3'!V23)</f>
        <v>75.17</v>
      </c>
      <c r="W23" s="26" t="str">
        <f t="shared" si="0"/>
        <v>D</v>
      </c>
      <c r="X23" s="26" t="str">
        <f t="shared" si="1"/>
        <v>B</v>
      </c>
      <c r="Y23" s="26" t="str">
        <f t="shared" si="2"/>
        <v>C</v>
      </c>
      <c r="Z23" s="26" t="str">
        <f t="shared" si="3"/>
        <v>C</v>
      </c>
      <c r="AA23" s="26" t="str">
        <f t="shared" si="4"/>
        <v>C</v>
      </c>
      <c r="AB23" s="26" t="str">
        <f t="shared" si="5"/>
        <v>C</v>
      </c>
      <c r="AC23" s="26" t="str">
        <f t="shared" si="6"/>
        <v>C</v>
      </c>
      <c r="AD23" s="26" t="str">
        <f t="shared" si="7"/>
        <v>A</v>
      </c>
      <c r="AE23" s="26" t="str">
        <f t="shared" si="8"/>
        <v>A</v>
      </c>
      <c r="AF23" s="24" t="str">
        <f t="shared" si="9"/>
        <v>D</v>
      </c>
      <c r="AG23" s="24" t="str">
        <f t="shared" si="10"/>
        <v>D</v>
      </c>
      <c r="AH23" s="24" t="str">
        <f t="shared" si="11"/>
        <v>D</v>
      </c>
      <c r="AI23" s="24" t="str">
        <f t="shared" si="12"/>
        <v>E</v>
      </c>
      <c r="AJ23" s="24" t="str">
        <f t="shared" si="13"/>
        <v>C</v>
      </c>
      <c r="AK23" s="24" t="str">
        <f t="shared" si="14"/>
        <v>C</v>
      </c>
      <c r="AL23" s="24" t="str">
        <f t="shared" si="15"/>
        <v>C</v>
      </c>
      <c r="AM23" s="24">
        <f t="shared" si="16"/>
        <v>2</v>
      </c>
      <c r="AN23" s="24">
        <f t="shared" si="17"/>
        <v>2</v>
      </c>
      <c r="AO23" s="24">
        <f t="shared" si="18"/>
        <v>3</v>
      </c>
      <c r="AP23" s="24">
        <f t="shared" si="19"/>
        <v>1</v>
      </c>
      <c r="AQ23" s="24">
        <f t="shared" si="20"/>
        <v>5</v>
      </c>
      <c r="AR23" s="24">
        <f t="shared" si="21"/>
        <v>3</v>
      </c>
      <c r="AS23" s="24">
        <f t="shared" si="22"/>
        <v>2</v>
      </c>
      <c r="AT23" s="24">
        <f t="shared" si="23"/>
        <v>1</v>
      </c>
      <c r="AU23" s="24">
        <f t="shared" si="24"/>
        <v>1</v>
      </c>
      <c r="AV23" s="24">
        <f t="shared" si="25"/>
        <v>5</v>
      </c>
      <c r="AW23" s="24">
        <f t="shared" si="26"/>
        <v>1</v>
      </c>
      <c r="AX23" s="24">
        <f t="shared" si="27"/>
        <v>5</v>
      </c>
      <c r="AY23" s="24">
        <f t="shared" si="28"/>
        <v>3</v>
      </c>
      <c r="AZ23" s="24">
        <f t="shared" si="29"/>
        <v>2</v>
      </c>
      <c r="BA23" s="24">
        <f t="shared" si="30"/>
        <v>2</v>
      </c>
      <c r="BB23" s="24">
        <f t="shared" si="31"/>
        <v>2</v>
      </c>
      <c r="BC23" s="26">
        <f t="shared" si="32"/>
        <v>138.66666666666669</v>
      </c>
      <c r="BD23" s="26">
        <f t="shared" si="33"/>
        <v>162.66666666666669</v>
      </c>
      <c r="BE23" s="26">
        <f t="shared" si="34"/>
        <v>217.10000000000002</v>
      </c>
      <c r="BF23" s="26">
        <f t="shared" si="35"/>
        <v>70.666666666666657</v>
      </c>
      <c r="BG23" s="26">
        <f t="shared" si="36"/>
        <v>393.5</v>
      </c>
      <c r="BH23" s="26">
        <f t="shared" si="37"/>
        <v>228.89999999999998</v>
      </c>
      <c r="BI23" s="26">
        <f t="shared" si="38"/>
        <v>157.93333333333334</v>
      </c>
      <c r="BJ23" s="26">
        <f t="shared" si="39"/>
        <v>96</v>
      </c>
      <c r="BK23" s="26">
        <f t="shared" si="40"/>
        <v>96</v>
      </c>
      <c r="BL23" s="26">
        <f t="shared" si="41"/>
        <v>323.9666666666667</v>
      </c>
      <c r="BM23" s="26">
        <f t="shared" si="42"/>
        <v>64.793333333333337</v>
      </c>
      <c r="BN23" s="26">
        <f t="shared" si="43"/>
        <v>301.5</v>
      </c>
      <c r="BO23" s="26">
        <f t="shared" si="44"/>
        <v>174.81</v>
      </c>
      <c r="BP23" s="26">
        <f t="shared" si="45"/>
        <v>158</v>
      </c>
      <c r="BQ23" s="26">
        <f t="shared" si="46"/>
        <v>152.66666666666669</v>
      </c>
      <c r="BR23" s="26">
        <f t="shared" si="47"/>
        <v>150.34</v>
      </c>
      <c r="BS23" s="24">
        <f t="shared" si="48"/>
        <v>3</v>
      </c>
      <c r="BT23" s="24">
        <f t="shared" si="49"/>
        <v>6</v>
      </c>
      <c r="BU23" s="24">
        <f t="shared" si="50"/>
        <v>6</v>
      </c>
      <c r="BV23" s="24">
        <f t="shared" si="51"/>
        <v>2</v>
      </c>
      <c r="BW23" s="24">
        <f t="shared" si="52"/>
        <v>10</v>
      </c>
      <c r="BX23" s="24">
        <f t="shared" si="53"/>
        <v>6</v>
      </c>
      <c r="BY23" s="24">
        <f t="shared" si="54"/>
        <v>4</v>
      </c>
      <c r="BZ23" s="24">
        <f t="shared" si="55"/>
        <v>4</v>
      </c>
      <c r="CA23" s="24">
        <f t="shared" si="56"/>
        <v>4</v>
      </c>
      <c r="CB23" s="24">
        <f t="shared" si="57"/>
        <v>7.5</v>
      </c>
      <c r="CC23" s="24">
        <f t="shared" si="58"/>
        <v>1.5</v>
      </c>
      <c r="CD23" s="24">
        <f t="shared" si="59"/>
        <v>7.5</v>
      </c>
      <c r="CE23" s="24">
        <f t="shared" si="60"/>
        <v>3</v>
      </c>
      <c r="CF23" s="24">
        <f t="shared" si="61"/>
        <v>4</v>
      </c>
      <c r="CG23" s="24">
        <f t="shared" si="62"/>
        <v>4</v>
      </c>
      <c r="CH23" s="24">
        <f t="shared" si="63"/>
        <v>4</v>
      </c>
      <c r="CI23" s="24">
        <f t="shared" si="64"/>
        <v>20</v>
      </c>
      <c r="CJ23" s="26">
        <f t="shared" si="65"/>
        <v>1561.4333333333334</v>
      </c>
      <c r="CK23" s="26">
        <f t="shared" si="66"/>
        <v>45</v>
      </c>
      <c r="CL23" s="26">
        <f t="shared" si="316"/>
        <v>78.071666666666673</v>
      </c>
      <c r="CM23" s="24" t="str">
        <f t="shared" si="317"/>
        <v>C</v>
      </c>
      <c r="CN23" s="26">
        <f t="shared" si="67"/>
        <v>2.25</v>
      </c>
      <c r="CO23" s="24">
        <f t="shared" si="68"/>
        <v>20</v>
      </c>
      <c r="CP23" s="26">
        <f t="shared" si="69"/>
        <v>1326.0766666666666</v>
      </c>
      <c r="CQ23" s="26">
        <f t="shared" si="70"/>
        <v>31.5</v>
      </c>
      <c r="CR23" s="26">
        <f t="shared" si="318"/>
        <v>66.30383333333333</v>
      </c>
      <c r="CS23" s="24" t="str">
        <f t="shared" si="319"/>
        <v>D</v>
      </c>
      <c r="CT23" s="27">
        <f t="shared" si="71"/>
        <v>1.575</v>
      </c>
      <c r="CU23" s="24">
        <f t="shared" si="72"/>
        <v>40</v>
      </c>
      <c r="CV23" s="26">
        <f t="shared" si="73"/>
        <v>2887.51</v>
      </c>
      <c r="CW23" s="27">
        <f t="shared" si="74"/>
        <v>2751.8433333333332</v>
      </c>
      <c r="CX23" s="26">
        <f t="shared" si="320"/>
        <v>72.187750000000008</v>
      </c>
      <c r="CY23" s="27" t="str">
        <f t="shared" si="321"/>
        <v>C</v>
      </c>
      <c r="CZ23" s="26">
        <f t="shared" si="75"/>
        <v>68.796083333333328</v>
      </c>
      <c r="DA23" s="24">
        <f t="shared" si="76"/>
        <v>13</v>
      </c>
      <c r="DB23" s="24" t="str">
        <f t="shared" si="77"/>
        <v>6A</v>
      </c>
      <c r="DC23" s="24">
        <f t="shared" si="78"/>
        <v>13</v>
      </c>
      <c r="DD23" s="24">
        <f>IF(B23="","",'Q3'!$C$8)</f>
        <v>50</v>
      </c>
      <c r="DE23" s="24">
        <f>IF(B23="","",'Q3'!DE23)</f>
        <v>0</v>
      </c>
      <c r="DF23" s="24">
        <f>IF(C23="","",'Q3'!DF23)</f>
        <v>0</v>
      </c>
      <c r="DG23" s="24">
        <f>IF(D23="","",'Q3'!DG23)</f>
        <v>0</v>
      </c>
      <c r="DH23" s="24">
        <f>IF(E23="","",'Q3'!DH23)</f>
        <v>0</v>
      </c>
      <c r="DI23" s="25">
        <f t="shared" si="79"/>
        <v>1</v>
      </c>
      <c r="DJ23" s="26">
        <f>IF('Q4'!G23="","",'Q4'!G23)</f>
        <v>68</v>
      </c>
      <c r="DK23" s="26">
        <f>IF('Q4'!H23="","",'Q4'!H23)</f>
        <v>74</v>
      </c>
      <c r="DL23" s="26">
        <f>IF('Q4'!I23="","",'Q4'!I23)</f>
        <v>80.866666666666674</v>
      </c>
      <c r="DM23" s="26">
        <f>IF('Q4'!J23="","",'Q4'!J23)</f>
        <v>70.666666666666657</v>
      </c>
      <c r="DN23" s="26">
        <f>IF('Q4'!K23="","",'Q4'!K23)</f>
        <v>80.733333333333334</v>
      </c>
      <c r="DO23" s="26">
        <f>IF('Q4'!L23="","",'Q4'!L23)</f>
        <v>79.7</v>
      </c>
      <c r="DP23" s="26">
        <f>IF('Q4'!M23="","",'Q4'!M23)</f>
        <v>77.7</v>
      </c>
      <c r="DQ23" s="26">
        <f>IF('Q4'!N23="","",'Q4'!N23)</f>
        <v>96</v>
      </c>
      <c r="DR23" s="26">
        <f>IF('Q4'!O23="","",'Q4'!O23)</f>
        <v>96</v>
      </c>
      <c r="DS23" s="26">
        <f>IF('Q4'!P23="","",'Q4'!P23)</f>
        <v>52.806666666666672</v>
      </c>
      <c r="DT23" s="26">
        <f>IF('Q4'!Q23="","",'Q4'!Q23)</f>
        <v>52.806666666666672</v>
      </c>
      <c r="DU23" s="26">
        <f>IF('Q4'!R23="","",'Q4'!R23)</f>
        <v>51.04</v>
      </c>
      <c r="DV23" s="26">
        <f>IF('Q4'!S23="","",'Q4'!S23)</f>
        <v>43.38</v>
      </c>
      <c r="DW23" s="26">
        <f>IF('Q4'!T23="","",'Q4'!T23)</f>
        <v>73.5</v>
      </c>
      <c r="DX23" s="26">
        <f>IF('Q4'!U23="","",'Q4'!U23)</f>
        <v>78.166666666666671</v>
      </c>
      <c r="DY23" s="26">
        <f>IF('Q4'!V23="","",'Q4'!V23)</f>
        <v>76.5</v>
      </c>
      <c r="DZ23" s="26" t="str">
        <f t="shared" si="80"/>
        <v>D</v>
      </c>
      <c r="EA23" s="26" t="str">
        <f t="shared" si="81"/>
        <v>C</v>
      </c>
      <c r="EB23" s="26" t="str">
        <f t="shared" si="82"/>
        <v>B</v>
      </c>
      <c r="EC23" s="26" t="str">
        <f t="shared" si="83"/>
        <v>C</v>
      </c>
      <c r="ED23" s="26" t="str">
        <f t="shared" si="84"/>
        <v>B</v>
      </c>
      <c r="EE23" s="26" t="str">
        <f t="shared" si="85"/>
        <v>C</v>
      </c>
      <c r="EF23" s="26" t="str">
        <f t="shared" si="86"/>
        <v>C</v>
      </c>
      <c r="EG23" s="26" t="str">
        <f t="shared" si="87"/>
        <v>A</v>
      </c>
      <c r="EH23" s="26" t="str">
        <f t="shared" si="88"/>
        <v>A</v>
      </c>
      <c r="EI23" s="24" t="str">
        <f t="shared" si="89"/>
        <v>E</v>
      </c>
      <c r="EJ23" s="24" t="str">
        <f t="shared" si="90"/>
        <v>E</v>
      </c>
      <c r="EK23" s="24" t="str">
        <f t="shared" si="91"/>
        <v>E</v>
      </c>
      <c r="EL23" s="24" t="str">
        <f t="shared" si="92"/>
        <v>F</v>
      </c>
      <c r="EM23" s="24" t="str">
        <f t="shared" si="93"/>
        <v>C</v>
      </c>
      <c r="EN23" s="24" t="str">
        <f t="shared" si="94"/>
        <v>C</v>
      </c>
      <c r="EO23" s="24" t="str">
        <f t="shared" si="95"/>
        <v>C</v>
      </c>
      <c r="EP23" s="24">
        <f t="shared" si="96"/>
        <v>2</v>
      </c>
      <c r="EQ23" s="24">
        <f t="shared" si="97"/>
        <v>2</v>
      </c>
      <c r="ER23" s="24">
        <f t="shared" si="98"/>
        <v>3</v>
      </c>
      <c r="ES23" s="24">
        <f t="shared" si="99"/>
        <v>1</v>
      </c>
      <c r="ET23" s="24">
        <f t="shared" si="100"/>
        <v>5</v>
      </c>
      <c r="EU23" s="24">
        <f t="shared" si="101"/>
        <v>3</v>
      </c>
      <c r="EV23" s="24">
        <f t="shared" si="102"/>
        <v>2</v>
      </c>
      <c r="EW23" s="24">
        <f t="shared" si="322"/>
        <v>1</v>
      </c>
      <c r="EX23" s="24">
        <f t="shared" si="103"/>
        <v>1</v>
      </c>
      <c r="EY23" s="24">
        <f t="shared" si="104"/>
        <v>5</v>
      </c>
      <c r="EZ23" s="24">
        <f t="shared" si="105"/>
        <v>1</v>
      </c>
      <c r="FA23" s="24">
        <f t="shared" si="106"/>
        <v>5</v>
      </c>
      <c r="FB23" s="24">
        <f t="shared" si="107"/>
        <v>3</v>
      </c>
      <c r="FC23" s="24">
        <f t="shared" si="108"/>
        <v>2</v>
      </c>
      <c r="FD23" s="24">
        <f t="shared" si="109"/>
        <v>2</v>
      </c>
      <c r="FE23" s="24">
        <f t="shared" si="110"/>
        <v>2</v>
      </c>
      <c r="FF23" s="26">
        <f t="shared" si="111"/>
        <v>136</v>
      </c>
      <c r="FG23" s="26">
        <f t="shared" si="112"/>
        <v>148</v>
      </c>
      <c r="FH23" s="26">
        <f t="shared" si="113"/>
        <v>242.60000000000002</v>
      </c>
      <c r="FI23" s="26">
        <f t="shared" si="114"/>
        <v>70.666666666666657</v>
      </c>
      <c r="FJ23" s="26">
        <f t="shared" si="115"/>
        <v>403.66666666666669</v>
      </c>
      <c r="FK23" s="26">
        <f t="shared" si="116"/>
        <v>239.10000000000002</v>
      </c>
      <c r="FL23" s="26">
        <f t="shared" si="117"/>
        <v>155.4</v>
      </c>
      <c r="FM23" s="26">
        <f t="shared" si="118"/>
        <v>96</v>
      </c>
      <c r="FN23" s="26"/>
      <c r="FO23" s="26">
        <f t="shared" si="119"/>
        <v>264.03333333333336</v>
      </c>
      <c r="FP23" s="26">
        <f t="shared" si="120"/>
        <v>52.806666666666672</v>
      </c>
      <c r="FQ23" s="26">
        <f t="shared" si="121"/>
        <v>255.2</v>
      </c>
      <c r="FR23" s="26">
        <f t="shared" si="122"/>
        <v>130.14000000000001</v>
      </c>
      <c r="FS23" s="26">
        <f t="shared" si="123"/>
        <v>147</v>
      </c>
      <c r="FT23" s="26">
        <f t="shared" si="124"/>
        <v>156.33333333333334</v>
      </c>
      <c r="FU23" s="26">
        <f t="shared" si="125"/>
        <v>153</v>
      </c>
      <c r="FV23" s="24">
        <f t="shared" si="126"/>
        <v>3</v>
      </c>
      <c r="FW23" s="24">
        <f t="shared" si="127"/>
        <v>4</v>
      </c>
      <c r="FX23" s="24">
        <f t="shared" si="128"/>
        <v>9</v>
      </c>
      <c r="FY23" s="24">
        <f t="shared" si="129"/>
        <v>2</v>
      </c>
      <c r="FZ23" s="24">
        <f t="shared" si="130"/>
        <v>15</v>
      </c>
      <c r="GA23" s="24">
        <f t="shared" si="131"/>
        <v>6</v>
      </c>
      <c r="GB23" s="24">
        <f t="shared" si="132"/>
        <v>4</v>
      </c>
      <c r="GC23" s="24">
        <f t="shared" si="133"/>
        <v>4</v>
      </c>
      <c r="GD23" s="24">
        <f t="shared" si="323"/>
        <v>4</v>
      </c>
      <c r="GE23" s="24">
        <f t="shared" si="324"/>
        <v>1</v>
      </c>
      <c r="GF23" s="24">
        <f t="shared" si="325"/>
        <v>5</v>
      </c>
      <c r="GG23" s="24">
        <f t="shared" si="326"/>
        <v>3</v>
      </c>
      <c r="GH23" s="24">
        <f t="shared" si="327"/>
        <v>0</v>
      </c>
      <c r="GI23" s="24">
        <f t="shared" si="328"/>
        <v>4</v>
      </c>
      <c r="GJ23" s="24">
        <f t="shared" si="329"/>
        <v>4</v>
      </c>
      <c r="GK23" s="24">
        <f t="shared" si="330"/>
        <v>4</v>
      </c>
      <c r="GL23" s="24">
        <f t="shared" si="135"/>
        <v>19</v>
      </c>
      <c r="GM23" s="26">
        <f t="shared" si="136"/>
        <v>1491.4333333333334</v>
      </c>
      <c r="GN23" s="26">
        <f t="shared" si="137"/>
        <v>50</v>
      </c>
      <c r="GO23" s="26">
        <f t="shared" si="331"/>
        <v>78.496491228070184</v>
      </c>
      <c r="GP23" s="24" t="str">
        <f t="shared" si="332"/>
        <v>C</v>
      </c>
      <c r="GQ23" s="26">
        <f t="shared" si="138"/>
        <v>2.6315789473684212</v>
      </c>
      <c r="GR23" s="24">
        <f t="shared" si="139"/>
        <v>20</v>
      </c>
      <c r="GS23" s="26">
        <f t="shared" si="140"/>
        <v>1158.5133333333333</v>
      </c>
      <c r="GT23" s="26">
        <f t="shared" si="141"/>
        <v>21</v>
      </c>
      <c r="GU23" s="26">
        <f t="shared" si="333"/>
        <v>57.925666666666665</v>
      </c>
      <c r="GV23" s="24" t="str">
        <f t="shared" si="334"/>
        <v>E</v>
      </c>
      <c r="GW23" s="27">
        <f t="shared" si="142"/>
        <v>1.05</v>
      </c>
      <c r="GX23" s="24">
        <f t="shared" si="143"/>
        <v>40</v>
      </c>
      <c r="GY23" s="26">
        <f t="shared" si="144"/>
        <v>2649.9466666666667</v>
      </c>
      <c r="GZ23" s="26">
        <f t="shared" si="145"/>
        <v>2516.9466666666667</v>
      </c>
      <c r="HA23" s="26">
        <f t="shared" si="335"/>
        <v>66.248666666666665</v>
      </c>
      <c r="HB23" s="27" t="str">
        <f t="shared" si="336"/>
        <v>D</v>
      </c>
      <c r="HC23" s="26">
        <f t="shared" si="146"/>
        <v>62.923666666666669</v>
      </c>
      <c r="HD23" s="24">
        <f t="shared" si="147"/>
        <v>12</v>
      </c>
      <c r="HE23" s="24" t="str">
        <f t="shared" si="148"/>
        <v>6A</v>
      </c>
      <c r="HF23" s="24">
        <f t="shared" si="149"/>
        <v>13</v>
      </c>
      <c r="HG23" s="24">
        <f>IF(B23="","",'Q4'!$C$8)</f>
        <v>50</v>
      </c>
      <c r="HH23" s="24">
        <f>IF(A23="","",'Q4'!DE23)</f>
        <v>0</v>
      </c>
      <c r="HI23" s="24">
        <f>IF(B23="","",'Q4'!DF23)</f>
        <v>0</v>
      </c>
      <c r="HJ23" s="24">
        <f>IF(B23="","",'Q4'!DG23)</f>
        <v>0</v>
      </c>
      <c r="HK23" s="24">
        <f t="shared" si="150"/>
        <v>0</v>
      </c>
      <c r="HL23" s="25">
        <f t="shared" si="151"/>
        <v>1</v>
      </c>
      <c r="HM23" s="7">
        <v>50</v>
      </c>
      <c r="HN23" s="7">
        <v>70</v>
      </c>
      <c r="HO23" s="7">
        <v>80</v>
      </c>
      <c r="HP23" s="7">
        <v>80</v>
      </c>
      <c r="HQ23" s="7">
        <v>50</v>
      </c>
      <c r="HR23" s="7">
        <v>55</v>
      </c>
      <c r="HS23" s="7">
        <v>65</v>
      </c>
      <c r="HT23" s="7"/>
      <c r="HU23" s="7"/>
      <c r="HV23" s="7">
        <v>48</v>
      </c>
      <c r="HW23" s="7"/>
      <c r="HX23" s="7">
        <v>41</v>
      </c>
      <c r="HY23" s="7">
        <v>53</v>
      </c>
      <c r="HZ23" s="7">
        <v>57</v>
      </c>
      <c r="IA23" s="7">
        <v>72.5</v>
      </c>
      <c r="IB23" s="7">
        <v>62</v>
      </c>
      <c r="IC23" s="24" t="str">
        <f t="shared" si="152"/>
        <v>E</v>
      </c>
      <c r="ID23" s="24" t="str">
        <f t="shared" si="153"/>
        <v>C</v>
      </c>
      <c r="IE23" s="24" t="str">
        <f t="shared" si="154"/>
        <v>B</v>
      </c>
      <c r="IF23" s="24" t="str">
        <f t="shared" si="155"/>
        <v>B</v>
      </c>
      <c r="IG23" s="24" t="str">
        <f t="shared" si="156"/>
        <v>E</v>
      </c>
      <c r="IH23" s="24" t="str">
        <f t="shared" si="157"/>
        <v>E</v>
      </c>
      <c r="II23" s="24" t="str">
        <f t="shared" si="158"/>
        <v>D</v>
      </c>
      <c r="IJ23" s="24" t="str">
        <f t="shared" si="159"/>
        <v/>
      </c>
      <c r="IK23" s="24" t="str">
        <f t="shared" si="160"/>
        <v/>
      </c>
      <c r="IL23" s="24" t="str">
        <f t="shared" si="161"/>
        <v>F</v>
      </c>
      <c r="IM23" s="24" t="str">
        <f t="shared" si="162"/>
        <v/>
      </c>
      <c r="IN23" s="24" t="str">
        <f t="shared" si="163"/>
        <v>F</v>
      </c>
      <c r="IO23" s="24" t="str">
        <f t="shared" si="164"/>
        <v>E</v>
      </c>
      <c r="IP23" s="24" t="str">
        <f t="shared" si="165"/>
        <v>E</v>
      </c>
      <c r="IQ23" s="24" t="str">
        <f t="shared" si="166"/>
        <v>C</v>
      </c>
      <c r="IR23" s="24" t="str">
        <f t="shared" si="167"/>
        <v>D</v>
      </c>
      <c r="IS23" s="24">
        <f t="shared" si="168"/>
        <v>2</v>
      </c>
      <c r="IT23" s="24">
        <f t="shared" si="169"/>
        <v>2</v>
      </c>
      <c r="IU23" s="24">
        <f t="shared" si="170"/>
        <v>3</v>
      </c>
      <c r="IV23" s="24">
        <f t="shared" si="171"/>
        <v>1</v>
      </c>
      <c r="IW23" s="24">
        <f t="shared" si="172"/>
        <v>5</v>
      </c>
      <c r="IX23" s="24">
        <f t="shared" si="173"/>
        <v>3</v>
      </c>
      <c r="IY23" s="24">
        <f t="shared" si="174"/>
        <v>2</v>
      </c>
      <c r="IZ23" s="24" t="str">
        <f t="shared" si="175"/>
        <v/>
      </c>
      <c r="JA23" s="24" t="str">
        <f t="shared" si="176"/>
        <v/>
      </c>
      <c r="JB23" s="24">
        <f t="shared" si="177"/>
        <v>5</v>
      </c>
      <c r="JC23" s="24" t="str">
        <f t="shared" si="178"/>
        <v/>
      </c>
      <c r="JD23" s="24">
        <f t="shared" si="179"/>
        <v>5</v>
      </c>
      <c r="JE23" s="24">
        <f t="shared" si="180"/>
        <v>3</v>
      </c>
      <c r="JF23" s="24">
        <f t="shared" si="181"/>
        <v>2</v>
      </c>
      <c r="JG23" s="24">
        <f t="shared" si="182"/>
        <v>2</v>
      </c>
      <c r="JH23" s="24">
        <f t="shared" si="183"/>
        <v>2</v>
      </c>
      <c r="JI23" s="26">
        <f t="shared" si="184"/>
        <v>100</v>
      </c>
      <c r="JJ23" s="26">
        <f t="shared" si="185"/>
        <v>140</v>
      </c>
      <c r="JK23" s="26">
        <f t="shared" si="186"/>
        <v>240</v>
      </c>
      <c r="JL23" s="26">
        <f t="shared" si="187"/>
        <v>80</v>
      </c>
      <c r="JM23" s="26">
        <f t="shared" si="188"/>
        <v>250</v>
      </c>
      <c r="JN23" s="26">
        <f t="shared" si="189"/>
        <v>165</v>
      </c>
      <c r="JO23" s="26">
        <f t="shared" si="190"/>
        <v>130</v>
      </c>
      <c r="JP23" s="26" t="str">
        <f t="shared" si="191"/>
        <v/>
      </c>
      <c r="JQ23" s="26" t="str">
        <f t="shared" si="192"/>
        <v/>
      </c>
      <c r="JR23" s="26">
        <f t="shared" si="193"/>
        <v>240</v>
      </c>
      <c r="JS23" s="26" t="str">
        <f t="shared" si="194"/>
        <v/>
      </c>
      <c r="JT23" s="26">
        <f t="shared" si="195"/>
        <v>205</v>
      </c>
      <c r="JU23" s="26">
        <f t="shared" si="196"/>
        <v>159</v>
      </c>
      <c r="JV23" s="26">
        <f t="shared" si="197"/>
        <v>114</v>
      </c>
      <c r="JW23" s="26">
        <f t="shared" si="198"/>
        <v>145</v>
      </c>
      <c r="JX23" s="26">
        <f t="shared" si="199"/>
        <v>124</v>
      </c>
      <c r="JY23" s="24">
        <f t="shared" si="200"/>
        <v>2</v>
      </c>
      <c r="JZ23" s="24">
        <f t="shared" si="201"/>
        <v>4</v>
      </c>
      <c r="KA23" s="24">
        <f t="shared" si="202"/>
        <v>9</v>
      </c>
      <c r="KB23" s="24">
        <f t="shared" si="203"/>
        <v>3</v>
      </c>
      <c r="KC23" s="24">
        <f t="shared" si="204"/>
        <v>5</v>
      </c>
      <c r="KD23" s="24">
        <f t="shared" si="205"/>
        <v>3</v>
      </c>
      <c r="KE23" s="24">
        <f t="shared" si="206"/>
        <v>3</v>
      </c>
      <c r="KF23" s="24" t="str">
        <f t="shared" si="207"/>
        <v/>
      </c>
      <c r="KG23" s="24" t="str">
        <f t="shared" si="208"/>
        <v/>
      </c>
      <c r="KH23" s="24">
        <f t="shared" si="209"/>
        <v>0</v>
      </c>
      <c r="KI23" s="24" t="str">
        <f t="shared" si="210"/>
        <v/>
      </c>
      <c r="KJ23" s="24">
        <f t="shared" si="211"/>
        <v>0</v>
      </c>
      <c r="KK23" s="24">
        <f t="shared" si="212"/>
        <v>3</v>
      </c>
      <c r="KL23" s="24">
        <f t="shared" si="213"/>
        <v>2</v>
      </c>
      <c r="KM23" s="24">
        <f t="shared" si="214"/>
        <v>4</v>
      </c>
      <c r="KN23" s="24">
        <f t="shared" si="215"/>
        <v>3</v>
      </c>
      <c r="KO23" s="24">
        <f t="shared" si="216"/>
        <v>18</v>
      </c>
      <c r="KP23" s="26" t="str">
        <f t="shared" si="217"/>
        <v/>
      </c>
      <c r="KQ23" s="26">
        <f t="shared" si="218"/>
        <v>29</v>
      </c>
      <c r="KR23" s="26" t="str">
        <f t="shared" si="337"/>
        <v/>
      </c>
      <c r="KS23" s="24" t="str">
        <f t="shared" si="338"/>
        <v/>
      </c>
      <c r="KT23" s="26">
        <f t="shared" si="219"/>
        <v>1.6111111111111112</v>
      </c>
      <c r="KU23" s="24">
        <f t="shared" si="220"/>
        <v>19</v>
      </c>
      <c r="KV23" s="24">
        <f t="shared" si="221"/>
        <v>987</v>
      </c>
      <c r="KW23" s="24">
        <f t="shared" si="222"/>
        <v>12</v>
      </c>
      <c r="KX23" s="26">
        <f t="shared" si="339"/>
        <v>51.94736842105263</v>
      </c>
      <c r="KY23" s="24" t="str">
        <f t="shared" si="340"/>
        <v>E</v>
      </c>
      <c r="KZ23" s="27">
        <f t="shared" si="223"/>
        <v>0.63157894736842102</v>
      </c>
      <c r="LA23" s="24">
        <f t="shared" si="224"/>
        <v>37</v>
      </c>
      <c r="LB23" s="26">
        <f t="shared" si="225"/>
        <v>2092</v>
      </c>
      <c r="LC23" s="26">
        <f t="shared" si="226"/>
        <v>41</v>
      </c>
      <c r="LD23" s="26">
        <f t="shared" si="341"/>
        <v>56.54054054054054</v>
      </c>
      <c r="LE23" s="27" t="str">
        <f t="shared" si="342"/>
        <v>E</v>
      </c>
      <c r="LF23" s="26">
        <f t="shared" si="227"/>
        <v>1.1081081081081081</v>
      </c>
      <c r="LG23" s="24">
        <f t="shared" si="228"/>
        <v>13</v>
      </c>
      <c r="LH23" s="24" t="str">
        <f t="shared" si="229"/>
        <v>6A</v>
      </c>
      <c r="LI23" s="24">
        <f t="shared" si="230"/>
        <v>13</v>
      </c>
      <c r="LJ23" s="26">
        <f>IF('Q4'!G23="","",SUM((AVERAGE('Q3'!G23,'Q4'!G23)*0.5))+(HM23*0.5))</f>
        <v>59.333333333333336</v>
      </c>
      <c r="LK23" s="26">
        <f>IF('Q4'!H23="","",SUM((AVERAGE('Q3'!H23,'Q4'!H23)*1)))</f>
        <v>77.666666666666671</v>
      </c>
      <c r="LL23" s="26">
        <f>IF('Q4'!I23="","",SUM((AVERAGE('Q3'!I23,'Q4'!I23)*0.5))+(HO23*0.5))</f>
        <v>78.308333333333337</v>
      </c>
      <c r="LM23" s="26">
        <f>IF('Q4'!J23="","",SUM((AVERAGE('Q3'!J23,'Q4'!J23)*0.5))+(HP23*0.5))</f>
        <v>75.333333333333329</v>
      </c>
      <c r="LN23" s="26">
        <f>IF('Q4'!K23="","",SUM((AVERAGE('Q3'!K23,'Q4'!K23)*0.5))+(HQ23*0.5))</f>
        <v>64.858333333333334</v>
      </c>
      <c r="LO23" s="26">
        <f>IF('Q4'!L23="","",SUM((AVERAGE('Q3'!L23,'Q4'!L23)*0.5))+(HR23*0.5))</f>
        <v>66.5</v>
      </c>
      <c r="LP23" s="26">
        <f>IF('Q4'!M23="","",SUM((AVERAGE('Q3'!M23,'Q4'!M23)*0.5))+(HS23*0.5))</f>
        <v>71.666666666666671</v>
      </c>
      <c r="LQ23" s="26">
        <f>IF('Q4'!N23="","",SUM((AVERAGE('Q3'!N23,'Q4'!N23)*1)))</f>
        <v>96</v>
      </c>
      <c r="LR23" s="26">
        <f>IF('Q4'!O23="","",SUM((AVERAGE('Q3'!O23,'Q4'!O23)*1)))</f>
        <v>96</v>
      </c>
      <c r="LS23" s="26">
        <f>IF('Q4'!P23="","",SUM((AVERAGE('Q3'!P23,'Q4'!P23)*0.5))+(HV23*0.5))</f>
        <v>53.400000000000006</v>
      </c>
      <c r="LT23" s="26">
        <f>IF('Q4'!Q23="","",SUM((AVERAGE('Q3'!Q23,'Q4'!Q23)*1)))</f>
        <v>58.800000000000004</v>
      </c>
      <c r="LU23" s="26">
        <f>IF('Q4'!R23="","",SUM((AVERAGE('Q3'!R23,'Q4'!R23)*0.5))+(HX23*0.5))</f>
        <v>48.335000000000001</v>
      </c>
      <c r="LV23" s="26">
        <f>IF('Q4'!S23="","",SUM((AVERAGE('Q3'!S23,'Q4'!S23)*0.5))+(HY23*0.5))</f>
        <v>51.912500000000001</v>
      </c>
      <c r="LW23" s="26">
        <f>IF('Q4'!T23="","",SUM((AVERAGE('Q3'!T23,'Q4'!T23)*0.5))+(HZ23*0.5))</f>
        <v>66.625</v>
      </c>
      <c r="LX23" s="26">
        <f>IF('Q4'!U23="","",SUM((AVERAGE('Q3'!U23,'Q4'!U23)*0.5))+(IA23*0.5))</f>
        <v>74.875</v>
      </c>
      <c r="LY23" s="26">
        <f>IF('Q4'!V23="","",SUM((AVERAGE('Q3'!V23,'Q4'!V23)*0.5))+(IB23*0.5))</f>
        <v>68.917500000000004</v>
      </c>
      <c r="LZ23" s="26" t="str">
        <f t="shared" si="231"/>
        <v>E</v>
      </c>
      <c r="MA23" s="26" t="str">
        <f t="shared" si="232"/>
        <v>C</v>
      </c>
      <c r="MB23" s="26" t="str">
        <f t="shared" si="233"/>
        <v>C</v>
      </c>
      <c r="MC23" s="26" t="str">
        <f t="shared" si="234"/>
        <v>C</v>
      </c>
      <c r="MD23" s="26" t="str">
        <f t="shared" si="235"/>
        <v>D</v>
      </c>
      <c r="ME23" s="26" t="str">
        <f t="shared" si="236"/>
        <v>D</v>
      </c>
      <c r="MF23" s="26" t="str">
        <f t="shared" si="237"/>
        <v>C</v>
      </c>
      <c r="MG23" s="26" t="str">
        <f t="shared" si="238"/>
        <v>A</v>
      </c>
      <c r="MH23" s="26" t="str">
        <f t="shared" si="239"/>
        <v>A</v>
      </c>
      <c r="MI23" s="24" t="str">
        <f t="shared" si="240"/>
        <v>E</v>
      </c>
      <c r="MJ23" s="24" t="str">
        <f t="shared" si="241"/>
        <v>E</v>
      </c>
      <c r="MK23" s="24" t="str">
        <f t="shared" si="242"/>
        <v>F</v>
      </c>
      <c r="ML23" s="24" t="str">
        <f t="shared" si="243"/>
        <v>E</v>
      </c>
      <c r="MM23" s="24" t="str">
        <f t="shared" si="244"/>
        <v>D</v>
      </c>
      <c r="MN23" s="24" t="str">
        <f t="shared" si="245"/>
        <v>C</v>
      </c>
      <c r="MO23" s="24" t="str">
        <f t="shared" si="246"/>
        <v>D</v>
      </c>
      <c r="MP23" s="24">
        <f t="shared" si="247"/>
        <v>2</v>
      </c>
      <c r="MQ23" s="24">
        <f t="shared" si="248"/>
        <v>2</v>
      </c>
      <c r="MR23" s="24">
        <f t="shared" si="249"/>
        <v>3</v>
      </c>
      <c r="MS23" s="24">
        <f t="shared" si="250"/>
        <v>1</v>
      </c>
      <c r="MT23" s="24">
        <f t="shared" si="251"/>
        <v>5</v>
      </c>
      <c r="MU23" s="24">
        <f t="shared" si="252"/>
        <v>3</v>
      </c>
      <c r="MV23" s="24">
        <f t="shared" si="253"/>
        <v>2</v>
      </c>
      <c r="MW23" s="24">
        <f t="shared" si="254"/>
        <v>1</v>
      </c>
      <c r="MX23" s="24">
        <f t="shared" si="255"/>
        <v>1</v>
      </c>
      <c r="MY23" s="24">
        <f t="shared" si="256"/>
        <v>5</v>
      </c>
      <c r="MZ23" s="24">
        <f t="shared" si="257"/>
        <v>1</v>
      </c>
      <c r="NA23" s="24">
        <f t="shared" si="258"/>
        <v>5</v>
      </c>
      <c r="NB23" s="24">
        <f t="shared" si="259"/>
        <v>3</v>
      </c>
      <c r="NC23" s="24">
        <f t="shared" si="260"/>
        <v>2</v>
      </c>
      <c r="ND23" s="24">
        <f t="shared" si="261"/>
        <v>2</v>
      </c>
      <c r="NE23" s="24">
        <f t="shared" si="262"/>
        <v>2</v>
      </c>
      <c r="NF23" s="26">
        <f t="shared" si="263"/>
        <v>118.66666666666667</v>
      </c>
      <c r="NG23" s="26">
        <f t="shared" si="264"/>
        <v>155.33333333333334</v>
      </c>
      <c r="NH23" s="26">
        <f t="shared" si="265"/>
        <v>234.92500000000001</v>
      </c>
      <c r="NI23" s="26">
        <f t="shared" si="266"/>
        <v>75.333333333333329</v>
      </c>
      <c r="NJ23" s="26">
        <f t="shared" si="267"/>
        <v>324.29166666666669</v>
      </c>
      <c r="NK23" s="26">
        <f t="shared" si="268"/>
        <v>199.5</v>
      </c>
      <c r="NL23" s="26">
        <f t="shared" si="269"/>
        <v>143.33333333333334</v>
      </c>
      <c r="NM23" s="26">
        <f t="shared" si="270"/>
        <v>96</v>
      </c>
      <c r="NN23" s="26">
        <f t="shared" si="271"/>
        <v>96</v>
      </c>
      <c r="NO23" s="26">
        <f t="shared" si="272"/>
        <v>267</v>
      </c>
      <c r="NP23" s="26">
        <f t="shared" si="273"/>
        <v>58.800000000000004</v>
      </c>
      <c r="NQ23" s="26">
        <f t="shared" si="274"/>
        <v>241.67500000000001</v>
      </c>
      <c r="NR23" s="26">
        <f t="shared" si="275"/>
        <v>155.73750000000001</v>
      </c>
      <c r="NS23" s="26">
        <f t="shared" si="276"/>
        <v>133.25</v>
      </c>
      <c r="NT23" s="26">
        <f t="shared" si="277"/>
        <v>149.75</v>
      </c>
      <c r="NU23" s="26">
        <f t="shared" si="278"/>
        <v>137.83500000000001</v>
      </c>
      <c r="NV23" s="24">
        <f t="shared" si="279"/>
        <v>2</v>
      </c>
      <c r="NW23" s="24">
        <f t="shared" si="280"/>
        <v>4</v>
      </c>
      <c r="NX23" s="24">
        <f t="shared" si="281"/>
        <v>6</v>
      </c>
      <c r="NY23" s="24">
        <f t="shared" si="282"/>
        <v>2</v>
      </c>
      <c r="NZ23" s="24">
        <f t="shared" si="283"/>
        <v>7.5</v>
      </c>
      <c r="OA23" s="24">
        <f t="shared" si="284"/>
        <v>4.5</v>
      </c>
      <c r="OB23" s="24">
        <f t="shared" si="285"/>
        <v>4</v>
      </c>
      <c r="OC23" s="24">
        <f t="shared" si="286"/>
        <v>4</v>
      </c>
      <c r="OD23" s="24">
        <f t="shared" si="287"/>
        <v>4</v>
      </c>
      <c r="OE23" s="24">
        <f t="shared" si="288"/>
        <v>5</v>
      </c>
      <c r="OF23" s="24">
        <f t="shared" si="289"/>
        <v>1</v>
      </c>
      <c r="OG23" s="24">
        <f t="shared" si="290"/>
        <v>0</v>
      </c>
      <c r="OH23" s="24">
        <f t="shared" si="291"/>
        <v>3</v>
      </c>
      <c r="OI23" s="24">
        <f t="shared" si="292"/>
        <v>3</v>
      </c>
      <c r="OJ23" s="24">
        <f t="shared" si="293"/>
        <v>4</v>
      </c>
      <c r="OK23" s="24">
        <f t="shared" si="294"/>
        <v>3</v>
      </c>
      <c r="OL23" s="24">
        <f t="shared" si="295"/>
        <v>20</v>
      </c>
      <c r="OM23" s="26">
        <f t="shared" si="296"/>
        <v>1443.3833333333332</v>
      </c>
      <c r="ON23" s="26">
        <f t="shared" si="297"/>
        <v>38</v>
      </c>
      <c r="OO23" s="26">
        <f t="shared" si="343"/>
        <v>72.169166666666655</v>
      </c>
      <c r="OP23" s="24" t="str">
        <f t="shared" si="344"/>
        <v>C</v>
      </c>
      <c r="OQ23" s="26">
        <f t="shared" si="298"/>
        <v>1.9</v>
      </c>
      <c r="OR23" s="24">
        <f t="shared" si="299"/>
        <v>20</v>
      </c>
      <c r="OS23" s="26">
        <f t="shared" si="300"/>
        <v>1144.0475000000001</v>
      </c>
      <c r="OT23" s="26">
        <f t="shared" si="301"/>
        <v>19</v>
      </c>
      <c r="OU23" s="26">
        <f t="shared" si="345"/>
        <v>57.202375000000004</v>
      </c>
      <c r="OV23" s="24" t="str">
        <f t="shared" si="346"/>
        <v>E</v>
      </c>
      <c r="OW23" s="27">
        <f t="shared" si="302"/>
        <v>0.95</v>
      </c>
      <c r="OX23" s="24">
        <f t="shared" si="303"/>
        <v>40</v>
      </c>
      <c r="OY23" s="26">
        <f t="shared" si="304"/>
        <v>2587.4308333333333</v>
      </c>
      <c r="OZ23" s="26">
        <f t="shared" si="305"/>
        <v>57</v>
      </c>
      <c r="PA23" s="26">
        <f t="shared" si="347"/>
        <v>64.685770833333336</v>
      </c>
      <c r="PB23" s="27" t="str">
        <f t="shared" si="348"/>
        <v>D</v>
      </c>
      <c r="PC23" s="26">
        <f t="shared" si="306"/>
        <v>1.425</v>
      </c>
      <c r="PD23" s="24">
        <f t="shared" si="307"/>
        <v>12</v>
      </c>
      <c r="PE23" s="24" t="str">
        <f t="shared" si="308"/>
        <v>6A</v>
      </c>
      <c r="PF23" s="24">
        <f t="shared" si="309"/>
        <v>13</v>
      </c>
      <c r="PG23" s="24">
        <f t="shared" si="310"/>
        <v>104</v>
      </c>
      <c r="PH23" s="24">
        <f t="shared" si="311"/>
        <v>0</v>
      </c>
      <c r="PI23" s="24">
        <f t="shared" si="312"/>
        <v>0</v>
      </c>
      <c r="PJ23" s="24">
        <f t="shared" si="313"/>
        <v>0</v>
      </c>
      <c r="PK23" s="24">
        <f t="shared" si="314"/>
        <v>0</v>
      </c>
      <c r="PL23" s="25">
        <f t="shared" si="315"/>
        <v>1</v>
      </c>
    </row>
    <row r="24" spans="1:428" ht="27" customHeight="1" x14ac:dyDescent="0.35">
      <c r="A24" s="24">
        <f t="shared" si="349"/>
        <v>10</v>
      </c>
      <c r="B24" s="28" t="str">
        <f>IF('Q1'!B24="","",'Q1'!B24)</f>
        <v xml:space="preserve">Danong Kellen </v>
      </c>
      <c r="C24" s="30" t="str">
        <f>IF('Q1'!C24="","",'Q1'!C24)</f>
        <v>ដាណង់ ខេលេន</v>
      </c>
      <c r="D24" s="28" t="str">
        <f>IF('Q1'!D24="","",'Q1'!D24)</f>
        <v>M</v>
      </c>
      <c r="E24" s="24">
        <f>IF('Q1'!E24="","",'Q1'!E24)</f>
        <v>686</v>
      </c>
      <c r="F24" s="24" t="str">
        <f>IF('Q1'!F24="","",'Q1'!F24)</f>
        <v>I</v>
      </c>
      <c r="G24" s="26">
        <f>IF('Q3'!G24="","",'Q3'!G24)</f>
        <v>64.333333333333343</v>
      </c>
      <c r="H24" s="26">
        <f>IF('Q3'!H24="","",'Q3'!H24)</f>
        <v>75.566666666666663</v>
      </c>
      <c r="I24" s="26">
        <f>IF('Q3'!I24="","",'Q3'!I24)</f>
        <v>67.666666666666671</v>
      </c>
      <c r="J24" s="26">
        <f>IF('Q3'!J24="","",'Q3'!J24)</f>
        <v>67</v>
      </c>
      <c r="K24" s="26">
        <f>IF('Q3'!K24="","",'Q3'!K24)</f>
        <v>74.099999999999994</v>
      </c>
      <c r="L24" s="26">
        <f>IF('Q3'!L24="","",'Q3'!L24)</f>
        <v>75.066666666666677</v>
      </c>
      <c r="M24" s="26">
        <f>IF('Q3'!M24="","",'Q3'!M24)</f>
        <v>75.066666666666677</v>
      </c>
      <c r="N24" s="26">
        <f>IF('Q3'!N24="","",'Q3'!N24)</f>
        <v>95</v>
      </c>
      <c r="O24" s="26">
        <f>IF('Q3'!O24="","",'Q3'!O24)</f>
        <v>95</v>
      </c>
      <c r="P24" s="26">
        <f>IF('Q3'!P24="","",'Q3'!P24)</f>
        <v>85.086666666666673</v>
      </c>
      <c r="Q24" s="26">
        <f>IF('Q3'!Q24="","",'Q3'!Q24)</f>
        <v>85.086666666666673</v>
      </c>
      <c r="R24" s="26">
        <f>IF('Q3'!R24="","",'Q3'!R24)</f>
        <v>72.430000000000007</v>
      </c>
      <c r="S24" s="26">
        <f>IF('Q3'!S24="","",'Q3'!S24)</f>
        <v>58.23</v>
      </c>
      <c r="T24" s="26">
        <f>IF('Q3'!T24="","",'Q3'!T24)</f>
        <v>83</v>
      </c>
      <c r="U24" s="26">
        <f>IF('Q3'!U24="","",'Q3'!U24)</f>
        <v>76</v>
      </c>
      <c r="V24" s="26">
        <f>IF('Q3'!V24="","",'Q3'!V24)</f>
        <v>76</v>
      </c>
      <c r="W24" s="26" t="str">
        <f t="shared" si="0"/>
        <v>D</v>
      </c>
      <c r="X24" s="26" t="str">
        <f t="shared" si="1"/>
        <v>C</v>
      </c>
      <c r="Y24" s="26" t="str">
        <f t="shared" si="2"/>
        <v>D</v>
      </c>
      <c r="Z24" s="26" t="str">
        <f t="shared" si="3"/>
        <v>D</v>
      </c>
      <c r="AA24" s="26" t="str">
        <f t="shared" si="4"/>
        <v>C</v>
      </c>
      <c r="AB24" s="26" t="str">
        <f t="shared" si="5"/>
        <v>C</v>
      </c>
      <c r="AC24" s="26" t="str">
        <f t="shared" si="6"/>
        <v>C</v>
      </c>
      <c r="AD24" s="26" t="str">
        <f t="shared" si="7"/>
        <v>A</v>
      </c>
      <c r="AE24" s="26" t="str">
        <f t="shared" si="8"/>
        <v>A</v>
      </c>
      <c r="AF24" s="24" t="str">
        <f t="shared" si="9"/>
        <v>B</v>
      </c>
      <c r="AG24" s="24" t="str">
        <f t="shared" si="10"/>
        <v>B</v>
      </c>
      <c r="AH24" s="24" t="str">
        <f t="shared" si="11"/>
        <v>C</v>
      </c>
      <c r="AI24" s="24" t="str">
        <f t="shared" si="12"/>
        <v>E</v>
      </c>
      <c r="AJ24" s="24" t="str">
        <f t="shared" si="13"/>
        <v>B</v>
      </c>
      <c r="AK24" s="24" t="str">
        <f t="shared" si="14"/>
        <v>C</v>
      </c>
      <c r="AL24" s="24" t="str">
        <f t="shared" si="15"/>
        <v>C</v>
      </c>
      <c r="AM24" s="24">
        <f t="shared" si="16"/>
        <v>2</v>
      </c>
      <c r="AN24" s="24">
        <f t="shared" si="17"/>
        <v>2</v>
      </c>
      <c r="AO24" s="24">
        <f t="shared" si="18"/>
        <v>3</v>
      </c>
      <c r="AP24" s="24">
        <f t="shared" si="19"/>
        <v>1</v>
      </c>
      <c r="AQ24" s="24">
        <f t="shared" si="20"/>
        <v>5</v>
      </c>
      <c r="AR24" s="24">
        <f t="shared" si="21"/>
        <v>3</v>
      </c>
      <c r="AS24" s="24">
        <f t="shared" si="22"/>
        <v>2</v>
      </c>
      <c r="AT24" s="24">
        <f t="shared" si="23"/>
        <v>1</v>
      </c>
      <c r="AU24" s="24">
        <f t="shared" si="24"/>
        <v>1</v>
      </c>
      <c r="AV24" s="24">
        <f t="shared" si="25"/>
        <v>5</v>
      </c>
      <c r="AW24" s="24">
        <f t="shared" si="26"/>
        <v>1</v>
      </c>
      <c r="AX24" s="24">
        <f t="shared" si="27"/>
        <v>5</v>
      </c>
      <c r="AY24" s="24">
        <f t="shared" si="28"/>
        <v>3</v>
      </c>
      <c r="AZ24" s="24">
        <f t="shared" si="29"/>
        <v>2</v>
      </c>
      <c r="BA24" s="24">
        <f t="shared" si="30"/>
        <v>2</v>
      </c>
      <c r="BB24" s="24">
        <f t="shared" si="31"/>
        <v>2</v>
      </c>
      <c r="BC24" s="26">
        <f t="shared" si="32"/>
        <v>128.66666666666669</v>
      </c>
      <c r="BD24" s="26">
        <f t="shared" si="33"/>
        <v>151.13333333333333</v>
      </c>
      <c r="BE24" s="26">
        <f t="shared" si="34"/>
        <v>203</v>
      </c>
      <c r="BF24" s="26">
        <f t="shared" si="35"/>
        <v>67</v>
      </c>
      <c r="BG24" s="26">
        <f t="shared" si="36"/>
        <v>370.5</v>
      </c>
      <c r="BH24" s="26">
        <f t="shared" si="37"/>
        <v>225.20000000000005</v>
      </c>
      <c r="BI24" s="26">
        <f t="shared" si="38"/>
        <v>150.13333333333335</v>
      </c>
      <c r="BJ24" s="26">
        <f t="shared" si="39"/>
        <v>95</v>
      </c>
      <c r="BK24" s="26">
        <f t="shared" si="40"/>
        <v>95</v>
      </c>
      <c r="BL24" s="26">
        <f t="shared" si="41"/>
        <v>425.43333333333339</v>
      </c>
      <c r="BM24" s="26">
        <f t="shared" si="42"/>
        <v>85.086666666666673</v>
      </c>
      <c r="BN24" s="26">
        <f t="shared" si="43"/>
        <v>362.15000000000003</v>
      </c>
      <c r="BO24" s="26">
        <f t="shared" si="44"/>
        <v>174.69</v>
      </c>
      <c r="BP24" s="26">
        <f t="shared" si="45"/>
        <v>166</v>
      </c>
      <c r="BQ24" s="26">
        <f t="shared" si="46"/>
        <v>152</v>
      </c>
      <c r="BR24" s="26">
        <f t="shared" si="47"/>
        <v>152</v>
      </c>
      <c r="BS24" s="24">
        <f t="shared" si="48"/>
        <v>3</v>
      </c>
      <c r="BT24" s="24">
        <f t="shared" si="49"/>
        <v>4</v>
      </c>
      <c r="BU24" s="24">
        <f t="shared" si="50"/>
        <v>4.5</v>
      </c>
      <c r="BV24" s="24">
        <f t="shared" si="51"/>
        <v>1.5</v>
      </c>
      <c r="BW24" s="24">
        <f t="shared" si="52"/>
        <v>10</v>
      </c>
      <c r="BX24" s="24">
        <f t="shared" si="53"/>
        <v>6</v>
      </c>
      <c r="BY24" s="24">
        <f t="shared" si="54"/>
        <v>4</v>
      </c>
      <c r="BZ24" s="24">
        <f t="shared" si="55"/>
        <v>4</v>
      </c>
      <c r="CA24" s="24">
        <f t="shared" si="56"/>
        <v>4</v>
      </c>
      <c r="CB24" s="24">
        <f t="shared" si="57"/>
        <v>15</v>
      </c>
      <c r="CC24" s="24">
        <f t="shared" si="58"/>
        <v>3</v>
      </c>
      <c r="CD24" s="24">
        <f t="shared" si="59"/>
        <v>10</v>
      </c>
      <c r="CE24" s="24">
        <f t="shared" si="60"/>
        <v>3</v>
      </c>
      <c r="CF24" s="24">
        <f t="shared" si="61"/>
        <v>6</v>
      </c>
      <c r="CG24" s="24">
        <f t="shared" si="62"/>
        <v>4</v>
      </c>
      <c r="CH24" s="24">
        <f t="shared" si="63"/>
        <v>4</v>
      </c>
      <c r="CI24" s="24">
        <f t="shared" si="64"/>
        <v>20</v>
      </c>
      <c r="CJ24" s="26">
        <f t="shared" si="65"/>
        <v>1485.6333333333334</v>
      </c>
      <c r="CK24" s="26">
        <f t="shared" si="66"/>
        <v>52</v>
      </c>
      <c r="CL24" s="26">
        <f t="shared" si="316"/>
        <v>74.281666666666666</v>
      </c>
      <c r="CM24" s="24" t="str">
        <f t="shared" si="317"/>
        <v>C</v>
      </c>
      <c r="CN24" s="26">
        <f t="shared" si="67"/>
        <v>2.6</v>
      </c>
      <c r="CO24" s="24">
        <f t="shared" si="68"/>
        <v>20</v>
      </c>
      <c r="CP24" s="26">
        <f t="shared" si="69"/>
        <v>1517.3600000000001</v>
      </c>
      <c r="CQ24" s="26">
        <f t="shared" si="70"/>
        <v>45</v>
      </c>
      <c r="CR24" s="26">
        <f t="shared" si="318"/>
        <v>75.868000000000009</v>
      </c>
      <c r="CS24" s="24" t="str">
        <f t="shared" si="319"/>
        <v>C</v>
      </c>
      <c r="CT24" s="27">
        <f t="shared" si="71"/>
        <v>2.25</v>
      </c>
      <c r="CU24" s="24">
        <f t="shared" si="72"/>
        <v>40</v>
      </c>
      <c r="CV24" s="26">
        <f t="shared" si="73"/>
        <v>3002.9933333333333</v>
      </c>
      <c r="CW24" s="27">
        <f t="shared" si="74"/>
        <v>2877.3266666666668</v>
      </c>
      <c r="CX24" s="26">
        <f t="shared" si="320"/>
        <v>75.074833333333331</v>
      </c>
      <c r="CY24" s="27" t="str">
        <f t="shared" si="321"/>
        <v>C</v>
      </c>
      <c r="CZ24" s="26">
        <f t="shared" si="75"/>
        <v>71.933166666666665</v>
      </c>
      <c r="DA24" s="24">
        <f t="shared" si="76"/>
        <v>9</v>
      </c>
      <c r="DB24" s="24" t="str">
        <f t="shared" si="77"/>
        <v>6A</v>
      </c>
      <c r="DC24" s="24">
        <f t="shared" si="78"/>
        <v>13</v>
      </c>
      <c r="DD24" s="24">
        <f>IF(B24="","",'Q3'!$C$8)</f>
        <v>50</v>
      </c>
      <c r="DE24" s="24">
        <f>IF(B24="","",'Q3'!DE24)</f>
        <v>0</v>
      </c>
      <c r="DF24" s="24">
        <f>IF(C24="","",'Q3'!DF24)</f>
        <v>0</v>
      </c>
      <c r="DG24" s="24">
        <f>IF(D24="","",'Q3'!DG24)</f>
        <v>1</v>
      </c>
      <c r="DH24" s="24">
        <f>IF(E24="","",'Q3'!DH24)</f>
        <v>1</v>
      </c>
      <c r="DI24" s="25">
        <f t="shared" si="79"/>
        <v>0.98</v>
      </c>
      <c r="DJ24" s="26">
        <f>IF('Q4'!G24="","",'Q4'!G24)</f>
        <v>66.400000000000006</v>
      </c>
      <c r="DK24" s="26">
        <f>IF('Q4'!H24="","",'Q4'!H24)</f>
        <v>71.94</v>
      </c>
      <c r="DL24" s="26">
        <f>IF('Q4'!I24="","",'Q4'!I24)</f>
        <v>77.240000000000009</v>
      </c>
      <c r="DM24" s="26">
        <f>IF('Q4'!J24="","",'Q4'!J24)</f>
        <v>68</v>
      </c>
      <c r="DN24" s="26">
        <f>IF('Q4'!K24="","",'Q4'!K24)</f>
        <v>78.75333333333333</v>
      </c>
      <c r="DO24" s="26">
        <f>IF('Q4'!L24="","",'Q4'!L24)</f>
        <v>77.420000000000016</v>
      </c>
      <c r="DP24" s="26">
        <f>IF('Q4'!M24="","",'Q4'!M24)</f>
        <v>75.153333333333336</v>
      </c>
      <c r="DQ24" s="26">
        <f>IF('Q4'!N24="","",'Q4'!N24)</f>
        <v>96</v>
      </c>
      <c r="DR24" s="26">
        <f>IF('Q4'!O24="","",'Q4'!O24)</f>
        <v>96</v>
      </c>
      <c r="DS24" s="26">
        <f>IF('Q4'!P24="","",'Q4'!P24)</f>
        <v>70.033333333333331</v>
      </c>
      <c r="DT24" s="26">
        <f>IF('Q4'!Q24="","",'Q4'!Q24)</f>
        <v>70.033333333333331</v>
      </c>
      <c r="DU24" s="26">
        <f>IF('Q4'!R24="","",'Q4'!R24)</f>
        <v>55.546666666666603</v>
      </c>
      <c r="DV24" s="26">
        <f>IF('Q4'!S24="","",'Q4'!S24)</f>
        <v>46.92</v>
      </c>
      <c r="DW24" s="26">
        <f>IF('Q4'!T24="","",'Q4'!T24)</f>
        <v>78.5</v>
      </c>
      <c r="DX24" s="26">
        <f>IF('Q4'!U24="","",'Q4'!U24)</f>
        <v>78</v>
      </c>
      <c r="DY24" s="26">
        <f>IF('Q4'!V24="","",'Q4'!V24)</f>
        <v>75</v>
      </c>
      <c r="DZ24" s="26" t="str">
        <f t="shared" si="80"/>
        <v>D</v>
      </c>
      <c r="EA24" s="26" t="str">
        <f t="shared" si="81"/>
        <v>C</v>
      </c>
      <c r="EB24" s="26" t="str">
        <f t="shared" si="82"/>
        <v>C</v>
      </c>
      <c r="EC24" s="26" t="str">
        <f t="shared" si="83"/>
        <v>D</v>
      </c>
      <c r="ED24" s="26" t="str">
        <f t="shared" si="84"/>
        <v>C</v>
      </c>
      <c r="EE24" s="26" t="str">
        <f t="shared" si="85"/>
        <v>C</v>
      </c>
      <c r="EF24" s="26" t="str">
        <f t="shared" si="86"/>
        <v>C</v>
      </c>
      <c r="EG24" s="26" t="str">
        <f t="shared" si="87"/>
        <v>A</v>
      </c>
      <c r="EH24" s="26" t="str">
        <f t="shared" si="88"/>
        <v>A</v>
      </c>
      <c r="EI24" s="24" t="str">
        <f t="shared" si="89"/>
        <v>C</v>
      </c>
      <c r="EJ24" s="24" t="str">
        <f t="shared" si="90"/>
        <v>C</v>
      </c>
      <c r="EK24" s="24" t="str">
        <f t="shared" si="91"/>
        <v>E</v>
      </c>
      <c r="EL24" s="24" t="str">
        <f t="shared" si="92"/>
        <v>F</v>
      </c>
      <c r="EM24" s="24" t="str">
        <f t="shared" si="93"/>
        <v>C</v>
      </c>
      <c r="EN24" s="24" t="str">
        <f t="shared" si="94"/>
        <v>C</v>
      </c>
      <c r="EO24" s="24" t="str">
        <f t="shared" si="95"/>
        <v>C</v>
      </c>
      <c r="EP24" s="24">
        <f t="shared" si="96"/>
        <v>2</v>
      </c>
      <c r="EQ24" s="24">
        <f t="shared" si="97"/>
        <v>2</v>
      </c>
      <c r="ER24" s="24">
        <f t="shared" si="98"/>
        <v>3</v>
      </c>
      <c r="ES24" s="24">
        <f t="shared" si="99"/>
        <v>1</v>
      </c>
      <c r="ET24" s="24">
        <f t="shared" si="100"/>
        <v>5</v>
      </c>
      <c r="EU24" s="24">
        <f t="shared" si="101"/>
        <v>3</v>
      </c>
      <c r="EV24" s="24">
        <f t="shared" si="102"/>
        <v>2</v>
      </c>
      <c r="EW24" s="24">
        <f t="shared" si="322"/>
        <v>1</v>
      </c>
      <c r="EX24" s="24">
        <f t="shared" si="103"/>
        <v>1</v>
      </c>
      <c r="EY24" s="24">
        <f t="shared" si="104"/>
        <v>5</v>
      </c>
      <c r="EZ24" s="24">
        <f t="shared" si="105"/>
        <v>1</v>
      </c>
      <c r="FA24" s="24">
        <f t="shared" si="106"/>
        <v>5</v>
      </c>
      <c r="FB24" s="24">
        <f t="shared" si="107"/>
        <v>3</v>
      </c>
      <c r="FC24" s="24">
        <f t="shared" si="108"/>
        <v>2</v>
      </c>
      <c r="FD24" s="24">
        <f t="shared" si="109"/>
        <v>2</v>
      </c>
      <c r="FE24" s="24">
        <f t="shared" si="110"/>
        <v>2</v>
      </c>
      <c r="FF24" s="26">
        <f t="shared" si="111"/>
        <v>132.80000000000001</v>
      </c>
      <c r="FG24" s="26">
        <f t="shared" si="112"/>
        <v>143.88</v>
      </c>
      <c r="FH24" s="26">
        <f t="shared" si="113"/>
        <v>231.72000000000003</v>
      </c>
      <c r="FI24" s="26">
        <f t="shared" si="114"/>
        <v>68</v>
      </c>
      <c r="FJ24" s="26">
        <f t="shared" si="115"/>
        <v>393.76666666666665</v>
      </c>
      <c r="FK24" s="26">
        <f t="shared" si="116"/>
        <v>232.26000000000005</v>
      </c>
      <c r="FL24" s="26">
        <f t="shared" si="117"/>
        <v>150.30666666666667</v>
      </c>
      <c r="FM24" s="26">
        <f t="shared" si="118"/>
        <v>96</v>
      </c>
      <c r="FN24" s="26"/>
      <c r="FO24" s="26">
        <f t="shared" si="119"/>
        <v>350.16666666666663</v>
      </c>
      <c r="FP24" s="26">
        <f t="shared" si="120"/>
        <v>70.033333333333331</v>
      </c>
      <c r="FQ24" s="26">
        <f t="shared" si="121"/>
        <v>277.73333333333301</v>
      </c>
      <c r="FR24" s="26">
        <f t="shared" si="122"/>
        <v>140.76</v>
      </c>
      <c r="FS24" s="26">
        <f t="shared" si="123"/>
        <v>157</v>
      </c>
      <c r="FT24" s="26">
        <f t="shared" si="124"/>
        <v>156</v>
      </c>
      <c r="FU24" s="26">
        <f t="shared" si="125"/>
        <v>150</v>
      </c>
      <c r="FV24" s="24">
        <f t="shared" si="126"/>
        <v>3</v>
      </c>
      <c r="FW24" s="24">
        <f t="shared" si="127"/>
        <v>4</v>
      </c>
      <c r="FX24" s="24">
        <f t="shared" si="128"/>
        <v>6</v>
      </c>
      <c r="FY24" s="24">
        <f t="shared" si="129"/>
        <v>1.5</v>
      </c>
      <c r="FZ24" s="24">
        <f t="shared" si="130"/>
        <v>10</v>
      </c>
      <c r="GA24" s="24">
        <f t="shared" si="131"/>
        <v>6</v>
      </c>
      <c r="GB24" s="24">
        <f t="shared" si="132"/>
        <v>4</v>
      </c>
      <c r="GC24" s="24">
        <f t="shared" si="133"/>
        <v>4</v>
      </c>
      <c r="GD24" s="24">
        <f t="shared" si="323"/>
        <v>4</v>
      </c>
      <c r="GE24" s="24">
        <f t="shared" si="324"/>
        <v>2</v>
      </c>
      <c r="GF24" s="24">
        <f t="shared" si="325"/>
        <v>10</v>
      </c>
      <c r="GG24" s="24">
        <f t="shared" si="326"/>
        <v>3</v>
      </c>
      <c r="GH24" s="24">
        <f t="shared" si="327"/>
        <v>0</v>
      </c>
      <c r="GI24" s="24">
        <f t="shared" si="328"/>
        <v>4</v>
      </c>
      <c r="GJ24" s="24">
        <f t="shared" si="329"/>
        <v>4</v>
      </c>
      <c r="GK24" s="24">
        <f t="shared" si="330"/>
        <v>4</v>
      </c>
      <c r="GL24" s="24">
        <f t="shared" si="135"/>
        <v>19</v>
      </c>
      <c r="GM24" s="26">
        <f t="shared" si="136"/>
        <v>1448.7333333333333</v>
      </c>
      <c r="GN24" s="26">
        <f t="shared" si="137"/>
        <v>47.5</v>
      </c>
      <c r="GO24" s="26">
        <f t="shared" si="331"/>
        <v>76.249122807017542</v>
      </c>
      <c r="GP24" s="24" t="str">
        <f t="shared" si="332"/>
        <v>C</v>
      </c>
      <c r="GQ24" s="26">
        <f t="shared" si="138"/>
        <v>2.5</v>
      </c>
      <c r="GR24" s="24">
        <f t="shared" si="139"/>
        <v>20</v>
      </c>
      <c r="GS24" s="26">
        <f t="shared" si="140"/>
        <v>1301.6933333333329</v>
      </c>
      <c r="GT24" s="26">
        <f t="shared" si="141"/>
        <v>27</v>
      </c>
      <c r="GU24" s="26">
        <f t="shared" si="333"/>
        <v>65.084666666666649</v>
      </c>
      <c r="GV24" s="24" t="str">
        <f t="shared" si="334"/>
        <v>D</v>
      </c>
      <c r="GW24" s="27">
        <f t="shared" si="142"/>
        <v>1.35</v>
      </c>
      <c r="GX24" s="24">
        <f t="shared" si="143"/>
        <v>40</v>
      </c>
      <c r="GY24" s="26">
        <f t="shared" si="144"/>
        <v>2750.4266666666663</v>
      </c>
      <c r="GZ24" s="26">
        <f t="shared" si="145"/>
        <v>2620.6266666666661</v>
      </c>
      <c r="HA24" s="26">
        <f t="shared" si="335"/>
        <v>68.760666666666651</v>
      </c>
      <c r="HB24" s="27" t="str">
        <f t="shared" si="336"/>
        <v>D</v>
      </c>
      <c r="HC24" s="26">
        <f t="shared" si="146"/>
        <v>65.515666666666647</v>
      </c>
      <c r="HD24" s="24">
        <f t="shared" si="147"/>
        <v>11</v>
      </c>
      <c r="HE24" s="24" t="str">
        <f t="shared" si="148"/>
        <v>6A</v>
      </c>
      <c r="HF24" s="24">
        <f t="shared" si="149"/>
        <v>13</v>
      </c>
      <c r="HG24" s="24">
        <f>IF(B24="","",'Q4'!$C$8)</f>
        <v>50</v>
      </c>
      <c r="HH24" s="24">
        <f>IF(A24="","",'Q4'!DE24)</f>
        <v>0</v>
      </c>
      <c r="HI24" s="24">
        <f>IF(B24="","",'Q4'!DF24)</f>
        <v>0</v>
      </c>
      <c r="HJ24" s="24">
        <f>IF(B24="","",'Q4'!DG24)</f>
        <v>0</v>
      </c>
      <c r="HK24" s="24">
        <f t="shared" si="150"/>
        <v>0</v>
      </c>
      <c r="HL24" s="25">
        <f t="shared" si="151"/>
        <v>1</v>
      </c>
      <c r="HM24" s="7">
        <v>50</v>
      </c>
      <c r="HN24" s="7">
        <v>60</v>
      </c>
      <c r="HO24" s="7">
        <v>75</v>
      </c>
      <c r="HP24" s="7">
        <v>70</v>
      </c>
      <c r="HQ24" s="7">
        <v>75</v>
      </c>
      <c r="HR24" s="7">
        <v>50</v>
      </c>
      <c r="HS24" s="7">
        <v>65</v>
      </c>
      <c r="HT24" s="7"/>
      <c r="HU24" s="7"/>
      <c r="HV24" s="7">
        <v>74</v>
      </c>
      <c r="HW24" s="7"/>
      <c r="HX24" s="7">
        <v>66</v>
      </c>
      <c r="HY24" s="7">
        <v>65</v>
      </c>
      <c r="HZ24" s="7">
        <v>50</v>
      </c>
      <c r="IA24" s="7">
        <v>87.5</v>
      </c>
      <c r="IB24" s="7">
        <v>60</v>
      </c>
      <c r="IC24" s="24" t="str">
        <f t="shared" si="152"/>
        <v>E</v>
      </c>
      <c r="ID24" s="24" t="str">
        <f t="shared" si="153"/>
        <v>D</v>
      </c>
      <c r="IE24" s="24" t="str">
        <f t="shared" si="154"/>
        <v>C</v>
      </c>
      <c r="IF24" s="24" t="str">
        <f t="shared" si="155"/>
        <v>C</v>
      </c>
      <c r="IG24" s="24" t="str">
        <f t="shared" si="156"/>
        <v>C</v>
      </c>
      <c r="IH24" s="24" t="str">
        <f t="shared" si="157"/>
        <v>E</v>
      </c>
      <c r="II24" s="24" t="str">
        <f t="shared" si="158"/>
        <v>D</v>
      </c>
      <c r="IJ24" s="24" t="str">
        <f t="shared" si="159"/>
        <v/>
      </c>
      <c r="IK24" s="24" t="str">
        <f t="shared" si="160"/>
        <v/>
      </c>
      <c r="IL24" s="24" t="str">
        <f t="shared" si="161"/>
        <v>C</v>
      </c>
      <c r="IM24" s="24" t="str">
        <f t="shared" si="162"/>
        <v/>
      </c>
      <c r="IN24" s="24" t="str">
        <f t="shared" si="163"/>
        <v>D</v>
      </c>
      <c r="IO24" s="24" t="str">
        <f t="shared" si="164"/>
        <v>D</v>
      </c>
      <c r="IP24" s="24" t="str">
        <f t="shared" si="165"/>
        <v>E</v>
      </c>
      <c r="IQ24" s="24" t="str">
        <f t="shared" si="166"/>
        <v>B</v>
      </c>
      <c r="IR24" s="24" t="str">
        <f t="shared" si="167"/>
        <v>D</v>
      </c>
      <c r="IS24" s="24">
        <f t="shared" si="168"/>
        <v>2</v>
      </c>
      <c r="IT24" s="24">
        <f t="shared" si="169"/>
        <v>2</v>
      </c>
      <c r="IU24" s="24">
        <f t="shared" si="170"/>
        <v>3</v>
      </c>
      <c r="IV24" s="24">
        <f t="shared" si="171"/>
        <v>1</v>
      </c>
      <c r="IW24" s="24">
        <f t="shared" si="172"/>
        <v>5</v>
      </c>
      <c r="IX24" s="24">
        <f t="shared" si="173"/>
        <v>3</v>
      </c>
      <c r="IY24" s="24">
        <f t="shared" si="174"/>
        <v>2</v>
      </c>
      <c r="IZ24" s="24" t="str">
        <f t="shared" si="175"/>
        <v/>
      </c>
      <c r="JA24" s="24" t="str">
        <f t="shared" si="176"/>
        <v/>
      </c>
      <c r="JB24" s="24">
        <f t="shared" si="177"/>
        <v>5</v>
      </c>
      <c r="JC24" s="24" t="str">
        <f t="shared" si="178"/>
        <v/>
      </c>
      <c r="JD24" s="24">
        <f t="shared" si="179"/>
        <v>5</v>
      </c>
      <c r="JE24" s="24">
        <f t="shared" si="180"/>
        <v>3</v>
      </c>
      <c r="JF24" s="24">
        <f t="shared" si="181"/>
        <v>2</v>
      </c>
      <c r="JG24" s="24">
        <f t="shared" si="182"/>
        <v>2</v>
      </c>
      <c r="JH24" s="24">
        <f t="shared" si="183"/>
        <v>2</v>
      </c>
      <c r="JI24" s="26">
        <f t="shared" si="184"/>
        <v>100</v>
      </c>
      <c r="JJ24" s="26">
        <f t="shared" si="185"/>
        <v>120</v>
      </c>
      <c r="JK24" s="26">
        <f t="shared" si="186"/>
        <v>225</v>
      </c>
      <c r="JL24" s="26">
        <f t="shared" si="187"/>
        <v>70</v>
      </c>
      <c r="JM24" s="26">
        <f t="shared" si="188"/>
        <v>375</v>
      </c>
      <c r="JN24" s="26">
        <f t="shared" si="189"/>
        <v>150</v>
      </c>
      <c r="JO24" s="26">
        <f t="shared" si="190"/>
        <v>130</v>
      </c>
      <c r="JP24" s="26" t="str">
        <f t="shared" si="191"/>
        <v/>
      </c>
      <c r="JQ24" s="26" t="str">
        <f t="shared" si="192"/>
        <v/>
      </c>
      <c r="JR24" s="26">
        <f t="shared" si="193"/>
        <v>370</v>
      </c>
      <c r="JS24" s="26" t="str">
        <f t="shared" si="194"/>
        <v/>
      </c>
      <c r="JT24" s="26">
        <f t="shared" si="195"/>
        <v>330</v>
      </c>
      <c r="JU24" s="26">
        <f t="shared" si="196"/>
        <v>195</v>
      </c>
      <c r="JV24" s="26">
        <f t="shared" si="197"/>
        <v>100</v>
      </c>
      <c r="JW24" s="26">
        <f t="shared" si="198"/>
        <v>175</v>
      </c>
      <c r="JX24" s="26">
        <f t="shared" si="199"/>
        <v>120</v>
      </c>
      <c r="JY24" s="24">
        <f t="shared" si="200"/>
        <v>2</v>
      </c>
      <c r="JZ24" s="24">
        <f t="shared" si="201"/>
        <v>3</v>
      </c>
      <c r="KA24" s="24">
        <f t="shared" si="202"/>
        <v>6</v>
      </c>
      <c r="KB24" s="24">
        <f t="shared" si="203"/>
        <v>2</v>
      </c>
      <c r="KC24" s="24">
        <f t="shared" si="204"/>
        <v>10</v>
      </c>
      <c r="KD24" s="24">
        <f t="shared" si="205"/>
        <v>3</v>
      </c>
      <c r="KE24" s="24">
        <f t="shared" si="206"/>
        <v>3</v>
      </c>
      <c r="KF24" s="24" t="str">
        <f t="shared" si="207"/>
        <v/>
      </c>
      <c r="KG24" s="24" t="str">
        <f t="shared" si="208"/>
        <v/>
      </c>
      <c r="KH24" s="24">
        <f t="shared" si="209"/>
        <v>10</v>
      </c>
      <c r="KI24" s="24" t="str">
        <f t="shared" si="210"/>
        <v/>
      </c>
      <c r="KJ24" s="24">
        <f t="shared" si="211"/>
        <v>7.5</v>
      </c>
      <c r="KK24" s="24">
        <f t="shared" si="212"/>
        <v>4.5</v>
      </c>
      <c r="KL24" s="24">
        <f t="shared" si="213"/>
        <v>2</v>
      </c>
      <c r="KM24" s="24">
        <f t="shared" si="214"/>
        <v>6</v>
      </c>
      <c r="KN24" s="24">
        <f t="shared" si="215"/>
        <v>3</v>
      </c>
      <c r="KO24" s="24">
        <f t="shared" si="216"/>
        <v>18</v>
      </c>
      <c r="KP24" s="26" t="str">
        <f t="shared" si="217"/>
        <v/>
      </c>
      <c r="KQ24" s="26">
        <f t="shared" si="218"/>
        <v>29</v>
      </c>
      <c r="KR24" s="26" t="str">
        <f t="shared" si="337"/>
        <v/>
      </c>
      <c r="KS24" s="24" t="str">
        <f t="shared" si="338"/>
        <v/>
      </c>
      <c r="KT24" s="26">
        <f t="shared" si="219"/>
        <v>1.6111111111111112</v>
      </c>
      <c r="KU24" s="24">
        <f t="shared" si="220"/>
        <v>19</v>
      </c>
      <c r="KV24" s="24">
        <f t="shared" si="221"/>
        <v>1290</v>
      </c>
      <c r="KW24" s="24">
        <f t="shared" si="222"/>
        <v>33</v>
      </c>
      <c r="KX24" s="26">
        <f t="shared" si="339"/>
        <v>67.89473684210526</v>
      </c>
      <c r="KY24" s="24" t="str">
        <f t="shared" si="340"/>
        <v>D</v>
      </c>
      <c r="KZ24" s="27">
        <f t="shared" si="223"/>
        <v>1.736842105263158</v>
      </c>
      <c r="LA24" s="24">
        <f t="shared" si="224"/>
        <v>37</v>
      </c>
      <c r="LB24" s="26">
        <f t="shared" si="225"/>
        <v>2460</v>
      </c>
      <c r="LC24" s="26">
        <f t="shared" si="226"/>
        <v>62</v>
      </c>
      <c r="LD24" s="26">
        <f t="shared" si="341"/>
        <v>66.486486486486484</v>
      </c>
      <c r="LE24" s="27" t="str">
        <f t="shared" si="342"/>
        <v>D</v>
      </c>
      <c r="LF24" s="26">
        <f t="shared" si="227"/>
        <v>1.6756756756756757</v>
      </c>
      <c r="LG24" s="24">
        <f t="shared" si="228"/>
        <v>10</v>
      </c>
      <c r="LH24" s="24" t="str">
        <f t="shared" si="229"/>
        <v>6A</v>
      </c>
      <c r="LI24" s="24">
        <f t="shared" si="230"/>
        <v>13</v>
      </c>
      <c r="LJ24" s="26">
        <f>IF('Q4'!G24="","",SUM((AVERAGE('Q3'!G24,'Q4'!G24)*0.5))+(HM24*0.5))</f>
        <v>57.683333333333337</v>
      </c>
      <c r="LK24" s="26">
        <f>IF('Q4'!H24="","",SUM((AVERAGE('Q3'!H24,'Q4'!H24)*1)))</f>
        <v>73.75333333333333</v>
      </c>
      <c r="LL24" s="26">
        <f>IF('Q4'!I24="","",SUM((AVERAGE('Q3'!I24,'Q4'!I24)*0.5))+(HO24*0.5))</f>
        <v>73.726666666666674</v>
      </c>
      <c r="LM24" s="26">
        <f>IF('Q4'!J24="","",SUM((AVERAGE('Q3'!J24,'Q4'!J24)*0.5))+(HP24*0.5))</f>
        <v>68.75</v>
      </c>
      <c r="LN24" s="26">
        <f>IF('Q4'!K24="","",SUM((AVERAGE('Q3'!K24,'Q4'!K24)*0.5))+(HQ24*0.5))</f>
        <v>75.713333333333338</v>
      </c>
      <c r="LO24" s="26">
        <f>IF('Q4'!L24="","",SUM((AVERAGE('Q3'!L24,'Q4'!L24)*0.5))+(HR24*0.5))</f>
        <v>63.12166666666667</v>
      </c>
      <c r="LP24" s="26">
        <f>IF('Q4'!M24="","",SUM((AVERAGE('Q3'!M24,'Q4'!M24)*0.5))+(HS24*0.5))</f>
        <v>70.055000000000007</v>
      </c>
      <c r="LQ24" s="26">
        <f>IF('Q4'!N24="","",SUM((AVERAGE('Q3'!N24,'Q4'!N24)*1)))</f>
        <v>95.5</v>
      </c>
      <c r="LR24" s="26">
        <f>IF('Q4'!O24="","",SUM((AVERAGE('Q3'!O24,'Q4'!O24)*1)))</f>
        <v>95.5</v>
      </c>
      <c r="LS24" s="26">
        <f>IF('Q4'!P24="","",SUM((AVERAGE('Q3'!P24,'Q4'!P24)*0.5))+(HV24*0.5))</f>
        <v>75.78</v>
      </c>
      <c r="LT24" s="26">
        <f>IF('Q4'!Q24="","",SUM((AVERAGE('Q3'!Q24,'Q4'!Q24)*1)))</f>
        <v>77.56</v>
      </c>
      <c r="LU24" s="26">
        <f>IF('Q4'!R24="","",SUM((AVERAGE('Q3'!R24,'Q4'!R24)*0.5))+(HX24*0.5))</f>
        <v>64.994166666666644</v>
      </c>
      <c r="LV24" s="26">
        <f>IF('Q4'!S24="","",SUM((AVERAGE('Q3'!S24,'Q4'!S24)*0.5))+(HY24*0.5))</f>
        <v>58.787500000000001</v>
      </c>
      <c r="LW24" s="26">
        <f>IF('Q4'!T24="","",SUM((AVERAGE('Q3'!T24,'Q4'!T24)*0.5))+(HZ24*0.5))</f>
        <v>65.375</v>
      </c>
      <c r="LX24" s="26">
        <f>IF('Q4'!U24="","",SUM((AVERAGE('Q3'!U24,'Q4'!U24)*0.5))+(IA24*0.5))</f>
        <v>82.25</v>
      </c>
      <c r="LY24" s="26">
        <f>IF('Q4'!V24="","",SUM((AVERAGE('Q3'!V24,'Q4'!V24)*0.5))+(IB24*0.5))</f>
        <v>67.75</v>
      </c>
      <c r="LZ24" s="26" t="str">
        <f t="shared" si="231"/>
        <v>E</v>
      </c>
      <c r="MA24" s="26" t="str">
        <f t="shared" si="232"/>
        <v>C</v>
      </c>
      <c r="MB24" s="26" t="str">
        <f t="shared" si="233"/>
        <v>C</v>
      </c>
      <c r="MC24" s="26" t="str">
        <f t="shared" si="234"/>
        <v>D</v>
      </c>
      <c r="MD24" s="26" t="str">
        <f t="shared" si="235"/>
        <v>C</v>
      </c>
      <c r="ME24" s="26" t="str">
        <f t="shared" si="236"/>
        <v>D</v>
      </c>
      <c r="MF24" s="26" t="str">
        <f t="shared" si="237"/>
        <v>C</v>
      </c>
      <c r="MG24" s="26" t="str">
        <f t="shared" si="238"/>
        <v>A</v>
      </c>
      <c r="MH24" s="26" t="str">
        <f t="shared" si="239"/>
        <v>A</v>
      </c>
      <c r="MI24" s="24" t="str">
        <f t="shared" si="240"/>
        <v>C</v>
      </c>
      <c r="MJ24" s="24" t="str">
        <f t="shared" si="241"/>
        <v>C</v>
      </c>
      <c r="MK24" s="24" t="str">
        <f t="shared" si="242"/>
        <v>D</v>
      </c>
      <c r="ML24" s="24" t="str">
        <f t="shared" si="243"/>
        <v>E</v>
      </c>
      <c r="MM24" s="24" t="str">
        <f t="shared" si="244"/>
        <v>D</v>
      </c>
      <c r="MN24" s="24" t="str">
        <f t="shared" si="245"/>
        <v>B</v>
      </c>
      <c r="MO24" s="24" t="str">
        <f t="shared" si="246"/>
        <v>D</v>
      </c>
      <c r="MP24" s="24">
        <f t="shared" si="247"/>
        <v>2</v>
      </c>
      <c r="MQ24" s="24">
        <f t="shared" si="248"/>
        <v>2</v>
      </c>
      <c r="MR24" s="24">
        <f t="shared" si="249"/>
        <v>3</v>
      </c>
      <c r="MS24" s="24">
        <f t="shared" si="250"/>
        <v>1</v>
      </c>
      <c r="MT24" s="24">
        <f t="shared" si="251"/>
        <v>5</v>
      </c>
      <c r="MU24" s="24">
        <f t="shared" si="252"/>
        <v>3</v>
      </c>
      <c r="MV24" s="24">
        <f t="shared" si="253"/>
        <v>2</v>
      </c>
      <c r="MW24" s="24">
        <f t="shared" si="254"/>
        <v>1</v>
      </c>
      <c r="MX24" s="24">
        <f t="shared" si="255"/>
        <v>1</v>
      </c>
      <c r="MY24" s="24">
        <f t="shared" si="256"/>
        <v>5</v>
      </c>
      <c r="MZ24" s="24">
        <f t="shared" si="257"/>
        <v>1</v>
      </c>
      <c r="NA24" s="24">
        <f t="shared" si="258"/>
        <v>5</v>
      </c>
      <c r="NB24" s="24">
        <f t="shared" si="259"/>
        <v>3</v>
      </c>
      <c r="NC24" s="24">
        <f t="shared" si="260"/>
        <v>2</v>
      </c>
      <c r="ND24" s="24">
        <f t="shared" si="261"/>
        <v>2</v>
      </c>
      <c r="NE24" s="24">
        <f t="shared" si="262"/>
        <v>2</v>
      </c>
      <c r="NF24" s="26">
        <f t="shared" si="263"/>
        <v>115.36666666666667</v>
      </c>
      <c r="NG24" s="26">
        <f t="shared" si="264"/>
        <v>147.50666666666666</v>
      </c>
      <c r="NH24" s="26">
        <f t="shared" si="265"/>
        <v>221.18</v>
      </c>
      <c r="NI24" s="26">
        <f t="shared" si="266"/>
        <v>68.75</v>
      </c>
      <c r="NJ24" s="26">
        <f t="shared" si="267"/>
        <v>378.56666666666672</v>
      </c>
      <c r="NK24" s="26">
        <f t="shared" si="268"/>
        <v>189.36500000000001</v>
      </c>
      <c r="NL24" s="26">
        <f t="shared" si="269"/>
        <v>140.11000000000001</v>
      </c>
      <c r="NM24" s="26">
        <f t="shared" si="270"/>
        <v>95.5</v>
      </c>
      <c r="NN24" s="26">
        <f t="shared" si="271"/>
        <v>95.5</v>
      </c>
      <c r="NO24" s="26">
        <f t="shared" si="272"/>
        <v>378.9</v>
      </c>
      <c r="NP24" s="26">
        <f t="shared" si="273"/>
        <v>77.56</v>
      </c>
      <c r="NQ24" s="26">
        <f t="shared" si="274"/>
        <v>324.97083333333319</v>
      </c>
      <c r="NR24" s="26">
        <f t="shared" si="275"/>
        <v>176.36250000000001</v>
      </c>
      <c r="NS24" s="26">
        <f t="shared" si="276"/>
        <v>130.75</v>
      </c>
      <c r="NT24" s="26">
        <f t="shared" si="277"/>
        <v>164.5</v>
      </c>
      <c r="NU24" s="26">
        <f t="shared" si="278"/>
        <v>135.5</v>
      </c>
      <c r="NV24" s="24">
        <f t="shared" si="279"/>
        <v>2</v>
      </c>
      <c r="NW24" s="24">
        <f t="shared" si="280"/>
        <v>4</v>
      </c>
      <c r="NX24" s="24">
        <f t="shared" si="281"/>
        <v>6</v>
      </c>
      <c r="NY24" s="24">
        <f t="shared" si="282"/>
        <v>1.5</v>
      </c>
      <c r="NZ24" s="24">
        <f t="shared" si="283"/>
        <v>10</v>
      </c>
      <c r="OA24" s="24">
        <f t="shared" si="284"/>
        <v>4.5</v>
      </c>
      <c r="OB24" s="24">
        <f t="shared" si="285"/>
        <v>4</v>
      </c>
      <c r="OC24" s="24">
        <f t="shared" si="286"/>
        <v>4</v>
      </c>
      <c r="OD24" s="24">
        <f t="shared" si="287"/>
        <v>4</v>
      </c>
      <c r="OE24" s="24">
        <f t="shared" si="288"/>
        <v>10</v>
      </c>
      <c r="OF24" s="24">
        <f t="shared" si="289"/>
        <v>2</v>
      </c>
      <c r="OG24" s="24">
        <f t="shared" si="290"/>
        <v>7.5</v>
      </c>
      <c r="OH24" s="24">
        <f t="shared" si="291"/>
        <v>3</v>
      </c>
      <c r="OI24" s="24">
        <f t="shared" si="292"/>
        <v>3</v>
      </c>
      <c r="OJ24" s="24">
        <f t="shared" si="293"/>
        <v>6</v>
      </c>
      <c r="OK24" s="24">
        <f t="shared" si="294"/>
        <v>3</v>
      </c>
      <c r="OL24" s="24">
        <f t="shared" si="295"/>
        <v>20</v>
      </c>
      <c r="OM24" s="26">
        <f t="shared" si="296"/>
        <v>1451.8450000000003</v>
      </c>
      <c r="ON24" s="26">
        <f t="shared" si="297"/>
        <v>40</v>
      </c>
      <c r="OO24" s="26">
        <f t="shared" si="343"/>
        <v>72.592250000000007</v>
      </c>
      <c r="OP24" s="24" t="str">
        <f t="shared" si="344"/>
        <v>C</v>
      </c>
      <c r="OQ24" s="26">
        <f t="shared" si="298"/>
        <v>2</v>
      </c>
      <c r="OR24" s="24">
        <f t="shared" si="299"/>
        <v>20</v>
      </c>
      <c r="OS24" s="26">
        <f t="shared" si="300"/>
        <v>1388.5433333333331</v>
      </c>
      <c r="OT24" s="26">
        <f t="shared" si="301"/>
        <v>34.5</v>
      </c>
      <c r="OU24" s="26">
        <f t="shared" si="345"/>
        <v>69.42716666666665</v>
      </c>
      <c r="OV24" s="24" t="str">
        <f t="shared" si="346"/>
        <v>D</v>
      </c>
      <c r="OW24" s="27">
        <f t="shared" si="302"/>
        <v>1.7250000000000001</v>
      </c>
      <c r="OX24" s="24">
        <f t="shared" si="303"/>
        <v>40</v>
      </c>
      <c r="OY24" s="26">
        <f t="shared" si="304"/>
        <v>2840.3883333333338</v>
      </c>
      <c r="OZ24" s="26">
        <f t="shared" si="305"/>
        <v>74.5</v>
      </c>
      <c r="PA24" s="26">
        <f t="shared" si="347"/>
        <v>71.00970833333335</v>
      </c>
      <c r="PB24" s="27" t="str">
        <f t="shared" si="348"/>
        <v>C</v>
      </c>
      <c r="PC24" s="26">
        <f t="shared" si="306"/>
        <v>1.8625</v>
      </c>
      <c r="PD24" s="24">
        <f t="shared" si="307"/>
        <v>10</v>
      </c>
      <c r="PE24" s="24" t="str">
        <f t="shared" si="308"/>
        <v>6A</v>
      </c>
      <c r="PF24" s="24">
        <f t="shared" si="309"/>
        <v>13</v>
      </c>
      <c r="PG24" s="24">
        <f t="shared" si="310"/>
        <v>104</v>
      </c>
      <c r="PH24" s="24">
        <f t="shared" si="311"/>
        <v>0</v>
      </c>
      <c r="PI24" s="24">
        <f t="shared" si="312"/>
        <v>0</v>
      </c>
      <c r="PJ24" s="24">
        <f t="shared" si="313"/>
        <v>1</v>
      </c>
      <c r="PK24" s="24">
        <f t="shared" si="314"/>
        <v>1</v>
      </c>
      <c r="PL24" s="25">
        <f t="shared" si="315"/>
        <v>0.99038461538461542</v>
      </c>
    </row>
    <row r="25" spans="1:428" ht="27" customHeight="1" x14ac:dyDescent="0.35">
      <c r="A25" s="24">
        <f t="shared" si="349"/>
        <v>11</v>
      </c>
      <c r="B25" s="28" t="str">
        <f>IF('Q1'!B25="","",'Q1'!B25)</f>
        <v>Reaksmey Vorakbot</v>
      </c>
      <c r="C25" s="30" t="str">
        <f>IF('Q1'!C25="","",'Q1'!C25)</f>
        <v>រស្មី វរបុត្រ</v>
      </c>
      <c r="D25" s="28" t="str">
        <f>IF('Q1'!D25="","",'Q1'!D25)</f>
        <v>M</v>
      </c>
      <c r="E25" s="24">
        <f>IF('Q1'!E25="","",'Q1'!E25)</f>
        <v>789</v>
      </c>
      <c r="F25" s="24" t="str">
        <f>IF('Q1'!F25="","",'Q1'!F25)</f>
        <v>I</v>
      </c>
      <c r="G25" s="26">
        <f>IF('Q3'!G25="","",'Q3'!G25)</f>
        <v>61</v>
      </c>
      <c r="H25" s="26">
        <f>IF('Q3'!H25="","",'Q3'!H25)</f>
        <v>69.2</v>
      </c>
      <c r="I25" s="26">
        <f>IF('Q3'!I25="","",'Q3'!I25)</f>
        <v>64</v>
      </c>
      <c r="J25" s="26">
        <f>IF('Q3'!J25="","",'Q3'!J25)</f>
        <v>63.666666666666671</v>
      </c>
      <c r="K25" s="26">
        <f>IF('Q3'!K25="","",'Q3'!K25)</f>
        <v>68.599999999999994</v>
      </c>
      <c r="L25" s="26">
        <f>IF('Q3'!L25="","",'Q3'!L25)</f>
        <v>70.333333333333329</v>
      </c>
      <c r="M25" s="26">
        <f>IF('Q3'!M25="","",'Q3'!M25)</f>
        <v>69.76666666666668</v>
      </c>
      <c r="N25" s="26">
        <f>IF('Q3'!N25="","",'Q3'!N25)</f>
        <v>93</v>
      </c>
      <c r="O25" s="26">
        <f>IF('Q3'!O25="","",'Q3'!O25)</f>
        <v>93</v>
      </c>
      <c r="P25" s="26">
        <f>IF('Q3'!P25="","",'Q3'!P25)</f>
        <v>81.446666666666673</v>
      </c>
      <c r="Q25" s="26">
        <f>IF('Q3'!Q25="","",'Q3'!Q25)</f>
        <v>81.446666666666673</v>
      </c>
      <c r="R25" s="26">
        <f>IF('Q3'!R25="","",'Q3'!R25)</f>
        <v>52.5</v>
      </c>
      <c r="S25" s="26">
        <f>IF('Q3'!S25="","",'Q3'!S25)</f>
        <v>47.09</v>
      </c>
      <c r="T25" s="26">
        <f>IF('Q3'!T25="","",'Q3'!T25)</f>
        <v>79</v>
      </c>
      <c r="U25" s="26">
        <f>IF('Q3'!U25="","",'Q3'!U25)</f>
        <v>75</v>
      </c>
      <c r="V25" s="26">
        <f>IF('Q3'!V25="","",'Q3'!V25)</f>
        <v>75</v>
      </c>
      <c r="W25" s="26" t="str">
        <f t="shared" si="0"/>
        <v>D</v>
      </c>
      <c r="X25" s="26" t="str">
        <f t="shared" si="1"/>
        <v>D</v>
      </c>
      <c r="Y25" s="26" t="str">
        <f t="shared" si="2"/>
        <v>D</v>
      </c>
      <c r="Z25" s="26" t="str">
        <f t="shared" si="3"/>
        <v>D</v>
      </c>
      <c r="AA25" s="26" t="str">
        <f t="shared" si="4"/>
        <v>D</v>
      </c>
      <c r="AB25" s="26" t="str">
        <f t="shared" si="5"/>
        <v>C</v>
      </c>
      <c r="AC25" s="26" t="str">
        <f t="shared" si="6"/>
        <v>D</v>
      </c>
      <c r="AD25" s="26" t="str">
        <f t="shared" si="7"/>
        <v>A</v>
      </c>
      <c r="AE25" s="26" t="str">
        <f t="shared" si="8"/>
        <v>A</v>
      </c>
      <c r="AF25" s="24" t="str">
        <f t="shared" si="9"/>
        <v>B</v>
      </c>
      <c r="AG25" s="24" t="str">
        <f t="shared" si="10"/>
        <v>B</v>
      </c>
      <c r="AH25" s="24" t="str">
        <f t="shared" si="11"/>
        <v>E</v>
      </c>
      <c r="AI25" s="24" t="str">
        <f t="shared" si="12"/>
        <v>F</v>
      </c>
      <c r="AJ25" s="24" t="str">
        <f t="shared" si="13"/>
        <v>C</v>
      </c>
      <c r="AK25" s="24" t="str">
        <f t="shared" si="14"/>
        <v>C</v>
      </c>
      <c r="AL25" s="24" t="str">
        <f t="shared" si="15"/>
        <v>C</v>
      </c>
      <c r="AM25" s="24">
        <f t="shared" si="16"/>
        <v>2</v>
      </c>
      <c r="AN25" s="24">
        <f t="shared" si="17"/>
        <v>2</v>
      </c>
      <c r="AO25" s="24">
        <f t="shared" si="18"/>
        <v>3</v>
      </c>
      <c r="AP25" s="24">
        <f t="shared" si="19"/>
        <v>1</v>
      </c>
      <c r="AQ25" s="24">
        <f t="shared" si="20"/>
        <v>5</v>
      </c>
      <c r="AR25" s="24">
        <f t="shared" si="21"/>
        <v>3</v>
      </c>
      <c r="AS25" s="24">
        <f t="shared" si="22"/>
        <v>2</v>
      </c>
      <c r="AT25" s="24">
        <f t="shared" si="23"/>
        <v>1</v>
      </c>
      <c r="AU25" s="24">
        <f t="shared" si="24"/>
        <v>1</v>
      </c>
      <c r="AV25" s="24">
        <f t="shared" si="25"/>
        <v>5</v>
      </c>
      <c r="AW25" s="24">
        <f t="shared" si="26"/>
        <v>1</v>
      </c>
      <c r="AX25" s="24">
        <f t="shared" si="27"/>
        <v>5</v>
      </c>
      <c r="AY25" s="24">
        <f t="shared" si="28"/>
        <v>3</v>
      </c>
      <c r="AZ25" s="24">
        <f t="shared" si="29"/>
        <v>2</v>
      </c>
      <c r="BA25" s="24">
        <f t="shared" si="30"/>
        <v>2</v>
      </c>
      <c r="BB25" s="24">
        <f t="shared" si="31"/>
        <v>2</v>
      </c>
      <c r="BC25" s="26">
        <f t="shared" si="32"/>
        <v>122</v>
      </c>
      <c r="BD25" s="26">
        <f t="shared" si="33"/>
        <v>138.4</v>
      </c>
      <c r="BE25" s="26">
        <f t="shared" si="34"/>
        <v>192</v>
      </c>
      <c r="BF25" s="26">
        <f t="shared" si="35"/>
        <v>63.666666666666671</v>
      </c>
      <c r="BG25" s="26">
        <f t="shared" si="36"/>
        <v>343</v>
      </c>
      <c r="BH25" s="26">
        <f t="shared" si="37"/>
        <v>211</v>
      </c>
      <c r="BI25" s="26">
        <f t="shared" si="38"/>
        <v>139.53333333333336</v>
      </c>
      <c r="BJ25" s="26">
        <f t="shared" si="39"/>
        <v>93</v>
      </c>
      <c r="BK25" s="26">
        <f t="shared" si="40"/>
        <v>93</v>
      </c>
      <c r="BL25" s="26">
        <f t="shared" si="41"/>
        <v>407.23333333333335</v>
      </c>
      <c r="BM25" s="26">
        <f t="shared" si="42"/>
        <v>81.446666666666673</v>
      </c>
      <c r="BN25" s="26">
        <f t="shared" si="43"/>
        <v>262.5</v>
      </c>
      <c r="BO25" s="26">
        <f t="shared" si="44"/>
        <v>141.27000000000001</v>
      </c>
      <c r="BP25" s="26">
        <f t="shared" si="45"/>
        <v>158</v>
      </c>
      <c r="BQ25" s="26">
        <f t="shared" si="46"/>
        <v>150</v>
      </c>
      <c r="BR25" s="26">
        <f t="shared" si="47"/>
        <v>150</v>
      </c>
      <c r="BS25" s="24">
        <f t="shared" si="48"/>
        <v>3</v>
      </c>
      <c r="BT25" s="24">
        <f t="shared" si="49"/>
        <v>3</v>
      </c>
      <c r="BU25" s="24">
        <f t="shared" si="50"/>
        <v>4.5</v>
      </c>
      <c r="BV25" s="24">
        <f t="shared" si="51"/>
        <v>1.5</v>
      </c>
      <c r="BW25" s="24">
        <f t="shared" si="52"/>
        <v>7.5</v>
      </c>
      <c r="BX25" s="24">
        <f t="shared" si="53"/>
        <v>6</v>
      </c>
      <c r="BY25" s="24">
        <f t="shared" si="54"/>
        <v>3</v>
      </c>
      <c r="BZ25" s="24">
        <f t="shared" si="55"/>
        <v>4</v>
      </c>
      <c r="CA25" s="24">
        <f t="shared" si="56"/>
        <v>4</v>
      </c>
      <c r="CB25" s="24">
        <f t="shared" si="57"/>
        <v>15</v>
      </c>
      <c r="CC25" s="24">
        <f t="shared" si="58"/>
        <v>3</v>
      </c>
      <c r="CD25" s="24">
        <f t="shared" si="59"/>
        <v>5</v>
      </c>
      <c r="CE25" s="24">
        <f t="shared" si="60"/>
        <v>0</v>
      </c>
      <c r="CF25" s="24">
        <f t="shared" si="61"/>
        <v>4</v>
      </c>
      <c r="CG25" s="24">
        <f t="shared" si="62"/>
        <v>4</v>
      </c>
      <c r="CH25" s="24">
        <f t="shared" si="63"/>
        <v>4</v>
      </c>
      <c r="CI25" s="24">
        <f t="shared" si="64"/>
        <v>20</v>
      </c>
      <c r="CJ25" s="26">
        <f t="shared" si="65"/>
        <v>1395.6</v>
      </c>
      <c r="CK25" s="26">
        <f t="shared" si="66"/>
        <v>48.5</v>
      </c>
      <c r="CL25" s="26">
        <f t="shared" si="316"/>
        <v>69.78</v>
      </c>
      <c r="CM25" s="24" t="str">
        <f t="shared" si="317"/>
        <v>D</v>
      </c>
      <c r="CN25" s="26">
        <f t="shared" si="67"/>
        <v>2.4249999999999998</v>
      </c>
      <c r="CO25" s="24">
        <f t="shared" si="68"/>
        <v>20</v>
      </c>
      <c r="CP25" s="26">
        <f t="shared" si="69"/>
        <v>1350.45</v>
      </c>
      <c r="CQ25" s="26">
        <f t="shared" si="70"/>
        <v>35</v>
      </c>
      <c r="CR25" s="26">
        <f t="shared" si="318"/>
        <v>67.522500000000008</v>
      </c>
      <c r="CS25" s="24" t="str">
        <f t="shared" si="319"/>
        <v>D</v>
      </c>
      <c r="CT25" s="27">
        <f t="shared" si="71"/>
        <v>1.75</v>
      </c>
      <c r="CU25" s="24">
        <f t="shared" si="72"/>
        <v>40</v>
      </c>
      <c r="CV25" s="26">
        <f t="shared" si="73"/>
        <v>2746.0499999999997</v>
      </c>
      <c r="CW25" s="27">
        <f t="shared" si="74"/>
        <v>2627.05</v>
      </c>
      <c r="CX25" s="26">
        <f t="shared" si="320"/>
        <v>68.65124999999999</v>
      </c>
      <c r="CY25" s="27" t="str">
        <f t="shared" si="321"/>
        <v>D</v>
      </c>
      <c r="CZ25" s="26">
        <f t="shared" si="75"/>
        <v>65.67625000000001</v>
      </c>
      <c r="DA25" s="24">
        <f t="shared" si="76"/>
        <v>12</v>
      </c>
      <c r="DB25" s="24" t="str">
        <f t="shared" si="77"/>
        <v>6A</v>
      </c>
      <c r="DC25" s="24">
        <f t="shared" si="78"/>
        <v>13</v>
      </c>
      <c r="DD25" s="24">
        <f>IF(B25="","",'Q3'!$C$8)</f>
        <v>50</v>
      </c>
      <c r="DE25" s="24">
        <f>IF(B25="","",'Q3'!DE25)</f>
        <v>0</v>
      </c>
      <c r="DF25" s="24">
        <f>IF(C25="","",'Q3'!DF25)</f>
        <v>0</v>
      </c>
      <c r="DG25" s="24">
        <f>IF(D25="","",'Q3'!DG25)</f>
        <v>1</v>
      </c>
      <c r="DH25" s="24">
        <f>IF(E25="","",'Q3'!DH25)</f>
        <v>1</v>
      </c>
      <c r="DI25" s="25">
        <f t="shared" si="79"/>
        <v>0.98</v>
      </c>
      <c r="DJ25" s="26">
        <f>IF('Q4'!G25="","",'Q4'!G25)</f>
        <v>72.666666666666657</v>
      </c>
      <c r="DK25" s="26">
        <f>IF('Q4'!H25="","",'Q4'!H25)</f>
        <v>73.433333333333337</v>
      </c>
      <c r="DL25" s="26">
        <f>IF('Q4'!I25="","",'Q4'!I25)</f>
        <v>72.946666666666673</v>
      </c>
      <c r="DM25" s="26">
        <f>IF('Q4'!J25="","",'Q4'!J25)</f>
        <v>64.666666666666671</v>
      </c>
      <c r="DN25" s="26">
        <f>IF('Q4'!K25="","",'Q4'!K25)</f>
        <v>73.400000000000006</v>
      </c>
      <c r="DO25" s="26">
        <f>IF('Q4'!L25="","",'Q4'!L25)</f>
        <v>71.066666666666677</v>
      </c>
      <c r="DP25" s="26">
        <f>IF('Q4'!M25="","",'Q4'!M25)</f>
        <v>71.566666666666677</v>
      </c>
      <c r="DQ25" s="26">
        <f>IF('Q4'!N25="","",'Q4'!N25)</f>
        <v>94</v>
      </c>
      <c r="DR25" s="26">
        <f>IF('Q4'!O25="","",'Q4'!O25)</f>
        <v>94</v>
      </c>
      <c r="DS25" s="26">
        <f>IF('Q4'!P25="","",'Q4'!P25)</f>
        <v>53.786666666666669</v>
      </c>
      <c r="DT25" s="26">
        <f>IF('Q4'!Q25="","",'Q4'!Q25)</f>
        <v>53.786666666666669</v>
      </c>
      <c r="DU25" s="26">
        <f>IF('Q4'!R25="","",'Q4'!R25)</f>
        <v>46.6</v>
      </c>
      <c r="DV25" s="26">
        <f>IF('Q4'!S25="","",'Q4'!S25)</f>
        <v>48.55</v>
      </c>
      <c r="DW25" s="26">
        <f>IF('Q4'!T25="","",'Q4'!T25)</f>
        <v>71</v>
      </c>
      <c r="DX25" s="26">
        <f>IF('Q4'!U25="","",'Q4'!U25)</f>
        <v>76.166666666666657</v>
      </c>
      <c r="DY25" s="26">
        <f>IF('Q4'!V25="","",'Q4'!V25)</f>
        <v>72</v>
      </c>
      <c r="DZ25" s="26" t="str">
        <f t="shared" si="80"/>
        <v>C</v>
      </c>
      <c r="EA25" s="26" t="str">
        <f t="shared" si="81"/>
        <v>C</v>
      </c>
      <c r="EB25" s="26" t="str">
        <f t="shared" si="82"/>
        <v>C</v>
      </c>
      <c r="EC25" s="26" t="str">
        <f t="shared" si="83"/>
        <v>D</v>
      </c>
      <c r="ED25" s="26" t="str">
        <f t="shared" si="84"/>
        <v>C</v>
      </c>
      <c r="EE25" s="26" t="str">
        <f t="shared" si="85"/>
        <v>C</v>
      </c>
      <c r="EF25" s="26" t="str">
        <f t="shared" si="86"/>
        <v>C</v>
      </c>
      <c r="EG25" s="26" t="str">
        <f t="shared" si="87"/>
        <v>A</v>
      </c>
      <c r="EH25" s="26" t="str">
        <f t="shared" si="88"/>
        <v>A</v>
      </c>
      <c r="EI25" s="24" t="str">
        <f t="shared" si="89"/>
        <v>E</v>
      </c>
      <c r="EJ25" s="24" t="str">
        <f t="shared" si="90"/>
        <v>E</v>
      </c>
      <c r="EK25" s="24" t="str">
        <f t="shared" si="91"/>
        <v>F</v>
      </c>
      <c r="EL25" s="24" t="str">
        <f t="shared" si="92"/>
        <v>F</v>
      </c>
      <c r="EM25" s="24" t="str">
        <f t="shared" si="93"/>
        <v>C</v>
      </c>
      <c r="EN25" s="24" t="str">
        <f t="shared" si="94"/>
        <v>C</v>
      </c>
      <c r="EO25" s="24" t="str">
        <f t="shared" si="95"/>
        <v>C</v>
      </c>
      <c r="EP25" s="24">
        <f t="shared" si="96"/>
        <v>2</v>
      </c>
      <c r="EQ25" s="24">
        <f t="shared" si="97"/>
        <v>2</v>
      </c>
      <c r="ER25" s="24">
        <f t="shared" si="98"/>
        <v>3</v>
      </c>
      <c r="ES25" s="24">
        <f t="shared" si="99"/>
        <v>1</v>
      </c>
      <c r="ET25" s="24">
        <f t="shared" si="100"/>
        <v>5</v>
      </c>
      <c r="EU25" s="24">
        <f t="shared" si="101"/>
        <v>3</v>
      </c>
      <c r="EV25" s="24">
        <f t="shared" si="102"/>
        <v>2</v>
      </c>
      <c r="EW25" s="24">
        <f t="shared" si="322"/>
        <v>1</v>
      </c>
      <c r="EX25" s="24">
        <f t="shared" si="103"/>
        <v>1</v>
      </c>
      <c r="EY25" s="24">
        <f t="shared" si="104"/>
        <v>5</v>
      </c>
      <c r="EZ25" s="24">
        <f t="shared" si="105"/>
        <v>1</v>
      </c>
      <c r="FA25" s="24">
        <f t="shared" si="106"/>
        <v>5</v>
      </c>
      <c r="FB25" s="24">
        <f t="shared" si="107"/>
        <v>3</v>
      </c>
      <c r="FC25" s="24">
        <f t="shared" si="108"/>
        <v>2</v>
      </c>
      <c r="FD25" s="24">
        <f t="shared" si="109"/>
        <v>2</v>
      </c>
      <c r="FE25" s="24">
        <f t="shared" si="110"/>
        <v>2</v>
      </c>
      <c r="FF25" s="26">
        <f t="shared" si="111"/>
        <v>145.33333333333331</v>
      </c>
      <c r="FG25" s="26">
        <f t="shared" si="112"/>
        <v>146.86666666666667</v>
      </c>
      <c r="FH25" s="26">
        <f t="shared" si="113"/>
        <v>218.84000000000003</v>
      </c>
      <c r="FI25" s="26">
        <f t="shared" si="114"/>
        <v>64.666666666666671</v>
      </c>
      <c r="FJ25" s="26">
        <f t="shared" si="115"/>
        <v>367</v>
      </c>
      <c r="FK25" s="26">
        <f t="shared" si="116"/>
        <v>213.20000000000005</v>
      </c>
      <c r="FL25" s="26">
        <f t="shared" si="117"/>
        <v>143.13333333333335</v>
      </c>
      <c r="FM25" s="26">
        <f t="shared" si="118"/>
        <v>94</v>
      </c>
      <c r="FN25" s="26"/>
      <c r="FO25" s="26">
        <f t="shared" si="119"/>
        <v>268.93333333333334</v>
      </c>
      <c r="FP25" s="26">
        <f t="shared" si="120"/>
        <v>53.786666666666669</v>
      </c>
      <c r="FQ25" s="26">
        <f t="shared" si="121"/>
        <v>233</v>
      </c>
      <c r="FR25" s="26">
        <f t="shared" si="122"/>
        <v>145.64999999999998</v>
      </c>
      <c r="FS25" s="26">
        <f t="shared" si="123"/>
        <v>142</v>
      </c>
      <c r="FT25" s="26">
        <f t="shared" si="124"/>
        <v>152.33333333333331</v>
      </c>
      <c r="FU25" s="26">
        <f t="shared" si="125"/>
        <v>144</v>
      </c>
      <c r="FV25" s="24">
        <f t="shared" si="126"/>
        <v>4</v>
      </c>
      <c r="FW25" s="24">
        <f t="shared" si="127"/>
        <v>4</v>
      </c>
      <c r="FX25" s="24">
        <f t="shared" si="128"/>
        <v>6</v>
      </c>
      <c r="FY25" s="24">
        <f t="shared" si="129"/>
        <v>1.5</v>
      </c>
      <c r="FZ25" s="24">
        <f t="shared" si="130"/>
        <v>10</v>
      </c>
      <c r="GA25" s="24">
        <f t="shared" si="131"/>
        <v>6</v>
      </c>
      <c r="GB25" s="24">
        <f t="shared" si="132"/>
        <v>4</v>
      </c>
      <c r="GC25" s="24">
        <f t="shared" si="133"/>
        <v>4</v>
      </c>
      <c r="GD25" s="24">
        <f t="shared" si="323"/>
        <v>4</v>
      </c>
      <c r="GE25" s="24">
        <f t="shared" si="324"/>
        <v>1</v>
      </c>
      <c r="GF25" s="24">
        <f t="shared" si="325"/>
        <v>5</v>
      </c>
      <c r="GG25" s="24">
        <f t="shared" si="326"/>
        <v>0</v>
      </c>
      <c r="GH25" s="24">
        <f t="shared" si="327"/>
        <v>0</v>
      </c>
      <c r="GI25" s="24">
        <f t="shared" si="328"/>
        <v>4</v>
      </c>
      <c r="GJ25" s="24">
        <f t="shared" si="329"/>
        <v>4</v>
      </c>
      <c r="GK25" s="24">
        <f t="shared" si="330"/>
        <v>4</v>
      </c>
      <c r="GL25" s="24">
        <f t="shared" si="135"/>
        <v>19</v>
      </c>
      <c r="GM25" s="26">
        <f t="shared" si="136"/>
        <v>1393.0400000000002</v>
      </c>
      <c r="GN25" s="26">
        <f t="shared" si="137"/>
        <v>41.5</v>
      </c>
      <c r="GO25" s="26">
        <f t="shared" si="331"/>
        <v>73.317894736842121</v>
      </c>
      <c r="GP25" s="24" t="str">
        <f t="shared" si="332"/>
        <v>C</v>
      </c>
      <c r="GQ25" s="26">
        <f t="shared" si="138"/>
        <v>2.1842105263157894</v>
      </c>
      <c r="GR25" s="24">
        <f t="shared" si="139"/>
        <v>20</v>
      </c>
      <c r="GS25" s="26">
        <f t="shared" si="140"/>
        <v>1139.7033333333334</v>
      </c>
      <c r="GT25" s="26">
        <f t="shared" si="141"/>
        <v>18</v>
      </c>
      <c r="GU25" s="26">
        <f t="shared" si="333"/>
        <v>56.985166666666672</v>
      </c>
      <c r="GV25" s="24" t="str">
        <f t="shared" si="334"/>
        <v>E</v>
      </c>
      <c r="GW25" s="27">
        <f t="shared" si="142"/>
        <v>0.9</v>
      </c>
      <c r="GX25" s="24">
        <f t="shared" si="143"/>
        <v>40</v>
      </c>
      <c r="GY25" s="26">
        <f t="shared" si="144"/>
        <v>2532.7433333333338</v>
      </c>
      <c r="GZ25" s="26">
        <f t="shared" si="145"/>
        <v>2391.4100000000003</v>
      </c>
      <c r="HA25" s="26">
        <f t="shared" si="335"/>
        <v>63.318583333333343</v>
      </c>
      <c r="HB25" s="27" t="str">
        <f t="shared" si="336"/>
        <v>D</v>
      </c>
      <c r="HC25" s="26">
        <f t="shared" si="146"/>
        <v>59.785250000000005</v>
      </c>
      <c r="HD25" s="24">
        <f t="shared" si="147"/>
        <v>13</v>
      </c>
      <c r="HE25" s="24" t="str">
        <f t="shared" si="148"/>
        <v>6A</v>
      </c>
      <c r="HF25" s="24">
        <f t="shared" si="149"/>
        <v>13</v>
      </c>
      <c r="HG25" s="24">
        <f>IF(B25="","",'Q4'!$C$8)</f>
        <v>50</v>
      </c>
      <c r="HH25" s="24">
        <f>IF(A25="","",'Q4'!DE25)</f>
        <v>0</v>
      </c>
      <c r="HI25" s="24">
        <f>IF(B25="","",'Q4'!DF25)</f>
        <v>0</v>
      </c>
      <c r="HJ25" s="24">
        <f>IF(B25="","",'Q4'!DG25)</f>
        <v>0</v>
      </c>
      <c r="HK25" s="24">
        <f t="shared" si="150"/>
        <v>0</v>
      </c>
      <c r="HL25" s="25">
        <f t="shared" si="151"/>
        <v>1</v>
      </c>
      <c r="HM25" s="7">
        <v>70</v>
      </c>
      <c r="HN25" s="7">
        <v>70</v>
      </c>
      <c r="HO25" s="7">
        <v>80</v>
      </c>
      <c r="HP25" s="7">
        <v>85</v>
      </c>
      <c r="HQ25" s="7">
        <v>50</v>
      </c>
      <c r="HR25" s="7">
        <v>60</v>
      </c>
      <c r="HS25" s="7">
        <v>60</v>
      </c>
      <c r="HT25" s="7"/>
      <c r="HU25" s="7"/>
      <c r="HV25" s="7">
        <v>60</v>
      </c>
      <c r="HW25" s="7"/>
      <c r="HX25" s="7">
        <v>43</v>
      </c>
      <c r="HY25" s="7">
        <v>45</v>
      </c>
      <c r="HZ25" s="7">
        <v>53</v>
      </c>
      <c r="IA25" s="7">
        <v>81</v>
      </c>
      <c r="IB25" s="7">
        <v>58</v>
      </c>
      <c r="IC25" s="24" t="str">
        <f t="shared" si="152"/>
        <v>C</v>
      </c>
      <c r="ID25" s="24" t="str">
        <f t="shared" si="153"/>
        <v>C</v>
      </c>
      <c r="IE25" s="24" t="str">
        <f t="shared" si="154"/>
        <v>B</v>
      </c>
      <c r="IF25" s="24" t="str">
        <f t="shared" si="155"/>
        <v>B</v>
      </c>
      <c r="IG25" s="24" t="str">
        <f t="shared" si="156"/>
        <v>E</v>
      </c>
      <c r="IH25" s="24" t="str">
        <f t="shared" si="157"/>
        <v>D</v>
      </c>
      <c r="II25" s="24" t="str">
        <f t="shared" si="158"/>
        <v>D</v>
      </c>
      <c r="IJ25" s="24" t="str">
        <f t="shared" si="159"/>
        <v/>
      </c>
      <c r="IK25" s="24" t="str">
        <f t="shared" si="160"/>
        <v/>
      </c>
      <c r="IL25" s="24" t="str">
        <f t="shared" si="161"/>
        <v>D</v>
      </c>
      <c r="IM25" s="24" t="str">
        <f t="shared" si="162"/>
        <v/>
      </c>
      <c r="IN25" s="24" t="str">
        <f t="shared" si="163"/>
        <v>F</v>
      </c>
      <c r="IO25" s="24" t="str">
        <f t="shared" si="164"/>
        <v>F</v>
      </c>
      <c r="IP25" s="24" t="str">
        <f t="shared" si="165"/>
        <v>E</v>
      </c>
      <c r="IQ25" s="24" t="str">
        <f t="shared" si="166"/>
        <v>B</v>
      </c>
      <c r="IR25" s="24" t="str">
        <f t="shared" si="167"/>
        <v>E</v>
      </c>
      <c r="IS25" s="24">
        <f t="shared" si="168"/>
        <v>2</v>
      </c>
      <c r="IT25" s="24">
        <f t="shared" si="169"/>
        <v>2</v>
      </c>
      <c r="IU25" s="24">
        <f t="shared" si="170"/>
        <v>3</v>
      </c>
      <c r="IV25" s="24">
        <f t="shared" si="171"/>
        <v>1</v>
      </c>
      <c r="IW25" s="24">
        <f t="shared" si="172"/>
        <v>5</v>
      </c>
      <c r="IX25" s="24">
        <f t="shared" si="173"/>
        <v>3</v>
      </c>
      <c r="IY25" s="24">
        <f t="shared" si="174"/>
        <v>2</v>
      </c>
      <c r="IZ25" s="24" t="str">
        <f t="shared" si="175"/>
        <v/>
      </c>
      <c r="JA25" s="24" t="str">
        <f t="shared" si="176"/>
        <v/>
      </c>
      <c r="JB25" s="24">
        <f t="shared" si="177"/>
        <v>5</v>
      </c>
      <c r="JC25" s="24" t="str">
        <f t="shared" si="178"/>
        <v/>
      </c>
      <c r="JD25" s="24">
        <f t="shared" si="179"/>
        <v>5</v>
      </c>
      <c r="JE25" s="24">
        <f t="shared" si="180"/>
        <v>3</v>
      </c>
      <c r="JF25" s="24">
        <f t="shared" si="181"/>
        <v>2</v>
      </c>
      <c r="JG25" s="24">
        <f t="shared" si="182"/>
        <v>2</v>
      </c>
      <c r="JH25" s="24">
        <f t="shared" si="183"/>
        <v>2</v>
      </c>
      <c r="JI25" s="26">
        <f t="shared" si="184"/>
        <v>140</v>
      </c>
      <c r="JJ25" s="26">
        <f t="shared" si="185"/>
        <v>140</v>
      </c>
      <c r="JK25" s="26">
        <f t="shared" si="186"/>
        <v>240</v>
      </c>
      <c r="JL25" s="26">
        <f t="shared" si="187"/>
        <v>85</v>
      </c>
      <c r="JM25" s="26">
        <f t="shared" si="188"/>
        <v>250</v>
      </c>
      <c r="JN25" s="26">
        <f t="shared" si="189"/>
        <v>180</v>
      </c>
      <c r="JO25" s="26">
        <f t="shared" si="190"/>
        <v>120</v>
      </c>
      <c r="JP25" s="26" t="str">
        <f t="shared" si="191"/>
        <v/>
      </c>
      <c r="JQ25" s="26" t="str">
        <f t="shared" si="192"/>
        <v/>
      </c>
      <c r="JR25" s="26">
        <f t="shared" si="193"/>
        <v>300</v>
      </c>
      <c r="JS25" s="26" t="str">
        <f t="shared" si="194"/>
        <v/>
      </c>
      <c r="JT25" s="26">
        <f t="shared" si="195"/>
        <v>215</v>
      </c>
      <c r="JU25" s="26">
        <f t="shared" si="196"/>
        <v>135</v>
      </c>
      <c r="JV25" s="26">
        <f t="shared" si="197"/>
        <v>106</v>
      </c>
      <c r="JW25" s="26">
        <f t="shared" si="198"/>
        <v>162</v>
      </c>
      <c r="JX25" s="26">
        <f t="shared" si="199"/>
        <v>116</v>
      </c>
      <c r="JY25" s="24">
        <f t="shared" si="200"/>
        <v>4</v>
      </c>
      <c r="JZ25" s="24">
        <f t="shared" si="201"/>
        <v>4</v>
      </c>
      <c r="KA25" s="24">
        <f t="shared" si="202"/>
        <v>9</v>
      </c>
      <c r="KB25" s="24">
        <f t="shared" si="203"/>
        <v>3</v>
      </c>
      <c r="KC25" s="24">
        <f t="shared" si="204"/>
        <v>5</v>
      </c>
      <c r="KD25" s="24">
        <f t="shared" si="205"/>
        <v>4.5</v>
      </c>
      <c r="KE25" s="24">
        <f t="shared" si="206"/>
        <v>3</v>
      </c>
      <c r="KF25" s="24" t="str">
        <f t="shared" si="207"/>
        <v/>
      </c>
      <c r="KG25" s="24" t="str">
        <f t="shared" si="208"/>
        <v/>
      </c>
      <c r="KH25" s="24">
        <f t="shared" si="209"/>
        <v>7.5</v>
      </c>
      <c r="KI25" s="24" t="str">
        <f t="shared" si="210"/>
        <v/>
      </c>
      <c r="KJ25" s="24">
        <f t="shared" si="211"/>
        <v>0</v>
      </c>
      <c r="KK25" s="24">
        <f t="shared" si="212"/>
        <v>0</v>
      </c>
      <c r="KL25" s="24">
        <f t="shared" si="213"/>
        <v>2</v>
      </c>
      <c r="KM25" s="24">
        <f t="shared" si="214"/>
        <v>6</v>
      </c>
      <c r="KN25" s="24">
        <f t="shared" si="215"/>
        <v>2</v>
      </c>
      <c r="KO25" s="24">
        <f t="shared" si="216"/>
        <v>18</v>
      </c>
      <c r="KP25" s="26" t="str">
        <f t="shared" si="217"/>
        <v/>
      </c>
      <c r="KQ25" s="26">
        <f t="shared" si="218"/>
        <v>32.5</v>
      </c>
      <c r="KR25" s="26" t="str">
        <f t="shared" si="337"/>
        <v/>
      </c>
      <c r="KS25" s="24" t="str">
        <f t="shared" si="338"/>
        <v/>
      </c>
      <c r="KT25" s="26">
        <f t="shared" si="219"/>
        <v>1.8055555555555556</v>
      </c>
      <c r="KU25" s="24">
        <f t="shared" si="220"/>
        <v>19</v>
      </c>
      <c r="KV25" s="24">
        <f t="shared" si="221"/>
        <v>1034</v>
      </c>
      <c r="KW25" s="24">
        <f t="shared" si="222"/>
        <v>17.5</v>
      </c>
      <c r="KX25" s="26">
        <f t="shared" si="339"/>
        <v>54.421052631578945</v>
      </c>
      <c r="KY25" s="24" t="str">
        <f t="shared" si="340"/>
        <v>E</v>
      </c>
      <c r="KZ25" s="27">
        <f t="shared" si="223"/>
        <v>0.92105263157894735</v>
      </c>
      <c r="LA25" s="24">
        <f t="shared" si="224"/>
        <v>37</v>
      </c>
      <c r="LB25" s="26">
        <f t="shared" si="225"/>
        <v>2189</v>
      </c>
      <c r="LC25" s="26">
        <f t="shared" si="226"/>
        <v>50</v>
      </c>
      <c r="LD25" s="26">
        <f t="shared" si="341"/>
        <v>59.162162162162161</v>
      </c>
      <c r="LE25" s="27" t="str">
        <f t="shared" si="342"/>
        <v>E</v>
      </c>
      <c r="LF25" s="26">
        <f t="shared" si="227"/>
        <v>1.3513513513513513</v>
      </c>
      <c r="LG25" s="24">
        <f t="shared" si="228"/>
        <v>12</v>
      </c>
      <c r="LH25" s="24" t="str">
        <f t="shared" si="229"/>
        <v>6A</v>
      </c>
      <c r="LI25" s="24">
        <f t="shared" si="230"/>
        <v>13</v>
      </c>
      <c r="LJ25" s="26">
        <f>IF('Q4'!G25="","",SUM((AVERAGE('Q3'!G25,'Q4'!G25)*0.5))+(HM25*0.5))</f>
        <v>68.416666666666657</v>
      </c>
      <c r="LK25" s="26">
        <f>IF('Q4'!H25="","",SUM((AVERAGE('Q3'!H25,'Q4'!H25)*1)))</f>
        <v>71.316666666666663</v>
      </c>
      <c r="LL25" s="26">
        <f>IF('Q4'!I25="","",SUM((AVERAGE('Q3'!I25,'Q4'!I25)*0.5))+(HO25*0.5))</f>
        <v>74.236666666666665</v>
      </c>
      <c r="LM25" s="26">
        <f>IF('Q4'!J25="","",SUM((AVERAGE('Q3'!J25,'Q4'!J25)*0.5))+(HP25*0.5))</f>
        <v>74.583333333333343</v>
      </c>
      <c r="LN25" s="26">
        <f>IF('Q4'!K25="","",SUM((AVERAGE('Q3'!K25,'Q4'!K25)*0.5))+(HQ25*0.5))</f>
        <v>60.5</v>
      </c>
      <c r="LO25" s="26">
        <f>IF('Q4'!L25="","",SUM((AVERAGE('Q3'!L25,'Q4'!L25)*0.5))+(HR25*0.5))</f>
        <v>65.349999999999994</v>
      </c>
      <c r="LP25" s="26">
        <f>IF('Q4'!M25="","",SUM((AVERAGE('Q3'!M25,'Q4'!M25)*0.5))+(HS25*0.5))</f>
        <v>65.333333333333343</v>
      </c>
      <c r="LQ25" s="26">
        <f>IF('Q4'!N25="","",SUM((AVERAGE('Q3'!N25,'Q4'!N25)*1)))</f>
        <v>93.5</v>
      </c>
      <c r="LR25" s="26">
        <f>IF('Q4'!O25="","",SUM((AVERAGE('Q3'!O25,'Q4'!O25)*1)))</f>
        <v>93.5</v>
      </c>
      <c r="LS25" s="26">
        <f>IF('Q4'!P25="","",SUM((AVERAGE('Q3'!P25,'Q4'!P25)*0.5))+(HV25*0.5))</f>
        <v>63.808333333333337</v>
      </c>
      <c r="LT25" s="26">
        <f>IF('Q4'!Q25="","",SUM((AVERAGE('Q3'!Q25,'Q4'!Q25)*1)))</f>
        <v>67.616666666666674</v>
      </c>
      <c r="LU25" s="26">
        <f>IF('Q4'!R25="","",SUM((AVERAGE('Q3'!R25,'Q4'!R25)*0.5))+(HX25*0.5))</f>
        <v>46.274999999999999</v>
      </c>
      <c r="LV25" s="26">
        <f>IF('Q4'!S25="","",SUM((AVERAGE('Q3'!S25,'Q4'!S25)*0.5))+(HY25*0.5))</f>
        <v>46.41</v>
      </c>
      <c r="LW25" s="26">
        <f>IF('Q4'!T25="","",SUM((AVERAGE('Q3'!T25,'Q4'!T25)*0.5))+(HZ25*0.5))</f>
        <v>64</v>
      </c>
      <c r="LX25" s="26">
        <f>IF('Q4'!U25="","",SUM((AVERAGE('Q3'!U25,'Q4'!U25)*0.5))+(IA25*0.5))</f>
        <v>78.291666666666657</v>
      </c>
      <c r="LY25" s="26">
        <f>IF('Q4'!V25="","",SUM((AVERAGE('Q3'!V25,'Q4'!V25)*0.5))+(IB25*0.5))</f>
        <v>65.75</v>
      </c>
      <c r="LZ25" s="26" t="str">
        <f t="shared" si="231"/>
        <v>D</v>
      </c>
      <c r="MA25" s="26" t="str">
        <f t="shared" si="232"/>
        <v>C</v>
      </c>
      <c r="MB25" s="26" t="str">
        <f t="shared" si="233"/>
        <v>C</v>
      </c>
      <c r="MC25" s="26" t="str">
        <f t="shared" si="234"/>
        <v>C</v>
      </c>
      <c r="MD25" s="26" t="str">
        <f t="shared" si="235"/>
        <v>D</v>
      </c>
      <c r="ME25" s="26" t="str">
        <f t="shared" si="236"/>
        <v>D</v>
      </c>
      <c r="MF25" s="26" t="str">
        <f t="shared" si="237"/>
        <v>D</v>
      </c>
      <c r="MG25" s="26" t="str">
        <f t="shared" si="238"/>
        <v>A</v>
      </c>
      <c r="MH25" s="26" t="str">
        <f t="shared" si="239"/>
        <v>A</v>
      </c>
      <c r="MI25" s="24" t="str">
        <f t="shared" si="240"/>
        <v>D</v>
      </c>
      <c r="MJ25" s="24" t="str">
        <f t="shared" si="241"/>
        <v>D</v>
      </c>
      <c r="MK25" s="24" t="str">
        <f t="shared" si="242"/>
        <v>F</v>
      </c>
      <c r="ML25" s="24" t="str">
        <f t="shared" si="243"/>
        <v>F</v>
      </c>
      <c r="MM25" s="24" t="str">
        <f t="shared" si="244"/>
        <v>D</v>
      </c>
      <c r="MN25" s="24" t="str">
        <f t="shared" si="245"/>
        <v>C</v>
      </c>
      <c r="MO25" s="24" t="str">
        <f t="shared" si="246"/>
        <v>D</v>
      </c>
      <c r="MP25" s="24">
        <f t="shared" si="247"/>
        <v>2</v>
      </c>
      <c r="MQ25" s="24">
        <f t="shared" si="248"/>
        <v>2</v>
      </c>
      <c r="MR25" s="24">
        <f t="shared" si="249"/>
        <v>3</v>
      </c>
      <c r="MS25" s="24">
        <f t="shared" si="250"/>
        <v>1</v>
      </c>
      <c r="MT25" s="24">
        <f t="shared" si="251"/>
        <v>5</v>
      </c>
      <c r="MU25" s="24">
        <f t="shared" si="252"/>
        <v>3</v>
      </c>
      <c r="MV25" s="24">
        <f t="shared" si="253"/>
        <v>2</v>
      </c>
      <c r="MW25" s="24">
        <f t="shared" si="254"/>
        <v>1</v>
      </c>
      <c r="MX25" s="24">
        <f t="shared" si="255"/>
        <v>1</v>
      </c>
      <c r="MY25" s="24">
        <f t="shared" si="256"/>
        <v>5</v>
      </c>
      <c r="MZ25" s="24">
        <f t="shared" si="257"/>
        <v>1</v>
      </c>
      <c r="NA25" s="24">
        <f t="shared" si="258"/>
        <v>5</v>
      </c>
      <c r="NB25" s="24">
        <f t="shared" si="259"/>
        <v>3</v>
      </c>
      <c r="NC25" s="24">
        <f t="shared" si="260"/>
        <v>2</v>
      </c>
      <c r="ND25" s="24">
        <f t="shared" si="261"/>
        <v>2</v>
      </c>
      <c r="NE25" s="24">
        <f t="shared" si="262"/>
        <v>2</v>
      </c>
      <c r="NF25" s="26">
        <f t="shared" si="263"/>
        <v>136.83333333333331</v>
      </c>
      <c r="NG25" s="26">
        <f t="shared" si="264"/>
        <v>142.63333333333333</v>
      </c>
      <c r="NH25" s="26">
        <f t="shared" si="265"/>
        <v>222.70999999999998</v>
      </c>
      <c r="NI25" s="26">
        <f t="shared" si="266"/>
        <v>74.583333333333343</v>
      </c>
      <c r="NJ25" s="26">
        <f t="shared" si="267"/>
        <v>302.5</v>
      </c>
      <c r="NK25" s="26">
        <f t="shared" si="268"/>
        <v>196.04999999999998</v>
      </c>
      <c r="NL25" s="26">
        <f t="shared" si="269"/>
        <v>130.66666666666669</v>
      </c>
      <c r="NM25" s="26">
        <f t="shared" si="270"/>
        <v>93.5</v>
      </c>
      <c r="NN25" s="26">
        <f t="shared" si="271"/>
        <v>93.5</v>
      </c>
      <c r="NO25" s="26">
        <f t="shared" si="272"/>
        <v>319.04166666666669</v>
      </c>
      <c r="NP25" s="26">
        <f t="shared" si="273"/>
        <v>67.616666666666674</v>
      </c>
      <c r="NQ25" s="26">
        <f t="shared" si="274"/>
        <v>231.375</v>
      </c>
      <c r="NR25" s="26">
        <f t="shared" si="275"/>
        <v>139.22999999999999</v>
      </c>
      <c r="NS25" s="26">
        <f t="shared" si="276"/>
        <v>128</v>
      </c>
      <c r="NT25" s="26">
        <f t="shared" si="277"/>
        <v>156.58333333333331</v>
      </c>
      <c r="NU25" s="26">
        <f t="shared" si="278"/>
        <v>131.5</v>
      </c>
      <c r="NV25" s="24">
        <f t="shared" si="279"/>
        <v>3</v>
      </c>
      <c r="NW25" s="24">
        <f t="shared" si="280"/>
        <v>4</v>
      </c>
      <c r="NX25" s="24">
        <f t="shared" si="281"/>
        <v>6</v>
      </c>
      <c r="NY25" s="24">
        <f t="shared" si="282"/>
        <v>2</v>
      </c>
      <c r="NZ25" s="24">
        <f t="shared" si="283"/>
        <v>7.5</v>
      </c>
      <c r="OA25" s="24">
        <f t="shared" si="284"/>
        <v>4.5</v>
      </c>
      <c r="OB25" s="24">
        <f t="shared" si="285"/>
        <v>3</v>
      </c>
      <c r="OC25" s="24">
        <f t="shared" si="286"/>
        <v>4</v>
      </c>
      <c r="OD25" s="24">
        <f t="shared" si="287"/>
        <v>4</v>
      </c>
      <c r="OE25" s="24">
        <f t="shared" si="288"/>
        <v>7.5</v>
      </c>
      <c r="OF25" s="24">
        <f t="shared" si="289"/>
        <v>1.5</v>
      </c>
      <c r="OG25" s="24">
        <f t="shared" si="290"/>
        <v>0</v>
      </c>
      <c r="OH25" s="24">
        <f t="shared" si="291"/>
        <v>0</v>
      </c>
      <c r="OI25" s="24">
        <f t="shared" si="292"/>
        <v>3</v>
      </c>
      <c r="OJ25" s="24">
        <f t="shared" si="293"/>
        <v>4</v>
      </c>
      <c r="OK25" s="24">
        <f t="shared" si="294"/>
        <v>3</v>
      </c>
      <c r="OL25" s="24">
        <f t="shared" si="295"/>
        <v>20</v>
      </c>
      <c r="OM25" s="26">
        <f t="shared" si="296"/>
        <v>1392.9766666666667</v>
      </c>
      <c r="ON25" s="26">
        <f t="shared" si="297"/>
        <v>38</v>
      </c>
      <c r="OO25" s="26">
        <f t="shared" si="343"/>
        <v>69.648833333333329</v>
      </c>
      <c r="OP25" s="24" t="str">
        <f t="shared" si="344"/>
        <v>D</v>
      </c>
      <c r="OQ25" s="26">
        <f t="shared" si="298"/>
        <v>1.9</v>
      </c>
      <c r="OR25" s="24">
        <f t="shared" si="299"/>
        <v>20</v>
      </c>
      <c r="OS25" s="26">
        <f t="shared" si="300"/>
        <v>1173.3466666666666</v>
      </c>
      <c r="OT25" s="26">
        <f t="shared" si="301"/>
        <v>19</v>
      </c>
      <c r="OU25" s="26">
        <f t="shared" si="345"/>
        <v>58.667333333333332</v>
      </c>
      <c r="OV25" s="24" t="str">
        <f t="shared" si="346"/>
        <v>E</v>
      </c>
      <c r="OW25" s="27">
        <f t="shared" si="302"/>
        <v>0.95</v>
      </c>
      <c r="OX25" s="24">
        <f t="shared" si="303"/>
        <v>40</v>
      </c>
      <c r="OY25" s="26">
        <f t="shared" si="304"/>
        <v>2566.3233333333337</v>
      </c>
      <c r="OZ25" s="26">
        <f t="shared" si="305"/>
        <v>57</v>
      </c>
      <c r="PA25" s="26">
        <f t="shared" si="347"/>
        <v>64.158083333333337</v>
      </c>
      <c r="PB25" s="27" t="str">
        <f t="shared" si="348"/>
        <v>D</v>
      </c>
      <c r="PC25" s="26">
        <f t="shared" si="306"/>
        <v>1.425</v>
      </c>
      <c r="PD25" s="24">
        <f t="shared" si="307"/>
        <v>13</v>
      </c>
      <c r="PE25" s="24" t="str">
        <f t="shared" si="308"/>
        <v>6A</v>
      </c>
      <c r="PF25" s="24">
        <f t="shared" si="309"/>
        <v>13</v>
      </c>
      <c r="PG25" s="24">
        <f t="shared" si="310"/>
        <v>104</v>
      </c>
      <c r="PH25" s="24">
        <f t="shared" si="311"/>
        <v>0</v>
      </c>
      <c r="PI25" s="24">
        <f t="shared" si="312"/>
        <v>0</v>
      </c>
      <c r="PJ25" s="24">
        <f t="shared" si="313"/>
        <v>1</v>
      </c>
      <c r="PK25" s="24">
        <f t="shared" si="314"/>
        <v>1</v>
      </c>
      <c r="PL25" s="25">
        <f t="shared" si="315"/>
        <v>0.99038461538461542</v>
      </c>
    </row>
    <row r="26" spans="1:428" ht="27" customHeight="1" x14ac:dyDescent="0.35">
      <c r="A26" s="24">
        <f t="shared" si="349"/>
        <v>12</v>
      </c>
      <c r="B26" s="28" t="str">
        <f>IF('Q1'!B26="","",'Q1'!B26)</f>
        <v>Nean Lyhour</v>
      </c>
      <c r="C26" s="30" t="str">
        <f>IF('Q1'!C26="","",'Q1'!C26)</f>
        <v>នាន លីហួរ</v>
      </c>
      <c r="D26" s="28" t="str">
        <f>IF('Q1'!D26="","",'Q1'!D26)</f>
        <v>M</v>
      </c>
      <c r="E26" s="24">
        <f>IF('Q1'!E26="","",'Q1'!E26)</f>
        <v>769</v>
      </c>
      <c r="F26" s="24" t="str">
        <f>IF('Q1'!F26="","",'Q1'!F26)</f>
        <v>I</v>
      </c>
      <c r="G26" s="26">
        <f>IF('Q3'!G26="","",'Q3'!G26)</f>
        <v>87.666666666666671</v>
      </c>
      <c r="H26" s="26">
        <f>IF('Q3'!H26="","",'Q3'!H26)</f>
        <v>88.266666666666666</v>
      </c>
      <c r="I26" s="26">
        <f>IF('Q3'!I26="","",'Q3'!I26)</f>
        <v>87.433333333333337</v>
      </c>
      <c r="J26" s="26">
        <f>IF('Q3'!J26="","",'Q3'!J26)</f>
        <v>91.666666666666671</v>
      </c>
      <c r="K26" s="26">
        <f>IF('Q3'!K26="","",'Q3'!K26)</f>
        <v>88.3</v>
      </c>
      <c r="L26" s="26">
        <f>IF('Q3'!L26="","",'Q3'!L26)</f>
        <v>84.3</v>
      </c>
      <c r="M26" s="26">
        <f>IF('Q3'!M26="","",'Q3'!M26)</f>
        <v>87.666666666666671</v>
      </c>
      <c r="N26" s="26">
        <f>IF('Q3'!N26="","",'Q3'!N26)</f>
        <v>97</v>
      </c>
      <c r="O26" s="26">
        <f>IF('Q3'!O26="","",'Q3'!O26)</f>
        <v>97</v>
      </c>
      <c r="P26" s="26">
        <f>IF('Q3'!P26="","",'Q3'!P26)</f>
        <v>83.740000000000009</v>
      </c>
      <c r="Q26" s="26">
        <f>IF('Q3'!Q26="","",'Q3'!Q26)</f>
        <v>83.740000000000009</v>
      </c>
      <c r="R26" s="26">
        <f>IF('Q3'!R26="","",'Q3'!R26)</f>
        <v>84.4</v>
      </c>
      <c r="S26" s="26">
        <f>IF('Q3'!S26="","",'Q3'!S26)</f>
        <v>78.67</v>
      </c>
      <c r="T26" s="26">
        <f>IF('Q3'!T26="","",'Q3'!T26)</f>
        <v>87</v>
      </c>
      <c r="U26" s="26">
        <f>IF('Q3'!U26="","",'Q3'!U26)</f>
        <v>77</v>
      </c>
      <c r="V26" s="26">
        <f>IF('Q3'!V26="","",'Q3'!V26)</f>
        <v>82</v>
      </c>
      <c r="W26" s="26" t="str">
        <f t="shared" si="0"/>
        <v>B</v>
      </c>
      <c r="X26" s="26" t="str">
        <f t="shared" si="1"/>
        <v>B</v>
      </c>
      <c r="Y26" s="26" t="str">
        <f t="shared" si="2"/>
        <v>B</v>
      </c>
      <c r="Z26" s="26" t="str">
        <f t="shared" si="3"/>
        <v>A</v>
      </c>
      <c r="AA26" s="26" t="str">
        <f t="shared" si="4"/>
        <v>B</v>
      </c>
      <c r="AB26" s="26" t="str">
        <f t="shared" si="5"/>
        <v>B</v>
      </c>
      <c r="AC26" s="26" t="str">
        <f t="shared" si="6"/>
        <v>B</v>
      </c>
      <c r="AD26" s="26" t="str">
        <f t="shared" si="7"/>
        <v>A</v>
      </c>
      <c r="AE26" s="26" t="str">
        <f t="shared" si="8"/>
        <v>A</v>
      </c>
      <c r="AF26" s="24" t="str">
        <f t="shared" si="9"/>
        <v>B</v>
      </c>
      <c r="AG26" s="24" t="str">
        <f t="shared" si="10"/>
        <v>B</v>
      </c>
      <c r="AH26" s="24" t="str">
        <f t="shared" si="11"/>
        <v>B</v>
      </c>
      <c r="AI26" s="24" t="str">
        <f t="shared" si="12"/>
        <v>C</v>
      </c>
      <c r="AJ26" s="24" t="str">
        <f t="shared" si="13"/>
        <v>B</v>
      </c>
      <c r="AK26" s="24" t="str">
        <f t="shared" si="14"/>
        <v>C</v>
      </c>
      <c r="AL26" s="24" t="str">
        <f t="shared" si="15"/>
        <v>B</v>
      </c>
      <c r="AM26" s="24">
        <f t="shared" si="16"/>
        <v>2</v>
      </c>
      <c r="AN26" s="24">
        <f t="shared" si="17"/>
        <v>2</v>
      </c>
      <c r="AO26" s="24">
        <f t="shared" si="18"/>
        <v>3</v>
      </c>
      <c r="AP26" s="24">
        <f t="shared" si="19"/>
        <v>1</v>
      </c>
      <c r="AQ26" s="24">
        <f t="shared" si="20"/>
        <v>5</v>
      </c>
      <c r="AR26" s="24">
        <f t="shared" si="21"/>
        <v>3</v>
      </c>
      <c r="AS26" s="24">
        <f t="shared" si="22"/>
        <v>2</v>
      </c>
      <c r="AT26" s="24">
        <f t="shared" si="23"/>
        <v>1</v>
      </c>
      <c r="AU26" s="24">
        <f t="shared" si="24"/>
        <v>1</v>
      </c>
      <c r="AV26" s="24">
        <f t="shared" si="25"/>
        <v>5</v>
      </c>
      <c r="AW26" s="24">
        <f t="shared" si="26"/>
        <v>1</v>
      </c>
      <c r="AX26" s="24">
        <f t="shared" si="27"/>
        <v>5</v>
      </c>
      <c r="AY26" s="24">
        <f t="shared" si="28"/>
        <v>3</v>
      </c>
      <c r="AZ26" s="24">
        <f t="shared" si="29"/>
        <v>2</v>
      </c>
      <c r="BA26" s="24">
        <f t="shared" si="30"/>
        <v>2</v>
      </c>
      <c r="BB26" s="24">
        <f t="shared" si="31"/>
        <v>2</v>
      </c>
      <c r="BC26" s="26">
        <f t="shared" si="32"/>
        <v>175.33333333333334</v>
      </c>
      <c r="BD26" s="26">
        <f t="shared" si="33"/>
        <v>176.53333333333333</v>
      </c>
      <c r="BE26" s="26">
        <f t="shared" si="34"/>
        <v>262.3</v>
      </c>
      <c r="BF26" s="26">
        <f t="shared" si="35"/>
        <v>91.666666666666671</v>
      </c>
      <c r="BG26" s="26">
        <f t="shared" si="36"/>
        <v>441.5</v>
      </c>
      <c r="BH26" s="26">
        <f t="shared" si="37"/>
        <v>252.89999999999998</v>
      </c>
      <c r="BI26" s="26">
        <f t="shared" si="38"/>
        <v>175.33333333333334</v>
      </c>
      <c r="BJ26" s="26">
        <f t="shared" si="39"/>
        <v>97</v>
      </c>
      <c r="BK26" s="26">
        <f t="shared" si="40"/>
        <v>97</v>
      </c>
      <c r="BL26" s="26">
        <f t="shared" si="41"/>
        <v>418.70000000000005</v>
      </c>
      <c r="BM26" s="26">
        <f t="shared" si="42"/>
        <v>83.740000000000009</v>
      </c>
      <c r="BN26" s="26">
        <f t="shared" si="43"/>
        <v>422</v>
      </c>
      <c r="BO26" s="26">
        <f t="shared" si="44"/>
        <v>236.01</v>
      </c>
      <c r="BP26" s="26">
        <f t="shared" si="45"/>
        <v>174</v>
      </c>
      <c r="BQ26" s="26">
        <f t="shared" si="46"/>
        <v>154</v>
      </c>
      <c r="BR26" s="26">
        <f t="shared" si="47"/>
        <v>164</v>
      </c>
      <c r="BS26" s="24">
        <f t="shared" si="48"/>
        <v>6</v>
      </c>
      <c r="BT26" s="24">
        <f t="shared" si="49"/>
        <v>6</v>
      </c>
      <c r="BU26" s="24">
        <f t="shared" si="50"/>
        <v>9</v>
      </c>
      <c r="BV26" s="24">
        <f t="shared" si="51"/>
        <v>4</v>
      </c>
      <c r="BW26" s="24">
        <f t="shared" si="52"/>
        <v>15</v>
      </c>
      <c r="BX26" s="24">
        <f t="shared" si="53"/>
        <v>9</v>
      </c>
      <c r="BY26" s="24">
        <f t="shared" si="54"/>
        <v>6</v>
      </c>
      <c r="BZ26" s="24">
        <f t="shared" si="55"/>
        <v>4</v>
      </c>
      <c r="CA26" s="24">
        <f t="shared" si="56"/>
        <v>4</v>
      </c>
      <c r="CB26" s="24">
        <f t="shared" si="57"/>
        <v>15</v>
      </c>
      <c r="CC26" s="24">
        <f t="shared" si="58"/>
        <v>3</v>
      </c>
      <c r="CD26" s="24">
        <f t="shared" si="59"/>
        <v>15</v>
      </c>
      <c r="CE26" s="24">
        <f t="shared" si="60"/>
        <v>6</v>
      </c>
      <c r="CF26" s="24">
        <f t="shared" si="61"/>
        <v>6</v>
      </c>
      <c r="CG26" s="24">
        <f t="shared" si="62"/>
        <v>4</v>
      </c>
      <c r="CH26" s="24">
        <f t="shared" si="63"/>
        <v>6</v>
      </c>
      <c r="CI26" s="24">
        <f t="shared" si="64"/>
        <v>20</v>
      </c>
      <c r="CJ26" s="26">
        <f t="shared" si="65"/>
        <v>1769.5666666666668</v>
      </c>
      <c r="CK26" s="26">
        <f t="shared" si="66"/>
        <v>69</v>
      </c>
      <c r="CL26" s="26">
        <f t="shared" si="316"/>
        <v>88.478333333333339</v>
      </c>
      <c r="CM26" s="24" t="str">
        <f t="shared" si="317"/>
        <v>B</v>
      </c>
      <c r="CN26" s="26">
        <f t="shared" si="67"/>
        <v>3.45</v>
      </c>
      <c r="CO26" s="24">
        <f t="shared" si="68"/>
        <v>20</v>
      </c>
      <c r="CP26" s="26">
        <f t="shared" si="69"/>
        <v>1652.45</v>
      </c>
      <c r="CQ26" s="26">
        <f t="shared" si="70"/>
        <v>55</v>
      </c>
      <c r="CR26" s="26">
        <f t="shared" si="318"/>
        <v>82.622500000000002</v>
      </c>
      <c r="CS26" s="24" t="str">
        <f t="shared" si="319"/>
        <v>B</v>
      </c>
      <c r="CT26" s="27">
        <f t="shared" si="71"/>
        <v>2.75</v>
      </c>
      <c r="CU26" s="24">
        <f t="shared" si="72"/>
        <v>40</v>
      </c>
      <c r="CV26" s="26">
        <f t="shared" si="73"/>
        <v>3422.0166666666673</v>
      </c>
      <c r="CW26" s="27">
        <f t="shared" si="74"/>
        <v>3252.6833333333334</v>
      </c>
      <c r="CX26" s="26">
        <f t="shared" si="320"/>
        <v>85.550416666666678</v>
      </c>
      <c r="CY26" s="27" t="str">
        <f t="shared" si="321"/>
        <v>B</v>
      </c>
      <c r="CZ26" s="26">
        <f t="shared" si="75"/>
        <v>81.317083333333329</v>
      </c>
      <c r="DA26" s="24">
        <f t="shared" si="76"/>
        <v>7</v>
      </c>
      <c r="DB26" s="24" t="str">
        <f t="shared" si="77"/>
        <v>6A</v>
      </c>
      <c r="DC26" s="24">
        <f t="shared" si="78"/>
        <v>13</v>
      </c>
      <c r="DD26" s="24">
        <f>IF(B26="","",'Q3'!$C$8)</f>
        <v>50</v>
      </c>
      <c r="DE26" s="24">
        <f>IF(B26="","",'Q3'!DE26)</f>
        <v>0</v>
      </c>
      <c r="DF26" s="24">
        <f>IF(C26="","",'Q3'!DF26)</f>
        <v>0</v>
      </c>
      <c r="DG26" s="24">
        <f>IF(D26="","",'Q3'!DG26)</f>
        <v>0</v>
      </c>
      <c r="DH26" s="24">
        <f>IF(E26="","",'Q3'!DH26)</f>
        <v>0</v>
      </c>
      <c r="DI26" s="25">
        <f t="shared" si="79"/>
        <v>1</v>
      </c>
      <c r="DJ26" s="26">
        <f>IF('Q4'!G26="","",'Q4'!G26)</f>
        <v>85</v>
      </c>
      <c r="DK26" s="26">
        <f>IF('Q4'!H26="","",'Q4'!H26)</f>
        <v>87.5</v>
      </c>
      <c r="DL26" s="26">
        <f>IF('Q4'!I26="","",'Q4'!I26)</f>
        <v>86.5</v>
      </c>
      <c r="DM26" s="26">
        <f>IF('Q4'!J26="","",'Q4'!J26)</f>
        <v>91.666666666666671</v>
      </c>
      <c r="DN26" s="26">
        <f>IF('Q4'!K26="","",'Q4'!K26)</f>
        <v>90.233333333333348</v>
      </c>
      <c r="DO26" s="26">
        <f>IF('Q4'!L26="","",'Q4'!L26)</f>
        <v>88.2</v>
      </c>
      <c r="DP26" s="26">
        <f>IF('Q4'!M26="","",'Q4'!M26)</f>
        <v>87.566666666666663</v>
      </c>
      <c r="DQ26" s="26">
        <f>IF('Q4'!N26="","",'Q4'!N26)</f>
        <v>97</v>
      </c>
      <c r="DR26" s="26">
        <f>IF('Q4'!O26="","",'Q4'!O26)</f>
        <v>97</v>
      </c>
      <c r="DS26" s="26">
        <f>IF('Q4'!P26="","",'Q4'!P26)</f>
        <v>60.086666666666673</v>
      </c>
      <c r="DT26" s="26">
        <f>IF('Q4'!Q26="","",'Q4'!Q26)</f>
        <v>60.086666666666673</v>
      </c>
      <c r="DU26" s="26">
        <f>IF('Q4'!R26="","",'Q4'!R26)</f>
        <v>74.72</v>
      </c>
      <c r="DV26" s="26">
        <f>IF('Q4'!S26="","",'Q4'!S26)</f>
        <v>66.87</v>
      </c>
      <c r="DW26" s="26">
        <f>IF('Q4'!T26="","",'Q4'!T26)</f>
        <v>79.5</v>
      </c>
      <c r="DX26" s="26">
        <f>IF('Q4'!U26="","",'Q4'!U26)</f>
        <v>85.333333333333343</v>
      </c>
      <c r="DY26" s="26">
        <f>IF('Q4'!V26="","",'Q4'!V26)</f>
        <v>84</v>
      </c>
      <c r="DZ26" s="26" t="str">
        <f t="shared" si="80"/>
        <v>B</v>
      </c>
      <c r="EA26" s="26" t="str">
        <f t="shared" si="81"/>
        <v>B</v>
      </c>
      <c r="EB26" s="26" t="str">
        <f t="shared" si="82"/>
        <v>B</v>
      </c>
      <c r="EC26" s="26" t="str">
        <f t="shared" si="83"/>
        <v>A</v>
      </c>
      <c r="ED26" s="26" t="str">
        <f t="shared" si="84"/>
        <v>A</v>
      </c>
      <c r="EE26" s="26" t="str">
        <f t="shared" si="85"/>
        <v>B</v>
      </c>
      <c r="EF26" s="26" t="str">
        <f t="shared" si="86"/>
        <v>B</v>
      </c>
      <c r="EG26" s="26" t="str">
        <f t="shared" si="87"/>
        <v>A</v>
      </c>
      <c r="EH26" s="26" t="str">
        <f t="shared" si="88"/>
        <v>A</v>
      </c>
      <c r="EI26" s="24" t="str">
        <f t="shared" si="89"/>
        <v>D</v>
      </c>
      <c r="EJ26" s="24" t="str">
        <f t="shared" si="90"/>
        <v>D</v>
      </c>
      <c r="EK26" s="24" t="str">
        <f t="shared" si="91"/>
        <v>C</v>
      </c>
      <c r="EL26" s="24" t="str">
        <f t="shared" si="92"/>
        <v>D</v>
      </c>
      <c r="EM26" s="24" t="str">
        <f t="shared" si="93"/>
        <v>C</v>
      </c>
      <c r="EN26" s="24" t="str">
        <f t="shared" si="94"/>
        <v>B</v>
      </c>
      <c r="EO26" s="24" t="str">
        <f t="shared" si="95"/>
        <v>B</v>
      </c>
      <c r="EP26" s="24">
        <f t="shared" si="96"/>
        <v>2</v>
      </c>
      <c r="EQ26" s="24">
        <f t="shared" si="97"/>
        <v>2</v>
      </c>
      <c r="ER26" s="24">
        <f t="shared" si="98"/>
        <v>3</v>
      </c>
      <c r="ES26" s="24">
        <f t="shared" si="99"/>
        <v>1</v>
      </c>
      <c r="ET26" s="24">
        <f t="shared" si="100"/>
        <v>5</v>
      </c>
      <c r="EU26" s="24">
        <f t="shared" si="101"/>
        <v>3</v>
      </c>
      <c r="EV26" s="24">
        <f t="shared" si="102"/>
        <v>2</v>
      </c>
      <c r="EW26" s="24">
        <f t="shared" si="322"/>
        <v>1</v>
      </c>
      <c r="EX26" s="24">
        <f t="shared" si="103"/>
        <v>1</v>
      </c>
      <c r="EY26" s="24">
        <f t="shared" si="104"/>
        <v>5</v>
      </c>
      <c r="EZ26" s="24">
        <f t="shared" si="105"/>
        <v>1</v>
      </c>
      <c r="FA26" s="24">
        <f t="shared" si="106"/>
        <v>5</v>
      </c>
      <c r="FB26" s="24">
        <f t="shared" si="107"/>
        <v>3</v>
      </c>
      <c r="FC26" s="24">
        <f t="shared" si="108"/>
        <v>2</v>
      </c>
      <c r="FD26" s="24">
        <f t="shared" si="109"/>
        <v>2</v>
      </c>
      <c r="FE26" s="24">
        <f t="shared" si="110"/>
        <v>2</v>
      </c>
      <c r="FF26" s="26">
        <f t="shared" si="111"/>
        <v>170</v>
      </c>
      <c r="FG26" s="26">
        <f t="shared" si="112"/>
        <v>175</v>
      </c>
      <c r="FH26" s="26">
        <f t="shared" si="113"/>
        <v>259.5</v>
      </c>
      <c r="FI26" s="26">
        <f t="shared" si="114"/>
        <v>91.666666666666671</v>
      </c>
      <c r="FJ26" s="26">
        <f t="shared" si="115"/>
        <v>451.16666666666674</v>
      </c>
      <c r="FK26" s="26">
        <f t="shared" si="116"/>
        <v>264.60000000000002</v>
      </c>
      <c r="FL26" s="26">
        <f t="shared" si="117"/>
        <v>175.13333333333333</v>
      </c>
      <c r="FM26" s="26">
        <f t="shared" si="118"/>
        <v>97</v>
      </c>
      <c r="FN26" s="26"/>
      <c r="FO26" s="26">
        <f t="shared" si="119"/>
        <v>300.43333333333339</v>
      </c>
      <c r="FP26" s="26">
        <f t="shared" si="120"/>
        <v>60.086666666666673</v>
      </c>
      <c r="FQ26" s="26">
        <f t="shared" si="121"/>
        <v>373.6</v>
      </c>
      <c r="FR26" s="26">
        <f t="shared" si="122"/>
        <v>200.61</v>
      </c>
      <c r="FS26" s="26">
        <f t="shared" si="123"/>
        <v>159</v>
      </c>
      <c r="FT26" s="26">
        <f t="shared" si="124"/>
        <v>170.66666666666669</v>
      </c>
      <c r="FU26" s="26">
        <f t="shared" si="125"/>
        <v>168</v>
      </c>
      <c r="FV26" s="24">
        <f t="shared" si="126"/>
        <v>6</v>
      </c>
      <c r="FW26" s="24">
        <f t="shared" si="127"/>
        <v>6</v>
      </c>
      <c r="FX26" s="24">
        <f t="shared" si="128"/>
        <v>9</v>
      </c>
      <c r="FY26" s="24">
        <f t="shared" si="129"/>
        <v>4</v>
      </c>
      <c r="FZ26" s="24">
        <f t="shared" si="130"/>
        <v>20</v>
      </c>
      <c r="GA26" s="24">
        <f t="shared" si="131"/>
        <v>9</v>
      </c>
      <c r="GB26" s="24">
        <f t="shared" si="132"/>
        <v>6</v>
      </c>
      <c r="GC26" s="24">
        <f t="shared" si="133"/>
        <v>4</v>
      </c>
      <c r="GD26" s="24">
        <f t="shared" si="323"/>
        <v>4</v>
      </c>
      <c r="GE26" s="24">
        <f t="shared" si="324"/>
        <v>1.5</v>
      </c>
      <c r="GF26" s="24">
        <f t="shared" si="325"/>
        <v>7.5</v>
      </c>
      <c r="GG26" s="24">
        <f t="shared" si="326"/>
        <v>6</v>
      </c>
      <c r="GH26" s="24">
        <f t="shared" si="327"/>
        <v>3</v>
      </c>
      <c r="GI26" s="24">
        <f t="shared" si="328"/>
        <v>4</v>
      </c>
      <c r="GJ26" s="24">
        <f t="shared" si="329"/>
        <v>6</v>
      </c>
      <c r="GK26" s="24">
        <f t="shared" si="330"/>
        <v>6</v>
      </c>
      <c r="GL26" s="24">
        <f t="shared" si="135"/>
        <v>19</v>
      </c>
      <c r="GM26" s="26">
        <f t="shared" si="136"/>
        <v>1684.0666666666666</v>
      </c>
      <c r="GN26" s="26">
        <f t="shared" si="137"/>
        <v>65</v>
      </c>
      <c r="GO26" s="26">
        <f t="shared" si="331"/>
        <v>88.635087719298241</v>
      </c>
      <c r="GP26" s="24" t="str">
        <f t="shared" si="332"/>
        <v>B</v>
      </c>
      <c r="GQ26" s="26">
        <f t="shared" si="138"/>
        <v>3.4210526315789473</v>
      </c>
      <c r="GR26" s="24">
        <f t="shared" si="139"/>
        <v>20</v>
      </c>
      <c r="GS26" s="26">
        <f t="shared" si="140"/>
        <v>1432.3966666666668</v>
      </c>
      <c r="GT26" s="26">
        <f t="shared" si="141"/>
        <v>34</v>
      </c>
      <c r="GU26" s="26">
        <f t="shared" si="333"/>
        <v>71.619833333333332</v>
      </c>
      <c r="GV26" s="24" t="str">
        <f t="shared" si="334"/>
        <v>C</v>
      </c>
      <c r="GW26" s="27">
        <f t="shared" si="142"/>
        <v>1.7</v>
      </c>
      <c r="GX26" s="24">
        <f t="shared" si="143"/>
        <v>40</v>
      </c>
      <c r="GY26" s="26">
        <f t="shared" si="144"/>
        <v>3116.4633333333331</v>
      </c>
      <c r="GZ26" s="26">
        <f t="shared" si="145"/>
        <v>2952.4633333333331</v>
      </c>
      <c r="HA26" s="26">
        <f t="shared" si="335"/>
        <v>77.911583333333326</v>
      </c>
      <c r="HB26" s="27" t="str">
        <f t="shared" si="336"/>
        <v>C</v>
      </c>
      <c r="HC26" s="26">
        <f t="shared" si="146"/>
        <v>73.811583333333331</v>
      </c>
      <c r="HD26" s="24">
        <f t="shared" si="147"/>
        <v>7</v>
      </c>
      <c r="HE26" s="24" t="str">
        <f t="shared" si="148"/>
        <v>6A</v>
      </c>
      <c r="HF26" s="24">
        <f t="shared" si="149"/>
        <v>13</v>
      </c>
      <c r="HG26" s="24">
        <f>IF(B26="","",'Q4'!$C$8)</f>
        <v>50</v>
      </c>
      <c r="HH26" s="24">
        <f>IF(A26="","",'Q4'!DE26)</f>
        <v>0</v>
      </c>
      <c r="HI26" s="24">
        <f>IF(B26="","",'Q4'!DF26)</f>
        <v>0</v>
      </c>
      <c r="HJ26" s="24">
        <f>IF(B26="","",'Q4'!DG26)</f>
        <v>0</v>
      </c>
      <c r="HK26" s="24">
        <f t="shared" si="150"/>
        <v>0</v>
      </c>
      <c r="HL26" s="25">
        <f t="shared" si="151"/>
        <v>1</v>
      </c>
      <c r="HM26" s="7">
        <v>85</v>
      </c>
      <c r="HN26" s="7">
        <v>95</v>
      </c>
      <c r="HO26" s="7">
        <v>90</v>
      </c>
      <c r="HP26" s="7">
        <v>90</v>
      </c>
      <c r="HQ26" s="7">
        <v>90</v>
      </c>
      <c r="HR26" s="7">
        <v>85</v>
      </c>
      <c r="HS26" s="7">
        <v>95</v>
      </c>
      <c r="HT26" s="7"/>
      <c r="HU26" s="7"/>
      <c r="HV26" s="7">
        <v>75</v>
      </c>
      <c r="HW26" s="7"/>
      <c r="HX26" s="7">
        <v>80</v>
      </c>
      <c r="HY26" s="7">
        <v>73</v>
      </c>
      <c r="HZ26" s="7">
        <v>58</v>
      </c>
      <c r="IA26" s="7">
        <v>94</v>
      </c>
      <c r="IB26" s="7">
        <v>70</v>
      </c>
      <c r="IC26" s="24" t="str">
        <f t="shared" si="152"/>
        <v>B</v>
      </c>
      <c r="ID26" s="24" t="str">
        <f t="shared" si="153"/>
        <v>A</v>
      </c>
      <c r="IE26" s="24" t="str">
        <f t="shared" si="154"/>
        <v>A</v>
      </c>
      <c r="IF26" s="24" t="str">
        <f t="shared" si="155"/>
        <v>A</v>
      </c>
      <c r="IG26" s="24" t="str">
        <f t="shared" si="156"/>
        <v>A</v>
      </c>
      <c r="IH26" s="24" t="str">
        <f t="shared" si="157"/>
        <v>B</v>
      </c>
      <c r="II26" s="24" t="str">
        <f t="shared" si="158"/>
        <v>A</v>
      </c>
      <c r="IJ26" s="24" t="str">
        <f t="shared" si="159"/>
        <v/>
      </c>
      <c r="IK26" s="24" t="str">
        <f t="shared" si="160"/>
        <v/>
      </c>
      <c r="IL26" s="24" t="str">
        <f t="shared" si="161"/>
        <v>C</v>
      </c>
      <c r="IM26" s="24" t="str">
        <f t="shared" si="162"/>
        <v/>
      </c>
      <c r="IN26" s="24" t="str">
        <f t="shared" si="163"/>
        <v>B</v>
      </c>
      <c r="IO26" s="24" t="str">
        <f t="shared" si="164"/>
        <v>C</v>
      </c>
      <c r="IP26" s="24" t="str">
        <f t="shared" si="165"/>
        <v>E</v>
      </c>
      <c r="IQ26" s="24" t="str">
        <f t="shared" si="166"/>
        <v>A</v>
      </c>
      <c r="IR26" s="24" t="str">
        <f t="shared" si="167"/>
        <v>C</v>
      </c>
      <c r="IS26" s="24">
        <f t="shared" si="168"/>
        <v>2</v>
      </c>
      <c r="IT26" s="24">
        <f t="shared" si="169"/>
        <v>2</v>
      </c>
      <c r="IU26" s="24">
        <f t="shared" si="170"/>
        <v>3</v>
      </c>
      <c r="IV26" s="24">
        <f t="shared" si="171"/>
        <v>1</v>
      </c>
      <c r="IW26" s="24">
        <f t="shared" si="172"/>
        <v>5</v>
      </c>
      <c r="IX26" s="24">
        <f t="shared" si="173"/>
        <v>3</v>
      </c>
      <c r="IY26" s="24">
        <f t="shared" si="174"/>
        <v>2</v>
      </c>
      <c r="IZ26" s="24" t="str">
        <f t="shared" si="175"/>
        <v/>
      </c>
      <c r="JA26" s="24" t="str">
        <f t="shared" si="176"/>
        <v/>
      </c>
      <c r="JB26" s="24">
        <f t="shared" si="177"/>
        <v>5</v>
      </c>
      <c r="JC26" s="24" t="str">
        <f t="shared" si="178"/>
        <v/>
      </c>
      <c r="JD26" s="24">
        <f t="shared" si="179"/>
        <v>5</v>
      </c>
      <c r="JE26" s="24">
        <f t="shared" si="180"/>
        <v>3</v>
      </c>
      <c r="JF26" s="24">
        <f t="shared" si="181"/>
        <v>2</v>
      </c>
      <c r="JG26" s="24">
        <f t="shared" si="182"/>
        <v>2</v>
      </c>
      <c r="JH26" s="24">
        <f t="shared" si="183"/>
        <v>2</v>
      </c>
      <c r="JI26" s="26">
        <f t="shared" si="184"/>
        <v>170</v>
      </c>
      <c r="JJ26" s="26">
        <f t="shared" si="185"/>
        <v>190</v>
      </c>
      <c r="JK26" s="26">
        <f t="shared" si="186"/>
        <v>270</v>
      </c>
      <c r="JL26" s="26">
        <f t="shared" si="187"/>
        <v>90</v>
      </c>
      <c r="JM26" s="26">
        <f t="shared" si="188"/>
        <v>450</v>
      </c>
      <c r="JN26" s="26">
        <f t="shared" si="189"/>
        <v>255</v>
      </c>
      <c r="JO26" s="26">
        <f t="shared" si="190"/>
        <v>190</v>
      </c>
      <c r="JP26" s="26" t="str">
        <f t="shared" si="191"/>
        <v/>
      </c>
      <c r="JQ26" s="26" t="str">
        <f t="shared" si="192"/>
        <v/>
      </c>
      <c r="JR26" s="26">
        <f t="shared" si="193"/>
        <v>375</v>
      </c>
      <c r="JS26" s="26" t="str">
        <f t="shared" si="194"/>
        <v/>
      </c>
      <c r="JT26" s="26">
        <f t="shared" si="195"/>
        <v>400</v>
      </c>
      <c r="JU26" s="26">
        <f t="shared" si="196"/>
        <v>219</v>
      </c>
      <c r="JV26" s="26">
        <f t="shared" si="197"/>
        <v>116</v>
      </c>
      <c r="JW26" s="26">
        <f t="shared" si="198"/>
        <v>188</v>
      </c>
      <c r="JX26" s="26">
        <f t="shared" si="199"/>
        <v>140</v>
      </c>
      <c r="JY26" s="24">
        <f t="shared" si="200"/>
        <v>6</v>
      </c>
      <c r="JZ26" s="24">
        <f t="shared" si="201"/>
        <v>8</v>
      </c>
      <c r="KA26" s="24">
        <f t="shared" si="202"/>
        <v>12</v>
      </c>
      <c r="KB26" s="24">
        <f t="shared" si="203"/>
        <v>4</v>
      </c>
      <c r="KC26" s="24">
        <f t="shared" si="204"/>
        <v>20</v>
      </c>
      <c r="KD26" s="24">
        <f t="shared" si="205"/>
        <v>9</v>
      </c>
      <c r="KE26" s="24">
        <f t="shared" si="206"/>
        <v>8</v>
      </c>
      <c r="KF26" s="24" t="str">
        <f t="shared" si="207"/>
        <v/>
      </c>
      <c r="KG26" s="24" t="str">
        <f t="shared" si="208"/>
        <v/>
      </c>
      <c r="KH26" s="24">
        <f t="shared" si="209"/>
        <v>10</v>
      </c>
      <c r="KI26" s="24" t="str">
        <f t="shared" si="210"/>
        <v/>
      </c>
      <c r="KJ26" s="24">
        <f t="shared" si="211"/>
        <v>15</v>
      </c>
      <c r="KK26" s="24">
        <f t="shared" si="212"/>
        <v>6</v>
      </c>
      <c r="KL26" s="24">
        <f t="shared" si="213"/>
        <v>2</v>
      </c>
      <c r="KM26" s="24">
        <f t="shared" si="214"/>
        <v>8</v>
      </c>
      <c r="KN26" s="24">
        <f t="shared" si="215"/>
        <v>4</v>
      </c>
      <c r="KO26" s="24">
        <f t="shared" si="216"/>
        <v>18</v>
      </c>
      <c r="KP26" s="26" t="str">
        <f t="shared" si="217"/>
        <v/>
      </c>
      <c r="KQ26" s="26">
        <f t="shared" si="218"/>
        <v>67</v>
      </c>
      <c r="KR26" s="26" t="str">
        <f t="shared" si="337"/>
        <v/>
      </c>
      <c r="KS26" s="24" t="str">
        <f t="shared" si="338"/>
        <v/>
      </c>
      <c r="KT26" s="26">
        <f t="shared" si="219"/>
        <v>3.7222222222222223</v>
      </c>
      <c r="KU26" s="24">
        <f t="shared" si="220"/>
        <v>19</v>
      </c>
      <c r="KV26" s="24">
        <f t="shared" si="221"/>
        <v>1438</v>
      </c>
      <c r="KW26" s="24">
        <f t="shared" si="222"/>
        <v>45</v>
      </c>
      <c r="KX26" s="26">
        <f t="shared" si="339"/>
        <v>75.684210526315795</v>
      </c>
      <c r="KY26" s="24" t="str">
        <f t="shared" si="340"/>
        <v>C</v>
      </c>
      <c r="KZ26" s="27">
        <f t="shared" si="223"/>
        <v>2.3684210526315788</v>
      </c>
      <c r="LA26" s="24">
        <f t="shared" si="224"/>
        <v>37</v>
      </c>
      <c r="LB26" s="26">
        <f t="shared" si="225"/>
        <v>3053</v>
      </c>
      <c r="LC26" s="26">
        <f t="shared" si="226"/>
        <v>112</v>
      </c>
      <c r="LD26" s="26">
        <f t="shared" si="341"/>
        <v>82.513513513513516</v>
      </c>
      <c r="LE26" s="27" t="str">
        <f t="shared" si="342"/>
        <v>B</v>
      </c>
      <c r="LF26" s="26">
        <f t="shared" si="227"/>
        <v>3.0270270270270272</v>
      </c>
      <c r="LG26" s="24">
        <f t="shared" si="228"/>
        <v>3</v>
      </c>
      <c r="LH26" s="24" t="str">
        <f t="shared" si="229"/>
        <v>6A</v>
      </c>
      <c r="LI26" s="24">
        <f t="shared" si="230"/>
        <v>13</v>
      </c>
      <c r="LJ26" s="26">
        <f>IF('Q4'!G26="","",SUM((AVERAGE('Q3'!G26,'Q4'!G26)*0.5))+(HM26*0.5))</f>
        <v>85.666666666666671</v>
      </c>
      <c r="LK26" s="26">
        <f>IF('Q4'!H26="","",SUM((AVERAGE('Q3'!H26,'Q4'!H26)*1)))</f>
        <v>87.883333333333326</v>
      </c>
      <c r="LL26" s="26">
        <f>IF('Q4'!I26="","",SUM((AVERAGE('Q3'!I26,'Q4'!I26)*0.5))+(HO26*0.5))</f>
        <v>88.483333333333334</v>
      </c>
      <c r="LM26" s="26">
        <f>IF('Q4'!J26="","",SUM((AVERAGE('Q3'!J26,'Q4'!J26)*0.5))+(HP26*0.5))</f>
        <v>90.833333333333343</v>
      </c>
      <c r="LN26" s="26">
        <f>IF('Q4'!K26="","",SUM((AVERAGE('Q3'!K26,'Q4'!K26)*0.5))+(HQ26*0.5))</f>
        <v>89.63333333333334</v>
      </c>
      <c r="LO26" s="26">
        <f>IF('Q4'!L26="","",SUM((AVERAGE('Q3'!L26,'Q4'!L26)*0.5))+(HR26*0.5))</f>
        <v>85.625</v>
      </c>
      <c r="LP26" s="26">
        <f>IF('Q4'!M26="","",SUM((AVERAGE('Q3'!M26,'Q4'!M26)*0.5))+(HS26*0.5))</f>
        <v>91.308333333333337</v>
      </c>
      <c r="LQ26" s="26">
        <f>IF('Q4'!N26="","",SUM((AVERAGE('Q3'!N26,'Q4'!N26)*1)))</f>
        <v>97</v>
      </c>
      <c r="LR26" s="26">
        <f>IF('Q4'!O26="","",SUM((AVERAGE('Q3'!O26,'Q4'!O26)*1)))</f>
        <v>97</v>
      </c>
      <c r="LS26" s="26">
        <f>IF('Q4'!P26="","",SUM((AVERAGE('Q3'!P26,'Q4'!P26)*0.5))+(HV26*0.5))</f>
        <v>73.456666666666678</v>
      </c>
      <c r="LT26" s="26">
        <f>IF('Q4'!Q26="","",SUM((AVERAGE('Q3'!Q26,'Q4'!Q26)*1)))</f>
        <v>71.913333333333341</v>
      </c>
      <c r="LU26" s="26">
        <f>IF('Q4'!R26="","",SUM((AVERAGE('Q3'!R26,'Q4'!R26)*0.5))+(HX26*0.5))</f>
        <v>79.78</v>
      </c>
      <c r="LV26" s="26">
        <f>IF('Q4'!S26="","",SUM((AVERAGE('Q3'!S26,'Q4'!S26)*0.5))+(HY26*0.5))</f>
        <v>72.885000000000005</v>
      </c>
      <c r="LW26" s="26">
        <f>IF('Q4'!T26="","",SUM((AVERAGE('Q3'!T26,'Q4'!T26)*0.5))+(HZ26*0.5))</f>
        <v>70.625</v>
      </c>
      <c r="LX26" s="26">
        <f>IF('Q4'!U26="","",SUM((AVERAGE('Q3'!U26,'Q4'!U26)*0.5))+(IA26*0.5))</f>
        <v>87.583333333333343</v>
      </c>
      <c r="LY26" s="26">
        <f>IF('Q4'!V26="","",SUM((AVERAGE('Q3'!V26,'Q4'!V26)*0.5))+(IB26*0.5))</f>
        <v>76.5</v>
      </c>
      <c r="LZ26" s="26" t="str">
        <f t="shared" si="231"/>
        <v>B</v>
      </c>
      <c r="MA26" s="26" t="str">
        <f t="shared" si="232"/>
        <v>B</v>
      </c>
      <c r="MB26" s="26" t="str">
        <f t="shared" si="233"/>
        <v>B</v>
      </c>
      <c r="MC26" s="26" t="str">
        <f t="shared" si="234"/>
        <v>A</v>
      </c>
      <c r="MD26" s="26" t="str">
        <f t="shared" si="235"/>
        <v>B</v>
      </c>
      <c r="ME26" s="26" t="str">
        <f t="shared" si="236"/>
        <v>B</v>
      </c>
      <c r="MF26" s="26" t="str">
        <f t="shared" si="237"/>
        <v>A</v>
      </c>
      <c r="MG26" s="26" t="str">
        <f t="shared" si="238"/>
        <v>A</v>
      </c>
      <c r="MH26" s="26" t="str">
        <f t="shared" si="239"/>
        <v>A</v>
      </c>
      <c r="MI26" s="24" t="str">
        <f t="shared" si="240"/>
        <v>C</v>
      </c>
      <c r="MJ26" s="24" t="str">
        <f t="shared" si="241"/>
        <v>C</v>
      </c>
      <c r="MK26" s="24" t="str">
        <f t="shared" si="242"/>
        <v>C</v>
      </c>
      <c r="ML26" s="24" t="str">
        <f t="shared" si="243"/>
        <v>C</v>
      </c>
      <c r="MM26" s="24" t="str">
        <f t="shared" si="244"/>
        <v>C</v>
      </c>
      <c r="MN26" s="24" t="str">
        <f t="shared" si="245"/>
        <v>B</v>
      </c>
      <c r="MO26" s="24" t="str">
        <f t="shared" si="246"/>
        <v>C</v>
      </c>
      <c r="MP26" s="24">
        <f t="shared" si="247"/>
        <v>2</v>
      </c>
      <c r="MQ26" s="24">
        <f t="shared" si="248"/>
        <v>2</v>
      </c>
      <c r="MR26" s="24">
        <f t="shared" si="249"/>
        <v>3</v>
      </c>
      <c r="MS26" s="24">
        <f t="shared" si="250"/>
        <v>1</v>
      </c>
      <c r="MT26" s="24">
        <f t="shared" si="251"/>
        <v>5</v>
      </c>
      <c r="MU26" s="24">
        <f t="shared" si="252"/>
        <v>3</v>
      </c>
      <c r="MV26" s="24">
        <f t="shared" si="253"/>
        <v>2</v>
      </c>
      <c r="MW26" s="24">
        <f t="shared" si="254"/>
        <v>1</v>
      </c>
      <c r="MX26" s="24">
        <f t="shared" si="255"/>
        <v>1</v>
      </c>
      <c r="MY26" s="24">
        <f t="shared" si="256"/>
        <v>5</v>
      </c>
      <c r="MZ26" s="24">
        <f t="shared" si="257"/>
        <v>1</v>
      </c>
      <c r="NA26" s="24">
        <f t="shared" si="258"/>
        <v>5</v>
      </c>
      <c r="NB26" s="24">
        <f t="shared" si="259"/>
        <v>3</v>
      </c>
      <c r="NC26" s="24">
        <f t="shared" si="260"/>
        <v>2</v>
      </c>
      <c r="ND26" s="24">
        <f t="shared" si="261"/>
        <v>2</v>
      </c>
      <c r="NE26" s="24">
        <f t="shared" si="262"/>
        <v>2</v>
      </c>
      <c r="NF26" s="26">
        <f t="shared" si="263"/>
        <v>171.33333333333334</v>
      </c>
      <c r="NG26" s="26">
        <f t="shared" si="264"/>
        <v>175.76666666666665</v>
      </c>
      <c r="NH26" s="26">
        <f t="shared" si="265"/>
        <v>265.45</v>
      </c>
      <c r="NI26" s="26">
        <f t="shared" si="266"/>
        <v>90.833333333333343</v>
      </c>
      <c r="NJ26" s="26">
        <f t="shared" si="267"/>
        <v>448.16666666666669</v>
      </c>
      <c r="NK26" s="26">
        <f t="shared" si="268"/>
        <v>256.875</v>
      </c>
      <c r="NL26" s="26">
        <f t="shared" si="269"/>
        <v>182.61666666666667</v>
      </c>
      <c r="NM26" s="26">
        <f t="shared" si="270"/>
        <v>97</v>
      </c>
      <c r="NN26" s="26">
        <f t="shared" si="271"/>
        <v>97</v>
      </c>
      <c r="NO26" s="26">
        <f t="shared" si="272"/>
        <v>367.28333333333342</v>
      </c>
      <c r="NP26" s="26">
        <f t="shared" si="273"/>
        <v>71.913333333333341</v>
      </c>
      <c r="NQ26" s="26">
        <f t="shared" si="274"/>
        <v>398.9</v>
      </c>
      <c r="NR26" s="26">
        <f t="shared" si="275"/>
        <v>218.65500000000003</v>
      </c>
      <c r="NS26" s="26">
        <f t="shared" si="276"/>
        <v>141.25</v>
      </c>
      <c r="NT26" s="26">
        <f t="shared" si="277"/>
        <v>175.16666666666669</v>
      </c>
      <c r="NU26" s="26">
        <f t="shared" si="278"/>
        <v>153</v>
      </c>
      <c r="NV26" s="24">
        <f t="shared" si="279"/>
        <v>6</v>
      </c>
      <c r="NW26" s="24">
        <f t="shared" si="280"/>
        <v>6</v>
      </c>
      <c r="NX26" s="24">
        <f t="shared" si="281"/>
        <v>9</v>
      </c>
      <c r="NY26" s="24">
        <f t="shared" si="282"/>
        <v>4</v>
      </c>
      <c r="NZ26" s="24">
        <f t="shared" si="283"/>
        <v>15</v>
      </c>
      <c r="OA26" s="24">
        <f t="shared" si="284"/>
        <v>9</v>
      </c>
      <c r="OB26" s="24">
        <f t="shared" si="285"/>
        <v>8</v>
      </c>
      <c r="OC26" s="24">
        <f t="shared" si="286"/>
        <v>4</v>
      </c>
      <c r="OD26" s="24">
        <f t="shared" si="287"/>
        <v>4</v>
      </c>
      <c r="OE26" s="24">
        <f t="shared" si="288"/>
        <v>10</v>
      </c>
      <c r="OF26" s="24">
        <f t="shared" si="289"/>
        <v>2</v>
      </c>
      <c r="OG26" s="24">
        <f t="shared" si="290"/>
        <v>10</v>
      </c>
      <c r="OH26" s="24">
        <f t="shared" si="291"/>
        <v>6</v>
      </c>
      <c r="OI26" s="24">
        <f t="shared" si="292"/>
        <v>4</v>
      </c>
      <c r="OJ26" s="24">
        <f t="shared" si="293"/>
        <v>6</v>
      </c>
      <c r="OK26" s="24">
        <f t="shared" si="294"/>
        <v>4</v>
      </c>
      <c r="OL26" s="24">
        <f t="shared" si="295"/>
        <v>20</v>
      </c>
      <c r="OM26" s="26">
        <f t="shared" si="296"/>
        <v>1785.0416666666665</v>
      </c>
      <c r="ON26" s="26">
        <f t="shared" si="297"/>
        <v>65</v>
      </c>
      <c r="OO26" s="26">
        <f t="shared" si="343"/>
        <v>89.252083333333331</v>
      </c>
      <c r="OP26" s="24" t="str">
        <f t="shared" si="344"/>
        <v>B</v>
      </c>
      <c r="OQ26" s="26">
        <f t="shared" si="298"/>
        <v>3.25</v>
      </c>
      <c r="OR26" s="24">
        <f t="shared" si="299"/>
        <v>20</v>
      </c>
      <c r="OS26" s="26">
        <f t="shared" si="300"/>
        <v>1526.1683333333335</v>
      </c>
      <c r="OT26" s="26">
        <f t="shared" si="301"/>
        <v>42</v>
      </c>
      <c r="OU26" s="26">
        <f t="shared" si="345"/>
        <v>76.308416666666673</v>
      </c>
      <c r="OV26" s="24" t="str">
        <f t="shared" si="346"/>
        <v>C</v>
      </c>
      <c r="OW26" s="27">
        <f t="shared" si="302"/>
        <v>2.1</v>
      </c>
      <c r="OX26" s="24">
        <f t="shared" si="303"/>
        <v>40</v>
      </c>
      <c r="OY26" s="26">
        <f t="shared" si="304"/>
        <v>3311.21</v>
      </c>
      <c r="OZ26" s="26">
        <f t="shared" si="305"/>
        <v>107</v>
      </c>
      <c r="PA26" s="26">
        <f t="shared" si="347"/>
        <v>82.780249999999995</v>
      </c>
      <c r="PB26" s="27" t="str">
        <f t="shared" si="348"/>
        <v>B</v>
      </c>
      <c r="PC26" s="26">
        <f t="shared" si="306"/>
        <v>2.6749999999999998</v>
      </c>
      <c r="PD26" s="24">
        <f t="shared" si="307"/>
        <v>4</v>
      </c>
      <c r="PE26" s="24" t="str">
        <f t="shared" si="308"/>
        <v>6A</v>
      </c>
      <c r="PF26" s="24">
        <f t="shared" si="309"/>
        <v>13</v>
      </c>
      <c r="PG26" s="24">
        <f t="shared" si="310"/>
        <v>104</v>
      </c>
      <c r="PH26" s="24">
        <f t="shared" si="311"/>
        <v>0</v>
      </c>
      <c r="PI26" s="24">
        <f t="shared" si="312"/>
        <v>0</v>
      </c>
      <c r="PJ26" s="24">
        <f t="shared" si="313"/>
        <v>0</v>
      </c>
      <c r="PK26" s="24">
        <f t="shared" si="314"/>
        <v>0</v>
      </c>
      <c r="PL26" s="25">
        <f t="shared" si="315"/>
        <v>1</v>
      </c>
    </row>
    <row r="27" spans="1:428" ht="27" customHeight="1" x14ac:dyDescent="0.35">
      <c r="A27" s="24">
        <f t="shared" si="349"/>
        <v>13</v>
      </c>
      <c r="B27" s="28" t="str">
        <f>IF('Q1'!B27="","",'Q1'!B27)</f>
        <v>Pheng Udomveha</v>
      </c>
      <c r="C27" s="30" t="str">
        <f>IF('Q1'!C27="","",'Q1'!C27)</f>
        <v>ផេង ឧត្តមវេហា</v>
      </c>
      <c r="D27" s="28" t="str">
        <f>IF('Q1'!D27="","",'Q1'!D27)</f>
        <v>M</v>
      </c>
      <c r="E27" s="24">
        <f>IF('Q1'!E27="","",'Q1'!E27)</f>
        <v>773</v>
      </c>
      <c r="F27" s="24" t="str">
        <f>IF('Q1'!F27="","",'Q1'!F27)</f>
        <v>I</v>
      </c>
      <c r="G27" s="26">
        <f>IF('Q3'!G27="","",'Q3'!G27)</f>
        <v>85</v>
      </c>
      <c r="H27" s="26">
        <f>IF('Q3'!H27="","",'Q3'!H27)</f>
        <v>86.666666666666671</v>
      </c>
      <c r="I27" s="26">
        <f>IF('Q3'!I27="","",'Q3'!I27)</f>
        <v>85.4</v>
      </c>
      <c r="J27" s="26">
        <f>IF('Q3'!J27="","",'Q3'!J27)</f>
        <v>87.333333333333343</v>
      </c>
      <c r="K27" s="26">
        <f>IF('Q3'!K27="","",'Q3'!K27)</f>
        <v>86.066666666666677</v>
      </c>
      <c r="L27" s="26">
        <f>IF('Q3'!L27="","",'Q3'!L27)</f>
        <v>84.966666666666669</v>
      </c>
      <c r="M27" s="26">
        <f>IF('Q3'!M27="","",'Q3'!M27)</f>
        <v>85.166666666666671</v>
      </c>
      <c r="N27" s="26">
        <f>IF('Q3'!N27="","",'Q3'!N27)</f>
        <v>97</v>
      </c>
      <c r="O27" s="26">
        <f>IF('Q3'!O27="","",'Q3'!O27)</f>
        <v>97</v>
      </c>
      <c r="P27" s="26">
        <f>IF('Q3'!P27="","",'Q3'!P27)</f>
        <v>82.44</v>
      </c>
      <c r="Q27" s="26">
        <f>IF('Q3'!Q27="","",'Q3'!Q27)</f>
        <v>82.44</v>
      </c>
      <c r="R27" s="26">
        <f>IF('Q3'!R27="","",'Q3'!R27)</f>
        <v>60.93</v>
      </c>
      <c r="S27" s="26">
        <f>IF('Q3'!S27="","",'Q3'!S27)</f>
        <v>62.06</v>
      </c>
      <c r="T27" s="26">
        <f>IF('Q3'!T27="","",'Q3'!T27)</f>
        <v>83</v>
      </c>
      <c r="U27" s="26">
        <f>IF('Q3'!U27="","",'Q3'!U27)</f>
        <v>74</v>
      </c>
      <c r="V27" s="26">
        <f>IF('Q3'!V27="","",'Q3'!V27)</f>
        <v>75</v>
      </c>
      <c r="W27" s="26" t="str">
        <f t="shared" si="0"/>
        <v>B</v>
      </c>
      <c r="X27" s="26" t="str">
        <f t="shared" si="1"/>
        <v>B</v>
      </c>
      <c r="Y27" s="26" t="str">
        <f t="shared" si="2"/>
        <v>B</v>
      </c>
      <c r="Z27" s="26" t="str">
        <f t="shared" si="3"/>
        <v>B</v>
      </c>
      <c r="AA27" s="26" t="str">
        <f t="shared" si="4"/>
        <v>B</v>
      </c>
      <c r="AB27" s="26" t="str">
        <f t="shared" si="5"/>
        <v>B</v>
      </c>
      <c r="AC27" s="26" t="str">
        <f t="shared" si="6"/>
        <v>B</v>
      </c>
      <c r="AD27" s="26" t="str">
        <f t="shared" si="7"/>
        <v>A</v>
      </c>
      <c r="AE27" s="26" t="str">
        <f t="shared" si="8"/>
        <v>A</v>
      </c>
      <c r="AF27" s="24" t="str">
        <f t="shared" si="9"/>
        <v>B</v>
      </c>
      <c r="AG27" s="24" t="str">
        <f t="shared" si="10"/>
        <v>B</v>
      </c>
      <c r="AH27" s="24" t="str">
        <f t="shared" si="11"/>
        <v>D</v>
      </c>
      <c r="AI27" s="24" t="str">
        <f t="shared" si="12"/>
        <v>D</v>
      </c>
      <c r="AJ27" s="24" t="str">
        <f t="shared" si="13"/>
        <v>B</v>
      </c>
      <c r="AK27" s="24" t="str">
        <f t="shared" si="14"/>
        <v>C</v>
      </c>
      <c r="AL27" s="24" t="str">
        <f t="shared" si="15"/>
        <v>C</v>
      </c>
      <c r="AM27" s="24">
        <f t="shared" si="16"/>
        <v>2</v>
      </c>
      <c r="AN27" s="24">
        <f t="shared" si="17"/>
        <v>2</v>
      </c>
      <c r="AO27" s="24">
        <f t="shared" si="18"/>
        <v>3</v>
      </c>
      <c r="AP27" s="24">
        <f t="shared" si="19"/>
        <v>1</v>
      </c>
      <c r="AQ27" s="24">
        <f t="shared" si="20"/>
        <v>5</v>
      </c>
      <c r="AR27" s="24">
        <f t="shared" si="21"/>
        <v>3</v>
      </c>
      <c r="AS27" s="24">
        <f t="shared" si="22"/>
        <v>2</v>
      </c>
      <c r="AT27" s="24">
        <f t="shared" si="23"/>
        <v>1</v>
      </c>
      <c r="AU27" s="24">
        <f t="shared" si="24"/>
        <v>1</v>
      </c>
      <c r="AV27" s="24">
        <f t="shared" si="25"/>
        <v>5</v>
      </c>
      <c r="AW27" s="24">
        <f t="shared" si="26"/>
        <v>1</v>
      </c>
      <c r="AX27" s="24">
        <f t="shared" si="27"/>
        <v>5</v>
      </c>
      <c r="AY27" s="24">
        <f t="shared" si="28"/>
        <v>3</v>
      </c>
      <c r="AZ27" s="24">
        <f t="shared" si="29"/>
        <v>2</v>
      </c>
      <c r="BA27" s="24">
        <f t="shared" si="30"/>
        <v>2</v>
      </c>
      <c r="BB27" s="24">
        <f t="shared" si="31"/>
        <v>2</v>
      </c>
      <c r="BC27" s="26">
        <f t="shared" si="32"/>
        <v>170</v>
      </c>
      <c r="BD27" s="26">
        <f t="shared" si="33"/>
        <v>173.33333333333334</v>
      </c>
      <c r="BE27" s="26">
        <f t="shared" si="34"/>
        <v>256.20000000000005</v>
      </c>
      <c r="BF27" s="26">
        <f t="shared" si="35"/>
        <v>87.333333333333343</v>
      </c>
      <c r="BG27" s="26">
        <f t="shared" si="36"/>
        <v>430.33333333333337</v>
      </c>
      <c r="BH27" s="26">
        <f t="shared" si="37"/>
        <v>254.9</v>
      </c>
      <c r="BI27" s="26">
        <f t="shared" si="38"/>
        <v>170.33333333333334</v>
      </c>
      <c r="BJ27" s="26">
        <f t="shared" si="39"/>
        <v>97</v>
      </c>
      <c r="BK27" s="26">
        <f t="shared" si="40"/>
        <v>97</v>
      </c>
      <c r="BL27" s="26">
        <f t="shared" si="41"/>
        <v>412.2</v>
      </c>
      <c r="BM27" s="26">
        <f t="shared" si="42"/>
        <v>82.44</v>
      </c>
      <c r="BN27" s="26">
        <f t="shared" si="43"/>
        <v>304.64999999999998</v>
      </c>
      <c r="BO27" s="26">
        <f t="shared" si="44"/>
        <v>186.18</v>
      </c>
      <c r="BP27" s="26">
        <f t="shared" si="45"/>
        <v>166</v>
      </c>
      <c r="BQ27" s="26">
        <f t="shared" si="46"/>
        <v>148</v>
      </c>
      <c r="BR27" s="26">
        <f t="shared" si="47"/>
        <v>150</v>
      </c>
      <c r="BS27" s="24">
        <f t="shared" si="48"/>
        <v>6</v>
      </c>
      <c r="BT27" s="24">
        <f t="shared" si="49"/>
        <v>6</v>
      </c>
      <c r="BU27" s="24">
        <f t="shared" si="50"/>
        <v>9</v>
      </c>
      <c r="BV27" s="24">
        <f t="shared" si="51"/>
        <v>3</v>
      </c>
      <c r="BW27" s="24">
        <f t="shared" si="52"/>
        <v>15</v>
      </c>
      <c r="BX27" s="24">
        <f t="shared" si="53"/>
        <v>9</v>
      </c>
      <c r="BY27" s="24">
        <f t="shared" si="54"/>
        <v>6</v>
      </c>
      <c r="BZ27" s="24">
        <f t="shared" si="55"/>
        <v>4</v>
      </c>
      <c r="CA27" s="24">
        <f t="shared" si="56"/>
        <v>4</v>
      </c>
      <c r="CB27" s="24">
        <f t="shared" si="57"/>
        <v>15</v>
      </c>
      <c r="CC27" s="24">
        <f t="shared" si="58"/>
        <v>3</v>
      </c>
      <c r="CD27" s="24">
        <f t="shared" si="59"/>
        <v>7.5</v>
      </c>
      <c r="CE27" s="24">
        <f t="shared" si="60"/>
        <v>4.5</v>
      </c>
      <c r="CF27" s="24">
        <f t="shared" si="61"/>
        <v>6</v>
      </c>
      <c r="CG27" s="24">
        <f t="shared" si="62"/>
        <v>4</v>
      </c>
      <c r="CH27" s="24">
        <f t="shared" si="63"/>
        <v>4</v>
      </c>
      <c r="CI27" s="24">
        <f t="shared" si="64"/>
        <v>20</v>
      </c>
      <c r="CJ27" s="26">
        <f t="shared" si="65"/>
        <v>1736.4333333333336</v>
      </c>
      <c r="CK27" s="26">
        <f t="shared" si="66"/>
        <v>68</v>
      </c>
      <c r="CL27" s="26">
        <f t="shared" si="316"/>
        <v>86.821666666666687</v>
      </c>
      <c r="CM27" s="24" t="str">
        <f t="shared" si="317"/>
        <v>B</v>
      </c>
      <c r="CN27" s="26">
        <f t="shared" si="67"/>
        <v>3.4</v>
      </c>
      <c r="CO27" s="24">
        <f t="shared" si="68"/>
        <v>20</v>
      </c>
      <c r="CP27" s="26">
        <f t="shared" si="69"/>
        <v>1449.47</v>
      </c>
      <c r="CQ27" s="26">
        <f t="shared" si="70"/>
        <v>44</v>
      </c>
      <c r="CR27" s="26">
        <f t="shared" si="318"/>
        <v>72.473500000000001</v>
      </c>
      <c r="CS27" s="24" t="str">
        <f t="shared" si="319"/>
        <v>C</v>
      </c>
      <c r="CT27" s="27">
        <f t="shared" si="71"/>
        <v>2.2000000000000002</v>
      </c>
      <c r="CU27" s="24">
        <f t="shared" si="72"/>
        <v>40</v>
      </c>
      <c r="CV27" s="26">
        <f t="shared" si="73"/>
        <v>3185.9033333333336</v>
      </c>
      <c r="CW27" s="27">
        <f t="shared" si="74"/>
        <v>3021.9033333333332</v>
      </c>
      <c r="CX27" s="26">
        <f t="shared" si="320"/>
        <v>79.647583333333344</v>
      </c>
      <c r="CY27" s="27" t="str">
        <f t="shared" si="321"/>
        <v>C</v>
      </c>
      <c r="CZ27" s="26">
        <f t="shared" si="75"/>
        <v>75.547583333333336</v>
      </c>
      <c r="DA27" s="24">
        <f t="shared" si="76"/>
        <v>10</v>
      </c>
      <c r="DB27" s="24" t="str">
        <f t="shared" si="77"/>
        <v>6A</v>
      </c>
      <c r="DC27" s="24">
        <f t="shared" si="78"/>
        <v>13</v>
      </c>
      <c r="DD27" s="24">
        <f>IF(B27="","",'Q3'!$C$8)</f>
        <v>50</v>
      </c>
      <c r="DE27" s="24">
        <f>IF(B27="","",'Q3'!DE27)</f>
        <v>0</v>
      </c>
      <c r="DF27" s="24">
        <f>IF(C27="","",'Q3'!DF27)</f>
        <v>0</v>
      </c>
      <c r="DG27" s="24">
        <f>IF(D27="","",'Q3'!DG27)</f>
        <v>0</v>
      </c>
      <c r="DH27" s="24">
        <f>IF(E27="","",'Q3'!DH27)</f>
        <v>0</v>
      </c>
      <c r="DI27" s="25">
        <f t="shared" si="79"/>
        <v>1</v>
      </c>
      <c r="DJ27" s="26">
        <f>IF('Q4'!G27="","",'Q4'!G27)</f>
        <v>78.666666666666657</v>
      </c>
      <c r="DK27" s="26">
        <f>IF('Q4'!H27="","",'Q4'!H27)</f>
        <v>82.733333333333334</v>
      </c>
      <c r="DL27" s="26">
        <f>IF('Q4'!I27="","",'Q4'!I27)</f>
        <v>84.7</v>
      </c>
      <c r="DM27" s="26">
        <f>IF('Q4'!J27="","",'Q4'!J27)</f>
        <v>85.333333333333343</v>
      </c>
      <c r="DN27" s="26">
        <f>IF('Q4'!K27="","",'Q4'!K27)</f>
        <v>86.6</v>
      </c>
      <c r="DO27" s="26">
        <f>IF('Q4'!L27="","",'Q4'!L27)</f>
        <v>85.466666666666669</v>
      </c>
      <c r="DP27" s="26">
        <f>IF('Q4'!M27="","",'Q4'!M27)</f>
        <v>84</v>
      </c>
      <c r="DQ27" s="26">
        <f>IF('Q4'!N27="","",'Q4'!N27)</f>
        <v>96</v>
      </c>
      <c r="DR27" s="26">
        <f>IF('Q4'!O27="","",'Q4'!O27)</f>
        <v>96</v>
      </c>
      <c r="DS27" s="26">
        <f>IF('Q4'!P27="","",'Q4'!P27)</f>
        <v>55.94</v>
      </c>
      <c r="DT27" s="26">
        <f>IF('Q4'!Q27="","",'Q4'!Q27)</f>
        <v>55.94</v>
      </c>
      <c r="DU27" s="26">
        <f>IF('Q4'!R27="","",'Q4'!R27)</f>
        <v>58.6</v>
      </c>
      <c r="DV27" s="26">
        <f>IF('Q4'!S27="","",'Q4'!S27)</f>
        <v>56.7</v>
      </c>
      <c r="DW27" s="26">
        <f>IF('Q4'!T27="","",'Q4'!T27)</f>
        <v>82.5</v>
      </c>
      <c r="DX27" s="26">
        <f>IF('Q4'!U27="","",'Q4'!U27)</f>
        <v>76.166666666666657</v>
      </c>
      <c r="DY27" s="26">
        <f>IF('Q4'!V27="","",'Q4'!V27)</f>
        <v>71.333333333333343</v>
      </c>
      <c r="DZ27" s="26" t="str">
        <f t="shared" si="80"/>
        <v>C</v>
      </c>
      <c r="EA27" s="26" t="str">
        <f t="shared" si="81"/>
        <v>B</v>
      </c>
      <c r="EB27" s="26" t="str">
        <f t="shared" si="82"/>
        <v>B</v>
      </c>
      <c r="EC27" s="26" t="str">
        <f t="shared" si="83"/>
        <v>B</v>
      </c>
      <c r="ED27" s="26" t="str">
        <f t="shared" si="84"/>
        <v>B</v>
      </c>
      <c r="EE27" s="26" t="str">
        <f t="shared" si="85"/>
        <v>B</v>
      </c>
      <c r="EF27" s="26" t="str">
        <f t="shared" si="86"/>
        <v>B</v>
      </c>
      <c r="EG27" s="26" t="str">
        <f t="shared" si="87"/>
        <v>A</v>
      </c>
      <c r="EH27" s="26" t="str">
        <f t="shared" si="88"/>
        <v>A</v>
      </c>
      <c r="EI27" s="24" t="str">
        <f t="shared" si="89"/>
        <v>E</v>
      </c>
      <c r="EJ27" s="24" t="str">
        <f t="shared" si="90"/>
        <v>E</v>
      </c>
      <c r="EK27" s="24" t="str">
        <f t="shared" si="91"/>
        <v>E</v>
      </c>
      <c r="EL27" s="24" t="str">
        <f t="shared" si="92"/>
        <v>E</v>
      </c>
      <c r="EM27" s="24" t="str">
        <f t="shared" si="93"/>
        <v>B</v>
      </c>
      <c r="EN27" s="24" t="str">
        <f t="shared" si="94"/>
        <v>C</v>
      </c>
      <c r="EO27" s="24" t="str">
        <f t="shared" si="95"/>
        <v>C</v>
      </c>
      <c r="EP27" s="24">
        <f t="shared" si="96"/>
        <v>2</v>
      </c>
      <c r="EQ27" s="24">
        <f t="shared" si="97"/>
        <v>2</v>
      </c>
      <c r="ER27" s="24">
        <f t="shared" si="98"/>
        <v>3</v>
      </c>
      <c r="ES27" s="24">
        <f t="shared" si="99"/>
        <v>1</v>
      </c>
      <c r="ET27" s="24">
        <f t="shared" si="100"/>
        <v>5</v>
      </c>
      <c r="EU27" s="24">
        <f t="shared" si="101"/>
        <v>3</v>
      </c>
      <c r="EV27" s="24">
        <f t="shared" si="102"/>
        <v>2</v>
      </c>
      <c r="EW27" s="24">
        <f t="shared" si="322"/>
        <v>1</v>
      </c>
      <c r="EX27" s="24">
        <f t="shared" si="103"/>
        <v>1</v>
      </c>
      <c r="EY27" s="24">
        <f t="shared" si="104"/>
        <v>5</v>
      </c>
      <c r="EZ27" s="24">
        <f t="shared" si="105"/>
        <v>1</v>
      </c>
      <c r="FA27" s="24">
        <f t="shared" si="106"/>
        <v>5</v>
      </c>
      <c r="FB27" s="24">
        <f t="shared" si="107"/>
        <v>3</v>
      </c>
      <c r="FC27" s="24">
        <f t="shared" si="108"/>
        <v>2</v>
      </c>
      <c r="FD27" s="24">
        <f t="shared" si="109"/>
        <v>2</v>
      </c>
      <c r="FE27" s="24">
        <f t="shared" si="110"/>
        <v>2</v>
      </c>
      <c r="FF27" s="26">
        <f t="shared" si="111"/>
        <v>157.33333333333331</v>
      </c>
      <c r="FG27" s="26">
        <f t="shared" si="112"/>
        <v>165.46666666666667</v>
      </c>
      <c r="FH27" s="26">
        <f t="shared" si="113"/>
        <v>254.10000000000002</v>
      </c>
      <c r="FI27" s="26">
        <f t="shared" si="114"/>
        <v>85.333333333333343</v>
      </c>
      <c r="FJ27" s="26">
        <f t="shared" si="115"/>
        <v>433</v>
      </c>
      <c r="FK27" s="26">
        <f t="shared" si="116"/>
        <v>256.39999999999998</v>
      </c>
      <c r="FL27" s="26">
        <f t="shared" si="117"/>
        <v>168</v>
      </c>
      <c r="FM27" s="26">
        <f t="shared" si="118"/>
        <v>96</v>
      </c>
      <c r="FN27" s="26"/>
      <c r="FO27" s="26">
        <f t="shared" si="119"/>
        <v>279.7</v>
      </c>
      <c r="FP27" s="26">
        <f t="shared" si="120"/>
        <v>55.94</v>
      </c>
      <c r="FQ27" s="26">
        <f t="shared" si="121"/>
        <v>293</v>
      </c>
      <c r="FR27" s="26">
        <f t="shared" si="122"/>
        <v>170.10000000000002</v>
      </c>
      <c r="FS27" s="26">
        <f t="shared" si="123"/>
        <v>165</v>
      </c>
      <c r="FT27" s="26">
        <f t="shared" si="124"/>
        <v>152.33333333333331</v>
      </c>
      <c r="FU27" s="26">
        <f t="shared" si="125"/>
        <v>142.66666666666669</v>
      </c>
      <c r="FV27" s="24">
        <f t="shared" si="126"/>
        <v>4</v>
      </c>
      <c r="FW27" s="24">
        <f t="shared" si="127"/>
        <v>6</v>
      </c>
      <c r="FX27" s="24">
        <f t="shared" si="128"/>
        <v>9</v>
      </c>
      <c r="FY27" s="24">
        <f t="shared" si="129"/>
        <v>3</v>
      </c>
      <c r="FZ27" s="24">
        <f t="shared" si="130"/>
        <v>15</v>
      </c>
      <c r="GA27" s="24">
        <f t="shared" si="131"/>
        <v>9</v>
      </c>
      <c r="GB27" s="24">
        <f t="shared" si="132"/>
        <v>6</v>
      </c>
      <c r="GC27" s="24">
        <f t="shared" si="133"/>
        <v>4</v>
      </c>
      <c r="GD27" s="24">
        <f t="shared" si="323"/>
        <v>4</v>
      </c>
      <c r="GE27" s="24">
        <f t="shared" si="324"/>
        <v>1</v>
      </c>
      <c r="GF27" s="24">
        <f t="shared" si="325"/>
        <v>5</v>
      </c>
      <c r="GG27" s="24">
        <f t="shared" si="326"/>
        <v>3</v>
      </c>
      <c r="GH27" s="24">
        <f t="shared" si="327"/>
        <v>2</v>
      </c>
      <c r="GI27" s="24">
        <f t="shared" si="328"/>
        <v>6</v>
      </c>
      <c r="GJ27" s="24">
        <f t="shared" si="329"/>
        <v>4</v>
      </c>
      <c r="GK27" s="24">
        <f t="shared" si="330"/>
        <v>4</v>
      </c>
      <c r="GL27" s="24">
        <f t="shared" si="135"/>
        <v>19</v>
      </c>
      <c r="GM27" s="26">
        <f t="shared" si="136"/>
        <v>1615.6333333333332</v>
      </c>
      <c r="GN27" s="26">
        <f t="shared" si="137"/>
        <v>56</v>
      </c>
      <c r="GO27" s="26">
        <f t="shared" si="331"/>
        <v>85.033333333333331</v>
      </c>
      <c r="GP27" s="24" t="str">
        <f t="shared" si="332"/>
        <v>B</v>
      </c>
      <c r="GQ27" s="26">
        <f t="shared" si="138"/>
        <v>2.9473684210526314</v>
      </c>
      <c r="GR27" s="24">
        <f t="shared" si="139"/>
        <v>20</v>
      </c>
      <c r="GS27" s="26">
        <f t="shared" si="140"/>
        <v>1258.74</v>
      </c>
      <c r="GT27" s="26">
        <f t="shared" si="141"/>
        <v>25</v>
      </c>
      <c r="GU27" s="26">
        <f t="shared" si="333"/>
        <v>62.936999999999998</v>
      </c>
      <c r="GV27" s="24" t="str">
        <f t="shared" si="334"/>
        <v>D</v>
      </c>
      <c r="GW27" s="27">
        <f t="shared" si="142"/>
        <v>1.25</v>
      </c>
      <c r="GX27" s="24">
        <f t="shared" si="143"/>
        <v>40</v>
      </c>
      <c r="GY27" s="26">
        <f t="shared" si="144"/>
        <v>2874.3733333333334</v>
      </c>
      <c r="GZ27" s="26">
        <f t="shared" si="145"/>
        <v>2721.0400000000004</v>
      </c>
      <c r="HA27" s="26">
        <f t="shared" si="335"/>
        <v>71.859333333333339</v>
      </c>
      <c r="HB27" s="27" t="str">
        <f t="shared" si="336"/>
        <v>C</v>
      </c>
      <c r="HC27" s="26">
        <f t="shared" si="146"/>
        <v>68.02600000000001</v>
      </c>
      <c r="HD27" s="24">
        <f t="shared" si="147"/>
        <v>9</v>
      </c>
      <c r="HE27" s="24" t="str">
        <f t="shared" si="148"/>
        <v>6A</v>
      </c>
      <c r="HF27" s="24">
        <f t="shared" si="149"/>
        <v>13</v>
      </c>
      <c r="HG27" s="24">
        <f>IF(B27="","",'Q4'!$C$8)</f>
        <v>50</v>
      </c>
      <c r="HH27" s="24">
        <f>IF(A27="","",'Q4'!DE27)</f>
        <v>0</v>
      </c>
      <c r="HI27" s="24">
        <f>IF(B27="","",'Q4'!DF27)</f>
        <v>0</v>
      </c>
      <c r="HJ27" s="24">
        <f>IF(B27="","",'Q4'!DG27)</f>
        <v>0</v>
      </c>
      <c r="HK27" s="24">
        <f t="shared" si="150"/>
        <v>0</v>
      </c>
      <c r="HL27" s="25">
        <f t="shared" si="151"/>
        <v>1</v>
      </c>
      <c r="HM27" s="7">
        <v>95</v>
      </c>
      <c r="HN27" s="7">
        <v>80</v>
      </c>
      <c r="HO27" s="7">
        <v>85</v>
      </c>
      <c r="HP27" s="7">
        <v>95</v>
      </c>
      <c r="HQ27" s="7">
        <v>80</v>
      </c>
      <c r="HR27" s="7">
        <v>95</v>
      </c>
      <c r="HS27" s="7">
        <v>90</v>
      </c>
      <c r="HT27" s="7"/>
      <c r="HU27" s="7"/>
      <c r="HV27" s="7">
        <v>52</v>
      </c>
      <c r="HW27" s="7"/>
      <c r="HX27" s="7">
        <v>60</v>
      </c>
      <c r="HY27" s="7">
        <v>61</v>
      </c>
      <c r="HZ27" s="7">
        <v>65</v>
      </c>
      <c r="IA27" s="7">
        <v>65</v>
      </c>
      <c r="IB27" s="7">
        <v>32</v>
      </c>
      <c r="IC27" s="24" t="str">
        <f t="shared" si="152"/>
        <v>A</v>
      </c>
      <c r="ID27" s="24" t="str">
        <f t="shared" si="153"/>
        <v>B</v>
      </c>
      <c r="IE27" s="24" t="str">
        <f t="shared" si="154"/>
        <v>B</v>
      </c>
      <c r="IF27" s="24" t="str">
        <f t="shared" si="155"/>
        <v>A</v>
      </c>
      <c r="IG27" s="24" t="str">
        <f t="shared" si="156"/>
        <v>B</v>
      </c>
      <c r="IH27" s="24" t="str">
        <f t="shared" si="157"/>
        <v>A</v>
      </c>
      <c r="II27" s="24" t="str">
        <f t="shared" si="158"/>
        <v>A</v>
      </c>
      <c r="IJ27" s="24" t="str">
        <f t="shared" si="159"/>
        <v/>
      </c>
      <c r="IK27" s="24" t="str">
        <f t="shared" si="160"/>
        <v/>
      </c>
      <c r="IL27" s="24" t="str">
        <f t="shared" si="161"/>
        <v>E</v>
      </c>
      <c r="IM27" s="24" t="str">
        <f t="shared" si="162"/>
        <v/>
      </c>
      <c r="IN27" s="24" t="str">
        <f t="shared" si="163"/>
        <v>D</v>
      </c>
      <c r="IO27" s="24" t="str">
        <f t="shared" si="164"/>
        <v>D</v>
      </c>
      <c r="IP27" s="24" t="str">
        <f t="shared" si="165"/>
        <v>D</v>
      </c>
      <c r="IQ27" s="24" t="str">
        <f t="shared" si="166"/>
        <v>D</v>
      </c>
      <c r="IR27" s="24" t="str">
        <f t="shared" si="167"/>
        <v>F</v>
      </c>
      <c r="IS27" s="24">
        <f t="shared" si="168"/>
        <v>2</v>
      </c>
      <c r="IT27" s="24">
        <f t="shared" si="169"/>
        <v>2</v>
      </c>
      <c r="IU27" s="24">
        <f t="shared" si="170"/>
        <v>3</v>
      </c>
      <c r="IV27" s="24">
        <f t="shared" si="171"/>
        <v>1</v>
      </c>
      <c r="IW27" s="24">
        <f t="shared" si="172"/>
        <v>5</v>
      </c>
      <c r="IX27" s="24">
        <f t="shared" si="173"/>
        <v>3</v>
      </c>
      <c r="IY27" s="24">
        <f t="shared" si="174"/>
        <v>2</v>
      </c>
      <c r="IZ27" s="24" t="str">
        <f t="shared" si="175"/>
        <v/>
      </c>
      <c r="JA27" s="24" t="str">
        <f t="shared" si="176"/>
        <v/>
      </c>
      <c r="JB27" s="24">
        <f t="shared" si="177"/>
        <v>5</v>
      </c>
      <c r="JC27" s="24" t="str">
        <f t="shared" si="178"/>
        <v/>
      </c>
      <c r="JD27" s="24">
        <f t="shared" si="179"/>
        <v>5</v>
      </c>
      <c r="JE27" s="24">
        <f t="shared" si="180"/>
        <v>3</v>
      </c>
      <c r="JF27" s="24">
        <f t="shared" si="181"/>
        <v>2</v>
      </c>
      <c r="JG27" s="24">
        <f t="shared" si="182"/>
        <v>2</v>
      </c>
      <c r="JH27" s="24">
        <f t="shared" si="183"/>
        <v>2</v>
      </c>
      <c r="JI27" s="26">
        <f t="shared" si="184"/>
        <v>190</v>
      </c>
      <c r="JJ27" s="26">
        <f t="shared" si="185"/>
        <v>160</v>
      </c>
      <c r="JK27" s="26">
        <f t="shared" si="186"/>
        <v>255</v>
      </c>
      <c r="JL27" s="26">
        <f t="shared" si="187"/>
        <v>95</v>
      </c>
      <c r="JM27" s="26">
        <f t="shared" si="188"/>
        <v>400</v>
      </c>
      <c r="JN27" s="26">
        <f t="shared" si="189"/>
        <v>285</v>
      </c>
      <c r="JO27" s="26">
        <f t="shared" si="190"/>
        <v>180</v>
      </c>
      <c r="JP27" s="26" t="str">
        <f t="shared" si="191"/>
        <v/>
      </c>
      <c r="JQ27" s="26" t="str">
        <f t="shared" si="192"/>
        <v/>
      </c>
      <c r="JR27" s="26">
        <f t="shared" si="193"/>
        <v>260</v>
      </c>
      <c r="JS27" s="26" t="str">
        <f t="shared" si="194"/>
        <v/>
      </c>
      <c r="JT27" s="26">
        <f t="shared" si="195"/>
        <v>300</v>
      </c>
      <c r="JU27" s="26">
        <f t="shared" si="196"/>
        <v>183</v>
      </c>
      <c r="JV27" s="26">
        <f t="shared" si="197"/>
        <v>130</v>
      </c>
      <c r="JW27" s="26">
        <f t="shared" si="198"/>
        <v>130</v>
      </c>
      <c r="JX27" s="26">
        <f t="shared" si="199"/>
        <v>64</v>
      </c>
      <c r="JY27" s="24">
        <f t="shared" si="200"/>
        <v>8</v>
      </c>
      <c r="JZ27" s="24">
        <f t="shared" si="201"/>
        <v>6</v>
      </c>
      <c r="KA27" s="24">
        <f t="shared" si="202"/>
        <v>9</v>
      </c>
      <c r="KB27" s="24">
        <f t="shared" si="203"/>
        <v>4</v>
      </c>
      <c r="KC27" s="24">
        <f t="shared" si="204"/>
        <v>15</v>
      </c>
      <c r="KD27" s="24">
        <f t="shared" si="205"/>
        <v>12</v>
      </c>
      <c r="KE27" s="24">
        <f t="shared" si="206"/>
        <v>8</v>
      </c>
      <c r="KF27" s="24" t="str">
        <f t="shared" si="207"/>
        <v/>
      </c>
      <c r="KG27" s="24" t="str">
        <f t="shared" si="208"/>
        <v/>
      </c>
      <c r="KH27" s="24">
        <f t="shared" si="209"/>
        <v>5</v>
      </c>
      <c r="KI27" s="24" t="str">
        <f t="shared" si="210"/>
        <v/>
      </c>
      <c r="KJ27" s="24">
        <f t="shared" si="211"/>
        <v>7.5</v>
      </c>
      <c r="KK27" s="24">
        <f t="shared" si="212"/>
        <v>4.5</v>
      </c>
      <c r="KL27" s="24">
        <f t="shared" si="213"/>
        <v>3</v>
      </c>
      <c r="KM27" s="24">
        <f t="shared" si="214"/>
        <v>3</v>
      </c>
      <c r="KN27" s="24">
        <f t="shared" si="215"/>
        <v>0</v>
      </c>
      <c r="KO27" s="24">
        <f t="shared" si="216"/>
        <v>18</v>
      </c>
      <c r="KP27" s="26" t="str">
        <f t="shared" si="217"/>
        <v/>
      </c>
      <c r="KQ27" s="26">
        <f t="shared" si="218"/>
        <v>62</v>
      </c>
      <c r="KR27" s="26" t="str">
        <f t="shared" si="337"/>
        <v/>
      </c>
      <c r="KS27" s="24" t="str">
        <f t="shared" si="338"/>
        <v/>
      </c>
      <c r="KT27" s="26">
        <f t="shared" si="219"/>
        <v>3.4444444444444446</v>
      </c>
      <c r="KU27" s="24">
        <f t="shared" si="220"/>
        <v>19</v>
      </c>
      <c r="KV27" s="24">
        <f t="shared" si="221"/>
        <v>1067</v>
      </c>
      <c r="KW27" s="24">
        <f t="shared" si="222"/>
        <v>23</v>
      </c>
      <c r="KX27" s="26">
        <f t="shared" si="339"/>
        <v>56.157894736842103</v>
      </c>
      <c r="KY27" s="24" t="str">
        <f t="shared" si="340"/>
        <v>E</v>
      </c>
      <c r="KZ27" s="27">
        <f t="shared" si="223"/>
        <v>1.2105263157894737</v>
      </c>
      <c r="LA27" s="24">
        <f t="shared" si="224"/>
        <v>37</v>
      </c>
      <c r="LB27" s="26">
        <f t="shared" si="225"/>
        <v>2632</v>
      </c>
      <c r="LC27" s="26">
        <f t="shared" si="226"/>
        <v>85</v>
      </c>
      <c r="LD27" s="26">
        <f t="shared" si="341"/>
        <v>71.13513513513513</v>
      </c>
      <c r="LE27" s="27" t="str">
        <f t="shared" si="342"/>
        <v>C</v>
      </c>
      <c r="LF27" s="26">
        <f t="shared" si="227"/>
        <v>2.2972972972972974</v>
      </c>
      <c r="LG27" s="24">
        <f t="shared" si="228"/>
        <v>9</v>
      </c>
      <c r="LH27" s="24" t="str">
        <f t="shared" si="229"/>
        <v>6A</v>
      </c>
      <c r="LI27" s="24">
        <f t="shared" si="230"/>
        <v>13</v>
      </c>
      <c r="LJ27" s="26">
        <f>IF('Q4'!G27="","",SUM((AVERAGE('Q3'!G27,'Q4'!G27)*0.5))+(HM27*0.5))</f>
        <v>88.416666666666657</v>
      </c>
      <c r="LK27" s="26">
        <f>IF('Q4'!H27="","",SUM((AVERAGE('Q3'!H27,'Q4'!H27)*1)))</f>
        <v>84.7</v>
      </c>
      <c r="LL27" s="26">
        <f>IF('Q4'!I27="","",SUM((AVERAGE('Q3'!I27,'Q4'!I27)*0.5))+(HO27*0.5))</f>
        <v>85.025000000000006</v>
      </c>
      <c r="LM27" s="26">
        <f>IF('Q4'!J27="","",SUM((AVERAGE('Q3'!J27,'Q4'!J27)*0.5))+(HP27*0.5))</f>
        <v>90.666666666666671</v>
      </c>
      <c r="LN27" s="26">
        <f>IF('Q4'!K27="","",SUM((AVERAGE('Q3'!K27,'Q4'!K27)*0.5))+(HQ27*0.5))</f>
        <v>83.166666666666671</v>
      </c>
      <c r="LO27" s="26">
        <f>IF('Q4'!L27="","",SUM((AVERAGE('Q3'!L27,'Q4'!L27)*0.5))+(HR27*0.5))</f>
        <v>90.108333333333334</v>
      </c>
      <c r="LP27" s="26">
        <f>IF('Q4'!M27="","",SUM((AVERAGE('Q3'!M27,'Q4'!M27)*0.5))+(HS27*0.5))</f>
        <v>87.291666666666671</v>
      </c>
      <c r="LQ27" s="26">
        <f>IF('Q4'!N27="","",SUM((AVERAGE('Q3'!N27,'Q4'!N27)*1)))</f>
        <v>96.5</v>
      </c>
      <c r="LR27" s="26">
        <f>IF('Q4'!O27="","",SUM((AVERAGE('Q3'!O27,'Q4'!O27)*1)))</f>
        <v>96.5</v>
      </c>
      <c r="LS27" s="26">
        <f>IF('Q4'!P27="","",SUM((AVERAGE('Q3'!P27,'Q4'!P27)*0.5))+(HV27*0.5))</f>
        <v>60.594999999999999</v>
      </c>
      <c r="LT27" s="26">
        <f>IF('Q4'!Q27="","",SUM((AVERAGE('Q3'!Q27,'Q4'!Q27)*1)))</f>
        <v>69.19</v>
      </c>
      <c r="LU27" s="26">
        <f>IF('Q4'!R27="","",SUM((AVERAGE('Q3'!R27,'Q4'!R27)*0.5))+(HX27*0.5))</f>
        <v>59.8825</v>
      </c>
      <c r="LV27" s="26">
        <f>IF('Q4'!S27="","",SUM((AVERAGE('Q3'!S27,'Q4'!S27)*0.5))+(HY27*0.5))</f>
        <v>60.19</v>
      </c>
      <c r="LW27" s="26">
        <f>IF('Q4'!T27="","",SUM((AVERAGE('Q3'!T27,'Q4'!T27)*0.5))+(HZ27*0.5))</f>
        <v>73.875</v>
      </c>
      <c r="LX27" s="26">
        <f>IF('Q4'!U27="","",SUM((AVERAGE('Q3'!U27,'Q4'!U27)*0.5))+(IA27*0.5))</f>
        <v>70.041666666666657</v>
      </c>
      <c r="LY27" s="26">
        <f>IF('Q4'!V27="","",SUM((AVERAGE('Q3'!V27,'Q4'!V27)*0.5))+(IB27*0.5))</f>
        <v>52.583333333333336</v>
      </c>
      <c r="LZ27" s="26" t="str">
        <f t="shared" si="231"/>
        <v>B</v>
      </c>
      <c r="MA27" s="26" t="str">
        <f t="shared" si="232"/>
        <v>B</v>
      </c>
      <c r="MB27" s="26" t="str">
        <f t="shared" si="233"/>
        <v>B</v>
      </c>
      <c r="MC27" s="26" t="str">
        <f t="shared" si="234"/>
        <v>A</v>
      </c>
      <c r="MD27" s="26" t="str">
        <f t="shared" si="235"/>
        <v>B</v>
      </c>
      <c r="ME27" s="26" t="str">
        <f t="shared" si="236"/>
        <v>A</v>
      </c>
      <c r="MF27" s="26" t="str">
        <f t="shared" si="237"/>
        <v>B</v>
      </c>
      <c r="MG27" s="26" t="str">
        <f t="shared" si="238"/>
        <v>A</v>
      </c>
      <c r="MH27" s="26" t="str">
        <f t="shared" si="239"/>
        <v>A</v>
      </c>
      <c r="MI27" s="24" t="str">
        <f t="shared" si="240"/>
        <v>D</v>
      </c>
      <c r="MJ27" s="24" t="str">
        <f t="shared" si="241"/>
        <v>D</v>
      </c>
      <c r="MK27" s="24" t="str">
        <f t="shared" si="242"/>
        <v>E</v>
      </c>
      <c r="ML27" s="24" t="str">
        <f t="shared" si="243"/>
        <v>D</v>
      </c>
      <c r="MM27" s="24" t="str">
        <f t="shared" si="244"/>
        <v>C</v>
      </c>
      <c r="MN27" s="24" t="str">
        <f t="shared" si="245"/>
        <v>C</v>
      </c>
      <c r="MO27" s="24" t="str">
        <f t="shared" si="246"/>
        <v>E</v>
      </c>
      <c r="MP27" s="24">
        <f t="shared" si="247"/>
        <v>2</v>
      </c>
      <c r="MQ27" s="24">
        <f t="shared" si="248"/>
        <v>2</v>
      </c>
      <c r="MR27" s="24">
        <f t="shared" si="249"/>
        <v>3</v>
      </c>
      <c r="MS27" s="24">
        <f t="shared" si="250"/>
        <v>1</v>
      </c>
      <c r="MT27" s="24">
        <f t="shared" si="251"/>
        <v>5</v>
      </c>
      <c r="MU27" s="24">
        <f t="shared" si="252"/>
        <v>3</v>
      </c>
      <c r="MV27" s="24">
        <f t="shared" si="253"/>
        <v>2</v>
      </c>
      <c r="MW27" s="24">
        <f t="shared" si="254"/>
        <v>1</v>
      </c>
      <c r="MX27" s="24">
        <f t="shared" si="255"/>
        <v>1</v>
      </c>
      <c r="MY27" s="24">
        <f t="shared" si="256"/>
        <v>5</v>
      </c>
      <c r="MZ27" s="24">
        <f t="shared" si="257"/>
        <v>1</v>
      </c>
      <c r="NA27" s="24">
        <f t="shared" si="258"/>
        <v>5</v>
      </c>
      <c r="NB27" s="24">
        <f t="shared" si="259"/>
        <v>3</v>
      </c>
      <c r="NC27" s="24">
        <f t="shared" si="260"/>
        <v>2</v>
      </c>
      <c r="ND27" s="24">
        <f t="shared" si="261"/>
        <v>2</v>
      </c>
      <c r="NE27" s="24">
        <f t="shared" si="262"/>
        <v>2</v>
      </c>
      <c r="NF27" s="26">
        <f t="shared" si="263"/>
        <v>176.83333333333331</v>
      </c>
      <c r="NG27" s="26">
        <f t="shared" si="264"/>
        <v>169.4</v>
      </c>
      <c r="NH27" s="26">
        <f t="shared" si="265"/>
        <v>255.07500000000002</v>
      </c>
      <c r="NI27" s="26">
        <f t="shared" si="266"/>
        <v>90.666666666666671</v>
      </c>
      <c r="NJ27" s="26">
        <f t="shared" si="267"/>
        <v>415.83333333333337</v>
      </c>
      <c r="NK27" s="26">
        <f t="shared" si="268"/>
        <v>270.32499999999999</v>
      </c>
      <c r="NL27" s="26">
        <f t="shared" si="269"/>
        <v>174.58333333333334</v>
      </c>
      <c r="NM27" s="26">
        <f t="shared" si="270"/>
        <v>96.5</v>
      </c>
      <c r="NN27" s="26">
        <f t="shared" si="271"/>
        <v>96.5</v>
      </c>
      <c r="NO27" s="26">
        <f t="shared" si="272"/>
        <v>302.97500000000002</v>
      </c>
      <c r="NP27" s="26">
        <f t="shared" si="273"/>
        <v>69.19</v>
      </c>
      <c r="NQ27" s="26">
        <f t="shared" si="274"/>
        <v>299.41250000000002</v>
      </c>
      <c r="NR27" s="26">
        <f t="shared" si="275"/>
        <v>180.57</v>
      </c>
      <c r="NS27" s="26">
        <f t="shared" si="276"/>
        <v>147.75</v>
      </c>
      <c r="NT27" s="26">
        <f t="shared" si="277"/>
        <v>140.08333333333331</v>
      </c>
      <c r="NU27" s="26">
        <f t="shared" si="278"/>
        <v>105.16666666666667</v>
      </c>
      <c r="NV27" s="24">
        <f t="shared" si="279"/>
        <v>6</v>
      </c>
      <c r="NW27" s="24">
        <f t="shared" si="280"/>
        <v>6</v>
      </c>
      <c r="NX27" s="24">
        <f t="shared" si="281"/>
        <v>9</v>
      </c>
      <c r="NY27" s="24">
        <f t="shared" si="282"/>
        <v>4</v>
      </c>
      <c r="NZ27" s="24">
        <f t="shared" si="283"/>
        <v>15</v>
      </c>
      <c r="OA27" s="24">
        <f t="shared" si="284"/>
        <v>12</v>
      </c>
      <c r="OB27" s="24">
        <f t="shared" si="285"/>
        <v>6</v>
      </c>
      <c r="OC27" s="24">
        <f t="shared" si="286"/>
        <v>4</v>
      </c>
      <c r="OD27" s="24">
        <f t="shared" si="287"/>
        <v>4</v>
      </c>
      <c r="OE27" s="24">
        <f t="shared" si="288"/>
        <v>7.5</v>
      </c>
      <c r="OF27" s="24">
        <f t="shared" si="289"/>
        <v>1.5</v>
      </c>
      <c r="OG27" s="24">
        <f t="shared" si="290"/>
        <v>5</v>
      </c>
      <c r="OH27" s="24">
        <f t="shared" si="291"/>
        <v>4.5</v>
      </c>
      <c r="OI27" s="24">
        <f t="shared" si="292"/>
        <v>4</v>
      </c>
      <c r="OJ27" s="24">
        <f t="shared" si="293"/>
        <v>4</v>
      </c>
      <c r="OK27" s="24">
        <f t="shared" si="294"/>
        <v>2</v>
      </c>
      <c r="OL27" s="24">
        <f t="shared" si="295"/>
        <v>20</v>
      </c>
      <c r="OM27" s="26">
        <f t="shared" si="296"/>
        <v>1745.7166666666667</v>
      </c>
      <c r="ON27" s="26">
        <f t="shared" si="297"/>
        <v>66</v>
      </c>
      <c r="OO27" s="26">
        <f t="shared" si="343"/>
        <v>87.285833333333329</v>
      </c>
      <c r="OP27" s="24" t="str">
        <f t="shared" si="344"/>
        <v>B</v>
      </c>
      <c r="OQ27" s="26">
        <f t="shared" si="298"/>
        <v>3.3</v>
      </c>
      <c r="OR27" s="24">
        <f t="shared" si="299"/>
        <v>20</v>
      </c>
      <c r="OS27" s="26">
        <f t="shared" si="300"/>
        <v>1245.1475</v>
      </c>
      <c r="OT27" s="26">
        <f t="shared" si="301"/>
        <v>28.5</v>
      </c>
      <c r="OU27" s="26">
        <f t="shared" si="345"/>
        <v>62.257375000000003</v>
      </c>
      <c r="OV27" s="24" t="str">
        <f t="shared" si="346"/>
        <v>D</v>
      </c>
      <c r="OW27" s="27">
        <f t="shared" si="302"/>
        <v>1.425</v>
      </c>
      <c r="OX27" s="24">
        <f t="shared" si="303"/>
        <v>40</v>
      </c>
      <c r="OY27" s="26">
        <f t="shared" si="304"/>
        <v>2990.8641666666667</v>
      </c>
      <c r="OZ27" s="26">
        <f t="shared" si="305"/>
        <v>94.5</v>
      </c>
      <c r="PA27" s="26">
        <f t="shared" si="347"/>
        <v>74.771604166666663</v>
      </c>
      <c r="PB27" s="27" t="str">
        <f t="shared" si="348"/>
        <v>C</v>
      </c>
      <c r="PC27" s="26">
        <f t="shared" si="306"/>
        <v>2.3624999999999998</v>
      </c>
      <c r="PD27" s="24">
        <f t="shared" si="307"/>
        <v>9</v>
      </c>
      <c r="PE27" s="24" t="str">
        <f t="shared" si="308"/>
        <v>6A</v>
      </c>
      <c r="PF27" s="24">
        <f t="shared" si="309"/>
        <v>13</v>
      </c>
      <c r="PG27" s="24">
        <f t="shared" si="310"/>
        <v>104</v>
      </c>
      <c r="PH27" s="24">
        <f t="shared" si="311"/>
        <v>0</v>
      </c>
      <c r="PI27" s="24">
        <f t="shared" si="312"/>
        <v>0</v>
      </c>
      <c r="PJ27" s="24">
        <f t="shared" si="313"/>
        <v>0</v>
      </c>
      <c r="PK27" s="24">
        <f t="shared" si="314"/>
        <v>0</v>
      </c>
      <c r="PL27" s="25">
        <f t="shared" si="315"/>
        <v>1</v>
      </c>
    </row>
  </sheetData>
  <mergeCells count="405">
    <mergeCell ref="OL12:OQ12"/>
    <mergeCell ref="OL13:OL14"/>
    <mergeCell ref="OM13:OM14"/>
    <mergeCell ref="ON13:ON14"/>
    <mergeCell ref="OO13:OO14"/>
    <mergeCell ref="OP13:OP14"/>
    <mergeCell ref="OQ13:OQ14"/>
    <mergeCell ref="OX14:PC14"/>
    <mergeCell ref="OX12:PG12"/>
    <mergeCell ref="PG13:PG14"/>
    <mergeCell ref="NV13:NV14"/>
    <mergeCell ref="NW13:NW14"/>
    <mergeCell ref="NX13:NX14"/>
    <mergeCell ref="NY13:NY14"/>
    <mergeCell ref="NZ13:NZ14"/>
    <mergeCell ref="OA13:OA14"/>
    <mergeCell ref="OB13:OB14"/>
    <mergeCell ref="OC13:OC14"/>
    <mergeCell ref="OD13:OD14"/>
    <mergeCell ref="LQ13:LQ14"/>
    <mergeCell ref="LR13:LR14"/>
    <mergeCell ref="LZ12:MH12"/>
    <mergeCell ref="LZ13:LZ14"/>
    <mergeCell ref="MA13:MA14"/>
    <mergeCell ref="MB13:MB14"/>
    <mergeCell ref="MC13:MC14"/>
    <mergeCell ref="MD13:MD14"/>
    <mergeCell ref="ME13:ME14"/>
    <mergeCell ref="MF13:MF14"/>
    <mergeCell ref="MG13:MG14"/>
    <mergeCell ref="MH13:MH14"/>
    <mergeCell ref="LS13:LS14"/>
    <mergeCell ref="LT13:LT14"/>
    <mergeCell ref="LU13:LU14"/>
    <mergeCell ref="KD13:KD14"/>
    <mergeCell ref="KE13:KE14"/>
    <mergeCell ref="KF13:KF14"/>
    <mergeCell ref="KG13:KG14"/>
    <mergeCell ref="JS13:JS14"/>
    <mergeCell ref="JT13:JT14"/>
    <mergeCell ref="JV13:JV14"/>
    <mergeCell ref="LN13:LN14"/>
    <mergeCell ref="LO13:LO14"/>
    <mergeCell ref="KW13:KW14"/>
    <mergeCell ref="KX13:KX14"/>
    <mergeCell ref="KI13:KI14"/>
    <mergeCell ref="KJ13:KJ14"/>
    <mergeCell ref="KL13:KL14"/>
    <mergeCell ref="KU13:KU14"/>
    <mergeCell ref="KV13:KV14"/>
    <mergeCell ref="KM13:KM14"/>
    <mergeCell ref="KN13:KN14"/>
    <mergeCell ref="KO13:KO14"/>
    <mergeCell ref="KP13:KP14"/>
    <mergeCell ref="KQ13:KQ14"/>
    <mergeCell ref="KR13:KR14"/>
    <mergeCell ref="KS13:KS14"/>
    <mergeCell ref="KT13:KT14"/>
    <mergeCell ref="HM11:HU11"/>
    <mergeCell ref="HM13:HM14"/>
    <mergeCell ref="HN13:HN14"/>
    <mergeCell ref="HO13:HO14"/>
    <mergeCell ref="HP13:HP14"/>
    <mergeCell ref="HQ13:HQ14"/>
    <mergeCell ref="HR13:HR14"/>
    <mergeCell ref="HS13:HS14"/>
    <mergeCell ref="HT13:HT14"/>
    <mergeCell ref="HU13:HU14"/>
    <mergeCell ref="GX14:HC14"/>
    <mergeCell ref="FV13:FV14"/>
    <mergeCell ref="FW13:FW14"/>
    <mergeCell ref="FX13:FX14"/>
    <mergeCell ref="FY13:FY14"/>
    <mergeCell ref="FZ13:FZ14"/>
    <mergeCell ref="GA13:GA14"/>
    <mergeCell ref="GB13:GB14"/>
    <mergeCell ref="GC13:GC14"/>
    <mergeCell ref="GD13:GD14"/>
    <mergeCell ref="GR13:GR14"/>
    <mergeCell ref="GS13:GS14"/>
    <mergeCell ref="GT13:GT14"/>
    <mergeCell ref="GU13:GU14"/>
    <mergeCell ref="GV13:GV14"/>
    <mergeCell ref="GW13:GW14"/>
    <mergeCell ref="GE13:GE14"/>
    <mergeCell ref="GF13:GF14"/>
    <mergeCell ref="GG13:GG14"/>
    <mergeCell ref="GI13:GI14"/>
    <mergeCell ref="GJ13:GJ14"/>
    <mergeCell ref="GK13:GK14"/>
    <mergeCell ref="GH13:GH14"/>
    <mergeCell ref="GL13:GL14"/>
    <mergeCell ref="EP12:EW12"/>
    <mergeCell ref="FF12:FM12"/>
    <mergeCell ref="FF13:FF14"/>
    <mergeCell ref="FG13:FG14"/>
    <mergeCell ref="FH13:FH14"/>
    <mergeCell ref="FI13:FI14"/>
    <mergeCell ref="FJ13:FJ14"/>
    <mergeCell ref="FK13:FK14"/>
    <mergeCell ref="FL13:FL14"/>
    <mergeCell ref="FM13:FM14"/>
    <mergeCell ref="CS13:CS14"/>
    <mergeCell ref="CT13:CT14"/>
    <mergeCell ref="DA13:DA14"/>
    <mergeCell ref="EC13:EC14"/>
    <mergeCell ref="ED13:ED14"/>
    <mergeCell ref="EE13:EE14"/>
    <mergeCell ref="EF13:EF14"/>
    <mergeCell ref="EG13:EG14"/>
    <mergeCell ref="EH13:EH14"/>
    <mergeCell ref="CU14:CZ14"/>
    <mergeCell ref="DS13:DS14"/>
    <mergeCell ref="DT13:DT14"/>
    <mergeCell ref="DU13:DU14"/>
    <mergeCell ref="DW13:DW14"/>
    <mergeCell ref="DZ13:DZ14"/>
    <mergeCell ref="EA13:EA14"/>
    <mergeCell ref="EB13:EB14"/>
    <mergeCell ref="CU12:DD12"/>
    <mergeCell ref="DJ12:DR12"/>
    <mergeCell ref="DJ13:DJ14"/>
    <mergeCell ref="DK13:DK14"/>
    <mergeCell ref="DL13:DL14"/>
    <mergeCell ref="DM13:DM14"/>
    <mergeCell ref="DN13:DN14"/>
    <mergeCell ref="DO13:DO14"/>
    <mergeCell ref="DP13:DP14"/>
    <mergeCell ref="DQ13:DQ14"/>
    <mergeCell ref="DR13:DR14"/>
    <mergeCell ref="AF12:AL12"/>
    <mergeCell ref="BS13:BS14"/>
    <mergeCell ref="BT13:BT14"/>
    <mergeCell ref="BU13:BU14"/>
    <mergeCell ref="BV13:BV14"/>
    <mergeCell ref="BW13:BW14"/>
    <mergeCell ref="BX13:BX14"/>
    <mergeCell ref="BY13:BY14"/>
    <mergeCell ref="BZ13:BZ14"/>
    <mergeCell ref="AM12:AU12"/>
    <mergeCell ref="BC12:BK12"/>
    <mergeCell ref="BC13:BC14"/>
    <mergeCell ref="BD13:BD14"/>
    <mergeCell ref="BE13:BE14"/>
    <mergeCell ref="BF13:BF14"/>
    <mergeCell ref="BG13:BG14"/>
    <mergeCell ref="BH13:BH14"/>
    <mergeCell ref="BI13:BI14"/>
    <mergeCell ref="BJ13:BJ14"/>
    <mergeCell ref="BK13:BK14"/>
    <mergeCell ref="J13:J14"/>
    <mergeCell ref="K13:K14"/>
    <mergeCell ref="L13:L14"/>
    <mergeCell ref="M13:M14"/>
    <mergeCell ref="N13:N14"/>
    <mergeCell ref="O13:O14"/>
    <mergeCell ref="Y13:Y14"/>
    <mergeCell ref="Z13:Z14"/>
    <mergeCell ref="W13:W14"/>
    <mergeCell ref="X13:X14"/>
    <mergeCell ref="PK13:PK14"/>
    <mergeCell ref="PL13:PL14"/>
    <mergeCell ref="OR13:OR14"/>
    <mergeCell ref="OS13:OS14"/>
    <mergeCell ref="OT13:OT14"/>
    <mergeCell ref="OU13:OU14"/>
    <mergeCell ref="OV13:OV14"/>
    <mergeCell ref="OW13:OW14"/>
    <mergeCell ref="PD13:PD14"/>
    <mergeCell ref="PE13:PE14"/>
    <mergeCell ref="PF13:PF14"/>
    <mergeCell ref="PH12:PL12"/>
    <mergeCell ref="AJ13:AJ14"/>
    <mergeCell ref="EI13:EI14"/>
    <mergeCell ref="EJ13:EJ14"/>
    <mergeCell ref="EK13:EK14"/>
    <mergeCell ref="HV13:HV14"/>
    <mergeCell ref="HW13:HW14"/>
    <mergeCell ref="HX13:HX14"/>
    <mergeCell ref="HZ13:HZ14"/>
    <mergeCell ref="KY13:KY14"/>
    <mergeCell ref="KZ13:KZ14"/>
    <mergeCell ref="LG13:LG14"/>
    <mergeCell ref="LH13:LH14"/>
    <mergeCell ref="LI13:LI14"/>
    <mergeCell ref="OE13:OE14"/>
    <mergeCell ref="OF13:OF14"/>
    <mergeCell ref="OG13:OG14"/>
    <mergeCell ref="OI13:OI14"/>
    <mergeCell ref="KH12:KN12"/>
    <mergeCell ref="LS12:LY12"/>
    <mergeCell ref="MI12:MO12"/>
    <mergeCell ref="PH13:PH14"/>
    <mergeCell ref="PI13:PI14"/>
    <mergeCell ref="PJ13:PJ14"/>
    <mergeCell ref="OE12:OK12"/>
    <mergeCell ref="OR12:OW12"/>
    <mergeCell ref="EY12:FE12"/>
    <mergeCell ref="FO12:FU12"/>
    <mergeCell ref="GE12:GK12"/>
    <mergeCell ref="HV12:IB12"/>
    <mergeCell ref="IL12:IR12"/>
    <mergeCell ref="JB12:JH12"/>
    <mergeCell ref="JR12:JX12"/>
    <mergeCell ref="FV12:GD12"/>
    <mergeCell ref="GL12:GQ12"/>
    <mergeCell ref="GR12:GW12"/>
    <mergeCell ref="IC12:IK12"/>
    <mergeCell ref="IS12:JA12"/>
    <mergeCell ref="JI12:JQ12"/>
    <mergeCell ref="KO12:KT12"/>
    <mergeCell ref="KU12:KZ12"/>
    <mergeCell ref="LA12:LI12"/>
    <mergeCell ref="LJ12:LR12"/>
    <mergeCell ref="JY12:KG12"/>
    <mergeCell ref="MP12:MX12"/>
    <mergeCell ref="NF12:NN12"/>
    <mergeCell ref="MY12:NE12"/>
    <mergeCell ref="NV12:OD12"/>
    <mergeCell ref="NT13:NT14"/>
    <mergeCell ref="NU13:NU14"/>
    <mergeCell ref="BL12:BR12"/>
    <mergeCell ref="CB12:CH12"/>
    <mergeCell ref="DS12:DY12"/>
    <mergeCell ref="EI12:EO12"/>
    <mergeCell ref="AV12:BB12"/>
    <mergeCell ref="A8:B8"/>
    <mergeCell ref="A9:B9"/>
    <mergeCell ref="A10:B10"/>
    <mergeCell ref="A11:B11"/>
    <mergeCell ref="A12:F12"/>
    <mergeCell ref="D11:DI11"/>
    <mergeCell ref="P12:V12"/>
    <mergeCell ref="G12:O12"/>
    <mergeCell ref="W12:AE12"/>
    <mergeCell ref="BS12:CA12"/>
    <mergeCell ref="CO12:CT12"/>
    <mergeCell ref="CI12:CN12"/>
    <mergeCell ref="DZ12:EH12"/>
    <mergeCell ref="NO12:NU12"/>
    <mergeCell ref="G13:G14"/>
    <mergeCell ref="H13:H14"/>
    <mergeCell ref="I13:I14"/>
    <mergeCell ref="NS13:NS14"/>
    <mergeCell ref="NO13:NO14"/>
    <mergeCell ref="NP13:NP14"/>
    <mergeCell ref="NQ13:NQ14"/>
    <mergeCell ref="MM13:MM14"/>
    <mergeCell ref="LW13:LW14"/>
    <mergeCell ref="MI13:MI14"/>
    <mergeCell ref="MJ13:MJ14"/>
    <mergeCell ref="MK13:MK14"/>
    <mergeCell ref="LX13:LX14"/>
    <mergeCell ref="LY13:LY14"/>
    <mergeCell ref="MN13:MN14"/>
    <mergeCell ref="MO13:MO14"/>
    <mergeCell ref="NF13:NF14"/>
    <mergeCell ref="NG13:NG14"/>
    <mergeCell ref="NH13:NH14"/>
    <mergeCell ref="NI13:NI14"/>
    <mergeCell ref="NJ13:NJ14"/>
    <mergeCell ref="NK13:NK14"/>
    <mergeCell ref="NL13:NL14"/>
    <mergeCell ref="NM13:NM14"/>
    <mergeCell ref="NN13:NN14"/>
    <mergeCell ref="NR13:NR14"/>
    <mergeCell ref="LA14:LF14"/>
    <mergeCell ref="LJ13:LJ14"/>
    <mergeCell ref="LK13:LK14"/>
    <mergeCell ref="LL13:LL14"/>
    <mergeCell ref="LM13:LM14"/>
    <mergeCell ref="LP13:LP14"/>
    <mergeCell ref="KH13:KH14"/>
    <mergeCell ref="JR13:JR14"/>
    <mergeCell ref="IM13:IM14"/>
    <mergeCell ref="IN13:IN14"/>
    <mergeCell ref="IP13:IP14"/>
    <mergeCell ref="IQ13:IQ14"/>
    <mergeCell ref="IR13:IR14"/>
    <mergeCell ref="JW13:JW14"/>
    <mergeCell ref="JX13:JX14"/>
    <mergeCell ref="IO13:IO14"/>
    <mergeCell ref="JI13:JI14"/>
    <mergeCell ref="JJ13:JJ14"/>
    <mergeCell ref="JK13:JK14"/>
    <mergeCell ref="JL13:JL14"/>
    <mergeCell ref="JM13:JM14"/>
    <mergeCell ref="JN13:JN14"/>
    <mergeCell ref="JO13:JO14"/>
    <mergeCell ref="JP13:JP14"/>
    <mergeCell ref="JQ13:JQ14"/>
    <mergeCell ref="JY13:JY14"/>
    <mergeCell ref="JZ13:JZ14"/>
    <mergeCell ref="KA13:KA14"/>
    <mergeCell ref="KB13:KB14"/>
    <mergeCell ref="KC13:KC14"/>
    <mergeCell ref="HJ13:HJ14"/>
    <mergeCell ref="HK13:HK14"/>
    <mergeCell ref="HL13:HL14"/>
    <mergeCell ref="IL13:IL14"/>
    <mergeCell ref="IC13:IC14"/>
    <mergeCell ref="ID13:ID14"/>
    <mergeCell ref="IE13:IE14"/>
    <mergeCell ref="IF13:IF14"/>
    <mergeCell ref="IG13:IG14"/>
    <mergeCell ref="IH13:IH14"/>
    <mergeCell ref="II13:II14"/>
    <mergeCell ref="IJ13:IJ14"/>
    <mergeCell ref="IK13:IK14"/>
    <mergeCell ref="HD13:HD14"/>
    <mergeCell ref="HE13:HE14"/>
    <mergeCell ref="HF13:HF14"/>
    <mergeCell ref="HG13:HG14"/>
    <mergeCell ref="HH13:HH14"/>
    <mergeCell ref="HI13:HI14"/>
    <mergeCell ref="IA13:IA14"/>
    <mergeCell ref="IB13:IB14"/>
    <mergeCell ref="HY13:HY14"/>
    <mergeCell ref="GN13:GN14"/>
    <mergeCell ref="GO13:GO14"/>
    <mergeCell ref="GP13:GP14"/>
    <mergeCell ref="GQ13:GQ14"/>
    <mergeCell ref="FQ13:FQ14"/>
    <mergeCell ref="FS13:FS14"/>
    <mergeCell ref="FT13:FT14"/>
    <mergeCell ref="FU13:FU14"/>
    <mergeCell ref="FR13:FR14"/>
    <mergeCell ref="AA13:AA14"/>
    <mergeCell ref="AB13:AB14"/>
    <mergeCell ref="AC13:AC14"/>
    <mergeCell ref="AD13:AD14"/>
    <mergeCell ref="AE13:AE14"/>
    <mergeCell ref="CA13:CA14"/>
    <mergeCell ref="CI13:CI14"/>
    <mergeCell ref="CJ13:CJ14"/>
    <mergeCell ref="CK13:CK14"/>
    <mergeCell ref="BN13:BN14"/>
    <mergeCell ref="AF13:AF14"/>
    <mergeCell ref="AG13:AG14"/>
    <mergeCell ref="AH13:AH14"/>
    <mergeCell ref="CP13:CP14"/>
    <mergeCell ref="CQ13:CQ14"/>
    <mergeCell ref="CR13:CR14"/>
    <mergeCell ref="CB13:CB14"/>
    <mergeCell ref="CC13:CC14"/>
    <mergeCell ref="CD13:CD14"/>
    <mergeCell ref="CF13:CF14"/>
    <mergeCell ref="AK13:AK14"/>
    <mergeCell ref="AL13:AL14"/>
    <mergeCell ref="BQ13:BQ14"/>
    <mergeCell ref="BR13:BR14"/>
    <mergeCell ref="BP13:BP14"/>
    <mergeCell ref="CL13:CL14"/>
    <mergeCell ref="CM13:CM14"/>
    <mergeCell ref="CN13:CN14"/>
    <mergeCell ref="CG13:CG14"/>
    <mergeCell ref="CH13:CH14"/>
    <mergeCell ref="HV11:LI11"/>
    <mergeCell ref="OH13:OH14"/>
    <mergeCell ref="OJ13:OJ14"/>
    <mergeCell ref="OK13:OK14"/>
    <mergeCell ref="DH13:DH14"/>
    <mergeCell ref="DI13:DI14"/>
    <mergeCell ref="DB13:DB14"/>
    <mergeCell ref="DC13:DC14"/>
    <mergeCell ref="DD13:DD14"/>
    <mergeCell ref="JU13:JU14"/>
    <mergeCell ref="KK13:KK14"/>
    <mergeCell ref="LV13:LV14"/>
    <mergeCell ref="ML13:ML14"/>
    <mergeCell ref="FO13:FO14"/>
    <mergeCell ref="FP13:FP14"/>
    <mergeCell ref="FN13:FN14"/>
    <mergeCell ref="EN13:EN14"/>
    <mergeCell ref="EO13:EO14"/>
    <mergeCell ref="EM13:EM14"/>
    <mergeCell ref="DX13:DX14"/>
    <mergeCell ref="DY13:DY14"/>
    <mergeCell ref="EL13:EL14"/>
    <mergeCell ref="DV13:DV14"/>
    <mergeCell ref="GM13:GM14"/>
    <mergeCell ref="A13:A14"/>
    <mergeCell ref="B13:B14"/>
    <mergeCell ref="C13:C14"/>
    <mergeCell ref="D13:D14"/>
    <mergeCell ref="E13:E14"/>
    <mergeCell ref="HH12:HL12"/>
    <mergeCell ref="DE12:DI12"/>
    <mergeCell ref="F13:F14"/>
    <mergeCell ref="P13:P14"/>
    <mergeCell ref="Q13:Q14"/>
    <mergeCell ref="DE13:DE14"/>
    <mergeCell ref="DF13:DF14"/>
    <mergeCell ref="DG13:DG14"/>
    <mergeCell ref="R13:R14"/>
    <mergeCell ref="T13:T14"/>
    <mergeCell ref="BL13:BL14"/>
    <mergeCell ref="BM13:BM14"/>
    <mergeCell ref="S13:S14"/>
    <mergeCell ref="AI13:AI14"/>
    <mergeCell ref="BO13:BO14"/>
    <mergeCell ref="CE13:CE14"/>
    <mergeCell ref="U13:U14"/>
    <mergeCell ref="V13:V14"/>
    <mergeCell ref="CO13:CO14"/>
  </mergeCells>
  <conditionalFormatting sqref="CR15:CR27 GU15:GU27 OU15:OU27 KX15:KX27">
    <cfRule type="cellIs" dxfId="3" priority="8" operator="lessThan">
      <formula>50</formula>
    </cfRule>
  </conditionalFormatting>
  <conditionalFormatting sqref="CS15:CS27 GV15:GV27 OV15:OV27 KY15:KY27">
    <cfRule type="cellIs" dxfId="2" priority="7" operator="equal">
      <formula>"F"</formula>
    </cfRule>
  </conditionalFormatting>
  <dataValidations count="1">
    <dataValidation allowBlank="1" showInputMessage="1" showErrorMessage="1" promptTitle="Creadit" prompt="Please insert credit here!" sqref="G14:J14 W14:Z14 BC14:BF14 BS14:BV14 DJ14:DM14 DZ14:EC14 FF14:FI14 FV14:FY14 HM14:HP14 IC14:IF14 JI14:JL14 JY14:KB14 LJ14:LM14 LZ14:MC14 NF14:NI14 NV14:NY14" xr:uid="{00000000-0002-0000-0900-000000000000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7030A0"/>
  </sheetPr>
  <dimension ref="A1:LS27"/>
  <sheetViews>
    <sheetView topLeftCell="A7" zoomScale="70" zoomScaleNormal="70" workbookViewId="0">
      <pane xSplit="3" ySplit="8" topLeftCell="KN15" activePane="bottomRight" state="frozen"/>
      <selection activeCell="C11" sqref="C11"/>
      <selection pane="topRight" activeCell="C11" sqref="C11"/>
      <selection pane="bottomLeft" activeCell="C11" sqref="C11"/>
      <selection pane="bottomRight" activeCell="EP14" sqref="EP14:FE14"/>
    </sheetView>
  </sheetViews>
  <sheetFormatPr defaultColWidth="9.1796875" defaultRowHeight="14.5" x14ac:dyDescent="0.35"/>
  <cols>
    <col min="1" max="1" width="9" customWidth="1"/>
    <col min="2" max="2" width="25.26953125" customWidth="1"/>
    <col min="3" max="3" width="26" bestFit="1" customWidth="1"/>
    <col min="4" max="6" width="9"/>
    <col min="16" max="18" width="9"/>
    <col min="20" max="22" width="9"/>
    <col min="32" max="34" width="9"/>
    <col min="36" max="38" width="9"/>
    <col min="48" max="50" width="9"/>
    <col min="52" max="54" width="9"/>
    <col min="64" max="66" width="9"/>
    <col min="68" max="70" width="9"/>
    <col min="80" max="82" width="9"/>
    <col min="84" max="86" width="9"/>
    <col min="93" max="98" width="9"/>
    <col min="105" max="113" width="9"/>
    <col min="123" max="125" width="9"/>
    <col min="127" max="129" width="9"/>
    <col min="139" max="141" width="9"/>
    <col min="143" max="145" width="9"/>
    <col min="155" max="157" width="9"/>
    <col min="159" max="161" width="9"/>
    <col min="171" max="173" width="9"/>
    <col min="175" max="177" width="9"/>
    <col min="187" max="189" width="9"/>
    <col min="191" max="193" width="9"/>
    <col min="200" max="205" width="9"/>
    <col min="212" max="220" width="9"/>
    <col min="230" max="232" width="9"/>
    <col min="234" max="236" width="9"/>
    <col min="246" max="248" width="9"/>
    <col min="250" max="252" width="9"/>
    <col min="262" max="264" width="9"/>
    <col min="266" max="268" width="9"/>
    <col min="278" max="280" width="9"/>
    <col min="282" max="284" width="9"/>
    <col min="294" max="296" width="9"/>
    <col min="298" max="300" width="9"/>
    <col min="307" max="312" width="9"/>
    <col min="319" max="327" width="9"/>
    <col min="328" max="328" width="24.1796875" customWidth="1"/>
    <col min="329" max="329" width="23.7265625" customWidth="1"/>
    <col min="330" max="331" width="9"/>
    <col min="332" max="332" width="10.1796875" bestFit="1" customWidth="1"/>
  </cols>
  <sheetData>
    <row r="1" spans="1:33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</row>
    <row r="2" spans="1:331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</row>
    <row r="3" spans="1:33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</row>
    <row r="4" spans="1:33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</row>
    <row r="5" spans="1:33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</row>
    <row r="6" spans="1:331" x14ac:dyDescent="0.3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</row>
    <row r="7" spans="1:331" x14ac:dyDescent="0.3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</row>
    <row r="8" spans="1:331" ht="20" x14ac:dyDescent="0.35">
      <c r="A8" s="281" t="s">
        <v>23</v>
      </c>
      <c r="B8" s="281"/>
      <c r="C8" s="15">
        <v>204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</row>
    <row r="9" spans="1:331" ht="20" x14ac:dyDescent="0.35">
      <c r="A9" s="281" t="s">
        <v>32</v>
      </c>
      <c r="B9" s="281"/>
      <c r="C9" s="15" t="s">
        <v>235</v>
      </c>
      <c r="D9" s="5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</row>
    <row r="10" spans="1:331" ht="20.25" customHeight="1" x14ac:dyDescent="0.35">
      <c r="A10" s="283" t="s">
        <v>47</v>
      </c>
      <c r="B10" s="284"/>
      <c r="C10" s="15" t="s">
        <v>280</v>
      </c>
      <c r="D10" s="5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</row>
    <row r="11" spans="1:331" ht="20.25" customHeight="1" thickBot="1" x14ac:dyDescent="0.45">
      <c r="A11" s="241" t="s">
        <v>46</v>
      </c>
      <c r="B11" s="242"/>
      <c r="C11" s="16" t="s">
        <v>53</v>
      </c>
      <c r="D11" s="357" t="s">
        <v>44</v>
      </c>
      <c r="E11" s="358"/>
      <c r="F11" s="358"/>
      <c r="G11" s="358"/>
      <c r="H11" s="358"/>
      <c r="I11" s="358"/>
      <c r="J11" s="358"/>
      <c r="K11" s="358"/>
      <c r="L11" s="358"/>
      <c r="M11" s="358"/>
      <c r="N11" s="358"/>
      <c r="O11" s="358"/>
      <c r="P11" s="358"/>
      <c r="Q11" s="358"/>
      <c r="R11" s="358"/>
      <c r="S11" s="358"/>
      <c r="T11" s="358"/>
      <c r="U11" s="358"/>
      <c r="V11" s="358"/>
      <c r="W11" s="358"/>
      <c r="X11" s="358"/>
      <c r="Y11" s="358"/>
      <c r="Z11" s="358"/>
      <c r="AA11" s="358"/>
      <c r="AB11" s="358"/>
      <c r="AC11" s="358"/>
      <c r="AD11" s="358"/>
      <c r="AE11" s="358"/>
      <c r="AF11" s="358"/>
      <c r="AG11" s="358"/>
      <c r="AH11" s="358"/>
      <c r="AI11" s="358"/>
      <c r="AJ11" s="358"/>
      <c r="AK11" s="358"/>
      <c r="AL11" s="358"/>
      <c r="AM11" s="358"/>
      <c r="AN11" s="358"/>
      <c r="AO11" s="358"/>
      <c r="AP11" s="358"/>
      <c r="AQ11" s="358"/>
      <c r="AR11" s="358"/>
      <c r="AS11" s="358"/>
      <c r="AT11" s="358"/>
      <c r="AU11" s="358"/>
      <c r="AV11" s="358"/>
      <c r="AW11" s="358"/>
      <c r="AX11" s="358"/>
      <c r="AY11" s="358"/>
      <c r="AZ11" s="358"/>
      <c r="BA11" s="358"/>
      <c r="BB11" s="358"/>
      <c r="BC11" s="358"/>
      <c r="BD11" s="358"/>
      <c r="BE11" s="358"/>
      <c r="BF11" s="358"/>
      <c r="BG11" s="358"/>
      <c r="BH11" s="358"/>
      <c r="BI11" s="358"/>
      <c r="BJ11" s="358"/>
      <c r="BK11" s="358"/>
      <c r="BL11" s="358"/>
      <c r="BM11" s="358"/>
      <c r="BN11" s="358"/>
      <c r="BO11" s="358"/>
      <c r="BP11" s="358"/>
      <c r="BQ11" s="358"/>
      <c r="BR11" s="358"/>
      <c r="BS11" s="358"/>
      <c r="BT11" s="358"/>
      <c r="BU11" s="358"/>
      <c r="BV11" s="358"/>
      <c r="BW11" s="358"/>
      <c r="BX11" s="358"/>
      <c r="BY11" s="358"/>
      <c r="BZ11" s="358"/>
      <c r="CA11" s="358"/>
      <c r="CB11" s="358"/>
      <c r="CC11" s="358"/>
      <c r="CD11" s="358"/>
      <c r="CE11" s="358"/>
      <c r="CF11" s="358"/>
      <c r="CG11" s="358"/>
      <c r="CH11" s="358"/>
      <c r="CI11" s="358"/>
      <c r="CJ11" s="358"/>
      <c r="CK11" s="358"/>
      <c r="CL11" s="358"/>
      <c r="CM11" s="358"/>
      <c r="CN11" s="358"/>
      <c r="CO11" s="358"/>
      <c r="CP11" s="358"/>
      <c r="CQ11" s="358"/>
      <c r="CR11" s="358"/>
      <c r="CS11" s="358"/>
      <c r="CT11" s="358"/>
      <c r="CU11" s="358"/>
      <c r="CV11" s="358"/>
      <c r="CW11" s="358"/>
      <c r="CX11" s="358"/>
      <c r="CY11" s="358"/>
      <c r="CZ11" s="358"/>
      <c r="DA11" s="358"/>
      <c r="DB11" s="358"/>
      <c r="DC11" s="358"/>
      <c r="DD11" s="358"/>
      <c r="DE11" s="358"/>
      <c r="DF11" s="358"/>
      <c r="DG11" s="358"/>
      <c r="DH11" s="358"/>
      <c r="DI11" s="358"/>
      <c r="DJ11" s="82" t="s">
        <v>45</v>
      </c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2"/>
      <c r="DZ11" s="82"/>
      <c r="EA11" s="82"/>
      <c r="EB11" s="82"/>
      <c r="EC11" s="82"/>
      <c r="ED11" s="82"/>
      <c r="EE11" s="82"/>
      <c r="EF11" s="82"/>
      <c r="EG11" s="82"/>
      <c r="EH11" s="82"/>
      <c r="EI11" s="82"/>
      <c r="EJ11" s="82"/>
      <c r="EK11" s="82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2"/>
      <c r="FD11" s="82"/>
      <c r="FE11" s="82"/>
      <c r="FF11" s="82"/>
      <c r="FG11" s="82"/>
      <c r="FH11" s="82"/>
      <c r="FI11" s="82"/>
      <c r="FJ11" s="82"/>
      <c r="FK11" s="82"/>
      <c r="FL11" s="82"/>
      <c r="FM11" s="82"/>
      <c r="FN11" s="82"/>
      <c r="FO11" s="82"/>
      <c r="FP11" s="82"/>
      <c r="FQ11" s="82"/>
      <c r="FR11" s="82"/>
      <c r="FS11" s="82"/>
      <c r="FT11" s="82"/>
      <c r="FU11" s="82"/>
      <c r="FV11" s="82"/>
      <c r="FW11" s="82"/>
      <c r="FX11" s="82"/>
      <c r="FY11" s="82"/>
      <c r="FZ11" s="82"/>
      <c r="GA11" s="82"/>
      <c r="GB11" s="82"/>
      <c r="GC11" s="82"/>
      <c r="GD11" s="82"/>
      <c r="GE11" s="82"/>
      <c r="GF11" s="82"/>
      <c r="GG11" s="82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2"/>
      <c r="GU11" s="82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2"/>
      <c r="HK11" s="82"/>
      <c r="HL11" s="82"/>
      <c r="HM11" s="63" t="s">
        <v>39</v>
      </c>
      <c r="HN11" s="63"/>
      <c r="HO11" s="63"/>
      <c r="HP11" s="63"/>
      <c r="HQ11" s="63"/>
      <c r="HR11" s="63"/>
      <c r="HS11" s="63"/>
      <c r="HT11" s="63"/>
      <c r="HU11" s="63"/>
      <c r="HV11" s="63"/>
      <c r="HW11" s="63"/>
      <c r="HX11" s="63"/>
      <c r="HY11" s="63"/>
      <c r="HZ11" s="63"/>
      <c r="IA11" s="63"/>
      <c r="IB11" s="63"/>
      <c r="IC11" s="63"/>
      <c r="ID11" s="63"/>
      <c r="IE11" s="63"/>
      <c r="IF11" s="63"/>
      <c r="IG11" s="63"/>
      <c r="IH11" s="63"/>
      <c r="II11" s="63"/>
      <c r="IJ11" s="63"/>
      <c r="IK11" s="63"/>
      <c r="IL11" s="63"/>
      <c r="IM11" s="63"/>
      <c r="IN11" s="63"/>
      <c r="IO11" s="63"/>
      <c r="IP11" s="63"/>
      <c r="IQ11" s="63"/>
      <c r="IR11" s="63"/>
      <c r="IS11" s="63"/>
      <c r="IT11" s="63"/>
      <c r="IU11" s="63"/>
      <c r="IV11" s="63"/>
      <c r="IW11" s="63"/>
      <c r="IX11" s="63"/>
      <c r="IY11" s="63"/>
      <c r="IZ11" s="63"/>
      <c r="JA11" s="63"/>
      <c r="JB11" s="63"/>
      <c r="JC11" s="63"/>
      <c r="JD11" s="63"/>
      <c r="JE11" s="63"/>
      <c r="JF11" s="63"/>
      <c r="JG11" s="63"/>
      <c r="JH11" s="63"/>
      <c r="JI11" s="63"/>
      <c r="JJ11" s="63"/>
      <c r="JK11" s="63"/>
      <c r="JL11" s="63"/>
      <c r="JM11" s="63"/>
      <c r="JN11" s="63"/>
      <c r="JO11" s="63"/>
      <c r="JP11" s="63"/>
      <c r="JQ11" s="63"/>
      <c r="JR11" s="63"/>
      <c r="JS11" s="63"/>
      <c r="JT11" s="63"/>
      <c r="JU11" s="63"/>
      <c r="JV11" s="63"/>
      <c r="JW11" s="63"/>
      <c r="JX11" s="63"/>
      <c r="JY11" s="63"/>
      <c r="JZ11" s="63"/>
      <c r="KA11" s="63"/>
      <c r="KB11" s="63"/>
      <c r="KC11" s="63"/>
      <c r="KD11" s="63"/>
      <c r="KE11" s="63"/>
      <c r="KF11" s="63"/>
      <c r="KG11" s="63"/>
      <c r="KH11" s="63"/>
      <c r="KI11" s="63"/>
      <c r="KJ11" s="63"/>
      <c r="KK11" s="63"/>
      <c r="KL11" s="63"/>
      <c r="KM11" s="63"/>
      <c r="KN11" s="63"/>
      <c r="KO11" s="63"/>
      <c r="KP11" s="63"/>
      <c r="KQ11" s="63"/>
      <c r="KR11" s="63"/>
      <c r="KS11" s="63"/>
      <c r="KT11" s="63"/>
      <c r="KU11" s="63"/>
      <c r="KV11" s="63"/>
      <c r="KW11" s="63"/>
      <c r="KX11" s="63"/>
      <c r="KY11" s="63"/>
      <c r="KZ11" s="63"/>
      <c r="LA11" s="63"/>
      <c r="LB11" s="63"/>
      <c r="LC11" s="63"/>
      <c r="LD11" s="63"/>
      <c r="LE11" s="63"/>
      <c r="LF11" s="63"/>
      <c r="LG11" s="63"/>
      <c r="LH11" s="63"/>
      <c r="LI11" s="63"/>
      <c r="LJ11" s="63"/>
      <c r="LK11" s="63"/>
      <c r="LL11" s="63"/>
      <c r="LM11" s="63"/>
      <c r="LN11" s="63"/>
      <c r="LO11" s="63"/>
      <c r="LP11" s="359"/>
      <c r="LQ11" s="359"/>
      <c r="LR11" s="359"/>
      <c r="LS11" s="359"/>
    </row>
    <row r="12" spans="1:331" ht="18" customHeight="1" thickBot="1" x14ac:dyDescent="0.4">
      <c r="A12" s="237"/>
      <c r="B12" s="237"/>
      <c r="C12" s="237"/>
      <c r="D12" s="237"/>
      <c r="E12" s="237"/>
      <c r="F12" s="237"/>
      <c r="G12" s="313" t="s">
        <v>80</v>
      </c>
      <c r="H12" s="313"/>
      <c r="I12" s="313"/>
      <c r="J12" s="313"/>
      <c r="K12" s="313"/>
      <c r="L12" s="313"/>
      <c r="M12" s="313"/>
      <c r="N12" s="313"/>
      <c r="O12" s="313"/>
      <c r="P12" s="186" t="s">
        <v>81</v>
      </c>
      <c r="Q12" s="186"/>
      <c r="R12" s="186"/>
      <c r="S12" s="186"/>
      <c r="T12" s="186"/>
      <c r="U12" s="186"/>
      <c r="V12" s="186"/>
      <c r="W12" s="293" t="s">
        <v>67</v>
      </c>
      <c r="X12" s="293"/>
      <c r="Y12" s="293"/>
      <c r="Z12" s="293"/>
      <c r="AA12" s="293"/>
      <c r="AB12" s="293"/>
      <c r="AC12" s="293"/>
      <c r="AD12" s="293"/>
      <c r="AE12" s="294"/>
      <c r="AF12" s="211" t="s">
        <v>68</v>
      </c>
      <c r="AG12" s="211"/>
      <c r="AH12" s="211"/>
      <c r="AI12" s="211"/>
      <c r="AJ12" s="211"/>
      <c r="AK12" s="211"/>
      <c r="AL12" s="211"/>
      <c r="AM12" s="172" t="s">
        <v>69</v>
      </c>
      <c r="AN12" s="172"/>
      <c r="AO12" s="172"/>
      <c r="AP12" s="172"/>
      <c r="AQ12" s="172"/>
      <c r="AR12" s="172"/>
      <c r="AS12" s="172"/>
      <c r="AT12" s="172"/>
      <c r="AU12" s="173"/>
      <c r="AV12" s="186" t="s">
        <v>77</v>
      </c>
      <c r="AW12" s="186"/>
      <c r="AX12" s="186"/>
      <c r="AY12" s="186"/>
      <c r="AZ12" s="186"/>
      <c r="BA12" s="186"/>
      <c r="BB12" s="186"/>
      <c r="BC12" s="176" t="s">
        <v>71</v>
      </c>
      <c r="BD12" s="177"/>
      <c r="BE12" s="177"/>
      <c r="BF12" s="177"/>
      <c r="BG12" s="177"/>
      <c r="BH12" s="177"/>
      <c r="BI12" s="177"/>
      <c r="BJ12" s="177"/>
      <c r="BK12" s="178"/>
      <c r="BL12" s="186" t="s">
        <v>78</v>
      </c>
      <c r="BM12" s="186"/>
      <c r="BN12" s="186"/>
      <c r="BO12" s="186"/>
      <c r="BP12" s="186"/>
      <c r="BQ12" s="186"/>
      <c r="BR12" s="186"/>
      <c r="BS12" s="221" t="s">
        <v>73</v>
      </c>
      <c r="BT12" s="221"/>
      <c r="BU12" s="221"/>
      <c r="BV12" s="221"/>
      <c r="BW12" s="221"/>
      <c r="BX12" s="221"/>
      <c r="BY12" s="221"/>
      <c r="BZ12" s="221"/>
      <c r="CA12" s="221"/>
      <c r="CB12" s="186" t="s">
        <v>79</v>
      </c>
      <c r="CC12" s="186"/>
      <c r="CD12" s="186"/>
      <c r="CE12" s="186"/>
      <c r="CF12" s="186"/>
      <c r="CG12" s="186"/>
      <c r="CH12" s="186"/>
      <c r="CI12" s="200" t="s">
        <v>75</v>
      </c>
      <c r="CJ12" s="201"/>
      <c r="CK12" s="201"/>
      <c r="CL12" s="201"/>
      <c r="CM12" s="201"/>
      <c r="CN12" s="202"/>
      <c r="CO12" s="309" t="s">
        <v>76</v>
      </c>
      <c r="CP12" s="186"/>
      <c r="CQ12" s="186"/>
      <c r="CR12" s="186"/>
      <c r="CS12" s="186"/>
      <c r="CT12" s="310"/>
      <c r="CU12" s="360" t="s">
        <v>30</v>
      </c>
      <c r="CV12" s="361"/>
      <c r="CW12" s="361"/>
      <c r="CX12" s="361"/>
      <c r="CY12" s="361"/>
      <c r="CZ12" s="361"/>
      <c r="DA12" s="361"/>
      <c r="DB12" s="361"/>
      <c r="DC12" s="361"/>
      <c r="DD12" s="362"/>
      <c r="DE12" s="263" t="s">
        <v>24</v>
      </c>
      <c r="DF12" s="263"/>
      <c r="DG12" s="263"/>
      <c r="DH12" s="263"/>
      <c r="DI12" s="263"/>
      <c r="DJ12" s="313" t="s">
        <v>80</v>
      </c>
      <c r="DK12" s="313"/>
      <c r="DL12" s="313"/>
      <c r="DM12" s="313"/>
      <c r="DN12" s="313"/>
      <c r="DO12" s="313"/>
      <c r="DP12" s="313"/>
      <c r="DQ12" s="313"/>
      <c r="DR12" s="313"/>
      <c r="DS12" s="186" t="s">
        <v>81</v>
      </c>
      <c r="DT12" s="186"/>
      <c r="DU12" s="186"/>
      <c r="DV12" s="186"/>
      <c r="DW12" s="186"/>
      <c r="DX12" s="186"/>
      <c r="DY12" s="186"/>
      <c r="DZ12" s="293" t="s">
        <v>67</v>
      </c>
      <c r="EA12" s="293"/>
      <c r="EB12" s="293"/>
      <c r="EC12" s="293"/>
      <c r="ED12" s="293"/>
      <c r="EE12" s="293"/>
      <c r="EF12" s="293"/>
      <c r="EG12" s="293"/>
      <c r="EH12" s="294"/>
      <c r="EI12" s="211" t="s">
        <v>68</v>
      </c>
      <c r="EJ12" s="211"/>
      <c r="EK12" s="211"/>
      <c r="EL12" s="211"/>
      <c r="EM12" s="211"/>
      <c r="EN12" s="211"/>
      <c r="EO12" s="211"/>
      <c r="EP12" s="172" t="s">
        <v>69</v>
      </c>
      <c r="EQ12" s="172"/>
      <c r="ER12" s="172"/>
      <c r="ES12" s="172"/>
      <c r="ET12" s="172"/>
      <c r="EU12" s="172"/>
      <c r="EV12" s="172"/>
      <c r="EW12" s="172"/>
      <c r="EX12" s="173"/>
      <c r="EY12" s="186" t="s">
        <v>77</v>
      </c>
      <c r="EZ12" s="186"/>
      <c r="FA12" s="186"/>
      <c r="FB12" s="186"/>
      <c r="FC12" s="186"/>
      <c r="FD12" s="186"/>
      <c r="FE12" s="186"/>
      <c r="FF12" s="176" t="s">
        <v>71</v>
      </c>
      <c r="FG12" s="177"/>
      <c r="FH12" s="177"/>
      <c r="FI12" s="177"/>
      <c r="FJ12" s="177"/>
      <c r="FK12" s="177"/>
      <c r="FL12" s="177"/>
      <c r="FM12" s="177"/>
      <c r="FN12" s="178"/>
      <c r="FO12" s="186" t="s">
        <v>78</v>
      </c>
      <c r="FP12" s="186"/>
      <c r="FQ12" s="186"/>
      <c r="FR12" s="186"/>
      <c r="FS12" s="186"/>
      <c r="FT12" s="186"/>
      <c r="FU12" s="186"/>
      <c r="FV12" s="221" t="s">
        <v>73</v>
      </c>
      <c r="FW12" s="221"/>
      <c r="FX12" s="221"/>
      <c r="FY12" s="221"/>
      <c r="FZ12" s="221"/>
      <c r="GA12" s="221"/>
      <c r="GB12" s="221"/>
      <c r="GC12" s="221"/>
      <c r="GD12" s="221"/>
      <c r="GE12" s="186" t="s">
        <v>79</v>
      </c>
      <c r="GF12" s="186"/>
      <c r="GG12" s="186"/>
      <c r="GH12" s="186"/>
      <c r="GI12" s="186"/>
      <c r="GJ12" s="186"/>
      <c r="GK12" s="186"/>
      <c r="GL12" s="200" t="s">
        <v>75</v>
      </c>
      <c r="GM12" s="201"/>
      <c r="GN12" s="201"/>
      <c r="GO12" s="201"/>
      <c r="GP12" s="201"/>
      <c r="GQ12" s="202"/>
      <c r="GR12" s="309" t="s">
        <v>30</v>
      </c>
      <c r="GS12" s="186"/>
      <c r="GT12" s="186"/>
      <c r="GU12" s="186"/>
      <c r="GV12" s="186"/>
      <c r="GW12" s="310"/>
      <c r="GX12" s="344" t="s">
        <v>30</v>
      </c>
      <c r="GY12" s="345"/>
      <c r="GZ12" s="345"/>
      <c r="HA12" s="345"/>
      <c r="HB12" s="345"/>
      <c r="HC12" s="345"/>
      <c r="HD12" s="345"/>
      <c r="HE12" s="345"/>
      <c r="HF12" s="345"/>
      <c r="HG12" s="346"/>
      <c r="HH12" s="263" t="s">
        <v>24</v>
      </c>
      <c r="HI12" s="263"/>
      <c r="HJ12" s="263"/>
      <c r="HK12" s="263"/>
      <c r="HL12" s="263"/>
      <c r="HM12" s="313" t="s">
        <v>80</v>
      </c>
      <c r="HN12" s="313"/>
      <c r="HO12" s="313"/>
      <c r="HP12" s="313"/>
      <c r="HQ12" s="313"/>
      <c r="HR12" s="313"/>
      <c r="HS12" s="313"/>
      <c r="HT12" s="313"/>
      <c r="HU12" s="313"/>
      <c r="HV12" s="186" t="s">
        <v>12</v>
      </c>
      <c r="HW12" s="186"/>
      <c r="HX12" s="186"/>
      <c r="HY12" s="186"/>
      <c r="HZ12" s="186"/>
      <c r="IA12" s="186"/>
      <c r="IB12" s="186"/>
      <c r="IC12" s="293" t="s">
        <v>67</v>
      </c>
      <c r="ID12" s="293"/>
      <c r="IE12" s="293"/>
      <c r="IF12" s="293"/>
      <c r="IG12" s="293"/>
      <c r="IH12" s="293"/>
      <c r="II12" s="293"/>
      <c r="IJ12" s="293"/>
      <c r="IK12" s="294"/>
      <c r="IL12" s="211" t="s">
        <v>68</v>
      </c>
      <c r="IM12" s="211"/>
      <c r="IN12" s="211"/>
      <c r="IO12" s="211"/>
      <c r="IP12" s="211"/>
      <c r="IQ12" s="211"/>
      <c r="IR12" s="211"/>
      <c r="IS12" s="172" t="s">
        <v>69</v>
      </c>
      <c r="IT12" s="172"/>
      <c r="IU12" s="172"/>
      <c r="IV12" s="172"/>
      <c r="IW12" s="172"/>
      <c r="IX12" s="172"/>
      <c r="IY12" s="172"/>
      <c r="IZ12" s="172"/>
      <c r="JA12" s="173"/>
      <c r="JB12" s="186" t="s">
        <v>77</v>
      </c>
      <c r="JC12" s="186"/>
      <c r="JD12" s="186"/>
      <c r="JE12" s="186"/>
      <c r="JF12" s="186"/>
      <c r="JG12" s="186"/>
      <c r="JH12" s="186"/>
      <c r="JI12" s="176" t="s">
        <v>71</v>
      </c>
      <c r="JJ12" s="177"/>
      <c r="JK12" s="177"/>
      <c r="JL12" s="177"/>
      <c r="JM12" s="177"/>
      <c r="JN12" s="177"/>
      <c r="JO12" s="177"/>
      <c r="JP12" s="177"/>
      <c r="JQ12" s="178"/>
      <c r="JR12" s="211" t="s">
        <v>78</v>
      </c>
      <c r="JS12" s="211"/>
      <c r="JT12" s="211"/>
      <c r="JU12" s="211"/>
      <c r="JV12" s="211"/>
      <c r="JW12" s="211"/>
      <c r="JX12" s="211"/>
      <c r="JY12" s="221" t="s">
        <v>73</v>
      </c>
      <c r="JZ12" s="221"/>
      <c r="KA12" s="221"/>
      <c r="KB12" s="221"/>
      <c r="KC12" s="221"/>
      <c r="KD12" s="221"/>
      <c r="KE12" s="221"/>
      <c r="KF12" s="221"/>
      <c r="KG12" s="221"/>
      <c r="KH12" s="186" t="s">
        <v>79</v>
      </c>
      <c r="KI12" s="186"/>
      <c r="KJ12" s="186"/>
      <c r="KK12" s="186"/>
      <c r="KL12" s="186"/>
      <c r="KM12" s="186"/>
      <c r="KN12" s="186"/>
      <c r="KO12" s="200" t="s">
        <v>75</v>
      </c>
      <c r="KP12" s="201"/>
      <c r="KQ12" s="201"/>
      <c r="KR12" s="201"/>
      <c r="KS12" s="201"/>
      <c r="KT12" s="202"/>
      <c r="KU12" s="298" t="s">
        <v>76</v>
      </c>
      <c r="KV12" s="298"/>
      <c r="KW12" s="298"/>
      <c r="KX12" s="298"/>
      <c r="KY12" s="298"/>
      <c r="KZ12" s="298"/>
      <c r="LA12" s="84"/>
      <c r="LB12" s="85"/>
      <c r="LC12" s="85" t="s">
        <v>30</v>
      </c>
      <c r="LD12" s="85"/>
      <c r="LE12" s="85"/>
      <c r="LF12" s="85"/>
      <c r="LG12" s="237"/>
      <c r="LH12" s="237"/>
      <c r="LI12" s="237"/>
      <c r="LJ12" s="237"/>
      <c r="LK12" s="263" t="s">
        <v>24</v>
      </c>
      <c r="LL12" s="263"/>
      <c r="LM12" s="263"/>
      <c r="LN12" s="263"/>
      <c r="LO12" s="263"/>
      <c r="LP12" s="363" t="s">
        <v>40</v>
      </c>
      <c r="LQ12" s="363" t="s">
        <v>41</v>
      </c>
      <c r="LR12" s="365" t="s">
        <v>42</v>
      </c>
      <c r="LS12" s="367" t="s">
        <v>43</v>
      </c>
    </row>
    <row r="13" spans="1:331" ht="126.75" customHeight="1" thickBot="1" x14ac:dyDescent="0.4">
      <c r="A13" s="238" t="s">
        <v>0</v>
      </c>
      <c r="B13" s="238" t="s">
        <v>1</v>
      </c>
      <c r="C13" s="238" t="s">
        <v>2</v>
      </c>
      <c r="D13" s="238" t="s">
        <v>3</v>
      </c>
      <c r="E13" s="238" t="s">
        <v>4</v>
      </c>
      <c r="F13" s="238" t="s">
        <v>5</v>
      </c>
      <c r="G13" s="295" t="s">
        <v>59</v>
      </c>
      <c r="H13" s="295" t="s">
        <v>66</v>
      </c>
      <c r="I13" s="295" t="s">
        <v>60</v>
      </c>
      <c r="J13" s="295" t="s">
        <v>114</v>
      </c>
      <c r="K13" s="297" t="s">
        <v>61</v>
      </c>
      <c r="L13" s="287" t="s">
        <v>102</v>
      </c>
      <c r="M13" s="289" t="s">
        <v>62</v>
      </c>
      <c r="N13" s="291" t="s">
        <v>63</v>
      </c>
      <c r="O13" s="291" t="s">
        <v>64</v>
      </c>
      <c r="P13" s="220" t="s">
        <v>6</v>
      </c>
      <c r="Q13" s="193" t="s">
        <v>50</v>
      </c>
      <c r="R13" s="193" t="s">
        <v>52</v>
      </c>
      <c r="S13" s="193" t="s">
        <v>54</v>
      </c>
      <c r="T13" s="193" t="s">
        <v>31</v>
      </c>
      <c r="U13" s="285" t="s">
        <v>51</v>
      </c>
      <c r="V13" s="285" t="s">
        <v>7</v>
      </c>
      <c r="W13" s="378" t="s">
        <v>59</v>
      </c>
      <c r="X13" s="374" t="s">
        <v>66</v>
      </c>
      <c r="Y13" s="374" t="s">
        <v>60</v>
      </c>
      <c r="Z13" s="374" t="s">
        <v>114</v>
      </c>
      <c r="AA13" s="287" t="s">
        <v>61</v>
      </c>
      <c r="AB13" s="287" t="s">
        <v>102</v>
      </c>
      <c r="AC13" s="289" t="s">
        <v>62</v>
      </c>
      <c r="AD13" s="291" t="s">
        <v>63</v>
      </c>
      <c r="AE13" s="291" t="s">
        <v>64</v>
      </c>
      <c r="AF13" s="220" t="s">
        <v>6</v>
      </c>
      <c r="AG13" s="193" t="s">
        <v>50</v>
      </c>
      <c r="AH13" s="193" t="s">
        <v>52</v>
      </c>
      <c r="AI13" s="193" t="s">
        <v>54</v>
      </c>
      <c r="AJ13" s="193" t="s">
        <v>31</v>
      </c>
      <c r="AK13" s="285" t="s">
        <v>51</v>
      </c>
      <c r="AL13" s="285" t="s">
        <v>7</v>
      </c>
      <c r="AM13" s="46" t="s">
        <v>59</v>
      </c>
      <c r="AN13" s="46" t="s">
        <v>66</v>
      </c>
      <c r="AO13" s="46" t="s">
        <v>60</v>
      </c>
      <c r="AP13" s="46" t="s">
        <v>114</v>
      </c>
      <c r="AQ13" s="46" t="s">
        <v>61</v>
      </c>
      <c r="AR13" s="46" t="s">
        <v>102</v>
      </c>
      <c r="AS13" s="46" t="s">
        <v>62</v>
      </c>
      <c r="AT13" s="46" t="s">
        <v>63</v>
      </c>
      <c r="AU13" s="46" t="s">
        <v>64</v>
      </c>
      <c r="AV13" s="19" t="s">
        <v>6</v>
      </c>
      <c r="AW13" s="18" t="s">
        <v>50</v>
      </c>
      <c r="AX13" s="18" t="s">
        <v>52</v>
      </c>
      <c r="AY13" s="18" t="s">
        <v>54</v>
      </c>
      <c r="AZ13" s="18" t="s">
        <v>31</v>
      </c>
      <c r="BA13" s="18" t="s">
        <v>51</v>
      </c>
      <c r="BB13" s="18" t="s">
        <v>7</v>
      </c>
      <c r="BC13" s="174" t="s">
        <v>59</v>
      </c>
      <c r="BD13" s="174" t="s">
        <v>66</v>
      </c>
      <c r="BE13" s="174" t="s">
        <v>60</v>
      </c>
      <c r="BF13" s="174" t="s">
        <v>114</v>
      </c>
      <c r="BG13" s="179" t="s">
        <v>61</v>
      </c>
      <c r="BH13" s="180" t="s">
        <v>102</v>
      </c>
      <c r="BI13" s="182" t="s">
        <v>62</v>
      </c>
      <c r="BJ13" s="184" t="s">
        <v>63</v>
      </c>
      <c r="BK13" s="184" t="s">
        <v>64</v>
      </c>
      <c r="BL13" s="220" t="s">
        <v>6</v>
      </c>
      <c r="BM13" s="193" t="s">
        <v>50</v>
      </c>
      <c r="BN13" s="193" t="s">
        <v>52</v>
      </c>
      <c r="BO13" s="193" t="s">
        <v>54</v>
      </c>
      <c r="BP13" s="193" t="s">
        <v>31</v>
      </c>
      <c r="BQ13" s="285" t="s">
        <v>51</v>
      </c>
      <c r="BR13" s="285" t="s">
        <v>7</v>
      </c>
      <c r="BS13" s="222" t="s">
        <v>59</v>
      </c>
      <c r="BT13" s="222" t="s">
        <v>66</v>
      </c>
      <c r="BU13" s="222" t="s">
        <v>60</v>
      </c>
      <c r="BV13" s="222" t="s">
        <v>119</v>
      </c>
      <c r="BW13" s="224" t="s">
        <v>61</v>
      </c>
      <c r="BX13" s="225" t="s">
        <v>102</v>
      </c>
      <c r="BY13" s="227" t="s">
        <v>62</v>
      </c>
      <c r="BZ13" s="229" t="s">
        <v>63</v>
      </c>
      <c r="CA13" s="229" t="s">
        <v>64</v>
      </c>
      <c r="CB13" s="377" t="s">
        <v>6</v>
      </c>
      <c r="CC13" s="376" t="s">
        <v>50</v>
      </c>
      <c r="CD13" s="376" t="s">
        <v>52</v>
      </c>
      <c r="CE13" s="376" t="s">
        <v>54</v>
      </c>
      <c r="CF13" s="376" t="s">
        <v>31</v>
      </c>
      <c r="CG13" s="376" t="s">
        <v>51</v>
      </c>
      <c r="CH13" s="376" t="s">
        <v>7</v>
      </c>
      <c r="CI13" s="170" t="s">
        <v>14</v>
      </c>
      <c r="CJ13" s="171" t="s">
        <v>15</v>
      </c>
      <c r="CK13" s="170" t="s">
        <v>16</v>
      </c>
      <c r="CL13" s="170" t="s">
        <v>49</v>
      </c>
      <c r="CM13" s="170" t="s">
        <v>48</v>
      </c>
      <c r="CN13" s="170" t="s">
        <v>19</v>
      </c>
      <c r="CO13" s="232" t="s">
        <v>14</v>
      </c>
      <c r="CP13" s="233" t="s">
        <v>15</v>
      </c>
      <c r="CQ13" s="232" t="s">
        <v>16</v>
      </c>
      <c r="CR13" s="232" t="s">
        <v>17</v>
      </c>
      <c r="CS13" s="232" t="s">
        <v>18</v>
      </c>
      <c r="CT13" s="232" t="s">
        <v>19</v>
      </c>
      <c r="CU13" s="74" t="s">
        <v>14</v>
      </c>
      <c r="CV13" s="75" t="s">
        <v>15</v>
      </c>
      <c r="CW13" s="75" t="s">
        <v>16</v>
      </c>
      <c r="CX13" s="75" t="s">
        <v>49</v>
      </c>
      <c r="CY13" s="75" t="s">
        <v>48</v>
      </c>
      <c r="CZ13" s="75" t="s">
        <v>19</v>
      </c>
      <c r="DA13" s="369" t="s">
        <v>20</v>
      </c>
      <c r="DB13" s="369" t="s">
        <v>21</v>
      </c>
      <c r="DC13" s="369" t="s">
        <v>22</v>
      </c>
      <c r="DD13" s="369" t="s">
        <v>23</v>
      </c>
      <c r="DE13" s="264" t="s">
        <v>25</v>
      </c>
      <c r="DF13" s="264" t="s">
        <v>26</v>
      </c>
      <c r="DG13" s="264" t="s">
        <v>27</v>
      </c>
      <c r="DH13" s="265" t="s">
        <v>28</v>
      </c>
      <c r="DI13" s="264" t="s">
        <v>29</v>
      </c>
      <c r="DJ13" s="295" t="s">
        <v>59</v>
      </c>
      <c r="DK13" s="295" t="s">
        <v>66</v>
      </c>
      <c r="DL13" s="295" t="s">
        <v>60</v>
      </c>
      <c r="DM13" s="295" t="s">
        <v>119</v>
      </c>
      <c r="DN13" s="297" t="s">
        <v>61</v>
      </c>
      <c r="DO13" s="287" t="s">
        <v>102</v>
      </c>
      <c r="DP13" s="289" t="s">
        <v>62</v>
      </c>
      <c r="DQ13" s="291" t="s">
        <v>63</v>
      </c>
      <c r="DR13" s="291" t="s">
        <v>64</v>
      </c>
      <c r="DS13" s="220" t="s">
        <v>6</v>
      </c>
      <c r="DT13" s="193" t="s">
        <v>50</v>
      </c>
      <c r="DU13" s="193" t="s">
        <v>52</v>
      </c>
      <c r="DV13" s="193" t="s">
        <v>54</v>
      </c>
      <c r="DW13" s="193" t="s">
        <v>31</v>
      </c>
      <c r="DX13" s="285" t="s">
        <v>51</v>
      </c>
      <c r="DY13" s="285" t="s">
        <v>7</v>
      </c>
      <c r="DZ13" s="295" t="s">
        <v>59</v>
      </c>
      <c r="EA13" s="295" t="s">
        <v>66</v>
      </c>
      <c r="EB13" s="295" t="s">
        <v>60</v>
      </c>
      <c r="EC13" s="295" t="s">
        <v>119</v>
      </c>
      <c r="ED13" s="297" t="s">
        <v>61</v>
      </c>
      <c r="EE13" s="287" t="s">
        <v>102</v>
      </c>
      <c r="EF13" s="289" t="s">
        <v>62</v>
      </c>
      <c r="EG13" s="291" t="s">
        <v>63</v>
      </c>
      <c r="EH13" s="291" t="s">
        <v>64</v>
      </c>
      <c r="EI13" s="220" t="s">
        <v>6</v>
      </c>
      <c r="EJ13" s="193" t="s">
        <v>50</v>
      </c>
      <c r="EK13" s="193" t="s">
        <v>52</v>
      </c>
      <c r="EL13" s="193" t="s">
        <v>54</v>
      </c>
      <c r="EM13" s="193" t="s">
        <v>31</v>
      </c>
      <c r="EN13" s="285" t="s">
        <v>51</v>
      </c>
      <c r="EO13" s="285" t="s">
        <v>7</v>
      </c>
      <c r="EP13" s="46" t="s">
        <v>59</v>
      </c>
      <c r="EQ13" s="46" t="s">
        <v>66</v>
      </c>
      <c r="ER13" s="46" t="s">
        <v>60</v>
      </c>
      <c r="ES13" s="46" t="s">
        <v>114</v>
      </c>
      <c r="ET13" s="46" t="s">
        <v>61</v>
      </c>
      <c r="EU13" s="46" t="s">
        <v>102</v>
      </c>
      <c r="EV13" s="46" t="s">
        <v>62</v>
      </c>
      <c r="EW13" s="46" t="s">
        <v>63</v>
      </c>
      <c r="EX13" s="46" t="s">
        <v>64</v>
      </c>
      <c r="EY13" s="19" t="s">
        <v>6</v>
      </c>
      <c r="EZ13" s="18" t="s">
        <v>50</v>
      </c>
      <c r="FA13" s="18" t="s">
        <v>52</v>
      </c>
      <c r="FB13" s="18" t="s">
        <v>54</v>
      </c>
      <c r="FC13" s="18" t="s">
        <v>31</v>
      </c>
      <c r="FD13" s="18" t="s">
        <v>51</v>
      </c>
      <c r="FE13" s="18" t="s">
        <v>7</v>
      </c>
      <c r="FF13" s="174" t="s">
        <v>59</v>
      </c>
      <c r="FG13" s="174" t="s">
        <v>66</v>
      </c>
      <c r="FH13" s="174" t="s">
        <v>60</v>
      </c>
      <c r="FI13" s="174" t="s">
        <v>119</v>
      </c>
      <c r="FJ13" s="179" t="s">
        <v>61</v>
      </c>
      <c r="FK13" s="180" t="s">
        <v>102</v>
      </c>
      <c r="FL13" s="182" t="s">
        <v>62</v>
      </c>
      <c r="FM13" s="184" t="s">
        <v>63</v>
      </c>
      <c r="FN13" s="184" t="s">
        <v>64</v>
      </c>
      <c r="FO13" s="220" t="s">
        <v>6</v>
      </c>
      <c r="FP13" s="193" t="s">
        <v>50</v>
      </c>
      <c r="FQ13" s="193" t="s">
        <v>52</v>
      </c>
      <c r="FR13" s="193" t="s">
        <v>54</v>
      </c>
      <c r="FS13" s="193" t="s">
        <v>31</v>
      </c>
      <c r="FT13" s="285" t="s">
        <v>51</v>
      </c>
      <c r="FU13" s="285" t="s">
        <v>7</v>
      </c>
      <c r="FV13" s="222" t="s">
        <v>59</v>
      </c>
      <c r="FW13" s="222" t="s">
        <v>66</v>
      </c>
      <c r="FX13" s="222" t="s">
        <v>60</v>
      </c>
      <c r="FY13" s="222" t="s">
        <v>119</v>
      </c>
      <c r="FZ13" s="224" t="s">
        <v>61</v>
      </c>
      <c r="GA13" s="225" t="s">
        <v>102</v>
      </c>
      <c r="GB13" s="227" t="s">
        <v>62</v>
      </c>
      <c r="GC13" s="229" t="s">
        <v>63</v>
      </c>
      <c r="GD13" s="229" t="s">
        <v>64</v>
      </c>
      <c r="GE13" s="220" t="s">
        <v>6</v>
      </c>
      <c r="GF13" s="193" t="s">
        <v>50</v>
      </c>
      <c r="GG13" s="193" t="s">
        <v>52</v>
      </c>
      <c r="GH13" s="193" t="s">
        <v>54</v>
      </c>
      <c r="GI13" s="193" t="s">
        <v>31</v>
      </c>
      <c r="GJ13" s="193" t="s">
        <v>51</v>
      </c>
      <c r="GK13" s="193" t="s">
        <v>7</v>
      </c>
      <c r="GL13" s="170" t="s">
        <v>14</v>
      </c>
      <c r="GM13" s="171" t="s">
        <v>15</v>
      </c>
      <c r="GN13" s="170" t="s">
        <v>16</v>
      </c>
      <c r="GO13" s="170" t="s">
        <v>49</v>
      </c>
      <c r="GP13" s="170" t="s">
        <v>48</v>
      </c>
      <c r="GQ13" s="170" t="s">
        <v>19</v>
      </c>
      <c r="GR13" s="232" t="s">
        <v>14</v>
      </c>
      <c r="GS13" s="233" t="s">
        <v>15</v>
      </c>
      <c r="GT13" s="232" t="s">
        <v>16</v>
      </c>
      <c r="GU13" s="232" t="s">
        <v>17</v>
      </c>
      <c r="GV13" s="232" t="s">
        <v>18</v>
      </c>
      <c r="GW13" s="232" t="s">
        <v>19</v>
      </c>
      <c r="GX13" s="78" t="s">
        <v>14</v>
      </c>
      <c r="GY13" s="79" t="s">
        <v>15</v>
      </c>
      <c r="GZ13" s="79" t="s">
        <v>16</v>
      </c>
      <c r="HA13" s="79" t="s">
        <v>49</v>
      </c>
      <c r="HB13" s="79" t="s">
        <v>48</v>
      </c>
      <c r="HC13" s="79" t="s">
        <v>19</v>
      </c>
      <c r="HD13" s="370" t="s">
        <v>20</v>
      </c>
      <c r="HE13" s="370" t="s">
        <v>21</v>
      </c>
      <c r="HF13" s="370" t="s">
        <v>22</v>
      </c>
      <c r="HG13" s="370" t="s">
        <v>23</v>
      </c>
      <c r="HH13" s="264" t="s">
        <v>25</v>
      </c>
      <c r="HI13" s="264" t="s">
        <v>26</v>
      </c>
      <c r="HJ13" s="264" t="s">
        <v>27</v>
      </c>
      <c r="HK13" s="265" t="s">
        <v>28</v>
      </c>
      <c r="HL13" s="264" t="s">
        <v>29</v>
      </c>
      <c r="HM13" s="295" t="s">
        <v>59</v>
      </c>
      <c r="HN13" s="295" t="s">
        <v>66</v>
      </c>
      <c r="HO13" s="295" t="s">
        <v>60</v>
      </c>
      <c r="HP13" s="295" t="s">
        <v>119</v>
      </c>
      <c r="HQ13" s="297" t="s">
        <v>61</v>
      </c>
      <c r="HR13" s="287" t="s">
        <v>102</v>
      </c>
      <c r="HS13" s="289" t="s">
        <v>62</v>
      </c>
      <c r="HT13" s="291" t="s">
        <v>63</v>
      </c>
      <c r="HU13" s="291" t="s">
        <v>64</v>
      </c>
      <c r="HV13" s="220" t="s">
        <v>6</v>
      </c>
      <c r="HW13" s="193" t="s">
        <v>50</v>
      </c>
      <c r="HX13" s="193" t="s">
        <v>52</v>
      </c>
      <c r="HY13" s="193" t="s">
        <v>54</v>
      </c>
      <c r="HZ13" s="193" t="s">
        <v>31</v>
      </c>
      <c r="IA13" s="285" t="s">
        <v>51</v>
      </c>
      <c r="IB13" s="285" t="s">
        <v>7</v>
      </c>
      <c r="IC13" s="295" t="s">
        <v>59</v>
      </c>
      <c r="ID13" s="295" t="s">
        <v>66</v>
      </c>
      <c r="IE13" s="295" t="s">
        <v>60</v>
      </c>
      <c r="IF13" s="295" t="s">
        <v>119</v>
      </c>
      <c r="IG13" s="297" t="s">
        <v>61</v>
      </c>
      <c r="IH13" s="287" t="s">
        <v>102</v>
      </c>
      <c r="II13" s="289" t="s">
        <v>62</v>
      </c>
      <c r="IJ13" s="291" t="s">
        <v>63</v>
      </c>
      <c r="IK13" s="291" t="s">
        <v>64</v>
      </c>
      <c r="IL13" s="220" t="s">
        <v>6</v>
      </c>
      <c r="IM13" s="193" t="s">
        <v>50</v>
      </c>
      <c r="IN13" s="193" t="s">
        <v>52</v>
      </c>
      <c r="IO13" s="193" t="s">
        <v>54</v>
      </c>
      <c r="IP13" s="193" t="s">
        <v>31</v>
      </c>
      <c r="IQ13" s="285" t="s">
        <v>51</v>
      </c>
      <c r="IR13" s="285" t="s">
        <v>7</v>
      </c>
      <c r="IS13" s="83" t="s">
        <v>59</v>
      </c>
      <c r="IT13" s="83" t="s">
        <v>66</v>
      </c>
      <c r="IU13" s="83" t="s">
        <v>60</v>
      </c>
      <c r="IV13" s="83" t="s">
        <v>114</v>
      </c>
      <c r="IW13" s="83" t="s">
        <v>61</v>
      </c>
      <c r="IX13" s="83" t="s">
        <v>102</v>
      </c>
      <c r="IY13" s="83" t="s">
        <v>62</v>
      </c>
      <c r="IZ13" s="83" t="s">
        <v>63</v>
      </c>
      <c r="JA13" s="83" t="s">
        <v>64</v>
      </c>
      <c r="JB13" s="19" t="s">
        <v>6</v>
      </c>
      <c r="JC13" s="18" t="s">
        <v>50</v>
      </c>
      <c r="JD13" s="18" t="s">
        <v>52</v>
      </c>
      <c r="JE13" s="18" t="s">
        <v>54</v>
      </c>
      <c r="JF13" s="18" t="s">
        <v>31</v>
      </c>
      <c r="JG13" s="18" t="s">
        <v>51</v>
      </c>
      <c r="JH13" s="18" t="s">
        <v>7</v>
      </c>
      <c r="JI13" s="174" t="s">
        <v>59</v>
      </c>
      <c r="JJ13" s="174" t="s">
        <v>66</v>
      </c>
      <c r="JK13" s="174" t="s">
        <v>60</v>
      </c>
      <c r="JL13" s="174" t="s">
        <v>119</v>
      </c>
      <c r="JM13" s="179" t="s">
        <v>61</v>
      </c>
      <c r="JN13" s="180" t="s">
        <v>102</v>
      </c>
      <c r="JO13" s="182" t="s">
        <v>62</v>
      </c>
      <c r="JP13" s="184" t="s">
        <v>63</v>
      </c>
      <c r="JQ13" s="184" t="s">
        <v>64</v>
      </c>
      <c r="JR13" s="220" t="s">
        <v>6</v>
      </c>
      <c r="JS13" s="193" t="s">
        <v>50</v>
      </c>
      <c r="JT13" s="193" t="s">
        <v>52</v>
      </c>
      <c r="JU13" s="193" t="s">
        <v>54</v>
      </c>
      <c r="JV13" s="193" t="s">
        <v>31</v>
      </c>
      <c r="JW13" s="285" t="s">
        <v>51</v>
      </c>
      <c r="JX13" s="285" t="s">
        <v>7</v>
      </c>
      <c r="JY13" s="222" t="s">
        <v>59</v>
      </c>
      <c r="JZ13" s="222" t="s">
        <v>66</v>
      </c>
      <c r="KA13" s="222" t="s">
        <v>60</v>
      </c>
      <c r="KB13" s="222" t="s">
        <v>119</v>
      </c>
      <c r="KC13" s="224" t="s">
        <v>61</v>
      </c>
      <c r="KD13" s="225" t="s">
        <v>102</v>
      </c>
      <c r="KE13" s="227" t="s">
        <v>62</v>
      </c>
      <c r="KF13" s="229" t="s">
        <v>63</v>
      </c>
      <c r="KG13" s="229" t="s">
        <v>64</v>
      </c>
      <c r="KH13" s="240" t="s">
        <v>6</v>
      </c>
      <c r="KI13" s="231" t="s">
        <v>50</v>
      </c>
      <c r="KJ13" s="231" t="s">
        <v>52</v>
      </c>
      <c r="KK13" s="231" t="s">
        <v>54</v>
      </c>
      <c r="KL13" s="231" t="s">
        <v>31</v>
      </c>
      <c r="KM13" s="231" t="s">
        <v>51</v>
      </c>
      <c r="KN13" s="231" t="s">
        <v>7</v>
      </c>
      <c r="KO13" s="170" t="s">
        <v>14</v>
      </c>
      <c r="KP13" s="171" t="s">
        <v>15</v>
      </c>
      <c r="KQ13" s="170" t="s">
        <v>16</v>
      </c>
      <c r="KR13" s="170" t="s">
        <v>49</v>
      </c>
      <c r="KS13" s="170" t="s">
        <v>48</v>
      </c>
      <c r="KT13" s="170" t="s">
        <v>19</v>
      </c>
      <c r="KU13" s="232" t="s">
        <v>14</v>
      </c>
      <c r="KV13" s="233" t="s">
        <v>15</v>
      </c>
      <c r="KW13" s="232" t="s">
        <v>16</v>
      </c>
      <c r="KX13" s="232" t="s">
        <v>17</v>
      </c>
      <c r="KY13" s="232" t="s">
        <v>18</v>
      </c>
      <c r="KZ13" s="232" t="s">
        <v>19</v>
      </c>
      <c r="LA13" s="55" t="s">
        <v>14</v>
      </c>
      <c r="LB13" s="51" t="s">
        <v>15</v>
      </c>
      <c r="LC13" s="51" t="s">
        <v>16</v>
      </c>
      <c r="LD13" s="51" t="s">
        <v>49</v>
      </c>
      <c r="LE13" s="51" t="s">
        <v>48</v>
      </c>
      <c r="LF13" s="51" t="s">
        <v>19</v>
      </c>
      <c r="LG13" s="314" t="s">
        <v>20</v>
      </c>
      <c r="LH13" s="314" t="s">
        <v>21</v>
      </c>
      <c r="LI13" s="314" t="s">
        <v>22</v>
      </c>
      <c r="LJ13" s="314" t="s">
        <v>23</v>
      </c>
      <c r="LK13" s="264" t="s">
        <v>25</v>
      </c>
      <c r="LL13" s="264" t="s">
        <v>26</v>
      </c>
      <c r="LM13" s="264" t="s">
        <v>27</v>
      </c>
      <c r="LN13" s="265" t="s">
        <v>28</v>
      </c>
      <c r="LO13" s="264" t="s">
        <v>29</v>
      </c>
      <c r="LP13" s="364"/>
      <c r="LQ13" s="364"/>
      <c r="LR13" s="366"/>
      <c r="LS13" s="368"/>
    </row>
    <row r="14" spans="1:331" ht="39.75" customHeight="1" x14ac:dyDescent="0.35">
      <c r="A14" s="238"/>
      <c r="B14" s="238"/>
      <c r="C14" s="238"/>
      <c r="D14" s="238"/>
      <c r="E14" s="238"/>
      <c r="F14" s="238"/>
      <c r="G14" s="296"/>
      <c r="H14" s="296"/>
      <c r="I14" s="296"/>
      <c r="J14" s="296"/>
      <c r="K14" s="297"/>
      <c r="L14" s="288"/>
      <c r="M14" s="290"/>
      <c r="N14" s="292"/>
      <c r="O14" s="292"/>
      <c r="P14" s="220"/>
      <c r="Q14" s="193"/>
      <c r="R14" s="193"/>
      <c r="S14" s="193"/>
      <c r="T14" s="193"/>
      <c r="U14" s="192"/>
      <c r="V14" s="192"/>
      <c r="W14" s="379"/>
      <c r="X14" s="375"/>
      <c r="Y14" s="375"/>
      <c r="Z14" s="375"/>
      <c r="AA14" s="288"/>
      <c r="AB14" s="288"/>
      <c r="AC14" s="290"/>
      <c r="AD14" s="292"/>
      <c r="AE14" s="292"/>
      <c r="AF14" s="220"/>
      <c r="AG14" s="193"/>
      <c r="AH14" s="193"/>
      <c r="AI14" s="193"/>
      <c r="AJ14" s="193"/>
      <c r="AK14" s="192"/>
      <c r="AL14" s="192"/>
      <c r="AM14" s="47">
        <v>2</v>
      </c>
      <c r="AN14" s="47">
        <v>2</v>
      </c>
      <c r="AO14" s="47">
        <v>3</v>
      </c>
      <c r="AP14" s="47">
        <v>1</v>
      </c>
      <c r="AQ14" s="47">
        <v>5</v>
      </c>
      <c r="AR14" s="47">
        <v>3</v>
      </c>
      <c r="AS14" s="47">
        <v>2</v>
      </c>
      <c r="AT14" s="47">
        <v>1</v>
      </c>
      <c r="AU14" s="47">
        <v>1</v>
      </c>
      <c r="AV14" s="2">
        <v>5</v>
      </c>
      <c r="AW14" s="2">
        <v>1</v>
      </c>
      <c r="AX14" s="2">
        <v>5</v>
      </c>
      <c r="AY14" s="2">
        <v>3</v>
      </c>
      <c r="AZ14" s="2">
        <v>2</v>
      </c>
      <c r="BA14" s="2">
        <v>2</v>
      </c>
      <c r="BB14" s="2">
        <v>2</v>
      </c>
      <c r="BC14" s="175"/>
      <c r="BD14" s="175"/>
      <c r="BE14" s="175"/>
      <c r="BF14" s="175"/>
      <c r="BG14" s="179"/>
      <c r="BH14" s="181"/>
      <c r="BI14" s="183"/>
      <c r="BJ14" s="185"/>
      <c r="BK14" s="185"/>
      <c r="BL14" s="220"/>
      <c r="BM14" s="193"/>
      <c r="BN14" s="193"/>
      <c r="BO14" s="193"/>
      <c r="BP14" s="193"/>
      <c r="BQ14" s="192"/>
      <c r="BR14" s="192"/>
      <c r="BS14" s="223"/>
      <c r="BT14" s="223"/>
      <c r="BU14" s="223"/>
      <c r="BV14" s="223"/>
      <c r="BW14" s="224"/>
      <c r="BX14" s="226"/>
      <c r="BY14" s="228"/>
      <c r="BZ14" s="230"/>
      <c r="CA14" s="230"/>
      <c r="CB14" s="377"/>
      <c r="CC14" s="376"/>
      <c r="CD14" s="376"/>
      <c r="CE14" s="376"/>
      <c r="CF14" s="376"/>
      <c r="CG14" s="376"/>
      <c r="CH14" s="376"/>
      <c r="CI14" s="170"/>
      <c r="CJ14" s="171"/>
      <c r="CK14" s="170"/>
      <c r="CL14" s="170"/>
      <c r="CM14" s="170"/>
      <c r="CN14" s="170"/>
      <c r="CO14" s="232"/>
      <c r="CP14" s="233"/>
      <c r="CQ14" s="232"/>
      <c r="CR14" s="232"/>
      <c r="CS14" s="232"/>
      <c r="CT14" s="232"/>
      <c r="CU14" s="371" t="s">
        <v>30</v>
      </c>
      <c r="CV14" s="371"/>
      <c r="CW14" s="371"/>
      <c r="CX14" s="371"/>
      <c r="CY14" s="371"/>
      <c r="CZ14" s="371"/>
      <c r="DA14" s="369"/>
      <c r="DB14" s="369"/>
      <c r="DC14" s="369"/>
      <c r="DD14" s="369"/>
      <c r="DE14" s="264"/>
      <c r="DF14" s="264"/>
      <c r="DG14" s="264"/>
      <c r="DH14" s="265"/>
      <c r="DI14" s="264"/>
      <c r="DJ14" s="296"/>
      <c r="DK14" s="296"/>
      <c r="DL14" s="296"/>
      <c r="DM14" s="296"/>
      <c r="DN14" s="297"/>
      <c r="DO14" s="288"/>
      <c r="DP14" s="290"/>
      <c r="DQ14" s="292"/>
      <c r="DR14" s="292"/>
      <c r="DS14" s="220"/>
      <c r="DT14" s="193"/>
      <c r="DU14" s="193"/>
      <c r="DV14" s="193"/>
      <c r="DW14" s="193"/>
      <c r="DX14" s="192"/>
      <c r="DY14" s="192"/>
      <c r="DZ14" s="296"/>
      <c r="EA14" s="296"/>
      <c r="EB14" s="296"/>
      <c r="EC14" s="296"/>
      <c r="ED14" s="297"/>
      <c r="EE14" s="288"/>
      <c r="EF14" s="290"/>
      <c r="EG14" s="292"/>
      <c r="EH14" s="292"/>
      <c r="EI14" s="220"/>
      <c r="EJ14" s="193"/>
      <c r="EK14" s="193"/>
      <c r="EL14" s="193"/>
      <c r="EM14" s="193"/>
      <c r="EN14" s="192"/>
      <c r="EO14" s="192"/>
      <c r="EP14" s="47">
        <v>2</v>
      </c>
      <c r="EQ14" s="47">
        <v>2</v>
      </c>
      <c r="ER14" s="47">
        <v>3</v>
      </c>
      <c r="ES14" s="47">
        <v>1</v>
      </c>
      <c r="ET14" s="47">
        <v>5</v>
      </c>
      <c r="EU14" s="47">
        <v>3</v>
      </c>
      <c r="EV14" s="47">
        <v>2</v>
      </c>
      <c r="EW14" s="47">
        <v>1</v>
      </c>
      <c r="EX14" s="47">
        <v>1</v>
      </c>
      <c r="EY14" s="2">
        <v>5</v>
      </c>
      <c r="EZ14" s="2">
        <v>1</v>
      </c>
      <c r="FA14" s="2">
        <v>5</v>
      </c>
      <c r="FB14" s="2">
        <v>3</v>
      </c>
      <c r="FC14" s="2">
        <v>2</v>
      </c>
      <c r="FD14" s="2">
        <v>2</v>
      </c>
      <c r="FE14" s="2">
        <v>2</v>
      </c>
      <c r="FF14" s="175"/>
      <c r="FG14" s="175"/>
      <c r="FH14" s="175"/>
      <c r="FI14" s="175"/>
      <c r="FJ14" s="179"/>
      <c r="FK14" s="181"/>
      <c r="FL14" s="183"/>
      <c r="FM14" s="185"/>
      <c r="FN14" s="185"/>
      <c r="FO14" s="220"/>
      <c r="FP14" s="193"/>
      <c r="FQ14" s="193"/>
      <c r="FR14" s="193"/>
      <c r="FS14" s="193"/>
      <c r="FT14" s="192"/>
      <c r="FU14" s="192"/>
      <c r="FV14" s="223"/>
      <c r="FW14" s="223"/>
      <c r="FX14" s="223"/>
      <c r="FY14" s="223"/>
      <c r="FZ14" s="224"/>
      <c r="GA14" s="226"/>
      <c r="GB14" s="228"/>
      <c r="GC14" s="230"/>
      <c r="GD14" s="230"/>
      <c r="GE14" s="220"/>
      <c r="GF14" s="193"/>
      <c r="GG14" s="193"/>
      <c r="GH14" s="193"/>
      <c r="GI14" s="193"/>
      <c r="GJ14" s="193"/>
      <c r="GK14" s="193"/>
      <c r="GL14" s="170"/>
      <c r="GM14" s="171"/>
      <c r="GN14" s="170"/>
      <c r="GO14" s="170"/>
      <c r="GP14" s="170"/>
      <c r="GQ14" s="170"/>
      <c r="GR14" s="232"/>
      <c r="GS14" s="233"/>
      <c r="GT14" s="232"/>
      <c r="GU14" s="232"/>
      <c r="GV14" s="232"/>
      <c r="GW14" s="232"/>
      <c r="GX14" s="372" t="s">
        <v>30</v>
      </c>
      <c r="GY14" s="372"/>
      <c r="GZ14" s="372"/>
      <c r="HA14" s="372"/>
      <c r="HB14" s="372"/>
      <c r="HC14" s="372"/>
      <c r="HD14" s="370"/>
      <c r="HE14" s="370"/>
      <c r="HF14" s="370"/>
      <c r="HG14" s="370"/>
      <c r="HH14" s="264"/>
      <c r="HI14" s="264"/>
      <c r="HJ14" s="264"/>
      <c r="HK14" s="265"/>
      <c r="HL14" s="264"/>
      <c r="HM14" s="296"/>
      <c r="HN14" s="296"/>
      <c r="HO14" s="296"/>
      <c r="HP14" s="296"/>
      <c r="HQ14" s="297"/>
      <c r="HR14" s="288"/>
      <c r="HS14" s="290"/>
      <c r="HT14" s="292"/>
      <c r="HU14" s="292"/>
      <c r="HV14" s="220"/>
      <c r="HW14" s="193"/>
      <c r="HX14" s="193"/>
      <c r="HY14" s="193"/>
      <c r="HZ14" s="193"/>
      <c r="IA14" s="192"/>
      <c r="IB14" s="192"/>
      <c r="IC14" s="296"/>
      <c r="ID14" s="296"/>
      <c r="IE14" s="296"/>
      <c r="IF14" s="296"/>
      <c r="IG14" s="297"/>
      <c r="IH14" s="288"/>
      <c r="II14" s="290"/>
      <c r="IJ14" s="292"/>
      <c r="IK14" s="292"/>
      <c r="IL14" s="220"/>
      <c r="IM14" s="193"/>
      <c r="IN14" s="193"/>
      <c r="IO14" s="193"/>
      <c r="IP14" s="193"/>
      <c r="IQ14" s="192"/>
      <c r="IR14" s="192"/>
      <c r="IS14" s="47">
        <f>'Q1'!AM14+EP14</f>
        <v>4</v>
      </c>
      <c r="IT14" s="47">
        <f>'Q1'!AN14+EQ14</f>
        <v>4</v>
      </c>
      <c r="IU14" s="47">
        <f>'Q1'!AO14+ER14</f>
        <v>6</v>
      </c>
      <c r="IV14" s="47">
        <f>'Q1'!AP14+ES14</f>
        <v>2</v>
      </c>
      <c r="IW14" s="47">
        <f>'Q1'!AQ14+ET14</f>
        <v>10</v>
      </c>
      <c r="IX14" s="47">
        <f>'Q1'!AR14+EU14</f>
        <v>6</v>
      </c>
      <c r="IY14" s="47">
        <f>'Q1'!AS14+EV14</f>
        <v>4</v>
      </c>
      <c r="IZ14" s="47">
        <f>'Q1'!AT14+EW14</f>
        <v>2</v>
      </c>
      <c r="JA14" s="47">
        <f>'Q1'!AU14+EX14</f>
        <v>2</v>
      </c>
      <c r="JB14" s="2">
        <f>'Q1'!AV14+EY14</f>
        <v>10</v>
      </c>
      <c r="JC14" s="2">
        <f>'Q1'!AW14+EZ14</f>
        <v>2</v>
      </c>
      <c r="JD14" s="2">
        <f>'Q1'!AX14+FA14</f>
        <v>10</v>
      </c>
      <c r="JE14" s="2">
        <f>'Q1'!AY14+FB14</f>
        <v>6</v>
      </c>
      <c r="JF14" s="2">
        <f>'Q1'!AZ14+FC14</f>
        <v>4</v>
      </c>
      <c r="JG14" s="2">
        <f>'Q1'!BA14+FD14</f>
        <v>4</v>
      </c>
      <c r="JH14" s="2">
        <f>'Q1'!BB14+FE14</f>
        <v>4</v>
      </c>
      <c r="JI14" s="175"/>
      <c r="JJ14" s="175"/>
      <c r="JK14" s="175"/>
      <c r="JL14" s="175"/>
      <c r="JM14" s="179"/>
      <c r="JN14" s="181"/>
      <c r="JO14" s="183"/>
      <c r="JP14" s="185"/>
      <c r="JQ14" s="185"/>
      <c r="JR14" s="220"/>
      <c r="JS14" s="193"/>
      <c r="JT14" s="193"/>
      <c r="JU14" s="193"/>
      <c r="JV14" s="193"/>
      <c r="JW14" s="192"/>
      <c r="JX14" s="192"/>
      <c r="JY14" s="223"/>
      <c r="JZ14" s="223"/>
      <c r="KA14" s="223"/>
      <c r="KB14" s="223"/>
      <c r="KC14" s="224"/>
      <c r="KD14" s="226"/>
      <c r="KE14" s="228"/>
      <c r="KF14" s="230"/>
      <c r="KG14" s="230"/>
      <c r="KH14" s="240"/>
      <c r="KI14" s="231"/>
      <c r="KJ14" s="231"/>
      <c r="KK14" s="231"/>
      <c r="KL14" s="231"/>
      <c r="KM14" s="231"/>
      <c r="KN14" s="231"/>
      <c r="KO14" s="170"/>
      <c r="KP14" s="171"/>
      <c r="KQ14" s="170"/>
      <c r="KR14" s="170"/>
      <c r="KS14" s="170"/>
      <c r="KT14" s="170"/>
      <c r="KU14" s="232"/>
      <c r="KV14" s="233"/>
      <c r="KW14" s="232"/>
      <c r="KX14" s="232"/>
      <c r="KY14" s="232"/>
      <c r="KZ14" s="232"/>
      <c r="LA14" s="373" t="s">
        <v>30</v>
      </c>
      <c r="LB14" s="373"/>
      <c r="LC14" s="373"/>
      <c r="LD14" s="373"/>
      <c r="LE14" s="373"/>
      <c r="LF14" s="373"/>
      <c r="LG14" s="314"/>
      <c r="LH14" s="314"/>
      <c r="LI14" s="314"/>
      <c r="LJ14" s="314"/>
      <c r="LK14" s="264"/>
      <c r="LL14" s="264"/>
      <c r="LM14" s="264"/>
      <c r="LN14" s="265"/>
      <c r="LO14" s="264"/>
      <c r="LP14" s="364"/>
      <c r="LQ14" s="364"/>
      <c r="LR14" s="8">
        <v>6</v>
      </c>
      <c r="LS14" s="368"/>
    </row>
    <row r="15" spans="1:331" ht="27" customHeight="1" x14ac:dyDescent="0.35">
      <c r="A15" s="24">
        <f>IF(B15="","",1)</f>
        <v>1</v>
      </c>
      <c r="B15" s="86" t="str">
        <f>IF(FinalSem2!B15="","",FinalSem2!B15)</f>
        <v>Sor Ketryawin</v>
      </c>
      <c r="C15" s="29" t="str">
        <f>IF(FinalSem2!C15="","",FinalSem2!C15)</f>
        <v>ស កេតទ្រីយ៉ាវីន</v>
      </c>
      <c r="D15" s="24" t="str">
        <f>IF(FinalSem2!D15="","",FinalSem2!D15)</f>
        <v>F</v>
      </c>
      <c r="E15" s="24">
        <f>IF(FinalSem2!E15="","",FinalSem2!E15)</f>
        <v>691</v>
      </c>
      <c r="F15" s="24" t="str">
        <f>IF(FinalSem2!F15="","",FinalSem2!F15)</f>
        <v>I</v>
      </c>
      <c r="G15" s="26">
        <f>IF(FinalSem1!G15="","",FinalSem1!LI15)</f>
        <v>79.5</v>
      </c>
      <c r="H15" s="26">
        <f>IF(FinalSem1!H15="","",FinalSem1!LJ15)</f>
        <v>78.966666666666669</v>
      </c>
      <c r="I15" s="26">
        <f>IF(FinalSem1!I15="","",FinalSem1!LK15)</f>
        <v>88.866666666666674</v>
      </c>
      <c r="J15" s="26">
        <f>IF(FinalSem1!J15="","",FinalSem1!LL15)</f>
        <v>83.5</v>
      </c>
      <c r="K15" s="26">
        <f>IF(FinalSem1!K15="","",FinalSem1!LM15)</f>
        <v>82.416666666666671</v>
      </c>
      <c r="L15" s="26">
        <f>IF(FinalSem1!L15="","",FinalSem1!LN15)</f>
        <v>86.108333333333334</v>
      </c>
      <c r="M15" s="26">
        <f>IF(FinalSem1!M15="","",FinalSem1!LO15)</f>
        <v>81.13333333333334</v>
      </c>
      <c r="N15" s="26">
        <f>IF(FinalSem1!N15="","",FinalSem1!LP15)</f>
        <v>94.5</v>
      </c>
      <c r="O15" s="26">
        <f>IF(FinalSem1!O15="","",FinalSem1!LQ15)</f>
        <v>94.5</v>
      </c>
      <c r="P15" s="26">
        <f>IF(FinalSem1!P15="","",FinalSem1!LR15)</f>
        <v>83.946666666666673</v>
      </c>
      <c r="Q15" s="26">
        <f>IF(FinalSem1!Q15="","",FinalSem1!LS15)</f>
        <v>91.893333333333345</v>
      </c>
      <c r="R15" s="26">
        <f>IF(FinalSem1!R15="","",FinalSem1!LT15)</f>
        <v>56.412500000000001</v>
      </c>
      <c r="S15" s="26">
        <f>IF(FinalSem1!S15="","",FinalSem1!LU15)</f>
        <v>42.757575757575758</v>
      </c>
      <c r="T15" s="26">
        <f>IF(FinalSem1!T15="","",FinalSem1!LV15)</f>
        <v>85.333333333333343</v>
      </c>
      <c r="U15" s="26">
        <f>IF(FinalSem1!U15="","",FinalSem1!LW15)</f>
        <v>92.416666666666671</v>
      </c>
      <c r="V15" s="26">
        <f>IF(FinalSem1!V15="","",FinalSem1!LX15)</f>
        <v>83.25</v>
      </c>
      <c r="W15" s="26" t="str">
        <f t="shared" ref="W15" si="0">IF(G15="","",IF(G15&gt;=90,"A",IF(G15&gt;=80,"B",IF(G15&gt;=70,"C",IF(G15&gt;=60,"D",IF(G15&gt;=50,"E",IF(G15&gt;=0,"F","")))))))</f>
        <v>C</v>
      </c>
      <c r="X15" s="26" t="str">
        <f t="shared" ref="X15" si="1">IF(H15="","",IF(H15&gt;=90,"A",IF(H15&gt;=80,"B",IF(H15&gt;=70,"C",IF(H15&gt;=60,"D",IF(H15&gt;=50,"E",IF(H15&gt;=0,"F","")))))))</f>
        <v>C</v>
      </c>
      <c r="Y15" s="26" t="str">
        <f t="shared" ref="Y15" si="2">IF(I15="","",IF(I15&gt;=90,"A",IF(I15&gt;=80,"B",IF(I15&gt;=70,"C",IF(I15&gt;=60,"D",IF(I15&gt;=50,"E",IF(I15&gt;=0,"F","")))))))</f>
        <v>B</v>
      </c>
      <c r="Z15" s="26" t="str">
        <f t="shared" ref="Z15" si="3">IF(J15="","",IF(J15&gt;=90,"A",IF(J15&gt;=80,"B",IF(J15&gt;=70,"C",IF(J15&gt;=60,"D",IF(J15&gt;=50,"E",IF(J15&gt;=0,"F","")))))))</f>
        <v>B</v>
      </c>
      <c r="AA15" s="26" t="str">
        <f t="shared" ref="AA15" si="4">IF(K15="","",IF(K15&gt;=90,"A",IF(K15&gt;=80,"B",IF(K15&gt;=70,"C",IF(K15&gt;=60,"D",IF(K15&gt;=50,"E",IF(K15&gt;=0,"F","")))))))</f>
        <v>B</v>
      </c>
      <c r="AB15" s="26" t="str">
        <f t="shared" ref="AB15" si="5">IF(L15="","",IF(L15&gt;=90,"A",IF(L15&gt;=80,"B",IF(L15&gt;=70,"C",IF(L15&gt;=60,"D",IF(L15&gt;=50,"E",IF(L15&gt;=0,"F","")))))))</f>
        <v>B</v>
      </c>
      <c r="AC15" s="26" t="str">
        <f t="shared" ref="AC15" si="6">IF(M15="","",IF(M15&gt;=90,"A",IF(M15&gt;=80,"B",IF(M15&gt;=70,"C",IF(M15&gt;=60,"D",IF(M15&gt;=50,"E",IF(M15&gt;=0,"F","")))))))</f>
        <v>B</v>
      </c>
      <c r="AD15" s="26" t="str">
        <f t="shared" ref="AD15" si="7">IF(N15="","",IF(N15&gt;=90,"A",IF(N15&gt;=80,"B",IF(N15&gt;=70,"C",IF(N15&gt;=60,"D",IF(N15&gt;=50,"E",IF(N15&gt;=0,"F","")))))))</f>
        <v>A</v>
      </c>
      <c r="AE15" s="26" t="str">
        <f t="shared" ref="AE15" si="8">IF(O15="","",IF(O15&gt;=90,"A",IF(O15&gt;=80,"B",IF(O15&gt;=70,"C",IF(O15&gt;=60,"D",IF(O15&gt;=50,"E",IF(O15&gt;=0,"F","")))))))</f>
        <v>A</v>
      </c>
      <c r="AF15" s="24" t="str">
        <f t="shared" ref="AF15" si="9">IF(P15="","",IF(P15&gt;=90,"A",IF(P15&gt;=80,"B",IF(P15&gt;=70,"C",IF(P15&gt;=60,"D",IF(P15&gt;=50,"E",IF(P15&gt;=0,"F","")))))))</f>
        <v>B</v>
      </c>
      <c r="AG15" s="24" t="str">
        <f t="shared" ref="AG15" si="10">IF(Q15="","",IF(Q15&gt;=90,"A",IF(Q15&gt;=80,"B",IF(Q15&gt;=70,"C",IF(Q15&gt;=60,"D",IF(Q15&gt;=50,"E",IF(Q15&gt;=0,"F","")))))))</f>
        <v>A</v>
      </c>
      <c r="AH15" s="24" t="str">
        <f t="shared" ref="AH15" si="11">IF(R15="","",IF(R15&gt;=90,"A",IF(R15&gt;=80,"B",IF(R15&gt;=70,"C",IF(R15&gt;=60,"D",IF(R15&gt;=50,"E",IF(R15&gt;=0,"F","")))))))</f>
        <v>E</v>
      </c>
      <c r="AI15" s="24" t="str">
        <f t="shared" ref="AI15" si="12">IF(S15="","",IF(S15&gt;=90,"A",IF(S15&gt;=80,"B",IF(S15&gt;=70,"C",IF(S15&gt;=60,"D",IF(S15&gt;=50,"E",IF(S15&gt;=0,"F","")))))))</f>
        <v>F</v>
      </c>
      <c r="AJ15" s="24" t="str">
        <f t="shared" ref="AJ15" si="13">IF(T15="","",IF(T15&gt;=90,"A",IF(T15&gt;=80,"B",IF(T15&gt;=70,"C",IF(T15&gt;=60,"D",IF(T15&gt;=50,"E",IF(T15&gt;=0,"F","")))))))</f>
        <v>B</v>
      </c>
      <c r="AK15" s="24" t="str">
        <f t="shared" ref="AK15" si="14">IF(U15="","",IF(U15&gt;=90,"A",IF(U15&gt;=80,"B",IF(U15&gt;=70,"C",IF(U15&gt;=60,"D",IF(U15&gt;=50,"E",IF(U15&gt;=0,"F","")))))))</f>
        <v>A</v>
      </c>
      <c r="AL15" s="24" t="str">
        <f t="shared" ref="AL15" si="15">IF(V15="","",IF(V15&gt;=90,"A",IF(V15&gt;=80,"B",IF(V15&gt;=70,"C",IF(V15&gt;=60,"D",IF(V15&gt;=50,"E",IF(V15&gt;=0,"F","")))))))</f>
        <v>B</v>
      </c>
      <c r="AM15" s="24">
        <f t="shared" ref="AM15" si="16">IF(G15="","",$AM$14)</f>
        <v>2</v>
      </c>
      <c r="AN15" s="24">
        <f t="shared" ref="AN15" si="17">IF(H15="","",$AN$14)</f>
        <v>2</v>
      </c>
      <c r="AO15" s="24">
        <f t="shared" ref="AO15" si="18">IF(I15="","",$AO$14)</f>
        <v>3</v>
      </c>
      <c r="AP15" s="24">
        <f t="shared" ref="AP15" si="19">IF(J15="","",$AP$14)</f>
        <v>1</v>
      </c>
      <c r="AQ15" s="24">
        <f t="shared" ref="AQ15" si="20">IF(K15="","",$AQ$14)</f>
        <v>5</v>
      </c>
      <c r="AR15" s="24">
        <f t="shared" ref="AR15" si="21">IF(L15="","",$AR$14)</f>
        <v>3</v>
      </c>
      <c r="AS15" s="24">
        <f t="shared" ref="AS15" si="22">IF(M15="","",$AS$14)</f>
        <v>2</v>
      </c>
      <c r="AT15" s="24">
        <f t="shared" ref="AT15" si="23">IF(N15="","",$AT$14)</f>
        <v>1</v>
      </c>
      <c r="AU15" s="24">
        <f t="shared" ref="AU15" si="24">IF(O15="","",$AU$14)</f>
        <v>1</v>
      </c>
      <c r="AV15" s="24">
        <f t="shared" ref="AV15" si="25">IF(P15="","",$AV$14)</f>
        <v>5</v>
      </c>
      <c r="AW15" s="24">
        <f t="shared" ref="AW15" si="26">IF(Q15="","",$AW$14)</f>
        <v>1</v>
      </c>
      <c r="AX15" s="24">
        <f t="shared" ref="AX15" si="27">IF(R15="","",$AX$14)</f>
        <v>5</v>
      </c>
      <c r="AY15" s="24">
        <f t="shared" ref="AY15" si="28">IF(S15="","",$AY$14)</f>
        <v>3</v>
      </c>
      <c r="AZ15" s="24">
        <f t="shared" ref="AZ15" si="29">IF(T15="","",$AZ$14)</f>
        <v>2</v>
      </c>
      <c r="BA15" s="24">
        <f t="shared" ref="BA15" si="30">IF(U15="","",$BA$14)</f>
        <v>2</v>
      </c>
      <c r="BB15" s="24">
        <f t="shared" ref="BB15" si="31">IF(V15="","",$BB$14)</f>
        <v>2</v>
      </c>
      <c r="BC15" s="26">
        <f t="shared" ref="BC15" si="32">IF(OR(G15="",AM15=""),"",PRODUCT(G15,AM15))</f>
        <v>159</v>
      </c>
      <c r="BD15" s="26">
        <f t="shared" ref="BD15" si="33">IF(OR(H15="",AN15=""),"",PRODUCT(H15,AN15))</f>
        <v>157.93333333333334</v>
      </c>
      <c r="BE15" s="26">
        <f t="shared" ref="BE15" si="34">IF(OR(I15="",AO15=""),"",PRODUCT(I15,AO15))</f>
        <v>266.60000000000002</v>
      </c>
      <c r="BF15" s="26">
        <f t="shared" ref="BF15" si="35">IF(OR(J15="",AP15=""),"",PRODUCT(J15,AP15))</f>
        <v>83.5</v>
      </c>
      <c r="BG15" s="26">
        <f t="shared" ref="BG15" si="36">IF(OR(K15="",AQ15=""),"",PRODUCT(K15,AQ15))</f>
        <v>412.08333333333337</v>
      </c>
      <c r="BH15" s="26">
        <f t="shared" ref="BH15" si="37">IF(OR(L15="",AR15=""),"",PRODUCT(L15,AR15))</f>
        <v>258.32499999999999</v>
      </c>
      <c r="BI15" s="26">
        <f t="shared" ref="BI15" si="38">IF(OR(M15="",AS15=""),"",PRODUCT(M15,AS15))</f>
        <v>162.26666666666668</v>
      </c>
      <c r="BJ15" s="26">
        <f t="shared" ref="BJ15" si="39">IF(OR(N15="",AT15=""),"",PRODUCT(N15,AT15))</f>
        <v>94.5</v>
      </c>
      <c r="BK15" s="26">
        <f t="shared" ref="BK15" si="40">IF(OR(O15="",AU15=""),"",PRODUCT(O15,AU15))</f>
        <v>94.5</v>
      </c>
      <c r="BL15" s="26">
        <f t="shared" ref="BL15" si="41">IF(OR(P15="",AV15=""),"",PRODUCT(P15,AV15))</f>
        <v>419.73333333333335</v>
      </c>
      <c r="BM15" s="26">
        <f t="shared" ref="BM15" si="42">IF(OR(Q15="",AW15=""),"",PRODUCT(Q15,AW15))</f>
        <v>91.893333333333345</v>
      </c>
      <c r="BN15" s="26">
        <f t="shared" ref="BN15" si="43">IF(OR(R15="",AX15=""),"",PRODUCT(R15,AX15))</f>
        <v>282.0625</v>
      </c>
      <c r="BO15" s="26">
        <f t="shared" ref="BO15" si="44">IF(OR(S15="",AY15=""),"",PRODUCT(S15,AY15))</f>
        <v>128.27272727272728</v>
      </c>
      <c r="BP15" s="26">
        <f t="shared" ref="BP15" si="45">IF(OR(T15="",AZ15=""),"",PRODUCT(T15,AZ15))</f>
        <v>170.66666666666669</v>
      </c>
      <c r="BQ15" s="26">
        <f t="shared" ref="BQ15" si="46">IF(OR(U15="",BA15=""),"",PRODUCT(U15,BA15))</f>
        <v>184.83333333333334</v>
      </c>
      <c r="BR15" s="26">
        <f t="shared" ref="BR15" si="47">IF(OR(V15="",BB15=""),"",PRODUCT(V15,BB15))</f>
        <v>166.5</v>
      </c>
      <c r="BS15" s="24">
        <f t="shared" ref="BS15:CH15" si="48">IF(OR(AM15="",W15=""),"",AM15*(IF(OR(W15="A",W15="a"),4,(IF(OR(W451="B",W15="b"),3,(IF(OR(W15="C",W15="c"),2,(IF(OR(W15="D",W15="d"),1.5,(IF(OR(W15="E",W15="e"),1,(IF(OR(W15="F",W15="f"),0)))))))))))))</f>
        <v>4</v>
      </c>
      <c r="BT15" s="24">
        <f t="shared" si="48"/>
        <v>4</v>
      </c>
      <c r="BU15" s="24">
        <f t="shared" si="48"/>
        <v>9</v>
      </c>
      <c r="BV15" s="24">
        <f t="shared" si="48"/>
        <v>3</v>
      </c>
      <c r="BW15" s="24">
        <f t="shared" si="48"/>
        <v>15</v>
      </c>
      <c r="BX15" s="24">
        <f t="shared" si="48"/>
        <v>9</v>
      </c>
      <c r="BY15" s="24">
        <f t="shared" si="48"/>
        <v>6</v>
      </c>
      <c r="BZ15" s="24">
        <f t="shared" si="48"/>
        <v>4</v>
      </c>
      <c r="CA15" s="24">
        <f t="shared" si="48"/>
        <v>4</v>
      </c>
      <c r="CB15" s="24">
        <f t="shared" si="48"/>
        <v>15</v>
      </c>
      <c r="CC15" s="24">
        <f t="shared" si="48"/>
        <v>4</v>
      </c>
      <c r="CD15" s="24">
        <f t="shared" si="48"/>
        <v>5</v>
      </c>
      <c r="CE15" s="24">
        <f t="shared" si="48"/>
        <v>0</v>
      </c>
      <c r="CF15" s="24">
        <f t="shared" si="48"/>
        <v>6</v>
      </c>
      <c r="CG15" s="24">
        <f t="shared" si="48"/>
        <v>8</v>
      </c>
      <c r="CH15" s="24">
        <f t="shared" si="48"/>
        <v>6</v>
      </c>
      <c r="CI15" s="24">
        <f t="shared" ref="CI15" si="49">IF(B15="","",SUM(AM15:AU15))</f>
        <v>20</v>
      </c>
      <c r="CJ15" s="24">
        <f t="shared" ref="CJ15" si="50">IF(B15="","",SUM(BF15:BN15))</f>
        <v>1898.8641666666667</v>
      </c>
      <c r="CK15" s="26">
        <f t="shared" ref="CK15" si="51">IF(B15="","",SUM(BV15:CD15))</f>
        <v>65</v>
      </c>
      <c r="CL15" s="26">
        <f>IF(OR(CI15="",CJ15=""),"",CJ15/CI15)</f>
        <v>94.943208333333331</v>
      </c>
      <c r="CM15" s="24" t="str">
        <f>IF(CL15="","",IF(CL15&gt;=90,"A",IF(CL15&gt;=80,"B",IF(CL15&gt;=70,"C",IF(CL15&gt;=60,"D",IF(CL15&gt;=50,"E",IF(CL15&gt;=0,"F","")))))))</f>
        <v>A</v>
      </c>
      <c r="CN15" s="26">
        <f t="shared" ref="CN15" si="52">IF(B15="","",CK15/CI15)</f>
        <v>3.25</v>
      </c>
      <c r="CO15" s="24">
        <f t="shared" ref="CO15" si="53">IF(B15="","",SUM(AV15:BB15))</f>
        <v>20</v>
      </c>
      <c r="CP15" s="26">
        <f t="shared" ref="CP15" si="54">IF(B15="","",SUM(BL15:BR15))</f>
        <v>1443.9618939393938</v>
      </c>
      <c r="CQ15" s="26">
        <f t="shared" ref="CQ15" si="55">IF(B15="","",SUM(CB15:CH15))</f>
        <v>44</v>
      </c>
      <c r="CR15" s="26">
        <f>IF(OR(CO15="",CP15=""),"",CP15/CO15)</f>
        <v>72.19809469696969</v>
      </c>
      <c r="CS15" s="24" t="str">
        <f>IF(CR15="","",IF(CR15&gt;=90,"A",IF(CR15&gt;=80,"B",IF(CR15&gt;=70,"C",IF(CR15&gt;=60,"D",IF(CR15&gt;=50,"E",IF(CR15&gt;=0,"F","")))))))</f>
        <v>C</v>
      </c>
      <c r="CT15" s="26">
        <f t="shared" ref="CT15" si="56">IF(B15="","",CQ15/CO15)</f>
        <v>2.2000000000000002</v>
      </c>
      <c r="CU15" s="24">
        <f t="shared" ref="CU15" si="57">IF(SUM(AM15:BB15)=0,"",IF(OR(B15="",F15="I",F15="II",F15="M",F15="A"),(SUM(AM15:BB15)),IF(OR(B15="",F15="III"),(SUM(CI15,CO15)))))</f>
        <v>40</v>
      </c>
      <c r="CV15" s="26">
        <f t="shared" ref="CV15" si="58">IF(SUM(AM15:BB15)=0,"",IF(OR(B15="",F15="I",F15="II",F15="M",F15="A"),(SUM(BC15:BR15)),IF(OR(F15="",F15="III"),(SUM(CJ15,CP15)))))</f>
        <v>3132.6702272727275</v>
      </c>
      <c r="CW15" s="26">
        <f t="shared" ref="CW15" si="59">IF(SUM(AM15:BB15)=0,"",IF(OR(B15="",F15="I",F15="II",F15="M",F15="A"),(SUM(BS15:CH15)),IF(OR(B15="",F15="III"),(SUM(CQ15,CK15)))))</f>
        <v>102</v>
      </c>
      <c r="CX15" s="26">
        <f>IF(OR(CU15=0,CV15=0),0,IF(OR(CU15="",CV15=""),"",CV15/CU15))</f>
        <v>78.316755681818194</v>
      </c>
      <c r="CY15" s="27" t="str">
        <f>IF(CX15="","",IF(CX15&gt;=90,"A",IF(CX15&gt;=80,"B",IF(CX15&gt;=70,"C",IF(CX15&gt;=60,"D",IF(CX15&gt;=50,"E",IF(CX15&gt;=0,"F","")))))))</f>
        <v>C</v>
      </c>
      <c r="CZ15" s="26">
        <f t="shared" ref="CZ15" si="60">IF(B15="","",CW15/CU15)</f>
        <v>2.5499999999999998</v>
      </c>
      <c r="DA15" s="24">
        <f>IF(OR(B15="",CX15=""),"",RANK(CX15,$CX$15:$CX$27))</f>
        <v>6</v>
      </c>
      <c r="DB15" s="24" t="str">
        <f t="shared" ref="DB15" si="61">IF(B15="","",$C$9)</f>
        <v>6A</v>
      </c>
      <c r="DC15" s="24">
        <f>IF(B15="","",MAX($A$15:$A$27))</f>
        <v>13</v>
      </c>
      <c r="DD15" s="24">
        <f>IF(B15="","",FinalSem1!$C$8)</f>
        <v>100</v>
      </c>
      <c r="DE15" s="24">
        <f>IF(A15="","",FinalSem1!PG15)</f>
        <v>0</v>
      </c>
      <c r="DF15" s="24">
        <f>IF(B15="","",FinalSem1!PH15)</f>
        <v>0</v>
      </c>
      <c r="DG15" s="24">
        <f>IF(B15="","",FinalSem1!PI15)</f>
        <v>0</v>
      </c>
      <c r="DH15" s="24">
        <f t="shared" ref="DH15" si="62">IF(B15="","",DF15+DG15)</f>
        <v>0</v>
      </c>
      <c r="DI15" s="25">
        <f t="shared" ref="DI15" si="63">IF(B15="","",(DD15-DH15)/DD15)</f>
        <v>1</v>
      </c>
      <c r="DJ15" s="26">
        <f>IF(FinalSem2!G15="","",FinalSem2!LJ15)</f>
        <v>88.166666666666671</v>
      </c>
      <c r="DK15" s="26">
        <f>IF(FinalSem2!H15="","",FinalSem2!LK15)</f>
        <v>88.85</v>
      </c>
      <c r="DL15" s="26">
        <f>IF(FinalSem2!I15="","",FinalSem2!LL15)</f>
        <v>85.433333333333337</v>
      </c>
      <c r="DM15" s="26">
        <f>IF(FinalSem2!J15="","",FinalSem2!LM15)</f>
        <v>86.833333333333343</v>
      </c>
      <c r="DN15" s="26">
        <f>IF(FinalSem2!K15="","",FinalSem2!LN15)</f>
        <v>68.866666666666674</v>
      </c>
      <c r="DO15" s="26">
        <f>IF(FinalSem2!L15="","",FinalSem2!LO15)</f>
        <v>84.941666666666663</v>
      </c>
      <c r="DP15" s="26">
        <f>IF(FinalSem2!M15="","",FinalSem2!LP15)</f>
        <v>86.666666666666657</v>
      </c>
      <c r="DQ15" s="26">
        <f>IF(FinalSem2!N15="","",FinalSem2!LQ15)</f>
        <v>97</v>
      </c>
      <c r="DR15" s="26">
        <f>IF(FinalSem2!O15="","",FinalSem2!LR15)</f>
        <v>97</v>
      </c>
      <c r="DS15" s="26">
        <f>IF(FinalSem2!P15="","",FinalSem2!LS15)</f>
        <v>79.433333333333337</v>
      </c>
      <c r="DT15" s="26">
        <f>IF(FinalSem2!Q15="","",FinalSem2!LT15)</f>
        <v>83.866666666666674</v>
      </c>
      <c r="DU15" s="26">
        <f>IF(FinalSem2!R15="","",FinalSem2!LU15)</f>
        <v>58.999166666666653</v>
      </c>
      <c r="DV15" s="26">
        <f>IF(FinalSem2!S15="","",FinalSem2!LV15)</f>
        <v>67.047499999999999</v>
      </c>
      <c r="DW15" s="26">
        <f>IF(FinalSem2!T15="","",FinalSem2!LW15)</f>
        <v>76.875</v>
      </c>
      <c r="DX15" s="26">
        <f>IF(FinalSem2!U15="","",FinalSem2!LX15)</f>
        <v>98</v>
      </c>
      <c r="DY15" s="26">
        <f>IF(FinalSem2!V15="","",FinalSem2!LY15)</f>
        <v>91.541666666666671</v>
      </c>
      <c r="DZ15" s="26" t="str">
        <f t="shared" ref="DZ15" si="64">IF(DJ15="","",IF(DJ15&gt;=90,"A",IF(DJ15&gt;=80,"B",IF(DJ15&gt;=70,"C",IF(DJ15&gt;=60,"D",IF(DJ15&gt;=50,"E",IF(DJ15&gt;=0,"F","")))))))</f>
        <v>B</v>
      </c>
      <c r="EA15" s="26" t="str">
        <f t="shared" ref="EA15" si="65">IF(DK15="","",IF(DK15&gt;=90,"A",IF(DK15&gt;=80,"B",IF(DK15&gt;=70,"C",IF(DK15&gt;=60,"D",IF(DK15&gt;=50,"E",IF(DK15&gt;=0,"F","")))))))</f>
        <v>B</v>
      </c>
      <c r="EB15" s="26" t="str">
        <f t="shared" ref="EB15" si="66">IF(DL15="","",IF(DL15&gt;=90,"A",IF(DL15&gt;=80,"B",IF(DL15&gt;=70,"C",IF(DL15&gt;=60,"D",IF(DL15&gt;=50,"E",IF(DL15&gt;=0,"F","")))))))</f>
        <v>B</v>
      </c>
      <c r="EC15" s="26" t="str">
        <f t="shared" ref="EC15" si="67">IF(DM15="","",IF(DM15&gt;=90,"A",IF(DM15&gt;=80,"B",IF(DM15&gt;=70,"C",IF(DM15&gt;=60,"D",IF(DM15&gt;=50,"E",IF(DM15&gt;=0,"F","")))))))</f>
        <v>B</v>
      </c>
      <c r="ED15" s="26" t="str">
        <f t="shared" ref="ED15" si="68">IF(DN15="","",IF(DN15&gt;=90,"A",IF(DN15&gt;=80,"B",IF(DN15&gt;=70,"C",IF(DN15&gt;=60,"D",IF(DN15&gt;=50,"E",IF(DN15&gt;=0,"F","")))))))</f>
        <v>D</v>
      </c>
      <c r="EE15" s="26" t="str">
        <f t="shared" ref="EE15" si="69">IF(DO15="","",IF(DO15&gt;=90,"A",IF(DO15&gt;=80,"B",IF(DO15&gt;=70,"C",IF(DO15&gt;=60,"D",IF(DO15&gt;=50,"E",IF(DO15&gt;=0,"F","")))))))</f>
        <v>B</v>
      </c>
      <c r="EF15" s="26" t="str">
        <f t="shared" ref="EF15" si="70">IF(DP15="","",IF(DP15&gt;=90,"A",IF(DP15&gt;=80,"B",IF(DP15&gt;=70,"C",IF(DP15&gt;=60,"D",IF(DP15&gt;=50,"E",IF(DP15&gt;=0,"F","")))))))</f>
        <v>B</v>
      </c>
      <c r="EG15" s="26" t="str">
        <f t="shared" ref="EG15" si="71">IF(DQ15="","",IF(DQ15&gt;=90,"A",IF(DQ15&gt;=80,"B",IF(DQ15&gt;=70,"C",IF(DQ15&gt;=60,"D",IF(DQ15&gt;=50,"E",IF(DQ15&gt;=0,"F","")))))))</f>
        <v>A</v>
      </c>
      <c r="EH15" s="26" t="str">
        <f t="shared" ref="EH15" si="72">IF(DR15="","",IF(DR15&gt;=90,"A",IF(DR15&gt;=80,"B",IF(DR15&gt;=70,"C",IF(DR15&gt;=60,"D",IF(DR15&gt;=50,"E",IF(DR15&gt;=0,"F","")))))))</f>
        <v>A</v>
      </c>
      <c r="EI15" s="24" t="str">
        <f t="shared" ref="EI15" si="73">IF(DS15="","",IF(DS15&gt;=90,"A",IF(DS15&gt;=80,"B",IF(DS15&gt;=70,"C",IF(DS15&gt;=60,"D",IF(DS15&gt;=50,"E",IF(DS15&gt;=0,"F","")))))))</f>
        <v>C</v>
      </c>
      <c r="EJ15" s="24" t="str">
        <f t="shared" ref="EJ15" si="74">IF(DT15="","",IF(DT15&gt;=90,"A",IF(DT15&gt;=80,"B",IF(DT15&gt;=70,"C",IF(DT15&gt;=60,"D",IF(DT15&gt;=50,"E",IF(DT15&gt;=0,"F","")))))))</f>
        <v>B</v>
      </c>
      <c r="EK15" s="24" t="str">
        <f t="shared" ref="EK15" si="75">IF(DU15="","",IF(DU15&gt;=90,"A",IF(DU15&gt;=80,"B",IF(DU15&gt;=70,"C",IF(DU15&gt;=60,"D",IF(DU15&gt;=50,"E",IF(DU15&gt;=0,"F","")))))))</f>
        <v>E</v>
      </c>
      <c r="EL15" s="24" t="str">
        <f t="shared" ref="EL15" si="76">IF(DV15="","",IF(DV15&gt;=90,"A",IF(DV15&gt;=80,"B",IF(DV15&gt;=70,"C",IF(DV15&gt;=60,"D",IF(DV15&gt;=50,"E",IF(DV15&gt;=0,"F","")))))))</f>
        <v>D</v>
      </c>
      <c r="EM15" s="24" t="str">
        <f t="shared" ref="EM15" si="77">IF(DW15="","",IF(DW15&gt;=90,"A",IF(DW15&gt;=80,"B",IF(DW15&gt;=70,"C",IF(DW15&gt;=60,"D",IF(DW15&gt;=50,"E",IF(DW15&gt;=0,"F","")))))))</f>
        <v>C</v>
      </c>
      <c r="EN15" s="24" t="str">
        <f t="shared" ref="EN15" si="78">IF(DX15="","",IF(DX15&gt;=90,"A",IF(DX15&gt;=80,"B",IF(DX15&gt;=70,"C",IF(DX15&gt;=60,"D",IF(DX15&gt;=50,"E",IF(DX15&gt;=0,"F","")))))))</f>
        <v>A</v>
      </c>
      <c r="EO15" s="24" t="str">
        <f t="shared" ref="EO15" si="79">IF(DY15="","",IF(DY15&gt;=90,"A",IF(DY15&gt;=80,"B",IF(DY15&gt;=70,"C",IF(DY15&gt;=60,"D",IF(DY15&gt;=50,"E",IF(DY15&gt;=0,"F","")))))))</f>
        <v>A</v>
      </c>
      <c r="EP15" s="24">
        <f t="shared" ref="EP15" si="80">IF(DJ15="","",$EP$14)</f>
        <v>2</v>
      </c>
      <c r="EQ15" s="24">
        <f t="shared" ref="EQ15" si="81">IF(DK15="","",$EQ$14)</f>
        <v>2</v>
      </c>
      <c r="ER15" s="24">
        <f t="shared" ref="ER15" si="82">IF(DL15="","",$ER$14)</f>
        <v>3</v>
      </c>
      <c r="ES15" s="24">
        <f t="shared" ref="ES15" si="83">IF(DM15="","",$ES$14)</f>
        <v>1</v>
      </c>
      <c r="ET15" s="24">
        <f t="shared" ref="ET15" si="84">IF(DN15="","",$ET$14)</f>
        <v>5</v>
      </c>
      <c r="EU15" s="24">
        <f t="shared" ref="EU15" si="85">IF(DO15="","",$EU$14)</f>
        <v>3</v>
      </c>
      <c r="EV15" s="24">
        <f t="shared" ref="EV15" si="86">IF(DP15="","",$EV$14)</f>
        <v>2</v>
      </c>
      <c r="EW15" s="24">
        <f t="shared" ref="EW15" si="87">IF(DQ15="","",$EW$14)</f>
        <v>1</v>
      </c>
      <c r="EX15" s="24">
        <f t="shared" ref="EX15" si="88">IF(DR15="","",$EX$14)</f>
        <v>1</v>
      </c>
      <c r="EY15" s="24">
        <f t="shared" ref="EY15" si="89">IF(DS15="","",$EY$14)</f>
        <v>5</v>
      </c>
      <c r="EZ15" s="24">
        <f t="shared" ref="EZ15" si="90">IF(DT15="","",$EZ$14)</f>
        <v>1</v>
      </c>
      <c r="FA15" s="24">
        <f t="shared" ref="FA15" si="91">IF(DU15="","",$FA$14)</f>
        <v>5</v>
      </c>
      <c r="FB15" s="24">
        <f t="shared" ref="FB15" si="92">IF(DV15="","",$FB$14)</f>
        <v>3</v>
      </c>
      <c r="FC15" s="24">
        <f t="shared" ref="FC15" si="93">IF(DW15="","",$FC$14)</f>
        <v>2</v>
      </c>
      <c r="FD15" s="24">
        <f t="shared" ref="FD15" si="94">IF(DX15="","",$FD$14)</f>
        <v>2</v>
      </c>
      <c r="FE15" s="24">
        <f t="shared" ref="FE15" si="95">IF(DY15="","",$FE$14)</f>
        <v>2</v>
      </c>
      <c r="FF15" s="26">
        <f t="shared" ref="FF15" si="96">IF(OR(DJ15="",EP15=""),"",PRODUCT(DJ15,EP15))</f>
        <v>176.33333333333334</v>
      </c>
      <c r="FG15" s="26">
        <f t="shared" ref="FG15" si="97">IF(OR(DK15="",EQ15=""),"",PRODUCT(DK15,EQ15))</f>
        <v>177.7</v>
      </c>
      <c r="FH15" s="26">
        <f t="shared" ref="FH15" si="98">IF(OR(DL15="",ER15=""),"",PRODUCT(DL15,ER15))</f>
        <v>256.3</v>
      </c>
      <c r="FI15" s="26">
        <f t="shared" ref="FI15" si="99">IF(OR(DM15="",ES15=""),"",PRODUCT(DM15,ES15))</f>
        <v>86.833333333333343</v>
      </c>
      <c r="FJ15" s="26">
        <f t="shared" ref="FJ15" si="100">IF(OR(DN15="",ET15=""),"",PRODUCT(DN15,ET15))</f>
        <v>344.33333333333337</v>
      </c>
      <c r="FK15" s="26">
        <f t="shared" ref="FK15" si="101">IF(OR(DO15="",EU15=""),"",PRODUCT(DO15,EU15))</f>
        <v>254.82499999999999</v>
      </c>
      <c r="FL15" s="26">
        <f t="shared" ref="FL15" si="102">IF(OR(DP15="",EV15=""),"",PRODUCT(DP15,EV15))</f>
        <v>173.33333333333331</v>
      </c>
      <c r="FM15" s="26">
        <f t="shared" ref="FM15" si="103">IF(OR(DQ15="",EW15=""),"",PRODUCT(DQ15,EW15))</f>
        <v>97</v>
      </c>
      <c r="FN15" s="26">
        <f t="shared" ref="FN15" si="104">IF(OR(DR15="",EX15=""),"",PRODUCT(DR15,EX15))</f>
        <v>97</v>
      </c>
      <c r="FO15" s="26">
        <f t="shared" ref="FO15" si="105">IF(OR(DS15="",EY15=""),"",PRODUCT(DS15,EY15))</f>
        <v>397.16666666666669</v>
      </c>
      <c r="FP15" s="26">
        <f t="shared" ref="FP15" si="106">IF(OR(DT15="",EZ15=""),"",PRODUCT(DT15,EZ15))</f>
        <v>83.866666666666674</v>
      </c>
      <c r="FQ15" s="26">
        <f t="shared" ref="FQ15" si="107">IF(OR(DU15="",FA15=""),"",PRODUCT(DU15,FA15))</f>
        <v>294.99583333333328</v>
      </c>
      <c r="FR15" s="26">
        <f t="shared" ref="FR15" si="108">IF(OR(DV15="",FB15=""),"",PRODUCT(DV15,FB15))</f>
        <v>201.14249999999998</v>
      </c>
      <c r="FS15" s="26">
        <f t="shared" ref="FS15" si="109">IF(OR(DW15="",FC15=""),"",PRODUCT(DW15,FC15))</f>
        <v>153.75</v>
      </c>
      <c r="FT15" s="26">
        <f t="shared" ref="FT15" si="110">IF(OR(DX15="",FD15=""),"",PRODUCT(DX15,FD15))</f>
        <v>196</v>
      </c>
      <c r="FU15" s="26">
        <f t="shared" ref="FU15" si="111">IF(OR(DY15="",FE15=""),"",PRODUCT(DY15,FE15))</f>
        <v>183.08333333333334</v>
      </c>
      <c r="FV15" s="24">
        <f t="shared" ref="FV15:GK15" si="112">IF(OR(EP15="",DZ15=""),"",EP15*(IF(OR(DZ15="A",DZ15="a"),4,(IF(OR(DZ451="B",DZ15="b"),3,(IF(OR(DZ15="C",DZ15="c"),2,(IF(OR(DZ15="D",DZ15="d"),1.5,(IF(OR(DZ15="E",DZ15="e"),1,(IF(OR(DZ15="F",DZ15="f"),0)))))))))))))</f>
        <v>6</v>
      </c>
      <c r="FW15" s="24">
        <f t="shared" si="112"/>
        <v>6</v>
      </c>
      <c r="FX15" s="24">
        <f t="shared" si="112"/>
        <v>9</v>
      </c>
      <c r="FY15" s="24">
        <f t="shared" si="112"/>
        <v>3</v>
      </c>
      <c r="FZ15" s="24">
        <f t="shared" si="112"/>
        <v>7.5</v>
      </c>
      <c r="GA15" s="24">
        <f t="shared" si="112"/>
        <v>9</v>
      </c>
      <c r="GB15" s="24">
        <f t="shared" si="112"/>
        <v>6</v>
      </c>
      <c r="GC15" s="24">
        <f t="shared" si="112"/>
        <v>4</v>
      </c>
      <c r="GD15" s="24">
        <f t="shared" si="112"/>
        <v>4</v>
      </c>
      <c r="GE15" s="24">
        <f t="shared" si="112"/>
        <v>10</v>
      </c>
      <c r="GF15" s="24">
        <f t="shared" si="112"/>
        <v>3</v>
      </c>
      <c r="GG15" s="24">
        <f t="shared" si="112"/>
        <v>5</v>
      </c>
      <c r="GH15" s="24">
        <f t="shared" si="112"/>
        <v>4.5</v>
      </c>
      <c r="GI15" s="24">
        <f t="shared" si="112"/>
        <v>4</v>
      </c>
      <c r="GJ15" s="24">
        <f t="shared" si="112"/>
        <v>8</v>
      </c>
      <c r="GK15" s="24">
        <f t="shared" si="112"/>
        <v>8</v>
      </c>
      <c r="GL15" s="24">
        <f t="shared" ref="GL15" si="113">IF(B15="","",SUM(EP15:EX15))</f>
        <v>20</v>
      </c>
      <c r="GM15" s="26">
        <f t="shared" ref="GM15" si="114">IF(B15="","",SUM(FF15:FN15))</f>
        <v>1663.6583333333333</v>
      </c>
      <c r="GN15" s="26">
        <f t="shared" ref="GN15" si="115">IF(B15="","",SUM(FV15:GD15))</f>
        <v>54.5</v>
      </c>
      <c r="GO15" s="26">
        <f>IF(OR(GL15="",GM15=""),"",GM15/GL15)</f>
        <v>83.182916666666671</v>
      </c>
      <c r="GP15" s="24" t="str">
        <f>IF(GO15="","",IF(GO15&gt;=90,"A",IF(GO15&gt;=80,"B",IF(GO15&gt;=70,"C",IF(GO15&gt;=60,"D",IF(GO15&gt;=50,"E",IF(GO15&gt;=0,"F","")))))))</f>
        <v>B</v>
      </c>
      <c r="GQ15" s="26">
        <f t="shared" ref="GQ15" si="116">IF(B15="","",GN15/GL15)</f>
        <v>2.7250000000000001</v>
      </c>
      <c r="GR15" s="24">
        <f t="shared" ref="GR15" si="117">IF(B15="","",SUM(EY15:FE15))</f>
        <v>20</v>
      </c>
      <c r="GS15" s="26">
        <f t="shared" ref="GS15" si="118">IF(B15="","",SUM(FO15:FU15))</f>
        <v>1510.0049999999999</v>
      </c>
      <c r="GT15" s="26">
        <f t="shared" ref="GT15" si="119">IF(B15="","",SUM(GE15:GK15))</f>
        <v>42.5</v>
      </c>
      <c r="GU15" s="26">
        <f>IF(OR(GR15="",GS15=""),"",GS15/GR15)</f>
        <v>75.500249999999994</v>
      </c>
      <c r="GV15" s="24" t="str">
        <f>IF(GU15="","",IF(GU15&gt;=90,"A",IF(GU15&gt;=80,"B",IF(GU15&gt;=70,"C",IF(GU15&gt;=60,"D",IF(GU15&gt;=50,"E",IF(GU15&gt;=0,"F","")))))))</f>
        <v>C</v>
      </c>
      <c r="GW15" s="27">
        <f t="shared" ref="GW15" si="120">IF(B15="","",GT15/GR15)</f>
        <v>2.125</v>
      </c>
      <c r="GX15" s="24">
        <f t="shared" ref="GX15" si="121">IF(SUM(EP15:FE15)=0,"",IF(OR(B15="",F15="I",F15="II",F15="M",F15="A"),(SUM(EP15:FE15)),IF(OR(B15="",F15="III"),(SUM(GL15,GR15)))))</f>
        <v>40</v>
      </c>
      <c r="GY15" s="26">
        <f t="shared" ref="GY15" si="122">IF(SUM(EP15:FE15)=0,"",IF(OR(B15="",F15="I",F15="II",F15="M",F15="A"),(SUM(FF15:FU15)),IF(OR(B15="",F15="III"),(SUM(GM15,GS15)))))</f>
        <v>3173.6633333333334</v>
      </c>
      <c r="GZ15" s="26">
        <f t="shared" ref="GZ15" si="123">IF(SUM(EP15:FE15)=0,"",IF(OR(B15="",F15="I",F15="II",F15="M",F15="A"),(SUM(FV15:GK15)),IF(OR(B15="",F15="III"),(SUM(GT15,GN15)))))</f>
        <v>97</v>
      </c>
      <c r="HA15" s="26">
        <f>IF(OR(GX15=0,GY15=0),0,IF(OR(GX15="",GY15=""),"",GY15/GX15))</f>
        <v>79.341583333333332</v>
      </c>
      <c r="HB15" s="27" t="str">
        <f>IF(HA15="","",IF(HA15&gt;=90,"A",IF(HA15&gt;=80,"B",IF(HA15&gt;=70,"C",IF(HA15&gt;=60,"D",IF(HA15&gt;=50,"E",IF(HA15&gt;=0,"F","")))))))</f>
        <v>C</v>
      </c>
      <c r="HC15" s="26">
        <f t="shared" ref="HC15" si="124">IF(BT15="","",GZ15/GX15)</f>
        <v>2.4249999999999998</v>
      </c>
      <c r="HD15" s="24">
        <f>IF(OR(B15="",HA15=""),"",RANK(HA15,$HA$15:$HA$27))</f>
        <v>8</v>
      </c>
      <c r="HE15" s="24" t="str">
        <f t="shared" ref="HE15" si="125">IF(B15="","",$C$9)</f>
        <v>6A</v>
      </c>
      <c r="HF15" s="24">
        <f>IF(B15="","",MAX($A$15:$A$27))</f>
        <v>13</v>
      </c>
      <c r="HG15" s="24">
        <f>IF(B15="","",FinalSem2!$C$8)</f>
        <v>104</v>
      </c>
      <c r="HH15" s="24">
        <f>IF(A15="","",FinalSem2!PH15)</f>
        <v>0</v>
      </c>
      <c r="HI15" s="24">
        <f>IF(B15="","",FinalSem2!PI15)</f>
        <v>0</v>
      </c>
      <c r="HJ15" s="24">
        <f>IF(C15="","",FinalSem2!PJ15)</f>
        <v>0</v>
      </c>
      <c r="HK15" s="24">
        <f t="shared" ref="HK15" si="126">IF(B15="","",HI15+HJ15)</f>
        <v>0</v>
      </c>
      <c r="HL15" s="25">
        <f t="shared" ref="HL15" si="127">IF(B15="","",(HG15-HK15)/HG15)</f>
        <v>1</v>
      </c>
      <c r="HM15" s="26">
        <f>IF($B$15="","",IF(FinalSem2!LJ15="","",IF(AND(FinalSem1!LI15,FinalSem2!LJ15)="","",AVERAGE(FinalSem1!LI15,FinalSem2!LJ15))))</f>
        <v>83.833333333333343</v>
      </c>
      <c r="HN15" s="26">
        <f>IF($B$15="","",IF(FinalSem2!LK15="","",IF(AND(FinalSem1!LJ15,FinalSem2!LK15)="","",AVERAGE(FinalSem1!LJ15,FinalSem2!LK15))))</f>
        <v>83.908333333333331</v>
      </c>
      <c r="HO15" s="26">
        <f>IF($B$15="","",IF(FinalSem2!LL15="","",IF(AND(FinalSem1!LK15,FinalSem2!LL15)="","",AVERAGE(FinalSem1!LK15,FinalSem2!LL15))))</f>
        <v>87.15</v>
      </c>
      <c r="HP15" s="26">
        <f>IF($B$15="","",IF(FinalSem2!LM15="","",IF(AND(FinalSem1!LL15,FinalSem2!LM15)="","",AVERAGE(FinalSem1!LL15,FinalSem2!LM15))))</f>
        <v>85.166666666666671</v>
      </c>
      <c r="HQ15" s="26">
        <f>IF($B$15="","",IF(FinalSem2!LN15="","",IF(AND(FinalSem1!LM15,FinalSem2!LN15)="","",AVERAGE(FinalSem1!LM15,FinalSem2!LN15))))</f>
        <v>75.64166666666668</v>
      </c>
      <c r="HR15" s="26">
        <f>IF($B$15="","",IF(FinalSem2!LO15="","",IF(AND(FinalSem1!LN15,FinalSem2!LO15)="","",AVERAGE(FinalSem1!LN15,FinalSem2!LO15))))</f>
        <v>85.525000000000006</v>
      </c>
      <c r="HS15" s="26">
        <f>IF($B$15="","",IF(FinalSem2!LP15="","",IF(AND(FinalSem1!LO15,FinalSem2!LP15)="","",AVERAGE(FinalSem1!LO15,FinalSem2!LP15))))</f>
        <v>83.9</v>
      </c>
      <c r="HT15" s="26">
        <f>IF($B$15="","",IF(FinalSem2!LQ15="","",IF(AND(FinalSem1!LP15,FinalSem2!LQ15)="","",AVERAGE(FinalSem1!LP15,FinalSem2!LQ15))))</f>
        <v>95.75</v>
      </c>
      <c r="HU15" s="26">
        <f>IF($B$15="","",IF(FinalSem2!LR15="","",IF(AND(FinalSem1!LQ15,FinalSem2!LR15)="","",AVERAGE(FinalSem1!LQ15,FinalSem2!LR15))))</f>
        <v>95.75</v>
      </c>
      <c r="HV15" s="26">
        <f>IF($B$15="","",IF(FinalSem2!LS15="","",IF(AND(FinalSem1!LR15,FinalSem2!LS15)="","",AVERAGE(FinalSem1!LR15,FinalSem2!LS15))))</f>
        <v>81.69</v>
      </c>
      <c r="HW15" s="26">
        <f>IF($B$15="","",IF(FinalSem2!LT15="","",IF(AND(FinalSem1!LS15,FinalSem2!LT15)="","",AVERAGE(FinalSem1!LS15,FinalSem2!LT15))))</f>
        <v>87.88000000000001</v>
      </c>
      <c r="HX15" s="26">
        <f>IF($B$15="","",IF(FinalSem2!LU15="","",IF(AND(FinalSem1!LT15,FinalSem2!LU15)="","",AVERAGE(FinalSem1!LT15,FinalSem2!LU15))))</f>
        <v>57.705833333333331</v>
      </c>
      <c r="HY15" s="26">
        <f>IF($B$15="","",IF(FinalSem2!LV15="","",IF(AND(FinalSem1!LU15,FinalSem2!LV15)="","",AVERAGE(FinalSem1!LU15,FinalSem2!LV15))))</f>
        <v>54.902537878787882</v>
      </c>
      <c r="HZ15" s="26">
        <f>IF($B$15="","",IF(FinalSem2!LW15="","",IF(AND(FinalSem1!LV15,FinalSem2!LW15)="","",AVERAGE(FinalSem1!LV15,FinalSem2!LW15))))</f>
        <v>81.104166666666671</v>
      </c>
      <c r="IA15" s="26">
        <f>IF($B$15="","",IF(FinalSem2!LX15="","",IF(AND(FinalSem1!LW15,FinalSem2!LX15)="","",AVERAGE(FinalSem1!LW15,FinalSem2!LX15))))</f>
        <v>95.208333333333343</v>
      </c>
      <c r="IB15" s="26">
        <f>IF($B$15="","",IF(FinalSem2!LY15="","",IF(AND(FinalSem1!LX15,FinalSem2!LY15)="","",AVERAGE(FinalSem1!LX15,FinalSem2!LY15))))</f>
        <v>87.395833333333343</v>
      </c>
      <c r="IC15" s="26" t="str">
        <f t="shared" ref="IC15" si="128">IF(HM15="","",IF(HM15&gt;=90,"A",IF(HM15&gt;=80,"B",IF(HM15&gt;=70,"C",IF(HM15&gt;=60,"D",IF(HM15&gt;=50,"E",IF(HM15&gt;=0,"F","")))))))</f>
        <v>B</v>
      </c>
      <c r="ID15" s="26" t="str">
        <f t="shared" ref="ID15" si="129">IF(HN15="","",IF(HN15&gt;=90,"A",IF(HN15&gt;=80,"B",IF(HN15&gt;=70,"C",IF(HN15&gt;=60,"D",IF(HN15&gt;=50,"E",IF(HN15&gt;=0,"F","")))))))</f>
        <v>B</v>
      </c>
      <c r="IE15" s="26" t="str">
        <f t="shared" ref="IE15" si="130">IF(HO15="","",IF(HO15&gt;=90,"A",IF(HO15&gt;=80,"B",IF(HO15&gt;=70,"C",IF(HO15&gt;=60,"D",IF(HO15&gt;=50,"E",IF(HO15&gt;=0,"F","")))))))</f>
        <v>B</v>
      </c>
      <c r="IF15" s="26" t="str">
        <f t="shared" ref="IF15" si="131">IF(HP15="","",IF(HP15&gt;=90,"A",IF(HP15&gt;=80,"B",IF(HP15&gt;=70,"C",IF(HP15&gt;=60,"D",IF(HP15&gt;=50,"E",IF(HP15&gt;=0,"F","")))))))</f>
        <v>B</v>
      </c>
      <c r="IG15" s="26" t="str">
        <f t="shared" ref="IG15" si="132">IF(HQ15="","",IF(HQ15&gt;=90,"A",IF(HQ15&gt;=80,"B",IF(HQ15&gt;=70,"C",IF(HQ15&gt;=60,"D",IF(HQ15&gt;=50,"E",IF(HQ15&gt;=0,"F","")))))))</f>
        <v>C</v>
      </c>
      <c r="IH15" s="26" t="str">
        <f t="shared" ref="IH15" si="133">IF(HR15="","",IF(HR15&gt;=90,"A",IF(HR15&gt;=80,"B",IF(HR15&gt;=70,"C",IF(HR15&gt;=60,"D",IF(HR15&gt;=50,"E",IF(HR15&gt;=0,"F","")))))))</f>
        <v>B</v>
      </c>
      <c r="II15" s="26" t="str">
        <f t="shared" ref="II15" si="134">IF(HS15="","",IF(HS15&gt;=90,"A",IF(HS15&gt;=80,"B",IF(HS15&gt;=70,"C",IF(HS15&gt;=60,"D",IF(HS15&gt;=50,"E",IF(HS15&gt;=0,"F","")))))))</f>
        <v>B</v>
      </c>
      <c r="IJ15" s="26" t="str">
        <f t="shared" ref="IJ15" si="135">IF(HT15="","",IF(HT15&gt;=90,"A",IF(HT15&gt;=80,"B",IF(HT15&gt;=70,"C",IF(HT15&gt;=60,"D",IF(HT15&gt;=50,"E",IF(HT15&gt;=0,"F","")))))))</f>
        <v>A</v>
      </c>
      <c r="IK15" s="26" t="str">
        <f t="shared" ref="IK15" si="136">IF(HU15="","",IF(HU15&gt;=90,"A",IF(HU15&gt;=80,"B",IF(HU15&gt;=70,"C",IF(HU15&gt;=60,"D",IF(HU15&gt;=50,"E",IF(HU15&gt;=0,"F","")))))))</f>
        <v>A</v>
      </c>
      <c r="IL15" s="24" t="str">
        <f t="shared" ref="IL15" si="137">IF(HV15="","",IF(HV15&gt;=90,"A",IF(HV15&gt;=80,"B",IF(HV15&gt;=70,"C",IF(HV15&gt;=60,"D",IF(HV15&gt;=50,"E",IF(HV15&gt;=0,"F","")))))))</f>
        <v>B</v>
      </c>
      <c r="IM15" s="24" t="str">
        <f t="shared" ref="IM15" si="138">IF(HW15="","",IF(HW15&gt;=90,"A",IF(HW15&gt;=80,"B",IF(HW15&gt;=70,"C",IF(HW15&gt;=60,"D",IF(HW15&gt;=50,"E",IF(HW15&gt;=0,"F","")))))))</f>
        <v>B</v>
      </c>
      <c r="IN15" s="24" t="str">
        <f t="shared" ref="IN15" si="139">IF(HX15="","",IF(HX15&gt;=90,"A",IF(HX15&gt;=80,"B",IF(HX15&gt;=70,"C",IF(HX15&gt;=60,"D",IF(HX15&gt;=50,"E",IF(HX15&gt;=0,"F","")))))))</f>
        <v>E</v>
      </c>
      <c r="IO15" s="24" t="str">
        <f t="shared" ref="IO15" si="140">IF(HY15="","",IF(HY15&gt;=90,"A",IF(HY15&gt;=80,"B",IF(HY15&gt;=70,"C",IF(HY15&gt;=60,"D",IF(HY15&gt;=50,"E",IF(HY15&gt;=0,"F","")))))))</f>
        <v>E</v>
      </c>
      <c r="IP15" s="24" t="str">
        <f t="shared" ref="IP15" si="141">IF(HZ15="","",IF(HZ15&gt;=90,"A",IF(HZ15&gt;=80,"B",IF(HZ15&gt;=70,"C",IF(HZ15&gt;=60,"D",IF(HZ15&gt;=50,"E",IF(HZ15&gt;=0,"F","")))))))</f>
        <v>B</v>
      </c>
      <c r="IQ15" s="24" t="str">
        <f t="shared" ref="IQ15" si="142">IF(IA15="","",IF(IA15&gt;=90,"A",IF(IA15&gt;=80,"B",IF(IA15&gt;=70,"C",IF(IA15&gt;=60,"D",IF(IA15&gt;=50,"E",IF(IA15&gt;=0,"F","")))))))</f>
        <v>A</v>
      </c>
      <c r="IR15" s="24" t="str">
        <f t="shared" ref="IR15" si="143">IF(IB15="","",IF(IB15&gt;=90,"A",IF(IB15&gt;=80,"B",IF(IB15&gt;=70,"C",IF(IB15&gt;=60,"D",IF(IB15&gt;=50,"E",IF(IB15&gt;=0,"F","")))))))</f>
        <v>B</v>
      </c>
      <c r="IS15" s="24">
        <f t="shared" ref="IS15" si="144">IF(HM15="","",$IS$14)</f>
        <v>4</v>
      </c>
      <c r="IT15" s="24">
        <f t="shared" ref="IT15" si="145">IF(HN15="","",$IT$14)</f>
        <v>4</v>
      </c>
      <c r="IU15" s="24">
        <f t="shared" ref="IU15" si="146">IF(HO15="","",$IU$14)</f>
        <v>6</v>
      </c>
      <c r="IV15" s="24">
        <f t="shared" ref="IV15" si="147">IF(HP15="","",$IV$14)</f>
        <v>2</v>
      </c>
      <c r="IW15" s="24">
        <f t="shared" ref="IW15" si="148">IF(HQ15="","",$IW$14)</f>
        <v>10</v>
      </c>
      <c r="IX15" s="24">
        <f t="shared" ref="IX15" si="149">IF(HR15="","",$IX$14)</f>
        <v>6</v>
      </c>
      <c r="IY15" s="24">
        <f t="shared" ref="IY15" si="150">IF(HS15="","",$IY$14)</f>
        <v>4</v>
      </c>
      <c r="IZ15" s="24">
        <f t="shared" ref="IZ15" si="151">IF(HT15="","",$IZ$14)</f>
        <v>2</v>
      </c>
      <c r="JA15" s="24">
        <f t="shared" ref="JA15" si="152">IF(HU15="","",$JA$14)</f>
        <v>2</v>
      </c>
      <c r="JB15" s="24">
        <f t="shared" ref="JB15" si="153">IF(HV15="","",$JB$14)</f>
        <v>10</v>
      </c>
      <c r="JC15" s="24">
        <f t="shared" ref="JC15" si="154">IF(HW15="","",$JC$14)</f>
        <v>2</v>
      </c>
      <c r="JD15" s="24">
        <f t="shared" ref="JD15" si="155">IF(HX15="","",$JD$14)</f>
        <v>10</v>
      </c>
      <c r="JE15" s="24">
        <f t="shared" ref="JE15" si="156">IF(HY15="","",$JE$14)</f>
        <v>6</v>
      </c>
      <c r="JF15" s="24">
        <f t="shared" ref="JF15" si="157">IF(HZ15="","",$JF$14)</f>
        <v>4</v>
      </c>
      <c r="JG15" s="24">
        <f t="shared" ref="JG15" si="158">IF(IA15="","",$JG$14)</f>
        <v>4</v>
      </c>
      <c r="JH15" s="24">
        <f t="shared" ref="JH15" si="159">IF(IB15="","",$JH$14)</f>
        <v>4</v>
      </c>
      <c r="JI15" s="26">
        <f t="shared" ref="JI15" si="160">IF(OR(HM15="",IS15=""),"",PRODUCT(HM15,IS15))</f>
        <v>335.33333333333337</v>
      </c>
      <c r="JJ15" s="26">
        <f t="shared" ref="JJ15" si="161">IF(OR(HN15="",IT15=""),"",PRODUCT(HN15,IT15))</f>
        <v>335.63333333333333</v>
      </c>
      <c r="JK15" s="26">
        <f t="shared" ref="JK15" si="162">IF(OR(HO15="",IU15=""),"",PRODUCT(HO15,IU15))</f>
        <v>522.90000000000009</v>
      </c>
      <c r="JL15" s="26">
        <f t="shared" ref="JL15" si="163">IF(OR(HP15="",IV15=""),"",PRODUCT(HP15,IV15))</f>
        <v>170.33333333333334</v>
      </c>
      <c r="JM15" s="26">
        <f t="shared" ref="JM15" si="164">IF(OR(HQ15="",IW15=""),"",PRODUCT(HQ15,IW15))</f>
        <v>756.41666666666674</v>
      </c>
      <c r="JN15" s="26">
        <f t="shared" ref="JN15" si="165">IF(OR(HR15="",IX15=""),"",PRODUCT(HR15,IX15))</f>
        <v>513.15000000000009</v>
      </c>
      <c r="JO15" s="26">
        <f t="shared" ref="JO15" si="166">IF(OR(HS15="",IY15=""),"",PRODUCT(HS15,IY15))</f>
        <v>335.6</v>
      </c>
      <c r="JP15" s="26">
        <f t="shared" ref="JP15" si="167">IF(OR(HT15="",IZ15=""),"",PRODUCT(HT15,IZ15))</f>
        <v>191.5</v>
      </c>
      <c r="JQ15" s="26">
        <f t="shared" ref="JQ15" si="168">IF(OR(HU15="",JA15=""),"",PRODUCT(HU15,JA15))</f>
        <v>191.5</v>
      </c>
      <c r="JR15" s="26">
        <f t="shared" ref="JR15" si="169">IF(OR(HV15="",JB15=""),"",PRODUCT(HV15,JB15))</f>
        <v>816.9</v>
      </c>
      <c r="JS15" s="26">
        <f t="shared" ref="JS15" si="170">IF(OR(HW15="",JC15=""),"",PRODUCT(HW15,JC15))</f>
        <v>175.76000000000002</v>
      </c>
      <c r="JT15" s="26">
        <f t="shared" ref="JT15" si="171">IF(OR(HX15="",JD15=""),"",PRODUCT(HX15,JD15))</f>
        <v>577.05833333333328</v>
      </c>
      <c r="JU15" s="26">
        <f t="shared" ref="JU15" si="172">IF(OR(HY15="",JE15=""),"",PRODUCT(HY15,JE15))</f>
        <v>329.41522727272729</v>
      </c>
      <c r="JV15" s="26">
        <f t="shared" ref="JV15" si="173">IF(OR(HZ15="",JF15=""),"",PRODUCT(HZ15,JF15))</f>
        <v>324.41666666666669</v>
      </c>
      <c r="JW15" s="26">
        <f t="shared" ref="JW15" si="174">IF(OR(IA15="",JG15=""),"",PRODUCT(IA15,JG15))</f>
        <v>380.83333333333337</v>
      </c>
      <c r="JX15" s="26">
        <f t="shared" ref="JX15" si="175">IF(OR(IB15="",JH15=""),"",PRODUCT(IB15,JH15))</f>
        <v>349.58333333333337</v>
      </c>
      <c r="JY15" s="24">
        <f t="shared" ref="JY15:KN15" si="176">IF(OR(IS15="",IC15=""),"",IS15*(IF(OR(IC15="A",IC15="a"),4,(IF(OR(IC451="B",IC15="b"),3,(IF(OR(IC15="C",IC15="c"),2,(IF(OR(IC15="D",IC15="d"),1.5,(IF(OR(IC15="E",IC15="e"),1,(IF(OR(IC15="F",IC15="f"),0)))))))))))))</f>
        <v>12</v>
      </c>
      <c r="JZ15" s="24">
        <f t="shared" si="176"/>
        <v>12</v>
      </c>
      <c r="KA15" s="24">
        <f t="shared" si="176"/>
        <v>18</v>
      </c>
      <c r="KB15" s="24">
        <f t="shared" si="176"/>
        <v>6</v>
      </c>
      <c r="KC15" s="24">
        <f t="shared" si="176"/>
        <v>20</v>
      </c>
      <c r="KD15" s="24">
        <f t="shared" si="176"/>
        <v>18</v>
      </c>
      <c r="KE15" s="24">
        <f t="shared" si="176"/>
        <v>12</v>
      </c>
      <c r="KF15" s="24">
        <f t="shared" si="176"/>
        <v>8</v>
      </c>
      <c r="KG15" s="24">
        <f t="shared" si="176"/>
        <v>8</v>
      </c>
      <c r="KH15" s="24">
        <f t="shared" si="176"/>
        <v>30</v>
      </c>
      <c r="KI15" s="24">
        <f t="shared" si="176"/>
        <v>6</v>
      </c>
      <c r="KJ15" s="24">
        <f t="shared" si="176"/>
        <v>10</v>
      </c>
      <c r="KK15" s="24">
        <f t="shared" si="176"/>
        <v>6</v>
      </c>
      <c r="KL15" s="24">
        <f t="shared" si="176"/>
        <v>12</v>
      </c>
      <c r="KM15" s="24">
        <f t="shared" si="176"/>
        <v>16</v>
      </c>
      <c r="KN15" s="24">
        <f t="shared" si="176"/>
        <v>12</v>
      </c>
      <c r="KO15" s="24">
        <f t="shared" ref="KO15" si="177">IF(B15="","",SUM(IS15:JA15))</f>
        <v>40</v>
      </c>
      <c r="KP15" s="26">
        <f t="shared" ref="KP15" si="178">IF(B15="","",SUM(JI15:JQ15))</f>
        <v>3352.3666666666668</v>
      </c>
      <c r="KQ15" s="26">
        <f t="shared" ref="KQ15" si="179">IF(B15="","",SUM(JY15:KG15))</f>
        <v>114</v>
      </c>
      <c r="KR15" s="26">
        <f>IF(OR(KO15="",KP15=""),"",KP15/KO15)</f>
        <v>83.80916666666667</v>
      </c>
      <c r="KS15" s="24" t="str">
        <f>IF(KR15="","",IF(KR15&gt;=90,"A",IF(KR15&gt;=80,"B",IF(KR15&gt;=70,"C",IF(KR15&gt;=60,"D",IF(KR15&gt;=50,"E",IF(KR15&gt;=0,"F","")))))))</f>
        <v>B</v>
      </c>
      <c r="KT15" s="26">
        <f t="shared" ref="KT15" si="180">IF(B15="","",KQ15/KO15)</f>
        <v>2.85</v>
      </c>
      <c r="KU15" s="24">
        <f t="shared" ref="KU15" si="181">IF(B15="","",SUM(JB15:JH15))</f>
        <v>40</v>
      </c>
      <c r="KV15" s="26">
        <f t="shared" ref="KV15" si="182">IF(B15="","",SUM(JR15:JX15))</f>
        <v>2953.9668939393941</v>
      </c>
      <c r="KW15" s="26">
        <f t="shared" ref="KW15" si="183">IF(B15="","",SUM(KH15:KN15))</f>
        <v>92</v>
      </c>
      <c r="KX15" s="26">
        <f>IF(OR(KU15="",KV15=""),"",KV15/KU15)</f>
        <v>73.849172348484856</v>
      </c>
      <c r="KY15" s="24" t="str">
        <f>IF(KX15="","",IF(KX15&gt;=90,"A",IF(KX15&gt;=80,"B",IF(KX15&gt;=70,"C",IF(KX15&gt;=60,"D",IF(KX15&gt;=50,"E",IF(KX15&gt;=0,"F","")))))))</f>
        <v>C</v>
      </c>
      <c r="KZ15" s="26">
        <f t="shared" ref="KZ15" si="184">IF(B15="","",KW15/KU15)</f>
        <v>2.2999999999999998</v>
      </c>
      <c r="LA15" s="24">
        <f t="shared" ref="LA15" si="185">IF(SUM(IS15:JH15)=0,"",IF(OR(B15="",F15="I",F15="II",F15="M",F15="A"),(SUM(IS15:JH15)),IF(OR(B15="",F15="III"),(SUM(KO15,KU15)))))</f>
        <v>80</v>
      </c>
      <c r="LB15" s="26">
        <f t="shared" ref="LB15" si="186">IF(SUM(IS15:JH15)=0,"",IF(OR(B15="",F15="I",F15="II",F15="M",F15="A"),(SUM(JI15:JX15)),IF(OR(B15="",F15="III"),(SUM(KP15,KV15)))))</f>
        <v>6306.33356060606</v>
      </c>
      <c r="LC15" s="27">
        <f t="shared" ref="LC15" si="187">IF(SUM(IS15:JH15)=0,"",IF(OR(B15="",F15="I",F15="II",F15="M",F15="A"),(SUM(JY15:KN15)),IF(OR(B15="",F15="III"),(SUM(KW15,KQ15)))))</f>
        <v>206</v>
      </c>
      <c r="LD15" s="26">
        <f>IF(OR(LA15=0,LB15=0),0,IF(OR(LA15="",LB15=""),"",LB15/LA15))</f>
        <v>78.829169507575756</v>
      </c>
      <c r="LE15" s="27" t="str">
        <f>IF(LD15="","",IF(LD15&gt;=90,"A",IF(LD15&gt;=80,"B",IF(LD15&gt;=70,"C",IF(LD15&gt;=60,"D",IF(LD15&gt;=50,"E",IF(LD15&gt;=0,"F","")))))))</f>
        <v>C</v>
      </c>
      <c r="LF15" s="26">
        <f t="shared" ref="LF15" si="188">IF(FW15="","",LC15/LA15)</f>
        <v>2.5750000000000002</v>
      </c>
      <c r="LG15" s="24">
        <f>IF(OR(B15="",LD15=""),"",RANK(LD15,$LD$15:$LD$27))</f>
        <v>8</v>
      </c>
      <c r="LH15" s="24" t="str">
        <f t="shared" ref="LH15" si="189">IF(B15="","",$C$9)</f>
        <v>6A</v>
      </c>
      <c r="LI15" s="24">
        <f>IF(B15="","",MAX($A$15:$A$27))</f>
        <v>13</v>
      </c>
      <c r="LJ15" s="24">
        <f t="shared" ref="LJ15" si="190">IF(B15="","",$C$8)</f>
        <v>204</v>
      </c>
      <c r="LK15" s="24">
        <f>IF(A15="","",DE15+HH15)</f>
        <v>0</v>
      </c>
      <c r="LL15" s="24">
        <f t="shared" ref="LL15" si="191">IF(B15="","",DF15+HI15)</f>
        <v>0</v>
      </c>
      <c r="LM15" s="24">
        <f t="shared" ref="LM15" si="192">IF(C15="","",DG15+HJ15)</f>
        <v>0</v>
      </c>
      <c r="LN15" s="24">
        <f t="shared" ref="LN15" si="193">IF(B15="","",LL15+LM15)</f>
        <v>0</v>
      </c>
      <c r="LO15" s="25">
        <f t="shared" ref="LO15" si="194">IF(B15="","",(LJ15-LN15)/LJ15)</f>
        <v>1</v>
      </c>
      <c r="LP15" s="24" t="str">
        <f t="shared" ref="LP15" si="195">IF(B15="","",IF(HV15="","Incomplete",(IF(OR(SUM(COUNTIF(HV15:HZ15,"&lt;50"))&gt;=2,SUM(COUNTIF(HV15:HZ15,"&lt;50"))&gt;=2),"Fail - Detained in Grade",IF(KX15&lt;50,"Fail - Detained in Grade","Pass - Promoted to Grade")))))</f>
        <v>Pass - Promoted to Grade</v>
      </c>
      <c r="LQ15" s="24" t="str">
        <f>IF(LP15="","",IF(LP15="Fail - Detained in Grade","ធ្លាក់ត្រូវរៀនត្រួតថ្នាក់ទី",IF(LP15="Pass - Promoted to Grade","ជាប់ត្រូវបានឡើងថ្នាក់ទី","មិនបានសិក្សាពេញលេញ")))</f>
        <v>ជាប់ត្រូវបានឡើងថ្នាក់ទី</v>
      </c>
      <c r="LR15" s="24">
        <f t="shared" ref="LR15" si="196">IF(B15="","",LR14)</f>
        <v>6</v>
      </c>
      <c r="LS15" s="24">
        <f>IF(LP15="","",IF(LP15="Pass - Promoted to Grade",LR14+1,LR14))</f>
        <v>7</v>
      </c>
    </row>
    <row r="16" spans="1:331" ht="27" customHeight="1" x14ac:dyDescent="0.35">
      <c r="A16" s="24">
        <f>IF(B16="","",A15+1)</f>
        <v>2</v>
      </c>
      <c r="B16" s="86" t="str">
        <f>IF(FinalSem2!B16="","",FinalSem2!B16)</f>
        <v>Ly Sovannarith</v>
      </c>
      <c r="C16" s="29" t="str">
        <f>IF(FinalSem2!C16="","",FinalSem2!C16)</f>
        <v>លី សុវណ្ណារិទ្ធ</v>
      </c>
      <c r="D16" s="24" t="str">
        <f>IF(FinalSem2!D16="","",FinalSem2!D16)</f>
        <v>M</v>
      </c>
      <c r="E16" s="24">
        <f>IF(FinalSem2!E16="","",FinalSem2!E16)</f>
        <v>689</v>
      </c>
      <c r="F16" s="24" t="str">
        <f>IF(FinalSem2!F16="","",FinalSem2!F16)</f>
        <v>I</v>
      </c>
      <c r="G16" s="26">
        <f>IF(FinalSem1!G16="","",FinalSem1!LI16)</f>
        <v>80.5</v>
      </c>
      <c r="H16" s="26">
        <f>IF(FinalSem1!H16="","",FinalSem1!LJ16)</f>
        <v>83</v>
      </c>
      <c r="I16" s="26">
        <f>IF(FinalSem1!I16="","",FinalSem1!LK16)</f>
        <v>93.333333333333343</v>
      </c>
      <c r="J16" s="26">
        <f>IF(FinalSem1!J16="","",FinalSem1!LL16)</f>
        <v>78.333333333333343</v>
      </c>
      <c r="K16" s="26">
        <f>IF(FinalSem1!K16="","",FinalSem1!LM16)</f>
        <v>90.575000000000003</v>
      </c>
      <c r="L16" s="26">
        <f>IF(FinalSem1!L16="","",FinalSem1!LN16)</f>
        <v>81.89166666666668</v>
      </c>
      <c r="M16" s="26">
        <f>IF(FinalSem1!M16="","",FinalSem1!LO16)</f>
        <v>85.091666666666669</v>
      </c>
      <c r="N16" s="26">
        <f>IF(FinalSem1!N16="","",FinalSem1!LP16)</f>
        <v>95</v>
      </c>
      <c r="O16" s="26">
        <f>IF(FinalSem1!O16="","",FinalSem1!LQ16)</f>
        <v>95</v>
      </c>
      <c r="P16" s="26">
        <f>IF(FinalSem1!P16="","",FinalSem1!LR16)</f>
        <v>80.489166666666677</v>
      </c>
      <c r="Q16" s="26">
        <f>IF(FinalSem1!Q16="","",FinalSem1!LS16)</f>
        <v>88.978333333333339</v>
      </c>
      <c r="R16" s="26">
        <f>IF(FinalSem1!R16="","",FinalSem1!LT16)</f>
        <v>55.807499999999997</v>
      </c>
      <c r="S16" s="26">
        <f>IF(FinalSem1!S16="","",FinalSem1!LU16)</f>
        <v>50.992424242424242</v>
      </c>
      <c r="T16" s="26">
        <f>IF(FinalSem1!T16="","",FinalSem1!LV16)</f>
        <v>86.8</v>
      </c>
      <c r="U16" s="26">
        <f>IF(FinalSem1!U16="","",FinalSem1!LW16)</f>
        <v>91.833333333333343</v>
      </c>
      <c r="V16" s="26">
        <f>IF(FinalSem1!V16="","",FinalSem1!LX16)</f>
        <v>74.616666666666674</v>
      </c>
      <c r="W16" s="26" t="str">
        <f t="shared" ref="W16:W27" si="197">IF(G16="","",IF(G16&gt;=90,"A",IF(G16&gt;=80,"B",IF(G16&gt;=70,"C",IF(G16&gt;=60,"D",IF(G16&gt;=50,"E",IF(G16&gt;=0,"F","")))))))</f>
        <v>B</v>
      </c>
      <c r="X16" s="26" t="str">
        <f t="shared" ref="X16:X27" si="198">IF(H16="","",IF(H16&gt;=90,"A",IF(H16&gt;=80,"B",IF(H16&gt;=70,"C",IF(H16&gt;=60,"D",IF(H16&gt;=50,"E",IF(H16&gt;=0,"F","")))))))</f>
        <v>B</v>
      </c>
      <c r="Y16" s="26" t="str">
        <f t="shared" ref="Y16:Y27" si="199">IF(I16="","",IF(I16&gt;=90,"A",IF(I16&gt;=80,"B",IF(I16&gt;=70,"C",IF(I16&gt;=60,"D",IF(I16&gt;=50,"E",IF(I16&gt;=0,"F","")))))))</f>
        <v>A</v>
      </c>
      <c r="Z16" s="26" t="str">
        <f t="shared" ref="Z16:Z27" si="200">IF(J16="","",IF(J16&gt;=90,"A",IF(J16&gt;=80,"B",IF(J16&gt;=70,"C",IF(J16&gt;=60,"D",IF(J16&gt;=50,"E",IF(J16&gt;=0,"F","")))))))</f>
        <v>C</v>
      </c>
      <c r="AA16" s="26" t="str">
        <f t="shared" ref="AA16:AA27" si="201">IF(K16="","",IF(K16&gt;=90,"A",IF(K16&gt;=80,"B",IF(K16&gt;=70,"C",IF(K16&gt;=60,"D",IF(K16&gt;=50,"E",IF(K16&gt;=0,"F","")))))))</f>
        <v>A</v>
      </c>
      <c r="AB16" s="26" t="str">
        <f t="shared" ref="AB16:AB27" si="202">IF(L16="","",IF(L16&gt;=90,"A",IF(L16&gt;=80,"B",IF(L16&gt;=70,"C",IF(L16&gt;=60,"D",IF(L16&gt;=50,"E",IF(L16&gt;=0,"F","")))))))</f>
        <v>B</v>
      </c>
      <c r="AC16" s="26" t="str">
        <f t="shared" ref="AC16:AC27" si="203">IF(M16="","",IF(M16&gt;=90,"A",IF(M16&gt;=80,"B",IF(M16&gt;=70,"C",IF(M16&gt;=60,"D",IF(M16&gt;=50,"E",IF(M16&gt;=0,"F","")))))))</f>
        <v>B</v>
      </c>
      <c r="AD16" s="26" t="str">
        <f t="shared" ref="AD16:AD27" si="204">IF(N16="","",IF(N16&gt;=90,"A",IF(N16&gt;=80,"B",IF(N16&gt;=70,"C",IF(N16&gt;=60,"D",IF(N16&gt;=50,"E",IF(N16&gt;=0,"F","")))))))</f>
        <v>A</v>
      </c>
      <c r="AE16" s="26" t="str">
        <f t="shared" ref="AE16:AE27" si="205">IF(O16="","",IF(O16&gt;=90,"A",IF(O16&gt;=80,"B",IF(O16&gt;=70,"C",IF(O16&gt;=60,"D",IF(O16&gt;=50,"E",IF(O16&gt;=0,"F","")))))))</f>
        <v>A</v>
      </c>
      <c r="AF16" s="24" t="str">
        <f t="shared" ref="AF16:AF27" si="206">IF(P16="","",IF(P16&gt;=90,"A",IF(P16&gt;=80,"B",IF(P16&gt;=70,"C",IF(P16&gt;=60,"D",IF(P16&gt;=50,"E",IF(P16&gt;=0,"F","")))))))</f>
        <v>B</v>
      </c>
      <c r="AG16" s="24" t="str">
        <f t="shared" ref="AG16:AG27" si="207">IF(Q16="","",IF(Q16&gt;=90,"A",IF(Q16&gt;=80,"B",IF(Q16&gt;=70,"C",IF(Q16&gt;=60,"D",IF(Q16&gt;=50,"E",IF(Q16&gt;=0,"F","")))))))</f>
        <v>B</v>
      </c>
      <c r="AH16" s="24" t="str">
        <f t="shared" ref="AH16:AH27" si="208">IF(R16="","",IF(R16&gt;=90,"A",IF(R16&gt;=80,"B",IF(R16&gt;=70,"C",IF(R16&gt;=60,"D",IF(R16&gt;=50,"E",IF(R16&gt;=0,"F","")))))))</f>
        <v>E</v>
      </c>
      <c r="AI16" s="24" t="str">
        <f t="shared" ref="AI16:AI27" si="209">IF(S16="","",IF(S16&gt;=90,"A",IF(S16&gt;=80,"B",IF(S16&gt;=70,"C",IF(S16&gt;=60,"D",IF(S16&gt;=50,"E",IF(S16&gt;=0,"F","")))))))</f>
        <v>E</v>
      </c>
      <c r="AJ16" s="24" t="str">
        <f t="shared" ref="AJ16:AJ27" si="210">IF(T16="","",IF(T16&gt;=90,"A",IF(T16&gt;=80,"B",IF(T16&gt;=70,"C",IF(T16&gt;=60,"D",IF(T16&gt;=50,"E",IF(T16&gt;=0,"F","")))))))</f>
        <v>B</v>
      </c>
      <c r="AK16" s="24" t="str">
        <f t="shared" ref="AK16:AK27" si="211">IF(U16="","",IF(U16&gt;=90,"A",IF(U16&gt;=80,"B",IF(U16&gt;=70,"C",IF(U16&gt;=60,"D",IF(U16&gt;=50,"E",IF(U16&gt;=0,"F","")))))))</f>
        <v>A</v>
      </c>
      <c r="AL16" s="24" t="str">
        <f t="shared" ref="AL16:AL27" si="212">IF(V16="","",IF(V16&gt;=90,"A",IF(V16&gt;=80,"B",IF(V16&gt;=70,"C",IF(V16&gt;=60,"D",IF(V16&gt;=50,"E",IF(V16&gt;=0,"F","")))))))</f>
        <v>C</v>
      </c>
      <c r="AM16" s="24">
        <f t="shared" ref="AM16:AM27" si="213">IF(G16="","",$AM$14)</f>
        <v>2</v>
      </c>
      <c r="AN16" s="24">
        <f t="shared" ref="AN16:AN27" si="214">IF(H16="","",$AN$14)</f>
        <v>2</v>
      </c>
      <c r="AO16" s="24">
        <f t="shared" ref="AO16:AO27" si="215">IF(I16="","",$AO$14)</f>
        <v>3</v>
      </c>
      <c r="AP16" s="24">
        <f t="shared" ref="AP16:AP27" si="216">IF(J16="","",$AP$14)</f>
        <v>1</v>
      </c>
      <c r="AQ16" s="24">
        <f t="shared" ref="AQ16:AQ27" si="217">IF(K16="","",$AQ$14)</f>
        <v>5</v>
      </c>
      <c r="AR16" s="24">
        <f t="shared" ref="AR16:AR27" si="218">IF(L16="","",$AR$14)</f>
        <v>3</v>
      </c>
      <c r="AS16" s="24">
        <f t="shared" ref="AS16:AS27" si="219">IF(M16="","",$AS$14)</f>
        <v>2</v>
      </c>
      <c r="AT16" s="24">
        <f t="shared" ref="AT16:AT27" si="220">IF(N16="","",$AT$14)</f>
        <v>1</v>
      </c>
      <c r="AU16" s="24">
        <f t="shared" ref="AU16:AU27" si="221">IF(O16="","",$AU$14)</f>
        <v>1</v>
      </c>
      <c r="AV16" s="24">
        <f t="shared" ref="AV16:AV27" si="222">IF(P16="","",$AV$14)</f>
        <v>5</v>
      </c>
      <c r="AW16" s="24">
        <f t="shared" ref="AW16:AW27" si="223">IF(Q16="","",$AW$14)</f>
        <v>1</v>
      </c>
      <c r="AX16" s="24">
        <f t="shared" ref="AX16:AX27" si="224">IF(R16="","",$AX$14)</f>
        <v>5</v>
      </c>
      <c r="AY16" s="24">
        <f t="shared" ref="AY16:AY27" si="225">IF(S16="","",$AY$14)</f>
        <v>3</v>
      </c>
      <c r="AZ16" s="24">
        <f t="shared" ref="AZ16:AZ27" si="226">IF(T16="","",$AZ$14)</f>
        <v>2</v>
      </c>
      <c r="BA16" s="24">
        <f t="shared" ref="BA16:BA27" si="227">IF(U16="","",$BA$14)</f>
        <v>2</v>
      </c>
      <c r="BB16" s="24">
        <f t="shared" ref="BB16:BB27" si="228">IF(V16="","",$BB$14)</f>
        <v>2</v>
      </c>
      <c r="BC16" s="26">
        <f t="shared" ref="BC16:BC27" si="229">IF(OR(G16="",AM16=""),"",PRODUCT(G16,AM16))</f>
        <v>161</v>
      </c>
      <c r="BD16" s="26">
        <f t="shared" ref="BD16:BD27" si="230">IF(OR(H16="",AN16=""),"",PRODUCT(H16,AN16))</f>
        <v>166</v>
      </c>
      <c r="BE16" s="26">
        <f t="shared" ref="BE16:BE27" si="231">IF(OR(I16="",AO16=""),"",PRODUCT(I16,AO16))</f>
        <v>280</v>
      </c>
      <c r="BF16" s="26">
        <f t="shared" ref="BF16:BF27" si="232">IF(OR(J16="",AP16=""),"",PRODUCT(J16,AP16))</f>
        <v>78.333333333333343</v>
      </c>
      <c r="BG16" s="26">
        <f t="shared" ref="BG16:BG27" si="233">IF(OR(K16="",AQ16=""),"",PRODUCT(K16,AQ16))</f>
        <v>452.875</v>
      </c>
      <c r="BH16" s="26">
        <f t="shared" ref="BH16:BH27" si="234">IF(OR(L16="",AR16=""),"",PRODUCT(L16,AR16))</f>
        <v>245.67500000000004</v>
      </c>
      <c r="BI16" s="26">
        <f t="shared" ref="BI16:BI27" si="235">IF(OR(M16="",AS16=""),"",PRODUCT(M16,AS16))</f>
        <v>170.18333333333334</v>
      </c>
      <c r="BJ16" s="26">
        <f t="shared" ref="BJ16:BJ27" si="236">IF(OR(N16="",AT16=""),"",PRODUCT(N16,AT16))</f>
        <v>95</v>
      </c>
      <c r="BK16" s="26">
        <f t="shared" ref="BK16:BK27" si="237">IF(OR(O16="",AU16=""),"",PRODUCT(O16,AU16))</f>
        <v>95</v>
      </c>
      <c r="BL16" s="26">
        <f t="shared" ref="BL16:BL27" si="238">IF(OR(P16="",AV16=""),"",PRODUCT(P16,AV16))</f>
        <v>402.44583333333338</v>
      </c>
      <c r="BM16" s="26">
        <f t="shared" ref="BM16:BM27" si="239">IF(OR(Q16="",AW16=""),"",PRODUCT(Q16,AW16))</f>
        <v>88.978333333333339</v>
      </c>
      <c r="BN16" s="26">
        <f t="shared" ref="BN16:BN27" si="240">IF(OR(R16="",AX16=""),"",PRODUCT(R16,AX16))</f>
        <v>279.03749999999997</v>
      </c>
      <c r="BO16" s="26">
        <f t="shared" ref="BO16:BO27" si="241">IF(OR(S16="",AY16=""),"",PRODUCT(S16,AY16))</f>
        <v>152.97727272727272</v>
      </c>
      <c r="BP16" s="26">
        <f t="shared" ref="BP16:BP27" si="242">IF(OR(T16="",AZ16=""),"",PRODUCT(T16,AZ16))</f>
        <v>173.6</v>
      </c>
      <c r="BQ16" s="26">
        <f t="shared" ref="BQ16:BQ27" si="243">IF(OR(U16="",BA16=""),"",PRODUCT(U16,BA16))</f>
        <v>183.66666666666669</v>
      </c>
      <c r="BR16" s="26">
        <f t="shared" ref="BR16:BR27" si="244">IF(OR(V16="",BB16=""),"",PRODUCT(V16,BB16))</f>
        <v>149.23333333333335</v>
      </c>
      <c r="BS16" s="24">
        <f t="shared" ref="BS16:CH16" si="245">IF(OR(AM16="",W16=""),"",AM16*(IF(OR(W16="A",W16="a"),4,(IF(OR(W452="B",W16="b"),3,(IF(OR(W16="C",W16="c"),2,(IF(OR(W16="D",W16="d"),1.5,(IF(OR(W16="E",W16="e"),1,(IF(OR(W16="F",W16="f"),0)))))))))))))</f>
        <v>6</v>
      </c>
      <c r="BT16" s="24">
        <f t="shared" si="245"/>
        <v>6</v>
      </c>
      <c r="BU16" s="24">
        <f t="shared" si="245"/>
        <v>12</v>
      </c>
      <c r="BV16" s="24">
        <f t="shared" si="245"/>
        <v>2</v>
      </c>
      <c r="BW16" s="24">
        <f t="shared" si="245"/>
        <v>20</v>
      </c>
      <c r="BX16" s="24">
        <f t="shared" si="245"/>
        <v>9</v>
      </c>
      <c r="BY16" s="24">
        <f t="shared" si="245"/>
        <v>6</v>
      </c>
      <c r="BZ16" s="24">
        <f t="shared" si="245"/>
        <v>4</v>
      </c>
      <c r="CA16" s="24">
        <f t="shared" si="245"/>
        <v>4</v>
      </c>
      <c r="CB16" s="24">
        <f t="shared" si="245"/>
        <v>15</v>
      </c>
      <c r="CC16" s="24">
        <f t="shared" si="245"/>
        <v>3</v>
      </c>
      <c r="CD16" s="24">
        <f t="shared" si="245"/>
        <v>5</v>
      </c>
      <c r="CE16" s="24">
        <f t="shared" si="245"/>
        <v>3</v>
      </c>
      <c r="CF16" s="24">
        <f t="shared" si="245"/>
        <v>6</v>
      </c>
      <c r="CG16" s="24">
        <f t="shared" si="245"/>
        <v>8</v>
      </c>
      <c r="CH16" s="24">
        <f t="shared" si="245"/>
        <v>4</v>
      </c>
      <c r="CI16" s="24">
        <f t="shared" ref="CI16:CI27" si="246">IF(B16="","",SUM(AM16:AU16))</f>
        <v>20</v>
      </c>
      <c r="CJ16" s="24">
        <f t="shared" ref="CJ16:CJ27" si="247">IF(B16="","",SUM(BF16:BN16))</f>
        <v>1907.5283333333334</v>
      </c>
      <c r="CK16" s="26">
        <f t="shared" ref="CK16:CK27" si="248">IF(B16="","",SUM(BV16:CD16))</f>
        <v>68</v>
      </c>
      <c r="CL16" s="26">
        <f t="shared" ref="CL16:CL27" si="249">IF(OR(CI16="",CJ16=""),"",CJ16/CI16)</f>
        <v>95.376416666666671</v>
      </c>
      <c r="CM16" s="24" t="str">
        <f t="shared" ref="CM16:CM27" si="250">IF(CL16="","",IF(CL16&gt;=90,"A",IF(CL16&gt;=80,"B",IF(CL16&gt;=70,"C",IF(CL16&gt;=60,"D",IF(CL16&gt;=50,"E",IF(CL16&gt;=0,"F","")))))))</f>
        <v>A</v>
      </c>
      <c r="CN16" s="26">
        <f t="shared" ref="CN16:CN27" si="251">IF(B16="","",CK16/CI16)</f>
        <v>3.4</v>
      </c>
      <c r="CO16" s="24">
        <f t="shared" ref="CO16:CO27" si="252">IF(B16="","",SUM(AV16:BB16))</f>
        <v>20</v>
      </c>
      <c r="CP16" s="26">
        <f t="shared" ref="CP16:CP27" si="253">IF(B16="","",SUM(BL16:BR16))</f>
        <v>1429.9389393939396</v>
      </c>
      <c r="CQ16" s="26">
        <f t="shared" ref="CQ16:CQ27" si="254">IF(B16="","",SUM(CB16:CH16))</f>
        <v>44</v>
      </c>
      <c r="CR16" s="26">
        <f t="shared" ref="CR16:CR27" si="255">IF(OR(CO16="",CP16=""),"",CP16/CO16)</f>
        <v>71.496946969696978</v>
      </c>
      <c r="CS16" s="24" t="str">
        <f t="shared" ref="CS16:CS27" si="256">IF(CR16="","",IF(CR16&gt;=90,"A",IF(CR16&gt;=80,"B",IF(CR16&gt;=70,"C",IF(CR16&gt;=60,"D",IF(CR16&gt;=50,"E",IF(CR16&gt;=0,"F","")))))))</f>
        <v>C</v>
      </c>
      <c r="CT16" s="26">
        <f t="shared" ref="CT16:CT27" si="257">IF(B16="","",CQ16/CO16)</f>
        <v>2.2000000000000002</v>
      </c>
      <c r="CU16" s="24">
        <f t="shared" ref="CU16:CU27" si="258">IF(SUM(AM16:BB16)=0,"",IF(OR(B16="",F16="I",F16="II",F16="M",F16="A"),(SUM(AM16:BB16)),IF(OR(B16="",F16="III"),(SUM(CI16,CO16)))))</f>
        <v>40</v>
      </c>
      <c r="CV16" s="26">
        <f t="shared" ref="CV16:CV27" si="259">IF(SUM(AM16:BB16)=0,"",IF(OR(B16="",F16="I",F16="II",F16="M",F16="A"),(SUM(BC16:BR16)),IF(OR(F16="",F16="III"),(SUM(CJ16,CP16)))))</f>
        <v>3174.0056060606057</v>
      </c>
      <c r="CW16" s="26">
        <f t="shared" ref="CW16:CW27" si="260">IF(SUM(AM16:BB16)=0,"",IF(OR(B16="",F16="I",F16="II",F16="M",F16="A"),(SUM(BS16:CH16)),IF(OR(B16="",F16="III"),(SUM(CQ16,CK16)))))</f>
        <v>113</v>
      </c>
      <c r="CX16" s="26">
        <f t="shared" ref="CX16:CX27" si="261">IF(OR(CU16=0,CV16=0),0,IF(OR(CU16="",CV16=""),"",CV16/CU16))</f>
        <v>79.350140151515149</v>
      </c>
      <c r="CY16" s="27" t="str">
        <f t="shared" ref="CY16:CY27" si="262">IF(CX16="","",IF(CX16&gt;=90,"A",IF(CX16&gt;=80,"B",IF(CX16&gt;=70,"C",IF(CX16&gt;=60,"D",IF(CX16&gt;=50,"E",IF(CX16&gt;=0,"F","")))))))</f>
        <v>C</v>
      </c>
      <c r="CZ16" s="26">
        <f t="shared" ref="CZ16:CZ27" si="263">IF(B16="","",CW16/CU16)</f>
        <v>2.8250000000000002</v>
      </c>
      <c r="DA16" s="24">
        <f t="shared" ref="DA16:DA27" si="264">IF(OR(B16="",CX16=""),"",RANK(CX16,$CX$15:$CX$27))</f>
        <v>5</v>
      </c>
      <c r="DB16" s="24" t="str">
        <f t="shared" ref="DB16:DB27" si="265">IF(B16="","",$C$9)</f>
        <v>6A</v>
      </c>
      <c r="DC16" s="24">
        <f t="shared" ref="DC16:DC27" si="266">IF(B16="","",MAX($A$15:$A$27))</f>
        <v>13</v>
      </c>
      <c r="DD16" s="24">
        <f>IF(B16="","",FinalSem1!$C$8)</f>
        <v>100</v>
      </c>
      <c r="DE16" s="24">
        <f>IF(A16="","",FinalSem1!PG16)</f>
        <v>0</v>
      </c>
      <c r="DF16" s="24">
        <f>IF(B16="","",FinalSem1!PH16)</f>
        <v>0</v>
      </c>
      <c r="DG16" s="24">
        <f>IF(B16="","",FinalSem1!PI16)</f>
        <v>0</v>
      </c>
      <c r="DH16" s="24">
        <f t="shared" ref="DH16:DH27" si="267">IF(B16="","",DF16+DG16)</f>
        <v>0</v>
      </c>
      <c r="DI16" s="25">
        <f t="shared" ref="DI16:DI27" si="268">IF(B16="","",(DD16-DH16)/DD16)</f>
        <v>1</v>
      </c>
      <c r="DJ16" s="26">
        <f>IF(FinalSem2!G16="","",FinalSem2!LJ16)</f>
        <v>90.5</v>
      </c>
      <c r="DK16" s="26">
        <f>IF(FinalSem2!H16="","",FinalSem2!LK16)</f>
        <v>87.9</v>
      </c>
      <c r="DL16" s="26">
        <f>IF(FinalSem2!I16="","",FinalSem2!LL16)</f>
        <v>91.15</v>
      </c>
      <c r="DM16" s="26">
        <f>IF(FinalSem2!J16="","",FinalSem2!LM16)</f>
        <v>89.833333333333343</v>
      </c>
      <c r="DN16" s="26">
        <f>IF(FinalSem2!K16="","",FinalSem2!LN16)</f>
        <v>81.400000000000006</v>
      </c>
      <c r="DO16" s="26">
        <f>IF(FinalSem2!L16="","",FinalSem2!LO16)</f>
        <v>90.525000000000006</v>
      </c>
      <c r="DP16" s="26">
        <f>IF(FinalSem2!M16="","",FinalSem2!LP16)</f>
        <v>86.50833333333334</v>
      </c>
      <c r="DQ16" s="26">
        <f>IF(FinalSem2!N16="","",FinalSem2!LQ16)</f>
        <v>96</v>
      </c>
      <c r="DR16" s="26">
        <f>IF(FinalSem2!O16="","",FinalSem2!LR16)</f>
        <v>96</v>
      </c>
      <c r="DS16" s="26">
        <f>IF(FinalSem2!P16="","",FinalSem2!LS16)</f>
        <v>69.25833333333334</v>
      </c>
      <c r="DT16" s="26">
        <f>IF(FinalSem2!Q16="","",FinalSem2!LT16)</f>
        <v>78.51666666666668</v>
      </c>
      <c r="DU16" s="26">
        <f>IF(FinalSem2!R16="","",FinalSem2!LU16)</f>
        <v>68.379166666666649</v>
      </c>
      <c r="DV16" s="26">
        <f>IF(FinalSem2!S16="","",FinalSem2!LV16)</f>
        <v>70.392499999999998</v>
      </c>
      <c r="DW16" s="26">
        <f>IF(FinalSem2!T16="","",FinalSem2!LW16)</f>
        <v>94.625</v>
      </c>
      <c r="DX16" s="26">
        <f>IF(FinalSem2!U16="","",FinalSem2!LX16)</f>
        <v>89.75</v>
      </c>
      <c r="DY16" s="26">
        <f>IF(FinalSem2!V16="","",FinalSem2!LY16)</f>
        <v>79.5</v>
      </c>
      <c r="DZ16" s="26" t="str">
        <f t="shared" ref="DZ16:DZ27" si="269">IF(DJ16="","",IF(DJ16&gt;=90,"A",IF(DJ16&gt;=80,"B",IF(DJ16&gt;=70,"C",IF(DJ16&gt;=60,"D",IF(DJ16&gt;=50,"E",IF(DJ16&gt;=0,"F","")))))))</f>
        <v>A</v>
      </c>
      <c r="EA16" s="26" t="str">
        <f t="shared" ref="EA16:EA27" si="270">IF(DK16="","",IF(DK16&gt;=90,"A",IF(DK16&gt;=80,"B",IF(DK16&gt;=70,"C",IF(DK16&gt;=60,"D",IF(DK16&gt;=50,"E",IF(DK16&gt;=0,"F","")))))))</f>
        <v>B</v>
      </c>
      <c r="EB16" s="26" t="str">
        <f t="shared" ref="EB16:EB27" si="271">IF(DL16="","",IF(DL16&gt;=90,"A",IF(DL16&gt;=80,"B",IF(DL16&gt;=70,"C",IF(DL16&gt;=60,"D",IF(DL16&gt;=50,"E",IF(DL16&gt;=0,"F","")))))))</f>
        <v>A</v>
      </c>
      <c r="EC16" s="26" t="str">
        <f t="shared" ref="EC16:EC27" si="272">IF(DM16="","",IF(DM16&gt;=90,"A",IF(DM16&gt;=80,"B",IF(DM16&gt;=70,"C",IF(DM16&gt;=60,"D",IF(DM16&gt;=50,"E",IF(DM16&gt;=0,"F","")))))))</f>
        <v>B</v>
      </c>
      <c r="ED16" s="26" t="str">
        <f t="shared" ref="ED16:ED27" si="273">IF(DN16="","",IF(DN16&gt;=90,"A",IF(DN16&gt;=80,"B",IF(DN16&gt;=70,"C",IF(DN16&gt;=60,"D",IF(DN16&gt;=50,"E",IF(DN16&gt;=0,"F","")))))))</f>
        <v>B</v>
      </c>
      <c r="EE16" s="26" t="str">
        <f t="shared" ref="EE16:EE27" si="274">IF(DO16="","",IF(DO16&gt;=90,"A",IF(DO16&gt;=80,"B",IF(DO16&gt;=70,"C",IF(DO16&gt;=60,"D",IF(DO16&gt;=50,"E",IF(DO16&gt;=0,"F","")))))))</f>
        <v>A</v>
      </c>
      <c r="EF16" s="26" t="str">
        <f t="shared" ref="EF16:EF27" si="275">IF(DP16="","",IF(DP16&gt;=90,"A",IF(DP16&gt;=80,"B",IF(DP16&gt;=70,"C",IF(DP16&gt;=60,"D",IF(DP16&gt;=50,"E",IF(DP16&gt;=0,"F","")))))))</f>
        <v>B</v>
      </c>
      <c r="EG16" s="26" t="str">
        <f t="shared" ref="EG16:EG27" si="276">IF(DQ16="","",IF(DQ16&gt;=90,"A",IF(DQ16&gt;=80,"B",IF(DQ16&gt;=70,"C",IF(DQ16&gt;=60,"D",IF(DQ16&gt;=50,"E",IF(DQ16&gt;=0,"F","")))))))</f>
        <v>A</v>
      </c>
      <c r="EH16" s="26" t="str">
        <f t="shared" ref="EH16:EH27" si="277">IF(DR16="","",IF(DR16&gt;=90,"A",IF(DR16&gt;=80,"B",IF(DR16&gt;=70,"C",IF(DR16&gt;=60,"D",IF(DR16&gt;=50,"E",IF(DR16&gt;=0,"F","")))))))</f>
        <v>A</v>
      </c>
      <c r="EI16" s="24" t="str">
        <f t="shared" ref="EI16:EI27" si="278">IF(DS16="","",IF(DS16&gt;=90,"A",IF(DS16&gt;=80,"B",IF(DS16&gt;=70,"C",IF(DS16&gt;=60,"D",IF(DS16&gt;=50,"E",IF(DS16&gt;=0,"F","")))))))</f>
        <v>D</v>
      </c>
      <c r="EJ16" s="24" t="str">
        <f t="shared" ref="EJ16:EJ27" si="279">IF(DT16="","",IF(DT16&gt;=90,"A",IF(DT16&gt;=80,"B",IF(DT16&gt;=70,"C",IF(DT16&gt;=60,"D",IF(DT16&gt;=50,"E",IF(DT16&gt;=0,"F","")))))))</f>
        <v>C</v>
      </c>
      <c r="EK16" s="24" t="str">
        <f t="shared" ref="EK16:EK27" si="280">IF(DU16="","",IF(DU16&gt;=90,"A",IF(DU16&gt;=80,"B",IF(DU16&gt;=70,"C",IF(DU16&gt;=60,"D",IF(DU16&gt;=50,"E",IF(DU16&gt;=0,"F","")))))))</f>
        <v>D</v>
      </c>
      <c r="EL16" s="24" t="str">
        <f t="shared" ref="EL16:EL27" si="281">IF(DV16="","",IF(DV16&gt;=90,"A",IF(DV16&gt;=80,"B",IF(DV16&gt;=70,"C",IF(DV16&gt;=60,"D",IF(DV16&gt;=50,"E",IF(DV16&gt;=0,"F","")))))))</f>
        <v>C</v>
      </c>
      <c r="EM16" s="24" t="str">
        <f t="shared" ref="EM16:EM27" si="282">IF(DW16="","",IF(DW16&gt;=90,"A",IF(DW16&gt;=80,"B",IF(DW16&gt;=70,"C",IF(DW16&gt;=60,"D",IF(DW16&gt;=50,"E",IF(DW16&gt;=0,"F","")))))))</f>
        <v>A</v>
      </c>
      <c r="EN16" s="24" t="str">
        <f t="shared" ref="EN16:EN27" si="283">IF(DX16="","",IF(DX16&gt;=90,"A",IF(DX16&gt;=80,"B",IF(DX16&gt;=70,"C",IF(DX16&gt;=60,"D",IF(DX16&gt;=50,"E",IF(DX16&gt;=0,"F","")))))))</f>
        <v>B</v>
      </c>
      <c r="EO16" s="24" t="str">
        <f t="shared" ref="EO16:EO27" si="284">IF(DY16="","",IF(DY16&gt;=90,"A",IF(DY16&gt;=80,"B",IF(DY16&gt;=70,"C",IF(DY16&gt;=60,"D",IF(DY16&gt;=50,"E",IF(DY16&gt;=0,"F","")))))))</f>
        <v>C</v>
      </c>
      <c r="EP16" s="24">
        <f t="shared" ref="EP16:EP27" si="285">IF(DJ16="","",$EP$14)</f>
        <v>2</v>
      </c>
      <c r="EQ16" s="24">
        <f t="shared" ref="EQ16:EQ27" si="286">IF(DK16="","",$EQ$14)</f>
        <v>2</v>
      </c>
      <c r="ER16" s="24">
        <f t="shared" ref="ER16:ER27" si="287">IF(DL16="","",$ER$14)</f>
        <v>3</v>
      </c>
      <c r="ES16" s="24">
        <f t="shared" ref="ES16:ES27" si="288">IF(DM16="","",$ES$14)</f>
        <v>1</v>
      </c>
      <c r="ET16" s="24">
        <f t="shared" ref="ET16:ET27" si="289">IF(DN16="","",$ET$14)</f>
        <v>5</v>
      </c>
      <c r="EU16" s="24">
        <f t="shared" ref="EU16:EU27" si="290">IF(DO16="","",$EU$14)</f>
        <v>3</v>
      </c>
      <c r="EV16" s="24">
        <f t="shared" ref="EV16:EV27" si="291">IF(DP16="","",$EV$14)</f>
        <v>2</v>
      </c>
      <c r="EW16" s="24">
        <f t="shared" ref="EW16:EW27" si="292">IF(DQ16="","",$EW$14)</f>
        <v>1</v>
      </c>
      <c r="EX16" s="24">
        <f t="shared" ref="EX16:EX27" si="293">IF(DR16="","",$EX$14)</f>
        <v>1</v>
      </c>
      <c r="EY16" s="24">
        <f t="shared" ref="EY16:EY27" si="294">IF(DS16="","",$EY$14)</f>
        <v>5</v>
      </c>
      <c r="EZ16" s="24">
        <f t="shared" ref="EZ16:EZ27" si="295">IF(DT16="","",$EZ$14)</f>
        <v>1</v>
      </c>
      <c r="FA16" s="24">
        <f t="shared" ref="FA16:FA27" si="296">IF(DU16="","",$FA$14)</f>
        <v>5</v>
      </c>
      <c r="FB16" s="24">
        <f t="shared" ref="FB16:FB27" si="297">IF(DV16="","",$FB$14)</f>
        <v>3</v>
      </c>
      <c r="FC16" s="24">
        <f t="shared" ref="FC16:FC27" si="298">IF(DW16="","",$FC$14)</f>
        <v>2</v>
      </c>
      <c r="FD16" s="24">
        <f t="shared" ref="FD16:FD27" si="299">IF(DX16="","",$FD$14)</f>
        <v>2</v>
      </c>
      <c r="FE16" s="24">
        <f t="shared" ref="FE16:FE27" si="300">IF(DY16="","",$FE$14)</f>
        <v>2</v>
      </c>
      <c r="FF16" s="26">
        <f t="shared" ref="FF16:FF27" si="301">IF(OR(DJ16="",EP16=""),"",PRODUCT(DJ16,EP16))</f>
        <v>181</v>
      </c>
      <c r="FG16" s="26">
        <f t="shared" ref="FG16:FG27" si="302">IF(OR(DK16="",EQ16=""),"",PRODUCT(DK16,EQ16))</f>
        <v>175.8</v>
      </c>
      <c r="FH16" s="26">
        <f t="shared" ref="FH16:FH27" si="303">IF(OR(DL16="",ER16=""),"",PRODUCT(DL16,ER16))</f>
        <v>273.45000000000005</v>
      </c>
      <c r="FI16" s="26">
        <f t="shared" ref="FI16:FI27" si="304">IF(OR(DM16="",ES16=""),"",PRODUCT(DM16,ES16))</f>
        <v>89.833333333333343</v>
      </c>
      <c r="FJ16" s="26">
        <f t="shared" ref="FJ16:FJ27" si="305">IF(OR(DN16="",ET16=""),"",PRODUCT(DN16,ET16))</f>
        <v>407</v>
      </c>
      <c r="FK16" s="26">
        <f t="shared" ref="FK16:FK27" si="306">IF(OR(DO16="",EU16=""),"",PRODUCT(DO16,EU16))</f>
        <v>271.57500000000005</v>
      </c>
      <c r="FL16" s="26">
        <f t="shared" ref="FL16:FL27" si="307">IF(OR(DP16="",EV16=""),"",PRODUCT(DP16,EV16))</f>
        <v>173.01666666666668</v>
      </c>
      <c r="FM16" s="26">
        <f t="shared" ref="FM16:FM27" si="308">IF(OR(DQ16="",EW16=""),"",PRODUCT(DQ16,EW16))</f>
        <v>96</v>
      </c>
      <c r="FN16" s="26">
        <f t="shared" ref="FN16:FN27" si="309">IF(OR(DR16="",EX16=""),"",PRODUCT(DR16,EX16))</f>
        <v>96</v>
      </c>
      <c r="FO16" s="26">
        <f t="shared" ref="FO16:FO27" si="310">IF(OR(DS16="",EY16=""),"",PRODUCT(DS16,EY16))</f>
        <v>346.29166666666669</v>
      </c>
      <c r="FP16" s="26">
        <f t="shared" ref="FP16:FP27" si="311">IF(OR(DT16="",EZ16=""),"",PRODUCT(DT16,EZ16))</f>
        <v>78.51666666666668</v>
      </c>
      <c r="FQ16" s="26">
        <f t="shared" ref="FQ16:FQ27" si="312">IF(OR(DU16="",FA16=""),"",PRODUCT(DU16,FA16))</f>
        <v>341.89583333333326</v>
      </c>
      <c r="FR16" s="26">
        <f t="shared" ref="FR16:FR27" si="313">IF(OR(DV16="",FB16=""),"",PRODUCT(DV16,FB16))</f>
        <v>211.17750000000001</v>
      </c>
      <c r="FS16" s="26">
        <f t="shared" ref="FS16:FS27" si="314">IF(OR(DW16="",FC16=""),"",PRODUCT(DW16,FC16))</f>
        <v>189.25</v>
      </c>
      <c r="FT16" s="26">
        <f t="shared" ref="FT16:FT27" si="315">IF(OR(DX16="",FD16=""),"",PRODUCT(DX16,FD16))</f>
        <v>179.5</v>
      </c>
      <c r="FU16" s="26">
        <f t="shared" ref="FU16:FU27" si="316">IF(OR(DY16="",FE16=""),"",PRODUCT(DY16,FE16))</f>
        <v>159</v>
      </c>
      <c r="FV16" s="24">
        <f t="shared" ref="FV16:GK16" si="317">IF(OR(EP16="",DZ16=""),"",EP16*(IF(OR(DZ16="A",DZ16="a"),4,(IF(OR(DZ452="B",DZ16="b"),3,(IF(OR(DZ16="C",DZ16="c"),2,(IF(OR(DZ16="D",DZ16="d"),1.5,(IF(OR(DZ16="E",DZ16="e"),1,(IF(OR(DZ16="F",DZ16="f"),0)))))))))))))</f>
        <v>8</v>
      </c>
      <c r="FW16" s="24">
        <f t="shared" si="317"/>
        <v>6</v>
      </c>
      <c r="FX16" s="24">
        <f t="shared" si="317"/>
        <v>12</v>
      </c>
      <c r="FY16" s="24">
        <f t="shared" si="317"/>
        <v>3</v>
      </c>
      <c r="FZ16" s="24">
        <f t="shared" si="317"/>
        <v>15</v>
      </c>
      <c r="GA16" s="24">
        <f t="shared" si="317"/>
        <v>12</v>
      </c>
      <c r="GB16" s="24">
        <f t="shared" si="317"/>
        <v>6</v>
      </c>
      <c r="GC16" s="24">
        <f t="shared" si="317"/>
        <v>4</v>
      </c>
      <c r="GD16" s="24">
        <f t="shared" si="317"/>
        <v>4</v>
      </c>
      <c r="GE16" s="24">
        <f t="shared" si="317"/>
        <v>7.5</v>
      </c>
      <c r="GF16" s="24">
        <f t="shared" si="317"/>
        <v>2</v>
      </c>
      <c r="GG16" s="24">
        <f t="shared" si="317"/>
        <v>7.5</v>
      </c>
      <c r="GH16" s="24">
        <f t="shared" si="317"/>
        <v>6</v>
      </c>
      <c r="GI16" s="24">
        <f t="shared" si="317"/>
        <v>8</v>
      </c>
      <c r="GJ16" s="24">
        <f t="shared" si="317"/>
        <v>6</v>
      </c>
      <c r="GK16" s="24">
        <f t="shared" si="317"/>
        <v>4</v>
      </c>
      <c r="GL16" s="24">
        <f t="shared" ref="GL16:GL27" si="318">IF(B16="","",SUM(EP16:EX16))</f>
        <v>20</v>
      </c>
      <c r="GM16" s="26">
        <f t="shared" ref="GM16:GM27" si="319">IF(B16="","",SUM(FF16:FN16))</f>
        <v>1763.6750000000002</v>
      </c>
      <c r="GN16" s="26">
        <f t="shared" ref="GN16:GN27" si="320">IF(B16="","",SUM(FV16:GD16))</f>
        <v>70</v>
      </c>
      <c r="GO16" s="26">
        <f t="shared" ref="GO16:GO27" si="321">IF(OR(GL16="",GM16=""),"",GM16/GL16)</f>
        <v>88.183750000000003</v>
      </c>
      <c r="GP16" s="24" t="str">
        <f t="shared" ref="GP16:GP27" si="322">IF(GO16="","",IF(GO16&gt;=90,"A",IF(GO16&gt;=80,"B",IF(GO16&gt;=70,"C",IF(GO16&gt;=60,"D",IF(GO16&gt;=50,"E",IF(GO16&gt;=0,"F","")))))))</f>
        <v>B</v>
      </c>
      <c r="GQ16" s="26">
        <f t="shared" ref="GQ16:GQ27" si="323">IF(B16="","",GN16/GL16)</f>
        <v>3.5</v>
      </c>
      <c r="GR16" s="24">
        <f t="shared" ref="GR16:GR27" si="324">IF(B16="","",SUM(EY16:FE16))</f>
        <v>20</v>
      </c>
      <c r="GS16" s="26">
        <f t="shared" ref="GS16:GS27" si="325">IF(B16="","",SUM(FO16:FU16))</f>
        <v>1505.6316666666667</v>
      </c>
      <c r="GT16" s="26">
        <f t="shared" ref="GT16:GT27" si="326">IF(B16="","",SUM(GE16:GK16))</f>
        <v>41</v>
      </c>
      <c r="GU16" s="26">
        <f t="shared" ref="GU16:GU27" si="327">IF(OR(GR16="",GS16=""),"",GS16/GR16)</f>
        <v>75.28158333333333</v>
      </c>
      <c r="GV16" s="24" t="str">
        <f t="shared" ref="GV16:GV27" si="328">IF(GU16="","",IF(GU16&gt;=90,"A",IF(GU16&gt;=80,"B",IF(GU16&gt;=70,"C",IF(GU16&gt;=60,"D",IF(GU16&gt;=50,"E",IF(GU16&gt;=0,"F","")))))))</f>
        <v>C</v>
      </c>
      <c r="GW16" s="27">
        <f t="shared" ref="GW16:GW27" si="329">IF(B16="","",GT16/GR16)</f>
        <v>2.0499999999999998</v>
      </c>
      <c r="GX16" s="24">
        <f t="shared" ref="GX16:GX27" si="330">IF(SUM(EP16:FE16)=0,"",IF(OR(B16="",F16="I",F16="II",F16="M",F16="A"),(SUM(EP16:FE16)),IF(OR(B16="",F16="III"),(SUM(GL16,GR16)))))</f>
        <v>40</v>
      </c>
      <c r="GY16" s="26">
        <f t="shared" ref="GY16:GY27" si="331">IF(SUM(EP16:FE16)=0,"",IF(OR(B16="",F16="I",F16="II",F16="M",F16="A"),(SUM(FF16:FU16)),IF(OR(B16="",F16="III"),(SUM(GM16,GS16)))))</f>
        <v>3269.3066666666664</v>
      </c>
      <c r="GZ16" s="26">
        <f t="shared" ref="GZ16:GZ27" si="332">IF(SUM(EP16:FE16)=0,"",IF(OR(B16="",F16="I",F16="II",F16="M",F16="A"),(SUM(FV16:GK16)),IF(OR(B16="",F16="III"),(SUM(GT16,GN16)))))</f>
        <v>111</v>
      </c>
      <c r="HA16" s="26">
        <f t="shared" ref="HA16:HA27" si="333">IF(OR(GX16=0,GY16=0),0,IF(OR(GX16="",GY16=""),"",GY16/GX16))</f>
        <v>81.73266666666666</v>
      </c>
      <c r="HB16" s="27" t="str">
        <f t="shared" ref="HB16:HB27" si="334">IF(HA16="","",IF(HA16&gt;=90,"A",IF(HA16&gt;=80,"B",IF(HA16&gt;=70,"C",IF(HA16&gt;=60,"D",IF(HA16&gt;=50,"E",IF(HA16&gt;=0,"F","")))))))</f>
        <v>B</v>
      </c>
      <c r="HC16" s="26">
        <f t="shared" ref="HC16:HC27" si="335">IF(BT16="","",GZ16/GX16)</f>
        <v>2.7749999999999999</v>
      </c>
      <c r="HD16" s="24">
        <f t="shared" ref="HD16:HD27" si="336">IF(OR(B16="",HA16=""),"",RANK(HA16,$HA$15:$HA$27))</f>
        <v>7</v>
      </c>
      <c r="HE16" s="24" t="str">
        <f t="shared" ref="HE16:HE27" si="337">IF(B16="","",$C$9)</f>
        <v>6A</v>
      </c>
      <c r="HF16" s="24">
        <f t="shared" ref="HF16:HF27" si="338">IF(B16="","",MAX($A$15:$A$27))</f>
        <v>13</v>
      </c>
      <c r="HG16" s="24">
        <f>IF(B16="","",FinalSem2!$C$8)</f>
        <v>104</v>
      </c>
      <c r="HH16" s="24">
        <f>IF(A16="","",FinalSem2!PH16)</f>
        <v>0</v>
      </c>
      <c r="HI16" s="24">
        <f>IF(B16="","",FinalSem2!PI16)</f>
        <v>0</v>
      </c>
      <c r="HJ16" s="24">
        <f>IF(C16="","",FinalSem2!PJ16)</f>
        <v>0</v>
      </c>
      <c r="HK16" s="24">
        <f t="shared" ref="HK16:HK27" si="339">IF(B16="","",HI16+HJ16)</f>
        <v>0</v>
      </c>
      <c r="HL16" s="25">
        <f t="shared" ref="HL16:HL27" si="340">IF(B16="","",(HG16-HK16)/HG16)</f>
        <v>1</v>
      </c>
      <c r="HM16" s="26">
        <f>IF($B$15="","",IF(FinalSem2!LJ16="","",IF(AND(FinalSem1!LI16,FinalSem2!LJ16)="","",AVERAGE(FinalSem1!LI16,FinalSem2!LJ16))))</f>
        <v>85.5</v>
      </c>
      <c r="HN16" s="26">
        <f>IF($B$15="","",IF(FinalSem2!LK16="","",IF(AND(FinalSem1!LJ16,FinalSem2!LK16)="","",AVERAGE(FinalSem1!LJ16,FinalSem2!LK16))))</f>
        <v>85.45</v>
      </c>
      <c r="HO16" s="26">
        <f>IF($B$15="","",IF(FinalSem2!LL16="","",IF(AND(FinalSem1!LK16,FinalSem2!LL16)="","",AVERAGE(FinalSem1!LK16,FinalSem2!LL16))))</f>
        <v>92.241666666666674</v>
      </c>
      <c r="HP16" s="26">
        <f>IF($B$15="","",IF(FinalSem2!LM16="","",IF(AND(FinalSem1!LL16,FinalSem2!LM16)="","",AVERAGE(FinalSem1!LL16,FinalSem2!LM16))))</f>
        <v>84.083333333333343</v>
      </c>
      <c r="HQ16" s="26">
        <f>IF($B$15="","",IF(FinalSem2!LN16="","",IF(AND(FinalSem1!LM16,FinalSem2!LN16)="","",AVERAGE(FinalSem1!LM16,FinalSem2!LN16))))</f>
        <v>85.987500000000011</v>
      </c>
      <c r="HR16" s="26">
        <f>IF($B$15="","",IF(FinalSem2!LO16="","",IF(AND(FinalSem1!LN16,FinalSem2!LO16)="","",AVERAGE(FinalSem1!LN16,FinalSem2!LO16))))</f>
        <v>86.208333333333343</v>
      </c>
      <c r="HS16" s="26">
        <f>IF($B$15="","",IF(FinalSem2!LP16="","",IF(AND(FinalSem1!LO16,FinalSem2!LP16)="","",AVERAGE(FinalSem1!LO16,FinalSem2!LP16))))</f>
        <v>85.800000000000011</v>
      </c>
      <c r="HT16" s="26">
        <f>IF($B$15="","",IF(FinalSem2!LQ16="","",IF(AND(FinalSem1!LP16,FinalSem2!LQ16)="","",AVERAGE(FinalSem1!LP16,FinalSem2!LQ16))))</f>
        <v>95.5</v>
      </c>
      <c r="HU16" s="26">
        <f>IF($B$15="","",IF(FinalSem2!LR16="","",IF(AND(FinalSem1!LQ16,FinalSem2!LR16)="","",AVERAGE(FinalSem1!LQ16,FinalSem2!LR16))))</f>
        <v>95.5</v>
      </c>
      <c r="HV16" s="26">
        <f>IF($B$15="","",IF(FinalSem2!LS16="","",IF(AND(FinalSem1!LR16,FinalSem2!LS16)="","",AVERAGE(FinalSem1!LR16,FinalSem2!LS16))))</f>
        <v>74.873750000000001</v>
      </c>
      <c r="HW16" s="26">
        <f>IF($B$15="","",IF(FinalSem2!LT16="","",IF(AND(FinalSem1!LS16,FinalSem2!LT16)="","",AVERAGE(FinalSem1!LS16,FinalSem2!LT16))))</f>
        <v>83.747500000000002</v>
      </c>
      <c r="HX16" s="26">
        <f>IF($B$15="","",IF(FinalSem2!LU16="","",IF(AND(FinalSem1!LT16,FinalSem2!LU16)="","",AVERAGE(FinalSem1!LT16,FinalSem2!LU16))))</f>
        <v>62.09333333333332</v>
      </c>
      <c r="HY16" s="26">
        <f>IF($B$15="","",IF(FinalSem2!LV16="","",IF(AND(FinalSem1!LU16,FinalSem2!LV16)="","",AVERAGE(FinalSem1!LU16,FinalSem2!LV16))))</f>
        <v>60.692462121212117</v>
      </c>
      <c r="HZ16" s="26">
        <f>IF($B$15="","",IF(FinalSem2!LW16="","",IF(AND(FinalSem1!LV16,FinalSem2!LW16)="","",AVERAGE(FinalSem1!LV16,FinalSem2!LW16))))</f>
        <v>90.712500000000006</v>
      </c>
      <c r="IA16" s="26">
        <f>IF($B$15="","",IF(FinalSem2!LX16="","",IF(AND(FinalSem1!LW16,FinalSem2!LX16)="","",AVERAGE(FinalSem1!LW16,FinalSem2!LX16))))</f>
        <v>90.791666666666671</v>
      </c>
      <c r="IB16" s="26">
        <f>IF($B$15="","",IF(FinalSem2!LY16="","",IF(AND(FinalSem1!LX16,FinalSem2!LY16)="","",AVERAGE(FinalSem1!LX16,FinalSem2!LY16))))</f>
        <v>77.058333333333337</v>
      </c>
      <c r="IC16" s="26" t="str">
        <f t="shared" ref="IC16:IC27" si="341">IF(HM16="","",IF(HM16&gt;=90,"A",IF(HM16&gt;=80,"B",IF(HM16&gt;=70,"C",IF(HM16&gt;=60,"D",IF(HM16&gt;=50,"E",IF(HM16&gt;=0,"F","")))))))</f>
        <v>B</v>
      </c>
      <c r="ID16" s="26" t="str">
        <f t="shared" ref="ID16:ID27" si="342">IF(HN16="","",IF(HN16&gt;=90,"A",IF(HN16&gt;=80,"B",IF(HN16&gt;=70,"C",IF(HN16&gt;=60,"D",IF(HN16&gt;=50,"E",IF(HN16&gt;=0,"F","")))))))</f>
        <v>B</v>
      </c>
      <c r="IE16" s="26" t="str">
        <f t="shared" ref="IE16:IE27" si="343">IF(HO16="","",IF(HO16&gt;=90,"A",IF(HO16&gt;=80,"B",IF(HO16&gt;=70,"C",IF(HO16&gt;=60,"D",IF(HO16&gt;=50,"E",IF(HO16&gt;=0,"F","")))))))</f>
        <v>A</v>
      </c>
      <c r="IF16" s="26" t="str">
        <f t="shared" ref="IF16:IF27" si="344">IF(HP16="","",IF(HP16&gt;=90,"A",IF(HP16&gt;=80,"B",IF(HP16&gt;=70,"C",IF(HP16&gt;=60,"D",IF(HP16&gt;=50,"E",IF(HP16&gt;=0,"F","")))))))</f>
        <v>B</v>
      </c>
      <c r="IG16" s="26" t="str">
        <f t="shared" ref="IG16:IG27" si="345">IF(HQ16="","",IF(HQ16&gt;=90,"A",IF(HQ16&gt;=80,"B",IF(HQ16&gt;=70,"C",IF(HQ16&gt;=60,"D",IF(HQ16&gt;=50,"E",IF(HQ16&gt;=0,"F","")))))))</f>
        <v>B</v>
      </c>
      <c r="IH16" s="26" t="str">
        <f t="shared" ref="IH16:IH27" si="346">IF(HR16="","",IF(HR16&gt;=90,"A",IF(HR16&gt;=80,"B",IF(HR16&gt;=70,"C",IF(HR16&gt;=60,"D",IF(HR16&gt;=50,"E",IF(HR16&gt;=0,"F","")))))))</f>
        <v>B</v>
      </c>
      <c r="II16" s="26" t="str">
        <f t="shared" ref="II16:II27" si="347">IF(HS16="","",IF(HS16&gt;=90,"A",IF(HS16&gt;=80,"B",IF(HS16&gt;=70,"C",IF(HS16&gt;=60,"D",IF(HS16&gt;=50,"E",IF(HS16&gt;=0,"F","")))))))</f>
        <v>B</v>
      </c>
      <c r="IJ16" s="26" t="str">
        <f t="shared" ref="IJ16:IJ27" si="348">IF(HT16="","",IF(HT16&gt;=90,"A",IF(HT16&gt;=80,"B",IF(HT16&gt;=70,"C",IF(HT16&gt;=60,"D",IF(HT16&gt;=50,"E",IF(HT16&gt;=0,"F","")))))))</f>
        <v>A</v>
      </c>
      <c r="IK16" s="26" t="str">
        <f t="shared" ref="IK16:IK27" si="349">IF(HU16="","",IF(HU16&gt;=90,"A",IF(HU16&gt;=80,"B",IF(HU16&gt;=70,"C",IF(HU16&gt;=60,"D",IF(HU16&gt;=50,"E",IF(HU16&gt;=0,"F","")))))))</f>
        <v>A</v>
      </c>
      <c r="IL16" s="24" t="str">
        <f t="shared" ref="IL16:IL27" si="350">IF(HV16="","",IF(HV16&gt;=90,"A",IF(HV16&gt;=80,"B",IF(HV16&gt;=70,"C",IF(HV16&gt;=60,"D",IF(HV16&gt;=50,"E",IF(HV16&gt;=0,"F","")))))))</f>
        <v>C</v>
      </c>
      <c r="IM16" s="24" t="str">
        <f t="shared" ref="IM16:IM27" si="351">IF(HW16="","",IF(HW16&gt;=90,"A",IF(HW16&gt;=80,"B",IF(HW16&gt;=70,"C",IF(HW16&gt;=60,"D",IF(HW16&gt;=50,"E",IF(HW16&gt;=0,"F","")))))))</f>
        <v>B</v>
      </c>
      <c r="IN16" s="24" t="str">
        <f t="shared" ref="IN16:IN27" si="352">IF(HX16="","",IF(HX16&gt;=90,"A",IF(HX16&gt;=80,"B",IF(HX16&gt;=70,"C",IF(HX16&gt;=60,"D",IF(HX16&gt;=50,"E",IF(HX16&gt;=0,"F","")))))))</f>
        <v>D</v>
      </c>
      <c r="IO16" s="24" t="str">
        <f t="shared" ref="IO16:IO27" si="353">IF(HY16="","",IF(HY16&gt;=90,"A",IF(HY16&gt;=80,"B",IF(HY16&gt;=70,"C",IF(HY16&gt;=60,"D",IF(HY16&gt;=50,"E",IF(HY16&gt;=0,"F","")))))))</f>
        <v>D</v>
      </c>
      <c r="IP16" s="24" t="str">
        <f t="shared" ref="IP16:IP27" si="354">IF(HZ16="","",IF(HZ16&gt;=90,"A",IF(HZ16&gt;=80,"B",IF(HZ16&gt;=70,"C",IF(HZ16&gt;=60,"D",IF(HZ16&gt;=50,"E",IF(HZ16&gt;=0,"F","")))))))</f>
        <v>A</v>
      </c>
      <c r="IQ16" s="24" t="str">
        <f t="shared" ref="IQ16:IQ27" si="355">IF(IA16="","",IF(IA16&gt;=90,"A",IF(IA16&gt;=80,"B",IF(IA16&gt;=70,"C",IF(IA16&gt;=60,"D",IF(IA16&gt;=50,"E",IF(IA16&gt;=0,"F","")))))))</f>
        <v>A</v>
      </c>
      <c r="IR16" s="24" t="str">
        <f t="shared" ref="IR16:IR27" si="356">IF(IB16="","",IF(IB16&gt;=90,"A",IF(IB16&gt;=80,"B",IF(IB16&gt;=70,"C",IF(IB16&gt;=60,"D",IF(IB16&gt;=50,"E",IF(IB16&gt;=0,"F","")))))))</f>
        <v>C</v>
      </c>
      <c r="IS16" s="24">
        <f t="shared" ref="IS16:IS27" si="357">IF(HM16="","",$IS$14)</f>
        <v>4</v>
      </c>
      <c r="IT16" s="24">
        <f t="shared" ref="IT16:IT27" si="358">IF(HN16="","",$IT$14)</f>
        <v>4</v>
      </c>
      <c r="IU16" s="24">
        <f t="shared" ref="IU16:IU27" si="359">IF(HO16="","",$IU$14)</f>
        <v>6</v>
      </c>
      <c r="IV16" s="24">
        <f t="shared" ref="IV16:IV27" si="360">IF(HP16="","",$IV$14)</f>
        <v>2</v>
      </c>
      <c r="IW16" s="24">
        <f t="shared" ref="IW16:IW27" si="361">IF(HQ16="","",$IW$14)</f>
        <v>10</v>
      </c>
      <c r="IX16" s="24">
        <f t="shared" ref="IX16:IX27" si="362">IF(HR16="","",$IX$14)</f>
        <v>6</v>
      </c>
      <c r="IY16" s="24">
        <f t="shared" ref="IY16:IY27" si="363">IF(HS16="","",$IY$14)</f>
        <v>4</v>
      </c>
      <c r="IZ16" s="24">
        <f t="shared" ref="IZ16:IZ27" si="364">IF(HT16="","",$IZ$14)</f>
        <v>2</v>
      </c>
      <c r="JA16" s="24">
        <f t="shared" ref="JA16:JA27" si="365">IF(HU16="","",$JA$14)</f>
        <v>2</v>
      </c>
      <c r="JB16" s="24">
        <f t="shared" ref="JB16:JB27" si="366">IF(HV16="","",$JB$14)</f>
        <v>10</v>
      </c>
      <c r="JC16" s="24">
        <f t="shared" ref="JC16:JC27" si="367">IF(HW16="","",$JC$14)</f>
        <v>2</v>
      </c>
      <c r="JD16" s="24">
        <f t="shared" ref="JD16:JD27" si="368">IF(HX16="","",$JD$14)</f>
        <v>10</v>
      </c>
      <c r="JE16" s="24">
        <f t="shared" ref="JE16:JE27" si="369">IF(HY16="","",$JE$14)</f>
        <v>6</v>
      </c>
      <c r="JF16" s="24">
        <f t="shared" ref="JF16:JF27" si="370">IF(HZ16="","",$JF$14)</f>
        <v>4</v>
      </c>
      <c r="JG16" s="24">
        <f t="shared" ref="JG16:JG27" si="371">IF(IA16="","",$JG$14)</f>
        <v>4</v>
      </c>
      <c r="JH16" s="24">
        <f t="shared" ref="JH16:JH27" si="372">IF(IB16="","",$JH$14)</f>
        <v>4</v>
      </c>
      <c r="JI16" s="26">
        <f t="shared" ref="JI16:JI27" si="373">IF(OR(HM16="",IS16=""),"",PRODUCT(HM16,IS16))</f>
        <v>342</v>
      </c>
      <c r="JJ16" s="26">
        <f t="shared" ref="JJ16:JJ27" si="374">IF(OR(HN16="",IT16=""),"",PRODUCT(HN16,IT16))</f>
        <v>341.8</v>
      </c>
      <c r="JK16" s="26">
        <f t="shared" ref="JK16:JK27" si="375">IF(OR(HO16="",IU16=""),"",PRODUCT(HO16,IU16))</f>
        <v>553.45000000000005</v>
      </c>
      <c r="JL16" s="26">
        <f t="shared" ref="JL16:JL27" si="376">IF(OR(HP16="",IV16=""),"",PRODUCT(HP16,IV16))</f>
        <v>168.16666666666669</v>
      </c>
      <c r="JM16" s="26">
        <f t="shared" ref="JM16:JM27" si="377">IF(OR(HQ16="",IW16=""),"",PRODUCT(HQ16,IW16))</f>
        <v>859.87500000000011</v>
      </c>
      <c r="JN16" s="26">
        <f t="shared" ref="JN16:JN27" si="378">IF(OR(HR16="",IX16=""),"",PRODUCT(HR16,IX16))</f>
        <v>517.25</v>
      </c>
      <c r="JO16" s="26">
        <f t="shared" ref="JO16:JO27" si="379">IF(OR(HS16="",IY16=""),"",PRODUCT(HS16,IY16))</f>
        <v>343.20000000000005</v>
      </c>
      <c r="JP16" s="26">
        <f t="shared" ref="JP16:JP27" si="380">IF(OR(HT16="",IZ16=""),"",PRODUCT(HT16,IZ16))</f>
        <v>191</v>
      </c>
      <c r="JQ16" s="26">
        <f t="shared" ref="JQ16:JQ27" si="381">IF(OR(HU16="",JA16=""),"",PRODUCT(HU16,JA16))</f>
        <v>191</v>
      </c>
      <c r="JR16" s="26">
        <f t="shared" ref="JR16:JR27" si="382">IF(OR(HV16="",JB16=""),"",PRODUCT(HV16,JB16))</f>
        <v>748.73749999999995</v>
      </c>
      <c r="JS16" s="26">
        <f t="shared" ref="JS16:JS27" si="383">IF(OR(HW16="",JC16=""),"",PRODUCT(HW16,JC16))</f>
        <v>167.495</v>
      </c>
      <c r="JT16" s="26">
        <f t="shared" ref="JT16:JT27" si="384">IF(OR(HX16="",JD16=""),"",PRODUCT(HX16,JD16))</f>
        <v>620.93333333333317</v>
      </c>
      <c r="JU16" s="26">
        <f t="shared" ref="JU16:JU27" si="385">IF(OR(HY16="",JE16=""),"",PRODUCT(HY16,JE16))</f>
        <v>364.1547727272727</v>
      </c>
      <c r="JV16" s="26">
        <f t="shared" ref="JV16:JV27" si="386">IF(OR(HZ16="",JF16=""),"",PRODUCT(HZ16,JF16))</f>
        <v>362.85</v>
      </c>
      <c r="JW16" s="26">
        <f t="shared" ref="JW16:JW27" si="387">IF(OR(IA16="",JG16=""),"",PRODUCT(IA16,JG16))</f>
        <v>363.16666666666669</v>
      </c>
      <c r="JX16" s="26">
        <f t="shared" ref="JX16:JX27" si="388">IF(OR(IB16="",JH16=""),"",PRODUCT(IB16,JH16))</f>
        <v>308.23333333333335</v>
      </c>
      <c r="JY16" s="24">
        <f t="shared" ref="JY16:KN16" si="389">IF(OR(IS16="",IC16=""),"",IS16*(IF(OR(IC16="A",IC16="a"),4,(IF(OR(IC452="B",IC16="b"),3,(IF(OR(IC16="C",IC16="c"),2,(IF(OR(IC16="D",IC16="d"),1.5,(IF(OR(IC16="E",IC16="e"),1,(IF(OR(IC16="F",IC16="f"),0)))))))))))))</f>
        <v>12</v>
      </c>
      <c r="JZ16" s="24">
        <f t="shared" si="389"/>
        <v>12</v>
      </c>
      <c r="KA16" s="24">
        <f t="shared" si="389"/>
        <v>24</v>
      </c>
      <c r="KB16" s="24">
        <f t="shared" si="389"/>
        <v>6</v>
      </c>
      <c r="KC16" s="24">
        <f t="shared" si="389"/>
        <v>30</v>
      </c>
      <c r="KD16" s="24">
        <f t="shared" si="389"/>
        <v>18</v>
      </c>
      <c r="KE16" s="24">
        <f t="shared" si="389"/>
        <v>12</v>
      </c>
      <c r="KF16" s="24">
        <f t="shared" si="389"/>
        <v>8</v>
      </c>
      <c r="KG16" s="24">
        <f t="shared" si="389"/>
        <v>8</v>
      </c>
      <c r="KH16" s="24">
        <f t="shared" si="389"/>
        <v>20</v>
      </c>
      <c r="KI16" s="24">
        <f t="shared" si="389"/>
        <v>6</v>
      </c>
      <c r="KJ16" s="24">
        <f t="shared" si="389"/>
        <v>15</v>
      </c>
      <c r="KK16" s="24">
        <f t="shared" si="389"/>
        <v>9</v>
      </c>
      <c r="KL16" s="24">
        <f t="shared" si="389"/>
        <v>16</v>
      </c>
      <c r="KM16" s="24">
        <f t="shared" si="389"/>
        <v>16</v>
      </c>
      <c r="KN16" s="24">
        <f t="shared" si="389"/>
        <v>8</v>
      </c>
      <c r="KO16" s="24">
        <f t="shared" ref="KO16:KO27" si="390">IF(B16="","",SUM(IS16:JA16))</f>
        <v>40</v>
      </c>
      <c r="KP16" s="26">
        <f t="shared" ref="KP16:KP27" si="391">IF(B16="","",SUM(JI16:JQ16))</f>
        <v>3507.7416666666668</v>
      </c>
      <c r="KQ16" s="26">
        <f t="shared" ref="KQ16:KQ27" si="392">IF(B16="","",SUM(JY16:KG16))</f>
        <v>130</v>
      </c>
      <c r="KR16" s="26">
        <f t="shared" ref="KR16:KR27" si="393">IF(OR(KO16="",KP16=""),"",KP16/KO16)</f>
        <v>87.693541666666675</v>
      </c>
      <c r="KS16" s="24" t="str">
        <f t="shared" ref="KS16:KS27" si="394">IF(KR16="","",IF(KR16&gt;=90,"A",IF(KR16&gt;=80,"B",IF(KR16&gt;=70,"C",IF(KR16&gt;=60,"D",IF(KR16&gt;=50,"E",IF(KR16&gt;=0,"F","")))))))</f>
        <v>B</v>
      </c>
      <c r="KT16" s="26">
        <f t="shared" ref="KT16:KT27" si="395">IF(B16="","",KQ16/KO16)</f>
        <v>3.25</v>
      </c>
      <c r="KU16" s="24">
        <f t="shared" ref="KU16:KU27" si="396">IF(B16="","",SUM(JB16:JH16))</f>
        <v>40</v>
      </c>
      <c r="KV16" s="26">
        <f t="shared" ref="KV16:KV27" si="397">IF(B16="","",SUM(JR16:JX16))</f>
        <v>2935.5706060606053</v>
      </c>
      <c r="KW16" s="26">
        <f t="shared" ref="KW16:KW27" si="398">IF(B16="","",SUM(KH16:KN16))</f>
        <v>90</v>
      </c>
      <c r="KX16" s="26">
        <f t="shared" ref="KX16:KX27" si="399">IF(OR(KU16="",KV16=""),"",KV16/KU16)</f>
        <v>73.389265151515133</v>
      </c>
      <c r="KY16" s="24" t="str">
        <f t="shared" ref="KY16:KY27" si="400">IF(KX16="","",IF(KX16&gt;=90,"A",IF(KX16&gt;=80,"B",IF(KX16&gt;=70,"C",IF(KX16&gt;=60,"D",IF(KX16&gt;=50,"E",IF(KX16&gt;=0,"F","")))))))</f>
        <v>C</v>
      </c>
      <c r="KZ16" s="26">
        <f t="shared" ref="KZ16:KZ27" si="401">IF(B16="","",KW16/KU16)</f>
        <v>2.25</v>
      </c>
      <c r="LA16" s="24">
        <f t="shared" ref="LA16:LA27" si="402">IF(SUM(IS16:JH16)=0,"",IF(OR(B16="",F16="I",F16="II",F16="M",F16="A"),(SUM(IS16:JH16)),IF(OR(B16="",F16="III"),(SUM(KO16,KU16)))))</f>
        <v>80</v>
      </c>
      <c r="LB16" s="26">
        <f t="shared" ref="LB16:LB27" si="403">IF(SUM(IS16:JH16)=0,"",IF(OR(B16="",F16="I",F16="II",F16="M",F16="A"),(SUM(JI16:JX16)),IF(OR(B16="",F16="III"),(SUM(KP16,KV16)))))</f>
        <v>6443.3122727272739</v>
      </c>
      <c r="LC16" s="27">
        <f t="shared" ref="LC16:LC27" si="404">IF(SUM(IS16:JH16)=0,"",IF(OR(B16="",F16="I",F16="II",F16="M",F16="A"),(SUM(JY16:KN16)),IF(OR(B16="",F16="III"),(SUM(KW16,KQ16)))))</f>
        <v>220</v>
      </c>
      <c r="LD16" s="26">
        <f t="shared" ref="LD16:LD27" si="405">IF(OR(LA16=0,LB16=0),0,IF(OR(LA16="",LB16=""),"",LB16/LA16))</f>
        <v>80.541403409090918</v>
      </c>
      <c r="LE16" s="27" t="str">
        <f t="shared" ref="LE16:LE27" si="406">IF(LD16="","",IF(LD16&gt;=90,"A",IF(LD16&gt;=80,"B",IF(LD16&gt;=70,"C",IF(LD16&gt;=60,"D",IF(LD16&gt;=50,"E",IF(LD16&gt;=0,"F","")))))))</f>
        <v>B</v>
      </c>
      <c r="LF16" s="26">
        <f t="shared" ref="LF16:LF27" si="407">IF(FW16="","",LC16/LA16)</f>
        <v>2.75</v>
      </c>
      <c r="LG16" s="24">
        <f t="shared" ref="LG16:LG27" si="408">IF(OR(B16="",LD16=""),"",RANK(LD16,$LD$15:$LD$27))</f>
        <v>6</v>
      </c>
      <c r="LH16" s="24" t="str">
        <f t="shared" ref="LH16:LH27" si="409">IF(B16="","",$C$9)</f>
        <v>6A</v>
      </c>
      <c r="LI16" s="24">
        <f t="shared" ref="LI16:LI27" si="410">IF(B16="","",MAX($A$15:$A$27))</f>
        <v>13</v>
      </c>
      <c r="LJ16" s="24">
        <f t="shared" ref="LJ16:LJ27" si="411">IF(B16="","",$C$8)</f>
        <v>204</v>
      </c>
      <c r="LK16" s="24">
        <f t="shared" ref="LK16:LK27" si="412">IF(A16="","",DE16+HH16)</f>
        <v>0</v>
      </c>
      <c r="LL16" s="24">
        <f t="shared" ref="LL16:LL27" si="413">IF(B16="","",DF16+HI16)</f>
        <v>0</v>
      </c>
      <c r="LM16" s="24">
        <f t="shared" ref="LM16:LM27" si="414">IF(C16="","",DG16+HJ16)</f>
        <v>0</v>
      </c>
      <c r="LN16" s="24">
        <f t="shared" ref="LN16:LN27" si="415">IF(B16="","",LL16+LM16)</f>
        <v>0</v>
      </c>
      <c r="LO16" s="25">
        <f t="shared" ref="LO16:LO27" si="416">IF(B16="","",(LJ16-LN16)/LJ16)</f>
        <v>1</v>
      </c>
      <c r="LP16" s="24" t="str">
        <f t="shared" ref="LP16:LP27" si="417">IF(B16="","",IF(HV16="","Incomplete",(IF(OR(SUM(COUNTIF(HV16:HZ16,"&lt;50"))&gt;=2,SUM(COUNTIF(HV16:HZ16,"&lt;50"))&gt;=2),"Fail - Detained in Grade",IF(KX16&lt;50,"Fail - Detained in Grade","Pass - Promoted to Grade")))))</f>
        <v>Pass - Promoted to Grade</v>
      </c>
      <c r="LQ16" s="24" t="str">
        <f t="shared" ref="LQ16:LQ27" si="418">IF(LP16="","",IF(LP16="Fail - Detained in Grade","ធ្លាក់ត្រូវរៀនត្រួតថ្នាក់ទី",IF(LP16="Pass - Promoted to Grade","ជាប់ត្រូវបានឡើងថ្នាក់ទី","មិនបានសិក្សាពេញលេញ")))</f>
        <v>ជាប់ត្រូវបានឡើងថ្នាក់ទី</v>
      </c>
      <c r="LR16" s="24">
        <f t="shared" ref="LR16:LR27" si="419">IF(B16="","",LR15)</f>
        <v>6</v>
      </c>
      <c r="LS16" s="24">
        <f t="shared" ref="LS16:LS27" si="420">IF(LP16="","",IF(LP16="Pass - Promoted to Grade",LR15+1,LR15))</f>
        <v>7</v>
      </c>
    </row>
    <row r="17" spans="1:331" ht="27" customHeight="1" x14ac:dyDescent="0.35">
      <c r="A17" s="24">
        <f t="shared" ref="A17:A27" si="421">IF(B17="","",A16+1)</f>
        <v>3</v>
      </c>
      <c r="B17" s="86" t="str">
        <f>IF(FinalSem2!B17="","",FinalSem2!B17)</f>
        <v>Phal Mengly</v>
      </c>
      <c r="C17" s="29" t="str">
        <f>IF(FinalSem2!C17="","",FinalSem2!C17)</f>
        <v>ផល ម៉េងលី</v>
      </c>
      <c r="D17" s="24" t="str">
        <f>IF(FinalSem2!D17="","",FinalSem2!D17)</f>
        <v>M</v>
      </c>
      <c r="E17" s="24">
        <f>IF(FinalSem2!E17="","",FinalSem2!E17)</f>
        <v>688</v>
      </c>
      <c r="F17" s="24" t="str">
        <f>IF(FinalSem2!F17="","",FinalSem2!F17)</f>
        <v>I</v>
      </c>
      <c r="G17" s="26">
        <f>IF(FinalSem1!G17="","",FinalSem1!LI17)</f>
        <v>79.083333333333343</v>
      </c>
      <c r="H17" s="26">
        <f>IF(FinalSem1!H17="","",FinalSem1!LJ17)</f>
        <v>89.541666666666671</v>
      </c>
      <c r="I17" s="26">
        <f>IF(FinalSem1!I17="","",FinalSem1!LK17)</f>
        <v>89.375</v>
      </c>
      <c r="J17" s="26">
        <f>IF(FinalSem1!J17="","",FinalSem1!LL17)</f>
        <v>81.083333333333343</v>
      </c>
      <c r="K17" s="26">
        <f>IF(FinalSem1!K17="","",FinalSem1!LM17)</f>
        <v>94.308333333333337</v>
      </c>
      <c r="L17" s="26">
        <f>IF(FinalSem1!L17="","",FinalSem1!LN17)</f>
        <v>89.4</v>
      </c>
      <c r="M17" s="26">
        <f>IF(FinalSem1!M17="","",FinalSem1!LO17)</f>
        <v>79.400000000000006</v>
      </c>
      <c r="N17" s="26">
        <f>IF(FinalSem1!N17="","",FinalSem1!LP17)</f>
        <v>95.833333333333343</v>
      </c>
      <c r="O17" s="26">
        <f>IF(FinalSem1!O17="","",FinalSem1!LQ17)</f>
        <v>95.833333333333343</v>
      </c>
      <c r="P17" s="26">
        <f>IF(FinalSem1!P17="","",FinalSem1!LR17)</f>
        <v>81.62166666666667</v>
      </c>
      <c r="Q17" s="26">
        <f>IF(FinalSem1!Q17="","",FinalSem1!LS17)</f>
        <v>87.243333333333339</v>
      </c>
      <c r="R17" s="26">
        <f>IF(FinalSem1!R17="","",FinalSem1!LT17)</f>
        <v>74.717500000000001</v>
      </c>
      <c r="S17" s="26">
        <f>IF(FinalSem1!S17="","",FinalSem1!LU17)</f>
        <v>32.988636363636367</v>
      </c>
      <c r="T17" s="26">
        <f>IF(FinalSem1!T17="","",FinalSem1!LV17)</f>
        <v>82.75</v>
      </c>
      <c r="U17" s="26">
        <f>IF(FinalSem1!U17="","",FinalSem1!LW17)</f>
        <v>87.825000000000003</v>
      </c>
      <c r="V17" s="26">
        <f>IF(FinalSem1!V17="","",FinalSem1!LX17)</f>
        <v>74.041666666666671</v>
      </c>
      <c r="W17" s="26" t="str">
        <f t="shared" si="197"/>
        <v>C</v>
      </c>
      <c r="X17" s="26" t="str">
        <f t="shared" si="198"/>
        <v>B</v>
      </c>
      <c r="Y17" s="26" t="str">
        <f t="shared" si="199"/>
        <v>B</v>
      </c>
      <c r="Z17" s="26" t="str">
        <f t="shared" si="200"/>
        <v>B</v>
      </c>
      <c r="AA17" s="26" t="str">
        <f t="shared" si="201"/>
        <v>A</v>
      </c>
      <c r="AB17" s="26" t="str">
        <f t="shared" si="202"/>
        <v>B</v>
      </c>
      <c r="AC17" s="26" t="str">
        <f t="shared" si="203"/>
        <v>C</v>
      </c>
      <c r="AD17" s="26" t="str">
        <f t="shared" si="204"/>
        <v>A</v>
      </c>
      <c r="AE17" s="26" t="str">
        <f t="shared" si="205"/>
        <v>A</v>
      </c>
      <c r="AF17" s="24" t="str">
        <f t="shared" si="206"/>
        <v>B</v>
      </c>
      <c r="AG17" s="24" t="str">
        <f t="shared" si="207"/>
        <v>B</v>
      </c>
      <c r="AH17" s="24" t="str">
        <f t="shared" si="208"/>
        <v>C</v>
      </c>
      <c r="AI17" s="24" t="str">
        <f t="shared" si="209"/>
        <v>F</v>
      </c>
      <c r="AJ17" s="24" t="str">
        <f t="shared" si="210"/>
        <v>B</v>
      </c>
      <c r="AK17" s="24" t="str">
        <f t="shared" si="211"/>
        <v>B</v>
      </c>
      <c r="AL17" s="24" t="str">
        <f t="shared" si="212"/>
        <v>C</v>
      </c>
      <c r="AM17" s="24">
        <f t="shared" si="213"/>
        <v>2</v>
      </c>
      <c r="AN17" s="24">
        <f t="shared" si="214"/>
        <v>2</v>
      </c>
      <c r="AO17" s="24">
        <f t="shared" si="215"/>
        <v>3</v>
      </c>
      <c r="AP17" s="24">
        <f t="shared" si="216"/>
        <v>1</v>
      </c>
      <c r="AQ17" s="24">
        <f t="shared" si="217"/>
        <v>5</v>
      </c>
      <c r="AR17" s="24">
        <f t="shared" si="218"/>
        <v>3</v>
      </c>
      <c r="AS17" s="24">
        <f t="shared" si="219"/>
        <v>2</v>
      </c>
      <c r="AT17" s="24">
        <f t="shared" si="220"/>
        <v>1</v>
      </c>
      <c r="AU17" s="24">
        <f t="shared" si="221"/>
        <v>1</v>
      </c>
      <c r="AV17" s="24">
        <f t="shared" si="222"/>
        <v>5</v>
      </c>
      <c r="AW17" s="24">
        <f t="shared" si="223"/>
        <v>1</v>
      </c>
      <c r="AX17" s="24">
        <f t="shared" si="224"/>
        <v>5</v>
      </c>
      <c r="AY17" s="24">
        <f t="shared" si="225"/>
        <v>3</v>
      </c>
      <c r="AZ17" s="24">
        <f t="shared" si="226"/>
        <v>2</v>
      </c>
      <c r="BA17" s="24">
        <f t="shared" si="227"/>
        <v>2</v>
      </c>
      <c r="BB17" s="24">
        <f t="shared" si="228"/>
        <v>2</v>
      </c>
      <c r="BC17" s="26">
        <f t="shared" si="229"/>
        <v>158.16666666666669</v>
      </c>
      <c r="BD17" s="26">
        <f t="shared" si="230"/>
        <v>179.08333333333334</v>
      </c>
      <c r="BE17" s="26">
        <f t="shared" si="231"/>
        <v>268.125</v>
      </c>
      <c r="BF17" s="26">
        <f t="shared" si="232"/>
        <v>81.083333333333343</v>
      </c>
      <c r="BG17" s="26">
        <f t="shared" si="233"/>
        <v>471.54166666666669</v>
      </c>
      <c r="BH17" s="26">
        <f t="shared" si="234"/>
        <v>268.20000000000005</v>
      </c>
      <c r="BI17" s="26">
        <f t="shared" si="235"/>
        <v>158.80000000000001</v>
      </c>
      <c r="BJ17" s="26">
        <f t="shared" si="236"/>
        <v>95.833333333333343</v>
      </c>
      <c r="BK17" s="26">
        <f t="shared" si="237"/>
        <v>95.833333333333343</v>
      </c>
      <c r="BL17" s="26">
        <f t="shared" si="238"/>
        <v>408.10833333333335</v>
      </c>
      <c r="BM17" s="26">
        <f t="shared" si="239"/>
        <v>87.243333333333339</v>
      </c>
      <c r="BN17" s="26">
        <f t="shared" si="240"/>
        <v>373.58749999999998</v>
      </c>
      <c r="BO17" s="26">
        <f t="shared" si="241"/>
        <v>98.965909090909093</v>
      </c>
      <c r="BP17" s="26">
        <f t="shared" si="242"/>
        <v>165.5</v>
      </c>
      <c r="BQ17" s="26">
        <f t="shared" si="243"/>
        <v>175.65</v>
      </c>
      <c r="BR17" s="26">
        <f t="shared" si="244"/>
        <v>148.08333333333334</v>
      </c>
      <c r="BS17" s="24">
        <f t="shared" ref="BS17:CH17" si="422">IF(OR(AM17="",W17=""),"",AM17*(IF(OR(W17="A",W17="a"),4,(IF(OR(W453="B",W17="b"),3,(IF(OR(W17="C",W17="c"),2,(IF(OR(W17="D",W17="d"),1.5,(IF(OR(W17="E",W17="e"),1,(IF(OR(W17="F",W17="f"),0)))))))))))))</f>
        <v>4</v>
      </c>
      <c r="BT17" s="24">
        <f t="shared" si="422"/>
        <v>6</v>
      </c>
      <c r="BU17" s="24">
        <f t="shared" si="422"/>
        <v>9</v>
      </c>
      <c r="BV17" s="24">
        <f t="shared" si="422"/>
        <v>3</v>
      </c>
      <c r="BW17" s="24">
        <f t="shared" si="422"/>
        <v>20</v>
      </c>
      <c r="BX17" s="24">
        <f t="shared" si="422"/>
        <v>9</v>
      </c>
      <c r="BY17" s="24">
        <f t="shared" si="422"/>
        <v>4</v>
      </c>
      <c r="BZ17" s="24">
        <f t="shared" si="422"/>
        <v>4</v>
      </c>
      <c r="CA17" s="24">
        <f t="shared" si="422"/>
        <v>4</v>
      </c>
      <c r="CB17" s="24">
        <f t="shared" si="422"/>
        <v>15</v>
      </c>
      <c r="CC17" s="24">
        <f t="shared" si="422"/>
        <v>3</v>
      </c>
      <c r="CD17" s="24">
        <f t="shared" si="422"/>
        <v>10</v>
      </c>
      <c r="CE17" s="24">
        <f t="shared" si="422"/>
        <v>0</v>
      </c>
      <c r="CF17" s="24">
        <f t="shared" si="422"/>
        <v>6</v>
      </c>
      <c r="CG17" s="24">
        <f t="shared" si="422"/>
        <v>6</v>
      </c>
      <c r="CH17" s="24">
        <f t="shared" si="422"/>
        <v>4</v>
      </c>
      <c r="CI17" s="24">
        <f t="shared" si="246"/>
        <v>20</v>
      </c>
      <c r="CJ17" s="24">
        <f t="shared" si="247"/>
        <v>2040.2308333333331</v>
      </c>
      <c r="CK17" s="26">
        <f t="shared" si="248"/>
        <v>72</v>
      </c>
      <c r="CL17" s="26">
        <f t="shared" si="249"/>
        <v>102.01154166666666</v>
      </c>
      <c r="CM17" s="24" t="str">
        <f t="shared" si="250"/>
        <v>A</v>
      </c>
      <c r="CN17" s="26">
        <f t="shared" si="251"/>
        <v>3.6</v>
      </c>
      <c r="CO17" s="24">
        <f t="shared" si="252"/>
        <v>20</v>
      </c>
      <c r="CP17" s="26">
        <f t="shared" si="253"/>
        <v>1457.1384090909091</v>
      </c>
      <c r="CQ17" s="26">
        <f t="shared" si="254"/>
        <v>44</v>
      </c>
      <c r="CR17" s="26">
        <f t="shared" si="255"/>
        <v>72.85692045454546</v>
      </c>
      <c r="CS17" s="24" t="str">
        <f t="shared" si="256"/>
        <v>C</v>
      </c>
      <c r="CT17" s="26">
        <f t="shared" si="257"/>
        <v>2.2000000000000002</v>
      </c>
      <c r="CU17" s="24">
        <f t="shared" si="258"/>
        <v>40</v>
      </c>
      <c r="CV17" s="26">
        <f t="shared" si="259"/>
        <v>3233.8050757575757</v>
      </c>
      <c r="CW17" s="26">
        <f t="shared" si="260"/>
        <v>107</v>
      </c>
      <c r="CX17" s="26">
        <f t="shared" si="261"/>
        <v>80.845126893939394</v>
      </c>
      <c r="CY17" s="27" t="str">
        <f t="shared" si="262"/>
        <v>B</v>
      </c>
      <c r="CZ17" s="26">
        <f t="shared" si="263"/>
        <v>2.6749999999999998</v>
      </c>
      <c r="DA17" s="24">
        <f t="shared" si="264"/>
        <v>3</v>
      </c>
      <c r="DB17" s="24" t="str">
        <f t="shared" si="265"/>
        <v>6A</v>
      </c>
      <c r="DC17" s="24">
        <f t="shared" si="266"/>
        <v>13</v>
      </c>
      <c r="DD17" s="24">
        <f>IF(B17="","",FinalSem1!$C$8)</f>
        <v>100</v>
      </c>
      <c r="DE17" s="24">
        <f>IF(A17="","",FinalSem1!PG17)</f>
        <v>0</v>
      </c>
      <c r="DF17" s="24">
        <f>IF(B17="","",FinalSem1!PH17)</f>
        <v>0</v>
      </c>
      <c r="DG17" s="24">
        <f>IF(B17="","",FinalSem1!PI17)</f>
        <v>1</v>
      </c>
      <c r="DH17" s="24">
        <f t="shared" si="267"/>
        <v>1</v>
      </c>
      <c r="DI17" s="25">
        <f t="shared" si="268"/>
        <v>0.99</v>
      </c>
      <c r="DJ17" s="26">
        <f>IF(FinalSem2!G17="","",FinalSem2!LJ17)</f>
        <v>76.416666666666671</v>
      </c>
      <c r="DK17" s="26">
        <f>IF(FinalSem2!H17="","",FinalSem2!LK17)</f>
        <v>88.966666666666683</v>
      </c>
      <c r="DL17" s="26">
        <f>IF(FinalSem2!I17="","",FinalSem2!LL17)</f>
        <v>89.708333333333343</v>
      </c>
      <c r="DM17" s="26">
        <f>IF(FinalSem2!J17="","",FinalSem2!LM17)</f>
        <v>89.25</v>
      </c>
      <c r="DN17" s="26">
        <f>IF(FinalSem2!K17="","",FinalSem2!LN17)</f>
        <v>88.1</v>
      </c>
      <c r="DO17" s="26">
        <f>IF(FinalSem2!L17="","",FinalSem2!LO17)</f>
        <v>81.866666666666674</v>
      </c>
      <c r="DP17" s="26">
        <f>IF(FinalSem2!M17="","",FinalSem2!LP17)</f>
        <v>89.875</v>
      </c>
      <c r="DQ17" s="26">
        <f>IF(FinalSem2!N17="","",FinalSem2!LQ17)</f>
        <v>96.5</v>
      </c>
      <c r="DR17" s="26">
        <f>IF(FinalSem2!O17="","",FinalSem2!LR17)</f>
        <v>96.5</v>
      </c>
      <c r="DS17" s="26">
        <f>IF(FinalSem2!P17="","",FinalSem2!LS17)</f>
        <v>72.526666666666671</v>
      </c>
      <c r="DT17" s="26">
        <f>IF(FinalSem2!Q17="","",FinalSem2!LT17)</f>
        <v>74.053333333333342</v>
      </c>
      <c r="DU17" s="26">
        <f>IF(FinalSem2!R17="","",FinalSem2!LU17)</f>
        <v>84.286666666666648</v>
      </c>
      <c r="DV17" s="26">
        <f>IF(FinalSem2!S17="","",FinalSem2!LV17)</f>
        <v>59.89</v>
      </c>
      <c r="DW17" s="26">
        <f>IF(FinalSem2!T17="","",FinalSem2!LW17)</f>
        <v>85.625</v>
      </c>
      <c r="DX17" s="26">
        <f>IF(FinalSem2!U17="","",FinalSem2!LX17)</f>
        <v>89.791666666666671</v>
      </c>
      <c r="DY17" s="26">
        <f>IF(FinalSem2!V17="","",FinalSem2!LY17)</f>
        <v>79.500833333333333</v>
      </c>
      <c r="DZ17" s="26" t="str">
        <f t="shared" si="269"/>
        <v>C</v>
      </c>
      <c r="EA17" s="26" t="str">
        <f t="shared" si="270"/>
        <v>B</v>
      </c>
      <c r="EB17" s="26" t="str">
        <f t="shared" si="271"/>
        <v>B</v>
      </c>
      <c r="EC17" s="26" t="str">
        <f t="shared" si="272"/>
        <v>B</v>
      </c>
      <c r="ED17" s="26" t="str">
        <f t="shared" si="273"/>
        <v>B</v>
      </c>
      <c r="EE17" s="26" t="str">
        <f t="shared" si="274"/>
        <v>B</v>
      </c>
      <c r="EF17" s="26" t="str">
        <f t="shared" si="275"/>
        <v>B</v>
      </c>
      <c r="EG17" s="26" t="str">
        <f t="shared" si="276"/>
        <v>A</v>
      </c>
      <c r="EH17" s="26" t="str">
        <f t="shared" si="277"/>
        <v>A</v>
      </c>
      <c r="EI17" s="24" t="str">
        <f t="shared" si="278"/>
        <v>C</v>
      </c>
      <c r="EJ17" s="24" t="str">
        <f t="shared" si="279"/>
        <v>C</v>
      </c>
      <c r="EK17" s="24" t="str">
        <f t="shared" si="280"/>
        <v>B</v>
      </c>
      <c r="EL17" s="24" t="str">
        <f t="shared" si="281"/>
        <v>E</v>
      </c>
      <c r="EM17" s="24" t="str">
        <f t="shared" si="282"/>
        <v>B</v>
      </c>
      <c r="EN17" s="24" t="str">
        <f t="shared" si="283"/>
        <v>B</v>
      </c>
      <c r="EO17" s="24" t="str">
        <f t="shared" si="284"/>
        <v>C</v>
      </c>
      <c r="EP17" s="24">
        <f t="shared" si="285"/>
        <v>2</v>
      </c>
      <c r="EQ17" s="24">
        <f t="shared" si="286"/>
        <v>2</v>
      </c>
      <c r="ER17" s="24">
        <f t="shared" si="287"/>
        <v>3</v>
      </c>
      <c r="ES17" s="24">
        <f t="shared" si="288"/>
        <v>1</v>
      </c>
      <c r="ET17" s="24">
        <f t="shared" si="289"/>
        <v>5</v>
      </c>
      <c r="EU17" s="24">
        <f t="shared" si="290"/>
        <v>3</v>
      </c>
      <c r="EV17" s="24">
        <f t="shared" si="291"/>
        <v>2</v>
      </c>
      <c r="EW17" s="24">
        <f t="shared" si="292"/>
        <v>1</v>
      </c>
      <c r="EX17" s="24">
        <f t="shared" si="293"/>
        <v>1</v>
      </c>
      <c r="EY17" s="24">
        <f t="shared" si="294"/>
        <v>5</v>
      </c>
      <c r="EZ17" s="24">
        <f t="shared" si="295"/>
        <v>1</v>
      </c>
      <c r="FA17" s="24">
        <f t="shared" si="296"/>
        <v>5</v>
      </c>
      <c r="FB17" s="24">
        <f t="shared" si="297"/>
        <v>3</v>
      </c>
      <c r="FC17" s="24">
        <f t="shared" si="298"/>
        <v>2</v>
      </c>
      <c r="FD17" s="24">
        <f t="shared" si="299"/>
        <v>2</v>
      </c>
      <c r="FE17" s="24">
        <f t="shared" si="300"/>
        <v>2</v>
      </c>
      <c r="FF17" s="26">
        <f t="shared" si="301"/>
        <v>152.83333333333334</v>
      </c>
      <c r="FG17" s="26">
        <f t="shared" si="302"/>
        <v>177.93333333333337</v>
      </c>
      <c r="FH17" s="26">
        <f t="shared" si="303"/>
        <v>269.125</v>
      </c>
      <c r="FI17" s="26">
        <f t="shared" si="304"/>
        <v>89.25</v>
      </c>
      <c r="FJ17" s="26">
        <f t="shared" si="305"/>
        <v>440.5</v>
      </c>
      <c r="FK17" s="26">
        <f t="shared" si="306"/>
        <v>245.60000000000002</v>
      </c>
      <c r="FL17" s="26">
        <f t="shared" si="307"/>
        <v>179.75</v>
      </c>
      <c r="FM17" s="26">
        <f t="shared" si="308"/>
        <v>96.5</v>
      </c>
      <c r="FN17" s="26">
        <f t="shared" si="309"/>
        <v>96.5</v>
      </c>
      <c r="FO17" s="26">
        <f t="shared" si="310"/>
        <v>362.63333333333333</v>
      </c>
      <c r="FP17" s="26">
        <f t="shared" si="311"/>
        <v>74.053333333333342</v>
      </c>
      <c r="FQ17" s="26">
        <f t="shared" si="312"/>
        <v>421.43333333333322</v>
      </c>
      <c r="FR17" s="26">
        <f t="shared" si="313"/>
        <v>179.67000000000002</v>
      </c>
      <c r="FS17" s="26">
        <f t="shared" si="314"/>
        <v>171.25</v>
      </c>
      <c r="FT17" s="26">
        <f t="shared" si="315"/>
        <v>179.58333333333334</v>
      </c>
      <c r="FU17" s="26">
        <f t="shared" si="316"/>
        <v>159.00166666666667</v>
      </c>
      <c r="FV17" s="24">
        <f t="shared" ref="FV17:GK17" si="423">IF(OR(EP17="",DZ17=""),"",EP17*(IF(OR(DZ17="A",DZ17="a"),4,(IF(OR(DZ453="B",DZ17="b"),3,(IF(OR(DZ17="C",DZ17="c"),2,(IF(OR(DZ17="D",DZ17="d"),1.5,(IF(OR(DZ17="E",DZ17="e"),1,(IF(OR(DZ17="F",DZ17="f"),0)))))))))))))</f>
        <v>4</v>
      </c>
      <c r="FW17" s="24">
        <f t="shared" si="423"/>
        <v>6</v>
      </c>
      <c r="FX17" s="24">
        <f t="shared" si="423"/>
        <v>9</v>
      </c>
      <c r="FY17" s="24">
        <f t="shared" si="423"/>
        <v>3</v>
      </c>
      <c r="FZ17" s="24">
        <f t="shared" si="423"/>
        <v>15</v>
      </c>
      <c r="GA17" s="24">
        <f t="shared" si="423"/>
        <v>9</v>
      </c>
      <c r="GB17" s="24">
        <f t="shared" si="423"/>
        <v>6</v>
      </c>
      <c r="GC17" s="24">
        <f t="shared" si="423"/>
        <v>4</v>
      </c>
      <c r="GD17" s="24">
        <f t="shared" si="423"/>
        <v>4</v>
      </c>
      <c r="GE17" s="24">
        <f t="shared" si="423"/>
        <v>10</v>
      </c>
      <c r="GF17" s="24">
        <f t="shared" si="423"/>
        <v>2</v>
      </c>
      <c r="GG17" s="24">
        <f t="shared" si="423"/>
        <v>15</v>
      </c>
      <c r="GH17" s="24">
        <f t="shared" si="423"/>
        <v>3</v>
      </c>
      <c r="GI17" s="24">
        <f t="shared" si="423"/>
        <v>6</v>
      </c>
      <c r="GJ17" s="24">
        <f t="shared" si="423"/>
        <v>6</v>
      </c>
      <c r="GK17" s="24">
        <f t="shared" si="423"/>
        <v>4</v>
      </c>
      <c r="GL17" s="24">
        <f t="shared" si="318"/>
        <v>20</v>
      </c>
      <c r="GM17" s="26">
        <f t="shared" si="319"/>
        <v>1747.9916666666668</v>
      </c>
      <c r="GN17" s="26">
        <f t="shared" si="320"/>
        <v>60</v>
      </c>
      <c r="GO17" s="26">
        <f t="shared" si="321"/>
        <v>87.399583333333339</v>
      </c>
      <c r="GP17" s="24" t="str">
        <f t="shared" si="322"/>
        <v>B</v>
      </c>
      <c r="GQ17" s="26">
        <f t="shared" si="323"/>
        <v>3</v>
      </c>
      <c r="GR17" s="24">
        <f t="shared" si="324"/>
        <v>20</v>
      </c>
      <c r="GS17" s="26">
        <f t="shared" si="325"/>
        <v>1547.625</v>
      </c>
      <c r="GT17" s="26">
        <f t="shared" si="326"/>
        <v>46</v>
      </c>
      <c r="GU17" s="26">
        <f t="shared" si="327"/>
        <v>77.381249999999994</v>
      </c>
      <c r="GV17" s="24" t="str">
        <f t="shared" si="328"/>
        <v>C</v>
      </c>
      <c r="GW17" s="27">
        <f t="shared" si="329"/>
        <v>2.2999999999999998</v>
      </c>
      <c r="GX17" s="24">
        <f t="shared" si="330"/>
        <v>40</v>
      </c>
      <c r="GY17" s="26">
        <f t="shared" si="331"/>
        <v>3295.6166666666668</v>
      </c>
      <c r="GZ17" s="26">
        <f t="shared" si="332"/>
        <v>106</v>
      </c>
      <c r="HA17" s="26">
        <f t="shared" si="333"/>
        <v>82.390416666666667</v>
      </c>
      <c r="HB17" s="27" t="str">
        <f t="shared" si="334"/>
        <v>B</v>
      </c>
      <c r="HC17" s="26">
        <f t="shared" si="335"/>
        <v>2.65</v>
      </c>
      <c r="HD17" s="24">
        <f t="shared" si="336"/>
        <v>6</v>
      </c>
      <c r="HE17" s="24" t="str">
        <f t="shared" si="337"/>
        <v>6A</v>
      </c>
      <c r="HF17" s="24">
        <f t="shared" si="338"/>
        <v>13</v>
      </c>
      <c r="HG17" s="24">
        <f>IF(B17="","",FinalSem2!$C$8)</f>
        <v>104</v>
      </c>
      <c r="HH17" s="24">
        <f>IF(A17="","",FinalSem2!PH17)</f>
        <v>0</v>
      </c>
      <c r="HI17" s="24">
        <f>IF(B17="","",FinalSem2!PI17)</f>
        <v>0</v>
      </c>
      <c r="HJ17" s="24">
        <f>IF(C17="","",FinalSem2!PJ17)</f>
        <v>0</v>
      </c>
      <c r="HK17" s="24">
        <f t="shared" si="339"/>
        <v>0</v>
      </c>
      <c r="HL17" s="25">
        <f t="shared" si="340"/>
        <v>1</v>
      </c>
      <c r="HM17" s="26">
        <f>IF($B$15="","",IF(FinalSem2!LJ17="","",IF(AND(FinalSem1!LI17,FinalSem2!LJ17)="","",AVERAGE(FinalSem1!LI17,FinalSem2!LJ17))))</f>
        <v>77.75</v>
      </c>
      <c r="HN17" s="26">
        <f>IF($B$15="","",IF(FinalSem2!LK17="","",IF(AND(FinalSem1!LJ17,FinalSem2!LK17)="","",AVERAGE(FinalSem1!LJ17,FinalSem2!LK17))))</f>
        <v>89.254166666666677</v>
      </c>
      <c r="HO17" s="26">
        <f>IF($B$15="","",IF(FinalSem2!LL17="","",IF(AND(FinalSem1!LK17,FinalSem2!LL17)="","",AVERAGE(FinalSem1!LK17,FinalSem2!LL17))))</f>
        <v>89.541666666666671</v>
      </c>
      <c r="HP17" s="26">
        <f>IF($B$15="","",IF(FinalSem2!LM17="","",IF(AND(FinalSem1!LL17,FinalSem2!LM17)="","",AVERAGE(FinalSem1!LL17,FinalSem2!LM17))))</f>
        <v>85.166666666666671</v>
      </c>
      <c r="HQ17" s="26">
        <f>IF($B$15="","",IF(FinalSem2!LN17="","",IF(AND(FinalSem1!LM17,FinalSem2!LN17)="","",AVERAGE(FinalSem1!LM17,FinalSem2!LN17))))</f>
        <v>91.204166666666666</v>
      </c>
      <c r="HR17" s="26">
        <f>IF($B$15="","",IF(FinalSem2!LO17="","",IF(AND(FinalSem1!LN17,FinalSem2!LO17)="","",AVERAGE(FinalSem1!LN17,FinalSem2!LO17))))</f>
        <v>85.63333333333334</v>
      </c>
      <c r="HS17" s="26">
        <f>IF($B$15="","",IF(FinalSem2!LP17="","",IF(AND(FinalSem1!LO17,FinalSem2!LP17)="","",AVERAGE(FinalSem1!LO17,FinalSem2!LP17))))</f>
        <v>84.637500000000003</v>
      </c>
      <c r="HT17" s="26">
        <f>IF($B$15="","",IF(FinalSem2!LQ17="","",IF(AND(FinalSem1!LP17,FinalSem2!LQ17)="","",AVERAGE(FinalSem1!LP17,FinalSem2!LQ17))))</f>
        <v>96.166666666666671</v>
      </c>
      <c r="HU17" s="26">
        <f>IF($B$15="","",IF(FinalSem2!LR17="","",IF(AND(FinalSem1!LQ17,FinalSem2!LR17)="","",AVERAGE(FinalSem1!LQ17,FinalSem2!LR17))))</f>
        <v>96.166666666666671</v>
      </c>
      <c r="HV17" s="26">
        <f>IF($B$15="","",IF(FinalSem2!LS17="","",IF(AND(FinalSem1!LR17,FinalSem2!LS17)="","",AVERAGE(FinalSem1!LR17,FinalSem2!LS17))))</f>
        <v>77.07416666666667</v>
      </c>
      <c r="HW17" s="26">
        <f>IF($B$15="","",IF(FinalSem2!LT17="","",IF(AND(FinalSem1!LS17,FinalSem2!LT17)="","",AVERAGE(FinalSem1!LS17,FinalSem2!LT17))))</f>
        <v>80.648333333333341</v>
      </c>
      <c r="HX17" s="26">
        <f>IF($B$15="","",IF(FinalSem2!LU17="","",IF(AND(FinalSem1!LT17,FinalSem2!LU17)="","",AVERAGE(FinalSem1!LT17,FinalSem2!LU17))))</f>
        <v>79.502083333333331</v>
      </c>
      <c r="HY17" s="26">
        <f>IF($B$15="","",IF(FinalSem2!LV17="","",IF(AND(FinalSem1!LU17,FinalSem2!LV17)="","",AVERAGE(FinalSem1!LU17,FinalSem2!LV17))))</f>
        <v>46.43931818181818</v>
      </c>
      <c r="HZ17" s="26">
        <f>IF($B$15="","",IF(FinalSem2!LW17="","",IF(AND(FinalSem1!LV17,FinalSem2!LW17)="","",AVERAGE(FinalSem1!LV17,FinalSem2!LW17))))</f>
        <v>84.1875</v>
      </c>
      <c r="IA17" s="26">
        <f>IF($B$15="","",IF(FinalSem2!LX17="","",IF(AND(FinalSem1!LW17,FinalSem2!LX17)="","",AVERAGE(FinalSem1!LW17,FinalSem2!LX17))))</f>
        <v>88.808333333333337</v>
      </c>
      <c r="IB17" s="26">
        <f>IF($B$15="","",IF(FinalSem2!LY17="","",IF(AND(FinalSem1!LX17,FinalSem2!LY17)="","",AVERAGE(FinalSem1!LX17,FinalSem2!LY17))))</f>
        <v>76.771250000000009</v>
      </c>
      <c r="IC17" s="26" t="str">
        <f t="shared" si="341"/>
        <v>C</v>
      </c>
      <c r="ID17" s="26" t="str">
        <f t="shared" si="342"/>
        <v>B</v>
      </c>
      <c r="IE17" s="26" t="str">
        <f t="shared" si="343"/>
        <v>B</v>
      </c>
      <c r="IF17" s="26" t="str">
        <f t="shared" si="344"/>
        <v>B</v>
      </c>
      <c r="IG17" s="26" t="str">
        <f t="shared" si="345"/>
        <v>A</v>
      </c>
      <c r="IH17" s="26" t="str">
        <f t="shared" si="346"/>
        <v>B</v>
      </c>
      <c r="II17" s="26" t="str">
        <f t="shared" si="347"/>
        <v>B</v>
      </c>
      <c r="IJ17" s="26" t="str">
        <f t="shared" si="348"/>
        <v>A</v>
      </c>
      <c r="IK17" s="26" t="str">
        <f t="shared" si="349"/>
        <v>A</v>
      </c>
      <c r="IL17" s="24" t="str">
        <f t="shared" si="350"/>
        <v>C</v>
      </c>
      <c r="IM17" s="24" t="str">
        <f t="shared" si="351"/>
        <v>B</v>
      </c>
      <c r="IN17" s="24" t="str">
        <f t="shared" si="352"/>
        <v>C</v>
      </c>
      <c r="IO17" s="24" t="str">
        <f t="shared" si="353"/>
        <v>F</v>
      </c>
      <c r="IP17" s="24" t="str">
        <f t="shared" si="354"/>
        <v>B</v>
      </c>
      <c r="IQ17" s="24" t="str">
        <f t="shared" si="355"/>
        <v>B</v>
      </c>
      <c r="IR17" s="24" t="str">
        <f t="shared" si="356"/>
        <v>C</v>
      </c>
      <c r="IS17" s="24">
        <f t="shared" si="357"/>
        <v>4</v>
      </c>
      <c r="IT17" s="24">
        <f t="shared" si="358"/>
        <v>4</v>
      </c>
      <c r="IU17" s="24">
        <f t="shared" si="359"/>
        <v>6</v>
      </c>
      <c r="IV17" s="24">
        <f t="shared" si="360"/>
        <v>2</v>
      </c>
      <c r="IW17" s="24">
        <f t="shared" si="361"/>
        <v>10</v>
      </c>
      <c r="IX17" s="24">
        <f t="shared" si="362"/>
        <v>6</v>
      </c>
      <c r="IY17" s="24">
        <f t="shared" si="363"/>
        <v>4</v>
      </c>
      <c r="IZ17" s="24">
        <f t="shared" si="364"/>
        <v>2</v>
      </c>
      <c r="JA17" s="24">
        <f t="shared" si="365"/>
        <v>2</v>
      </c>
      <c r="JB17" s="24">
        <f t="shared" si="366"/>
        <v>10</v>
      </c>
      <c r="JC17" s="24">
        <f t="shared" si="367"/>
        <v>2</v>
      </c>
      <c r="JD17" s="24">
        <f t="shared" si="368"/>
        <v>10</v>
      </c>
      <c r="JE17" s="24">
        <f t="shared" si="369"/>
        <v>6</v>
      </c>
      <c r="JF17" s="24">
        <f t="shared" si="370"/>
        <v>4</v>
      </c>
      <c r="JG17" s="24">
        <f t="shared" si="371"/>
        <v>4</v>
      </c>
      <c r="JH17" s="24">
        <f t="shared" si="372"/>
        <v>4</v>
      </c>
      <c r="JI17" s="26">
        <f t="shared" si="373"/>
        <v>311</v>
      </c>
      <c r="JJ17" s="26">
        <f t="shared" si="374"/>
        <v>357.01666666666671</v>
      </c>
      <c r="JK17" s="26">
        <f t="shared" si="375"/>
        <v>537.25</v>
      </c>
      <c r="JL17" s="26">
        <f t="shared" si="376"/>
        <v>170.33333333333334</v>
      </c>
      <c r="JM17" s="26">
        <f t="shared" si="377"/>
        <v>912.04166666666663</v>
      </c>
      <c r="JN17" s="26">
        <f t="shared" si="378"/>
        <v>513.80000000000007</v>
      </c>
      <c r="JO17" s="26">
        <f t="shared" si="379"/>
        <v>338.55</v>
      </c>
      <c r="JP17" s="26">
        <f t="shared" si="380"/>
        <v>192.33333333333334</v>
      </c>
      <c r="JQ17" s="26">
        <f t="shared" si="381"/>
        <v>192.33333333333334</v>
      </c>
      <c r="JR17" s="26">
        <f t="shared" si="382"/>
        <v>770.74166666666667</v>
      </c>
      <c r="JS17" s="26">
        <f t="shared" si="383"/>
        <v>161.29666666666668</v>
      </c>
      <c r="JT17" s="26">
        <f t="shared" si="384"/>
        <v>795.02083333333326</v>
      </c>
      <c r="JU17" s="26">
        <f t="shared" si="385"/>
        <v>278.63590909090908</v>
      </c>
      <c r="JV17" s="26">
        <f t="shared" si="386"/>
        <v>336.75</v>
      </c>
      <c r="JW17" s="26">
        <f t="shared" si="387"/>
        <v>355.23333333333335</v>
      </c>
      <c r="JX17" s="26">
        <f t="shared" si="388"/>
        <v>307.08500000000004</v>
      </c>
      <c r="JY17" s="24">
        <f t="shared" ref="JY17:KN17" si="424">IF(OR(IS17="",IC17=""),"",IS17*(IF(OR(IC17="A",IC17="a"),4,(IF(OR(IC453="B",IC17="b"),3,(IF(OR(IC17="C",IC17="c"),2,(IF(OR(IC17="D",IC17="d"),1.5,(IF(OR(IC17="E",IC17="e"),1,(IF(OR(IC17="F",IC17="f"),0)))))))))))))</f>
        <v>8</v>
      </c>
      <c r="JZ17" s="24">
        <f t="shared" si="424"/>
        <v>12</v>
      </c>
      <c r="KA17" s="24">
        <f t="shared" si="424"/>
        <v>18</v>
      </c>
      <c r="KB17" s="24">
        <f t="shared" si="424"/>
        <v>6</v>
      </c>
      <c r="KC17" s="24">
        <f t="shared" si="424"/>
        <v>40</v>
      </c>
      <c r="KD17" s="24">
        <f t="shared" si="424"/>
        <v>18</v>
      </c>
      <c r="KE17" s="24">
        <f t="shared" si="424"/>
        <v>12</v>
      </c>
      <c r="KF17" s="24">
        <f t="shared" si="424"/>
        <v>8</v>
      </c>
      <c r="KG17" s="24">
        <f t="shared" si="424"/>
        <v>8</v>
      </c>
      <c r="KH17" s="24">
        <f t="shared" si="424"/>
        <v>20</v>
      </c>
      <c r="KI17" s="24">
        <f t="shared" si="424"/>
        <v>6</v>
      </c>
      <c r="KJ17" s="24">
        <f t="shared" si="424"/>
        <v>20</v>
      </c>
      <c r="KK17" s="24">
        <f t="shared" si="424"/>
        <v>0</v>
      </c>
      <c r="KL17" s="24">
        <f t="shared" si="424"/>
        <v>12</v>
      </c>
      <c r="KM17" s="24">
        <f t="shared" si="424"/>
        <v>12</v>
      </c>
      <c r="KN17" s="24">
        <f t="shared" si="424"/>
        <v>8</v>
      </c>
      <c r="KO17" s="24">
        <f t="shared" si="390"/>
        <v>40</v>
      </c>
      <c r="KP17" s="26">
        <f t="shared" si="391"/>
        <v>3524.6583333333338</v>
      </c>
      <c r="KQ17" s="26">
        <f t="shared" si="392"/>
        <v>130</v>
      </c>
      <c r="KR17" s="26">
        <f t="shared" si="393"/>
        <v>88.116458333333341</v>
      </c>
      <c r="KS17" s="24" t="str">
        <f t="shared" si="394"/>
        <v>B</v>
      </c>
      <c r="KT17" s="26">
        <f t="shared" si="395"/>
        <v>3.25</v>
      </c>
      <c r="KU17" s="24">
        <f t="shared" si="396"/>
        <v>40</v>
      </c>
      <c r="KV17" s="26">
        <f t="shared" si="397"/>
        <v>3004.7634090909096</v>
      </c>
      <c r="KW17" s="26">
        <f t="shared" si="398"/>
        <v>78</v>
      </c>
      <c r="KX17" s="26">
        <f t="shared" si="399"/>
        <v>75.119085227272734</v>
      </c>
      <c r="KY17" s="24" t="str">
        <f t="shared" si="400"/>
        <v>C</v>
      </c>
      <c r="KZ17" s="26">
        <f t="shared" si="401"/>
        <v>1.95</v>
      </c>
      <c r="LA17" s="24">
        <f t="shared" si="402"/>
        <v>80</v>
      </c>
      <c r="LB17" s="26">
        <f t="shared" si="403"/>
        <v>6529.4217424242433</v>
      </c>
      <c r="LC17" s="27">
        <f t="shared" si="404"/>
        <v>208</v>
      </c>
      <c r="LD17" s="26">
        <f t="shared" si="405"/>
        <v>81.617771780303045</v>
      </c>
      <c r="LE17" s="27" t="str">
        <f t="shared" si="406"/>
        <v>B</v>
      </c>
      <c r="LF17" s="26">
        <f t="shared" si="407"/>
        <v>2.6</v>
      </c>
      <c r="LG17" s="24">
        <f t="shared" si="408"/>
        <v>5</v>
      </c>
      <c r="LH17" s="24" t="str">
        <f t="shared" si="409"/>
        <v>6A</v>
      </c>
      <c r="LI17" s="24">
        <f t="shared" si="410"/>
        <v>13</v>
      </c>
      <c r="LJ17" s="24">
        <f t="shared" si="411"/>
        <v>204</v>
      </c>
      <c r="LK17" s="24">
        <f t="shared" si="412"/>
        <v>0</v>
      </c>
      <c r="LL17" s="24">
        <f t="shared" si="413"/>
        <v>0</v>
      </c>
      <c r="LM17" s="24">
        <f t="shared" si="414"/>
        <v>1</v>
      </c>
      <c r="LN17" s="24">
        <f t="shared" si="415"/>
        <v>1</v>
      </c>
      <c r="LO17" s="25">
        <f t="shared" si="416"/>
        <v>0.99509803921568629</v>
      </c>
      <c r="LP17" s="24" t="str">
        <f t="shared" si="417"/>
        <v>Pass - Promoted to Grade</v>
      </c>
      <c r="LQ17" s="24" t="str">
        <f t="shared" si="418"/>
        <v>ជាប់ត្រូវបានឡើងថ្នាក់ទី</v>
      </c>
      <c r="LR17" s="24">
        <f t="shared" si="419"/>
        <v>6</v>
      </c>
      <c r="LS17" s="24">
        <f t="shared" si="420"/>
        <v>7</v>
      </c>
    </row>
    <row r="18" spans="1:331" ht="27" customHeight="1" x14ac:dyDescent="0.35">
      <c r="A18" s="24">
        <f t="shared" si="421"/>
        <v>4</v>
      </c>
      <c r="B18" s="86" t="str">
        <f>IF(FinalSem2!B18="","",FinalSem2!B18)</f>
        <v>Song Santharasatya</v>
      </c>
      <c r="C18" s="29" t="str">
        <f>IF(FinalSem2!C18="","",FinalSem2!C18)</f>
        <v>សុង សន្ទរសត្យា</v>
      </c>
      <c r="D18" s="24" t="str">
        <f>IF(FinalSem2!D18="","",FinalSem2!D18)</f>
        <v>M</v>
      </c>
      <c r="E18" s="24">
        <f>IF(FinalSem2!E18="","",FinalSem2!E18)</f>
        <v>693</v>
      </c>
      <c r="F18" s="24" t="str">
        <f>IF(FinalSem2!F18="","",FinalSem2!F18)</f>
        <v>I</v>
      </c>
      <c r="G18" s="26">
        <f>IF(FinalSem1!G18="","",FinalSem1!LI18)</f>
        <v>68.333333333333343</v>
      </c>
      <c r="H18" s="26">
        <f>IF(FinalSem1!H18="","",FinalSem1!LJ18)</f>
        <v>90.275000000000006</v>
      </c>
      <c r="I18" s="26">
        <f>IF(FinalSem1!I18="","",FinalSem1!LK18)</f>
        <v>92.63333333333334</v>
      </c>
      <c r="J18" s="26">
        <f>IF(FinalSem1!J18="","",FinalSem1!LL18)</f>
        <v>85.833333333333343</v>
      </c>
      <c r="K18" s="26">
        <f>IF(FinalSem1!K18="","",FinalSem1!LM18)</f>
        <v>92.066666666666663</v>
      </c>
      <c r="L18" s="26">
        <f>IF(FinalSem1!L18="","",FinalSem1!LN18)</f>
        <v>92.75</v>
      </c>
      <c r="M18" s="26">
        <f>IF(FinalSem1!M18="","",FinalSem1!LO18)</f>
        <v>80.3</v>
      </c>
      <c r="N18" s="26">
        <f>IF(FinalSem1!N18="","",FinalSem1!LP18)</f>
        <v>94.333333333333343</v>
      </c>
      <c r="O18" s="26">
        <f>IF(FinalSem1!O18="","",FinalSem1!LQ18)</f>
        <v>94.333333333333343</v>
      </c>
      <c r="P18" s="26">
        <f>IF(FinalSem1!P18="","",FinalSem1!LR18)</f>
        <v>90.977500000000006</v>
      </c>
      <c r="Q18" s="26">
        <f>IF(FinalSem1!Q18="","",FinalSem1!LS18)</f>
        <v>95.955000000000013</v>
      </c>
      <c r="R18" s="26">
        <f>IF(FinalSem1!R18="","",FinalSem1!LT18)</f>
        <v>82.367500000000007</v>
      </c>
      <c r="S18" s="26">
        <f>IF(FinalSem1!S18="","",FinalSem1!LU18)</f>
        <v>92.525000000000006</v>
      </c>
      <c r="T18" s="26">
        <f>IF(FinalSem1!T18="","",FinalSem1!LV18)</f>
        <v>89.716666666666669</v>
      </c>
      <c r="U18" s="26">
        <f>IF(FinalSem1!U18="","",FinalSem1!LW18)</f>
        <v>96.866666666666674</v>
      </c>
      <c r="V18" s="26">
        <f>IF(FinalSem1!V18="","",FinalSem1!LX18)</f>
        <v>88.25</v>
      </c>
      <c r="W18" s="26" t="str">
        <f t="shared" si="197"/>
        <v>D</v>
      </c>
      <c r="X18" s="26" t="str">
        <f t="shared" si="198"/>
        <v>A</v>
      </c>
      <c r="Y18" s="26" t="str">
        <f t="shared" si="199"/>
        <v>A</v>
      </c>
      <c r="Z18" s="26" t="str">
        <f t="shared" si="200"/>
        <v>B</v>
      </c>
      <c r="AA18" s="26" t="str">
        <f t="shared" si="201"/>
        <v>A</v>
      </c>
      <c r="AB18" s="26" t="str">
        <f t="shared" si="202"/>
        <v>A</v>
      </c>
      <c r="AC18" s="26" t="str">
        <f t="shared" si="203"/>
        <v>B</v>
      </c>
      <c r="AD18" s="26" t="str">
        <f t="shared" si="204"/>
        <v>A</v>
      </c>
      <c r="AE18" s="26" t="str">
        <f t="shared" si="205"/>
        <v>A</v>
      </c>
      <c r="AF18" s="24" t="str">
        <f t="shared" si="206"/>
        <v>A</v>
      </c>
      <c r="AG18" s="24" t="str">
        <f t="shared" si="207"/>
        <v>A</v>
      </c>
      <c r="AH18" s="24" t="str">
        <f t="shared" si="208"/>
        <v>B</v>
      </c>
      <c r="AI18" s="24" t="str">
        <f t="shared" si="209"/>
        <v>A</v>
      </c>
      <c r="AJ18" s="24" t="str">
        <f t="shared" si="210"/>
        <v>B</v>
      </c>
      <c r="AK18" s="24" t="str">
        <f t="shared" si="211"/>
        <v>A</v>
      </c>
      <c r="AL18" s="24" t="str">
        <f t="shared" si="212"/>
        <v>B</v>
      </c>
      <c r="AM18" s="24">
        <f t="shared" si="213"/>
        <v>2</v>
      </c>
      <c r="AN18" s="24">
        <f t="shared" si="214"/>
        <v>2</v>
      </c>
      <c r="AO18" s="24">
        <f t="shared" si="215"/>
        <v>3</v>
      </c>
      <c r="AP18" s="24">
        <f t="shared" si="216"/>
        <v>1</v>
      </c>
      <c r="AQ18" s="24">
        <f t="shared" si="217"/>
        <v>5</v>
      </c>
      <c r="AR18" s="24">
        <f t="shared" si="218"/>
        <v>3</v>
      </c>
      <c r="AS18" s="24">
        <f t="shared" si="219"/>
        <v>2</v>
      </c>
      <c r="AT18" s="24">
        <f t="shared" si="220"/>
        <v>1</v>
      </c>
      <c r="AU18" s="24">
        <f t="shared" si="221"/>
        <v>1</v>
      </c>
      <c r="AV18" s="24">
        <f t="shared" si="222"/>
        <v>5</v>
      </c>
      <c r="AW18" s="24">
        <f t="shared" si="223"/>
        <v>1</v>
      </c>
      <c r="AX18" s="24">
        <f t="shared" si="224"/>
        <v>5</v>
      </c>
      <c r="AY18" s="24">
        <f t="shared" si="225"/>
        <v>3</v>
      </c>
      <c r="AZ18" s="24">
        <f t="shared" si="226"/>
        <v>2</v>
      </c>
      <c r="BA18" s="24">
        <f t="shared" si="227"/>
        <v>2</v>
      </c>
      <c r="BB18" s="24">
        <f t="shared" si="228"/>
        <v>2</v>
      </c>
      <c r="BC18" s="26">
        <f t="shared" si="229"/>
        <v>136.66666666666669</v>
      </c>
      <c r="BD18" s="26">
        <f t="shared" si="230"/>
        <v>180.55</v>
      </c>
      <c r="BE18" s="26">
        <f t="shared" si="231"/>
        <v>277.90000000000003</v>
      </c>
      <c r="BF18" s="26">
        <f t="shared" si="232"/>
        <v>85.833333333333343</v>
      </c>
      <c r="BG18" s="26">
        <f t="shared" si="233"/>
        <v>460.33333333333331</v>
      </c>
      <c r="BH18" s="26">
        <f t="shared" si="234"/>
        <v>278.25</v>
      </c>
      <c r="BI18" s="26">
        <f t="shared" si="235"/>
        <v>160.6</v>
      </c>
      <c r="BJ18" s="26">
        <f t="shared" si="236"/>
        <v>94.333333333333343</v>
      </c>
      <c r="BK18" s="26">
        <f t="shared" si="237"/>
        <v>94.333333333333343</v>
      </c>
      <c r="BL18" s="26">
        <f t="shared" si="238"/>
        <v>454.88750000000005</v>
      </c>
      <c r="BM18" s="26">
        <f t="shared" si="239"/>
        <v>95.955000000000013</v>
      </c>
      <c r="BN18" s="26">
        <f t="shared" si="240"/>
        <v>411.83750000000003</v>
      </c>
      <c r="BO18" s="26">
        <f t="shared" si="241"/>
        <v>277.57500000000005</v>
      </c>
      <c r="BP18" s="26">
        <f t="shared" si="242"/>
        <v>179.43333333333334</v>
      </c>
      <c r="BQ18" s="26">
        <f t="shared" si="243"/>
        <v>193.73333333333335</v>
      </c>
      <c r="BR18" s="26">
        <f t="shared" si="244"/>
        <v>176.5</v>
      </c>
      <c r="BS18" s="24">
        <f t="shared" ref="BS18:CH18" si="425">IF(OR(AM18="",W18=""),"",AM18*(IF(OR(W18="A",W18="a"),4,(IF(OR(W454="B",W18="b"),3,(IF(OR(W18="C",W18="c"),2,(IF(OR(W18="D",W18="d"),1.5,(IF(OR(W18="E",W18="e"),1,(IF(OR(W18="F",W18="f"),0)))))))))))))</f>
        <v>3</v>
      </c>
      <c r="BT18" s="24">
        <f t="shared" si="425"/>
        <v>8</v>
      </c>
      <c r="BU18" s="24">
        <f t="shared" si="425"/>
        <v>12</v>
      </c>
      <c r="BV18" s="24">
        <f t="shared" si="425"/>
        <v>3</v>
      </c>
      <c r="BW18" s="24">
        <f t="shared" si="425"/>
        <v>20</v>
      </c>
      <c r="BX18" s="24">
        <f t="shared" si="425"/>
        <v>12</v>
      </c>
      <c r="BY18" s="24">
        <f t="shared" si="425"/>
        <v>6</v>
      </c>
      <c r="BZ18" s="24">
        <f t="shared" si="425"/>
        <v>4</v>
      </c>
      <c r="CA18" s="24">
        <f t="shared" si="425"/>
        <v>4</v>
      </c>
      <c r="CB18" s="24">
        <f t="shared" si="425"/>
        <v>20</v>
      </c>
      <c r="CC18" s="24">
        <f t="shared" si="425"/>
        <v>4</v>
      </c>
      <c r="CD18" s="24">
        <f t="shared" si="425"/>
        <v>15</v>
      </c>
      <c r="CE18" s="24">
        <f t="shared" si="425"/>
        <v>12</v>
      </c>
      <c r="CF18" s="24">
        <f t="shared" si="425"/>
        <v>6</v>
      </c>
      <c r="CG18" s="24">
        <f t="shared" si="425"/>
        <v>8</v>
      </c>
      <c r="CH18" s="24">
        <f t="shared" si="425"/>
        <v>6</v>
      </c>
      <c r="CI18" s="24">
        <f t="shared" si="246"/>
        <v>20</v>
      </c>
      <c r="CJ18" s="24">
        <f t="shared" si="247"/>
        <v>2136.3633333333332</v>
      </c>
      <c r="CK18" s="26">
        <f t="shared" si="248"/>
        <v>88</v>
      </c>
      <c r="CL18" s="26">
        <f t="shared" si="249"/>
        <v>106.81816666666666</v>
      </c>
      <c r="CM18" s="24" t="str">
        <f t="shared" si="250"/>
        <v>A</v>
      </c>
      <c r="CN18" s="26">
        <f t="shared" si="251"/>
        <v>4.4000000000000004</v>
      </c>
      <c r="CO18" s="24">
        <f t="shared" si="252"/>
        <v>20</v>
      </c>
      <c r="CP18" s="26">
        <f t="shared" si="253"/>
        <v>1789.9216666666669</v>
      </c>
      <c r="CQ18" s="26">
        <f t="shared" si="254"/>
        <v>71</v>
      </c>
      <c r="CR18" s="26">
        <f t="shared" si="255"/>
        <v>89.496083333333345</v>
      </c>
      <c r="CS18" s="24" t="str">
        <f t="shared" si="256"/>
        <v>B</v>
      </c>
      <c r="CT18" s="26">
        <f t="shared" si="257"/>
        <v>3.55</v>
      </c>
      <c r="CU18" s="24">
        <f t="shared" si="258"/>
        <v>40</v>
      </c>
      <c r="CV18" s="26">
        <f t="shared" si="259"/>
        <v>3558.7216666666673</v>
      </c>
      <c r="CW18" s="26">
        <f t="shared" si="260"/>
        <v>143</v>
      </c>
      <c r="CX18" s="26">
        <f t="shared" si="261"/>
        <v>88.968041666666679</v>
      </c>
      <c r="CY18" s="27" t="str">
        <f t="shared" si="262"/>
        <v>B</v>
      </c>
      <c r="CZ18" s="26">
        <f t="shared" si="263"/>
        <v>3.5750000000000002</v>
      </c>
      <c r="DA18" s="24">
        <f t="shared" si="264"/>
        <v>1</v>
      </c>
      <c r="DB18" s="24" t="str">
        <f t="shared" si="265"/>
        <v>6A</v>
      </c>
      <c r="DC18" s="24">
        <f t="shared" si="266"/>
        <v>13</v>
      </c>
      <c r="DD18" s="24">
        <f>IF(B18="","",FinalSem1!$C$8)</f>
        <v>100</v>
      </c>
      <c r="DE18" s="24">
        <f>IF(A18="","",FinalSem1!PG18)</f>
        <v>0</v>
      </c>
      <c r="DF18" s="24">
        <f>IF(B18="","",FinalSem1!PH18)</f>
        <v>0</v>
      </c>
      <c r="DG18" s="24">
        <f>IF(B18="","",FinalSem1!PI18)</f>
        <v>0</v>
      </c>
      <c r="DH18" s="24">
        <f t="shared" si="267"/>
        <v>0</v>
      </c>
      <c r="DI18" s="25">
        <f t="shared" si="268"/>
        <v>1</v>
      </c>
      <c r="DJ18" s="26">
        <f>IF(FinalSem2!G18="","",FinalSem2!LJ18)</f>
        <v>75.083333333333343</v>
      </c>
      <c r="DK18" s="26">
        <f>IF(FinalSem2!H18="","",FinalSem2!LK18)</f>
        <v>92.883333333333326</v>
      </c>
      <c r="DL18" s="26">
        <f>IF(FinalSem2!I18="","",FinalSem2!LL18)</f>
        <v>90.366666666666674</v>
      </c>
      <c r="DM18" s="26">
        <f>IF(FinalSem2!J18="","",FinalSem2!LM18)</f>
        <v>92.5</v>
      </c>
      <c r="DN18" s="26">
        <f>IF(FinalSem2!K18="","",FinalSem2!LN18)</f>
        <v>88.50833333333334</v>
      </c>
      <c r="DO18" s="26">
        <f>IF(FinalSem2!L18="","",FinalSem2!LO18)</f>
        <v>92.741666666666674</v>
      </c>
      <c r="DP18" s="26">
        <f>IF(FinalSem2!M18="","",FinalSem2!LP18)</f>
        <v>93.358333333333334</v>
      </c>
      <c r="DQ18" s="26">
        <f>IF(FinalSem2!N18="","",FinalSem2!LQ18)</f>
        <v>97.5</v>
      </c>
      <c r="DR18" s="26">
        <f>IF(FinalSem2!O18="","",FinalSem2!LR18)</f>
        <v>97.5</v>
      </c>
      <c r="DS18" s="26">
        <f>IF(FinalSem2!P18="","",FinalSem2!LS18)</f>
        <v>88.423333333333332</v>
      </c>
      <c r="DT18" s="26">
        <f>IF(FinalSem2!Q18="","",FinalSem2!LT18)</f>
        <v>86.846666666666664</v>
      </c>
      <c r="DU18" s="26">
        <f>IF(FinalSem2!R18="","",FinalSem2!LU18)</f>
        <v>94.319166666666646</v>
      </c>
      <c r="DV18" s="26">
        <f>IF(FinalSem2!S18="","",FinalSem2!LV18)</f>
        <v>83.61</v>
      </c>
      <c r="DW18" s="26">
        <f>IF(FinalSem2!T18="","",FinalSem2!LW18)</f>
        <v>90.875</v>
      </c>
      <c r="DX18" s="26">
        <f>IF(FinalSem2!U18="","",FinalSem2!LX18)</f>
        <v>93.041666666666671</v>
      </c>
      <c r="DY18" s="26">
        <f>IF(FinalSem2!V18="","",FinalSem2!LY18)</f>
        <v>85.834166666666675</v>
      </c>
      <c r="DZ18" s="26" t="str">
        <f t="shared" si="269"/>
        <v>C</v>
      </c>
      <c r="EA18" s="26" t="str">
        <f t="shared" si="270"/>
        <v>A</v>
      </c>
      <c r="EB18" s="26" t="str">
        <f t="shared" si="271"/>
        <v>A</v>
      </c>
      <c r="EC18" s="26" t="str">
        <f t="shared" si="272"/>
        <v>A</v>
      </c>
      <c r="ED18" s="26" t="str">
        <f t="shared" si="273"/>
        <v>B</v>
      </c>
      <c r="EE18" s="26" t="str">
        <f t="shared" si="274"/>
        <v>A</v>
      </c>
      <c r="EF18" s="26" t="str">
        <f t="shared" si="275"/>
        <v>A</v>
      </c>
      <c r="EG18" s="26" t="str">
        <f t="shared" si="276"/>
        <v>A</v>
      </c>
      <c r="EH18" s="26" t="str">
        <f t="shared" si="277"/>
        <v>A</v>
      </c>
      <c r="EI18" s="24" t="str">
        <f t="shared" si="278"/>
        <v>B</v>
      </c>
      <c r="EJ18" s="24" t="str">
        <f t="shared" si="279"/>
        <v>B</v>
      </c>
      <c r="EK18" s="24" t="str">
        <f t="shared" si="280"/>
        <v>A</v>
      </c>
      <c r="EL18" s="24" t="str">
        <f t="shared" si="281"/>
        <v>B</v>
      </c>
      <c r="EM18" s="24" t="str">
        <f t="shared" si="282"/>
        <v>A</v>
      </c>
      <c r="EN18" s="24" t="str">
        <f t="shared" si="283"/>
        <v>A</v>
      </c>
      <c r="EO18" s="24" t="str">
        <f t="shared" si="284"/>
        <v>B</v>
      </c>
      <c r="EP18" s="24">
        <f t="shared" si="285"/>
        <v>2</v>
      </c>
      <c r="EQ18" s="24">
        <f t="shared" si="286"/>
        <v>2</v>
      </c>
      <c r="ER18" s="24">
        <f t="shared" si="287"/>
        <v>3</v>
      </c>
      <c r="ES18" s="24">
        <f t="shared" si="288"/>
        <v>1</v>
      </c>
      <c r="ET18" s="24">
        <f t="shared" si="289"/>
        <v>5</v>
      </c>
      <c r="EU18" s="24">
        <f t="shared" si="290"/>
        <v>3</v>
      </c>
      <c r="EV18" s="24">
        <f t="shared" si="291"/>
        <v>2</v>
      </c>
      <c r="EW18" s="24">
        <f t="shared" si="292"/>
        <v>1</v>
      </c>
      <c r="EX18" s="24">
        <f t="shared" si="293"/>
        <v>1</v>
      </c>
      <c r="EY18" s="24">
        <f t="shared" si="294"/>
        <v>5</v>
      </c>
      <c r="EZ18" s="24">
        <f t="shared" si="295"/>
        <v>1</v>
      </c>
      <c r="FA18" s="24">
        <f t="shared" si="296"/>
        <v>5</v>
      </c>
      <c r="FB18" s="24">
        <f t="shared" si="297"/>
        <v>3</v>
      </c>
      <c r="FC18" s="24">
        <f t="shared" si="298"/>
        <v>2</v>
      </c>
      <c r="FD18" s="24">
        <f t="shared" si="299"/>
        <v>2</v>
      </c>
      <c r="FE18" s="24">
        <f t="shared" si="300"/>
        <v>2</v>
      </c>
      <c r="FF18" s="26">
        <f t="shared" si="301"/>
        <v>150.16666666666669</v>
      </c>
      <c r="FG18" s="26">
        <f t="shared" si="302"/>
        <v>185.76666666666665</v>
      </c>
      <c r="FH18" s="26">
        <f t="shared" si="303"/>
        <v>271.10000000000002</v>
      </c>
      <c r="FI18" s="26">
        <f t="shared" si="304"/>
        <v>92.5</v>
      </c>
      <c r="FJ18" s="26">
        <f t="shared" si="305"/>
        <v>442.54166666666669</v>
      </c>
      <c r="FK18" s="26">
        <f t="shared" si="306"/>
        <v>278.22500000000002</v>
      </c>
      <c r="FL18" s="26">
        <f t="shared" si="307"/>
        <v>186.71666666666667</v>
      </c>
      <c r="FM18" s="26">
        <f t="shared" si="308"/>
        <v>97.5</v>
      </c>
      <c r="FN18" s="26">
        <f t="shared" si="309"/>
        <v>97.5</v>
      </c>
      <c r="FO18" s="26">
        <f t="shared" si="310"/>
        <v>442.11666666666667</v>
      </c>
      <c r="FP18" s="26">
        <f t="shared" si="311"/>
        <v>86.846666666666664</v>
      </c>
      <c r="FQ18" s="26">
        <f t="shared" si="312"/>
        <v>471.59583333333325</v>
      </c>
      <c r="FR18" s="26">
        <f t="shared" si="313"/>
        <v>250.82999999999998</v>
      </c>
      <c r="FS18" s="26">
        <f t="shared" si="314"/>
        <v>181.75</v>
      </c>
      <c r="FT18" s="26">
        <f t="shared" si="315"/>
        <v>186.08333333333334</v>
      </c>
      <c r="FU18" s="26">
        <f t="shared" si="316"/>
        <v>171.66833333333335</v>
      </c>
      <c r="FV18" s="24">
        <f t="shared" ref="FV18:GK18" si="426">IF(OR(EP18="",DZ18=""),"",EP18*(IF(OR(DZ18="A",DZ18="a"),4,(IF(OR(DZ454="B",DZ18="b"),3,(IF(OR(DZ18="C",DZ18="c"),2,(IF(OR(DZ18="D",DZ18="d"),1.5,(IF(OR(DZ18="E",DZ18="e"),1,(IF(OR(DZ18="F",DZ18="f"),0)))))))))))))</f>
        <v>4</v>
      </c>
      <c r="FW18" s="24">
        <f t="shared" si="426"/>
        <v>8</v>
      </c>
      <c r="FX18" s="24">
        <f t="shared" si="426"/>
        <v>12</v>
      </c>
      <c r="FY18" s="24">
        <f t="shared" si="426"/>
        <v>4</v>
      </c>
      <c r="FZ18" s="24">
        <f t="shared" si="426"/>
        <v>15</v>
      </c>
      <c r="GA18" s="24">
        <f t="shared" si="426"/>
        <v>12</v>
      </c>
      <c r="GB18" s="24">
        <f t="shared" si="426"/>
        <v>8</v>
      </c>
      <c r="GC18" s="24">
        <f t="shared" si="426"/>
        <v>4</v>
      </c>
      <c r="GD18" s="24">
        <f t="shared" si="426"/>
        <v>4</v>
      </c>
      <c r="GE18" s="24">
        <f t="shared" si="426"/>
        <v>15</v>
      </c>
      <c r="GF18" s="24">
        <f t="shared" si="426"/>
        <v>3</v>
      </c>
      <c r="GG18" s="24">
        <f t="shared" si="426"/>
        <v>20</v>
      </c>
      <c r="GH18" s="24">
        <f t="shared" si="426"/>
        <v>9</v>
      </c>
      <c r="GI18" s="24">
        <f t="shared" si="426"/>
        <v>8</v>
      </c>
      <c r="GJ18" s="24">
        <f t="shared" si="426"/>
        <v>8</v>
      </c>
      <c r="GK18" s="24">
        <f t="shared" si="426"/>
        <v>6</v>
      </c>
      <c r="GL18" s="24">
        <f t="shared" si="318"/>
        <v>20</v>
      </c>
      <c r="GM18" s="26">
        <f t="shared" si="319"/>
        <v>1802.0166666666669</v>
      </c>
      <c r="GN18" s="26">
        <f t="shared" si="320"/>
        <v>71</v>
      </c>
      <c r="GO18" s="26">
        <f t="shared" si="321"/>
        <v>90.100833333333341</v>
      </c>
      <c r="GP18" s="24" t="str">
        <f t="shared" si="322"/>
        <v>A</v>
      </c>
      <c r="GQ18" s="26">
        <f t="shared" si="323"/>
        <v>3.55</v>
      </c>
      <c r="GR18" s="24">
        <f t="shared" si="324"/>
        <v>20</v>
      </c>
      <c r="GS18" s="26">
        <f t="shared" si="325"/>
        <v>1790.8908333333331</v>
      </c>
      <c r="GT18" s="26">
        <f t="shared" si="326"/>
        <v>69</v>
      </c>
      <c r="GU18" s="26">
        <f t="shared" si="327"/>
        <v>89.54454166666666</v>
      </c>
      <c r="GV18" s="24" t="str">
        <f t="shared" si="328"/>
        <v>B</v>
      </c>
      <c r="GW18" s="27">
        <f t="shared" si="329"/>
        <v>3.45</v>
      </c>
      <c r="GX18" s="24">
        <f t="shared" si="330"/>
        <v>40</v>
      </c>
      <c r="GY18" s="26">
        <f t="shared" si="331"/>
        <v>3592.9075000000007</v>
      </c>
      <c r="GZ18" s="26">
        <f t="shared" si="332"/>
        <v>140</v>
      </c>
      <c r="HA18" s="26">
        <f t="shared" si="333"/>
        <v>89.822687500000015</v>
      </c>
      <c r="HB18" s="27" t="str">
        <f t="shared" si="334"/>
        <v>B</v>
      </c>
      <c r="HC18" s="26">
        <f t="shared" si="335"/>
        <v>3.5</v>
      </c>
      <c r="HD18" s="24">
        <f t="shared" si="336"/>
        <v>2</v>
      </c>
      <c r="HE18" s="24" t="str">
        <f t="shared" si="337"/>
        <v>6A</v>
      </c>
      <c r="HF18" s="24">
        <f t="shared" si="338"/>
        <v>13</v>
      </c>
      <c r="HG18" s="24">
        <f>IF(B18="","",FinalSem2!$C$8)</f>
        <v>104</v>
      </c>
      <c r="HH18" s="24">
        <f>IF(A18="","",FinalSem2!PH18)</f>
        <v>0</v>
      </c>
      <c r="HI18" s="24">
        <f>IF(B18="","",FinalSem2!PI18)</f>
        <v>0</v>
      </c>
      <c r="HJ18" s="24">
        <f>IF(C18="","",FinalSem2!PJ18)</f>
        <v>2</v>
      </c>
      <c r="HK18" s="24">
        <f t="shared" si="339"/>
        <v>2</v>
      </c>
      <c r="HL18" s="25">
        <f t="shared" si="340"/>
        <v>0.98076923076923073</v>
      </c>
      <c r="HM18" s="26">
        <f>IF($B$15="","",IF(FinalSem2!LJ18="","",IF(AND(FinalSem1!LI18,FinalSem2!LJ18)="","",AVERAGE(FinalSem1!LI18,FinalSem2!LJ18))))</f>
        <v>71.708333333333343</v>
      </c>
      <c r="HN18" s="26">
        <f>IF($B$15="","",IF(FinalSem2!LK18="","",IF(AND(FinalSem1!LJ18,FinalSem2!LK18)="","",AVERAGE(FinalSem1!LJ18,FinalSem2!LK18))))</f>
        <v>91.579166666666666</v>
      </c>
      <c r="HO18" s="26">
        <f>IF($B$15="","",IF(FinalSem2!LL18="","",IF(AND(FinalSem1!LK18,FinalSem2!LL18)="","",AVERAGE(FinalSem1!LK18,FinalSem2!LL18))))</f>
        <v>91.5</v>
      </c>
      <c r="HP18" s="26">
        <f>IF($B$15="","",IF(FinalSem2!LM18="","",IF(AND(FinalSem1!LL18,FinalSem2!LM18)="","",AVERAGE(FinalSem1!LL18,FinalSem2!LM18))))</f>
        <v>89.166666666666671</v>
      </c>
      <c r="HQ18" s="26">
        <f>IF($B$15="","",IF(FinalSem2!LN18="","",IF(AND(FinalSem1!LM18,FinalSem2!LN18)="","",AVERAGE(FinalSem1!LM18,FinalSem2!LN18))))</f>
        <v>90.287499999999994</v>
      </c>
      <c r="HR18" s="26">
        <f>IF($B$15="","",IF(FinalSem2!LO18="","",IF(AND(FinalSem1!LN18,FinalSem2!LO18)="","",AVERAGE(FinalSem1!LN18,FinalSem2!LO18))))</f>
        <v>92.745833333333337</v>
      </c>
      <c r="HS18" s="26">
        <f>IF($B$15="","",IF(FinalSem2!LP18="","",IF(AND(FinalSem1!LO18,FinalSem2!LP18)="","",AVERAGE(FinalSem1!LO18,FinalSem2!LP18))))</f>
        <v>86.829166666666666</v>
      </c>
      <c r="HT18" s="26">
        <f>IF($B$15="","",IF(FinalSem2!LQ18="","",IF(AND(FinalSem1!LP18,FinalSem2!LQ18)="","",AVERAGE(FinalSem1!LP18,FinalSem2!LQ18))))</f>
        <v>95.916666666666671</v>
      </c>
      <c r="HU18" s="26">
        <f>IF($B$15="","",IF(FinalSem2!LR18="","",IF(AND(FinalSem1!LQ18,FinalSem2!LR18)="","",AVERAGE(FinalSem1!LQ18,FinalSem2!LR18))))</f>
        <v>95.916666666666671</v>
      </c>
      <c r="HV18" s="26">
        <f>IF($B$15="","",IF(FinalSem2!LS18="","",IF(AND(FinalSem1!LR18,FinalSem2!LS18)="","",AVERAGE(FinalSem1!LR18,FinalSem2!LS18))))</f>
        <v>89.700416666666669</v>
      </c>
      <c r="HW18" s="26">
        <f>IF($B$15="","",IF(FinalSem2!LT18="","",IF(AND(FinalSem1!LS18,FinalSem2!LT18)="","",AVERAGE(FinalSem1!LS18,FinalSem2!LT18))))</f>
        <v>91.400833333333338</v>
      </c>
      <c r="HX18" s="26">
        <f>IF($B$15="","",IF(FinalSem2!LU18="","",IF(AND(FinalSem1!LT18,FinalSem2!LU18)="","",AVERAGE(FinalSem1!LT18,FinalSem2!LU18))))</f>
        <v>88.343333333333334</v>
      </c>
      <c r="HY18" s="26">
        <f>IF($B$15="","",IF(FinalSem2!LV18="","",IF(AND(FinalSem1!LU18,FinalSem2!LV18)="","",AVERAGE(FinalSem1!LU18,FinalSem2!LV18))))</f>
        <v>88.067499999999995</v>
      </c>
      <c r="HZ18" s="26">
        <f>IF($B$15="","",IF(FinalSem2!LW18="","",IF(AND(FinalSem1!LV18,FinalSem2!LW18)="","",AVERAGE(FinalSem1!LV18,FinalSem2!LW18))))</f>
        <v>90.295833333333334</v>
      </c>
      <c r="IA18" s="26">
        <f>IF($B$15="","",IF(FinalSem2!LX18="","",IF(AND(FinalSem1!LW18,FinalSem2!LX18)="","",AVERAGE(FinalSem1!LW18,FinalSem2!LX18))))</f>
        <v>94.95416666666668</v>
      </c>
      <c r="IB18" s="26">
        <f>IF($B$15="","",IF(FinalSem2!LY18="","",IF(AND(FinalSem1!LX18,FinalSem2!LY18)="","",AVERAGE(FinalSem1!LX18,FinalSem2!LY18))))</f>
        <v>87.042083333333338</v>
      </c>
      <c r="IC18" s="26" t="str">
        <f t="shared" si="341"/>
        <v>C</v>
      </c>
      <c r="ID18" s="26" t="str">
        <f t="shared" si="342"/>
        <v>A</v>
      </c>
      <c r="IE18" s="26" t="str">
        <f t="shared" si="343"/>
        <v>A</v>
      </c>
      <c r="IF18" s="26" t="str">
        <f t="shared" si="344"/>
        <v>B</v>
      </c>
      <c r="IG18" s="26" t="str">
        <f t="shared" si="345"/>
        <v>A</v>
      </c>
      <c r="IH18" s="26" t="str">
        <f t="shared" si="346"/>
        <v>A</v>
      </c>
      <c r="II18" s="26" t="str">
        <f t="shared" si="347"/>
        <v>B</v>
      </c>
      <c r="IJ18" s="26" t="str">
        <f t="shared" si="348"/>
        <v>A</v>
      </c>
      <c r="IK18" s="26" t="str">
        <f t="shared" si="349"/>
        <v>A</v>
      </c>
      <c r="IL18" s="24" t="str">
        <f t="shared" si="350"/>
        <v>B</v>
      </c>
      <c r="IM18" s="24" t="str">
        <f t="shared" si="351"/>
        <v>A</v>
      </c>
      <c r="IN18" s="24" t="str">
        <f t="shared" si="352"/>
        <v>B</v>
      </c>
      <c r="IO18" s="24" t="str">
        <f t="shared" si="353"/>
        <v>B</v>
      </c>
      <c r="IP18" s="24" t="str">
        <f t="shared" si="354"/>
        <v>A</v>
      </c>
      <c r="IQ18" s="24" t="str">
        <f t="shared" si="355"/>
        <v>A</v>
      </c>
      <c r="IR18" s="24" t="str">
        <f t="shared" si="356"/>
        <v>B</v>
      </c>
      <c r="IS18" s="24">
        <f t="shared" si="357"/>
        <v>4</v>
      </c>
      <c r="IT18" s="24">
        <f t="shared" si="358"/>
        <v>4</v>
      </c>
      <c r="IU18" s="24">
        <f t="shared" si="359"/>
        <v>6</v>
      </c>
      <c r="IV18" s="24">
        <f t="shared" si="360"/>
        <v>2</v>
      </c>
      <c r="IW18" s="24">
        <f t="shared" si="361"/>
        <v>10</v>
      </c>
      <c r="IX18" s="24">
        <f t="shared" si="362"/>
        <v>6</v>
      </c>
      <c r="IY18" s="24">
        <f t="shared" si="363"/>
        <v>4</v>
      </c>
      <c r="IZ18" s="24">
        <f t="shared" si="364"/>
        <v>2</v>
      </c>
      <c r="JA18" s="24">
        <f t="shared" si="365"/>
        <v>2</v>
      </c>
      <c r="JB18" s="24">
        <f t="shared" si="366"/>
        <v>10</v>
      </c>
      <c r="JC18" s="24">
        <f t="shared" si="367"/>
        <v>2</v>
      </c>
      <c r="JD18" s="24">
        <f t="shared" si="368"/>
        <v>10</v>
      </c>
      <c r="JE18" s="24">
        <f t="shared" si="369"/>
        <v>6</v>
      </c>
      <c r="JF18" s="24">
        <f t="shared" si="370"/>
        <v>4</v>
      </c>
      <c r="JG18" s="24">
        <f t="shared" si="371"/>
        <v>4</v>
      </c>
      <c r="JH18" s="24">
        <f t="shared" si="372"/>
        <v>4</v>
      </c>
      <c r="JI18" s="26">
        <f t="shared" si="373"/>
        <v>286.83333333333337</v>
      </c>
      <c r="JJ18" s="26">
        <f t="shared" si="374"/>
        <v>366.31666666666666</v>
      </c>
      <c r="JK18" s="26">
        <f t="shared" si="375"/>
        <v>549</v>
      </c>
      <c r="JL18" s="26">
        <f t="shared" si="376"/>
        <v>178.33333333333334</v>
      </c>
      <c r="JM18" s="26">
        <f t="shared" si="377"/>
        <v>902.875</v>
      </c>
      <c r="JN18" s="26">
        <f t="shared" si="378"/>
        <v>556.47500000000002</v>
      </c>
      <c r="JO18" s="26">
        <f t="shared" si="379"/>
        <v>347.31666666666666</v>
      </c>
      <c r="JP18" s="26">
        <f t="shared" si="380"/>
        <v>191.83333333333334</v>
      </c>
      <c r="JQ18" s="26">
        <f t="shared" si="381"/>
        <v>191.83333333333334</v>
      </c>
      <c r="JR18" s="26">
        <f t="shared" si="382"/>
        <v>897.00416666666672</v>
      </c>
      <c r="JS18" s="26">
        <f t="shared" si="383"/>
        <v>182.80166666666668</v>
      </c>
      <c r="JT18" s="26">
        <f t="shared" si="384"/>
        <v>883.43333333333339</v>
      </c>
      <c r="JU18" s="26">
        <f t="shared" si="385"/>
        <v>528.40499999999997</v>
      </c>
      <c r="JV18" s="26">
        <f t="shared" si="386"/>
        <v>361.18333333333334</v>
      </c>
      <c r="JW18" s="26">
        <f t="shared" si="387"/>
        <v>379.81666666666672</v>
      </c>
      <c r="JX18" s="26">
        <f t="shared" si="388"/>
        <v>348.16833333333335</v>
      </c>
      <c r="JY18" s="24">
        <f t="shared" ref="JY18:KN18" si="427">IF(OR(IS18="",IC18=""),"",IS18*(IF(OR(IC18="A",IC18="a"),4,(IF(OR(IC454="B",IC18="b"),3,(IF(OR(IC18="C",IC18="c"),2,(IF(OR(IC18="D",IC18="d"),1.5,(IF(OR(IC18="E",IC18="e"),1,(IF(OR(IC18="F",IC18="f"),0)))))))))))))</f>
        <v>8</v>
      </c>
      <c r="JZ18" s="24">
        <f t="shared" si="427"/>
        <v>16</v>
      </c>
      <c r="KA18" s="24">
        <f t="shared" si="427"/>
        <v>24</v>
      </c>
      <c r="KB18" s="24">
        <f t="shared" si="427"/>
        <v>6</v>
      </c>
      <c r="KC18" s="24">
        <f t="shared" si="427"/>
        <v>40</v>
      </c>
      <c r="KD18" s="24">
        <f t="shared" si="427"/>
        <v>24</v>
      </c>
      <c r="KE18" s="24">
        <f t="shared" si="427"/>
        <v>12</v>
      </c>
      <c r="KF18" s="24">
        <f t="shared" si="427"/>
        <v>8</v>
      </c>
      <c r="KG18" s="24">
        <f t="shared" si="427"/>
        <v>8</v>
      </c>
      <c r="KH18" s="24">
        <f t="shared" si="427"/>
        <v>30</v>
      </c>
      <c r="KI18" s="24">
        <f t="shared" si="427"/>
        <v>8</v>
      </c>
      <c r="KJ18" s="24">
        <f t="shared" si="427"/>
        <v>30</v>
      </c>
      <c r="KK18" s="24">
        <f t="shared" si="427"/>
        <v>18</v>
      </c>
      <c r="KL18" s="24">
        <f t="shared" si="427"/>
        <v>16</v>
      </c>
      <c r="KM18" s="24">
        <f t="shared" si="427"/>
        <v>16</v>
      </c>
      <c r="KN18" s="24">
        <f t="shared" si="427"/>
        <v>12</v>
      </c>
      <c r="KO18" s="24">
        <f t="shared" si="390"/>
        <v>40</v>
      </c>
      <c r="KP18" s="26">
        <f t="shared" si="391"/>
        <v>3570.8166666666671</v>
      </c>
      <c r="KQ18" s="26">
        <f t="shared" si="392"/>
        <v>146</v>
      </c>
      <c r="KR18" s="26">
        <f t="shared" si="393"/>
        <v>89.270416666666677</v>
      </c>
      <c r="KS18" s="24" t="str">
        <f t="shared" si="394"/>
        <v>B</v>
      </c>
      <c r="KT18" s="26">
        <f t="shared" si="395"/>
        <v>3.65</v>
      </c>
      <c r="KU18" s="24">
        <f t="shared" si="396"/>
        <v>40</v>
      </c>
      <c r="KV18" s="26">
        <f t="shared" si="397"/>
        <v>3580.8125000000005</v>
      </c>
      <c r="KW18" s="26">
        <f t="shared" si="398"/>
        <v>130</v>
      </c>
      <c r="KX18" s="26">
        <f t="shared" si="399"/>
        <v>89.520312500000017</v>
      </c>
      <c r="KY18" s="24" t="str">
        <f t="shared" si="400"/>
        <v>B</v>
      </c>
      <c r="KZ18" s="26">
        <f t="shared" si="401"/>
        <v>3.25</v>
      </c>
      <c r="LA18" s="24">
        <f t="shared" si="402"/>
        <v>80</v>
      </c>
      <c r="LB18" s="26">
        <f t="shared" si="403"/>
        <v>7151.6291666666666</v>
      </c>
      <c r="LC18" s="27">
        <f t="shared" si="404"/>
        <v>276</v>
      </c>
      <c r="LD18" s="26">
        <f t="shared" si="405"/>
        <v>89.395364583333333</v>
      </c>
      <c r="LE18" s="27" t="str">
        <f t="shared" si="406"/>
        <v>B</v>
      </c>
      <c r="LF18" s="26">
        <f t="shared" si="407"/>
        <v>3.45</v>
      </c>
      <c r="LG18" s="24">
        <f t="shared" si="408"/>
        <v>1</v>
      </c>
      <c r="LH18" s="24" t="str">
        <f t="shared" si="409"/>
        <v>6A</v>
      </c>
      <c r="LI18" s="24">
        <f t="shared" si="410"/>
        <v>13</v>
      </c>
      <c r="LJ18" s="24">
        <f t="shared" si="411"/>
        <v>204</v>
      </c>
      <c r="LK18" s="24">
        <f t="shared" si="412"/>
        <v>0</v>
      </c>
      <c r="LL18" s="24">
        <f t="shared" si="413"/>
        <v>0</v>
      </c>
      <c r="LM18" s="24">
        <f t="shared" si="414"/>
        <v>2</v>
      </c>
      <c r="LN18" s="24">
        <f t="shared" si="415"/>
        <v>2</v>
      </c>
      <c r="LO18" s="25">
        <f t="shared" si="416"/>
        <v>0.99019607843137258</v>
      </c>
      <c r="LP18" s="24" t="str">
        <f t="shared" si="417"/>
        <v>Pass - Promoted to Grade</v>
      </c>
      <c r="LQ18" s="24" t="str">
        <f t="shared" si="418"/>
        <v>ជាប់ត្រូវបានឡើងថ្នាក់ទី</v>
      </c>
      <c r="LR18" s="24">
        <f t="shared" si="419"/>
        <v>6</v>
      </c>
      <c r="LS18" s="24">
        <f t="shared" si="420"/>
        <v>7</v>
      </c>
    </row>
    <row r="19" spans="1:331" ht="27" customHeight="1" x14ac:dyDescent="0.35">
      <c r="A19" s="24">
        <f t="shared" si="421"/>
        <v>5</v>
      </c>
      <c r="B19" s="86" t="str">
        <f>IF(FinalSem2!B19="","",FinalSem2!B19)</f>
        <v>Heng Bunpiseth</v>
      </c>
      <c r="C19" s="29" t="str">
        <f>IF(FinalSem2!C19="","",FinalSem2!C19)</f>
        <v>ហេង ប៊ុនពិសិដ្ឋ</v>
      </c>
      <c r="D19" s="24" t="str">
        <f>IF(FinalSem2!D19="","",FinalSem2!D19)</f>
        <v>M</v>
      </c>
      <c r="E19" s="24">
        <f>IF(FinalSem2!E19="","",FinalSem2!E19)</f>
        <v>694</v>
      </c>
      <c r="F19" s="24" t="str">
        <f>IF(FinalSem2!F19="","",FinalSem2!F19)</f>
        <v>I</v>
      </c>
      <c r="G19" s="26">
        <f>IF(FinalSem1!G19="","",FinalSem1!LI19)</f>
        <v>60.916666666666671</v>
      </c>
      <c r="H19" s="26">
        <f>IF(FinalSem1!H19="","",FinalSem1!LJ19)</f>
        <v>67.841666666666669</v>
      </c>
      <c r="I19" s="26">
        <f>IF(FinalSem1!I19="","",FinalSem1!LK19)</f>
        <v>78.63333333333334</v>
      </c>
      <c r="J19" s="26">
        <f>IF(FinalSem1!J19="","",FinalSem1!LL19)</f>
        <v>69.416666666666671</v>
      </c>
      <c r="K19" s="26">
        <f>IF(FinalSem1!K19="","",FinalSem1!LM19)</f>
        <v>77.566666666666663</v>
      </c>
      <c r="L19" s="26">
        <f>IF(FinalSem1!L19="","",FinalSem1!LN19)</f>
        <v>67.335000000000008</v>
      </c>
      <c r="M19" s="26">
        <f>IF(FinalSem1!M19="","",FinalSem1!LO19)</f>
        <v>63.341666666666669</v>
      </c>
      <c r="N19" s="26">
        <f>IF(FinalSem1!N19="","",FinalSem1!LP19)</f>
        <v>83.666666666666671</v>
      </c>
      <c r="O19" s="26">
        <f>IF(FinalSem1!O19="","",FinalSem1!LQ19)</f>
        <v>83.666666666666671</v>
      </c>
      <c r="P19" s="26">
        <f>IF(FinalSem1!P19="","",FinalSem1!LR19)</f>
        <v>78.182500000000005</v>
      </c>
      <c r="Q19" s="26">
        <f>IF(FinalSem1!Q19="","",FinalSem1!LS19)</f>
        <v>86.365000000000009</v>
      </c>
      <c r="R19" s="26">
        <f>IF(FinalSem1!R19="","",FinalSem1!LT19)</f>
        <v>49.894999999999996</v>
      </c>
      <c r="S19" s="26">
        <f>IF(FinalSem1!S19="","",FinalSem1!LU19)</f>
        <v>52.018181818181816</v>
      </c>
      <c r="T19" s="26">
        <f>IF(FinalSem1!T19="","",FinalSem1!LV19)</f>
        <v>62.233333333333334</v>
      </c>
      <c r="U19" s="26">
        <f>IF(FinalSem1!U19="","",FinalSem1!LW19)</f>
        <v>80.458333333333329</v>
      </c>
      <c r="V19" s="26">
        <f>IF(FinalSem1!V19="","",FinalSem1!LX19)</f>
        <v>67.958333333333343</v>
      </c>
      <c r="W19" s="26" t="str">
        <f t="shared" si="197"/>
        <v>D</v>
      </c>
      <c r="X19" s="26" t="str">
        <f t="shared" si="198"/>
        <v>D</v>
      </c>
      <c r="Y19" s="26" t="str">
        <f t="shared" si="199"/>
        <v>C</v>
      </c>
      <c r="Z19" s="26" t="str">
        <f t="shared" si="200"/>
        <v>D</v>
      </c>
      <c r="AA19" s="26" t="str">
        <f t="shared" si="201"/>
        <v>C</v>
      </c>
      <c r="AB19" s="26" t="str">
        <f t="shared" si="202"/>
        <v>D</v>
      </c>
      <c r="AC19" s="26" t="str">
        <f t="shared" si="203"/>
        <v>D</v>
      </c>
      <c r="AD19" s="26" t="str">
        <f t="shared" si="204"/>
        <v>B</v>
      </c>
      <c r="AE19" s="26" t="str">
        <f t="shared" si="205"/>
        <v>B</v>
      </c>
      <c r="AF19" s="24" t="str">
        <f t="shared" si="206"/>
        <v>C</v>
      </c>
      <c r="AG19" s="24" t="str">
        <f t="shared" si="207"/>
        <v>B</v>
      </c>
      <c r="AH19" s="24" t="str">
        <f t="shared" si="208"/>
        <v>F</v>
      </c>
      <c r="AI19" s="24" t="str">
        <f t="shared" si="209"/>
        <v>E</v>
      </c>
      <c r="AJ19" s="24" t="str">
        <f t="shared" si="210"/>
        <v>D</v>
      </c>
      <c r="AK19" s="24" t="str">
        <f t="shared" si="211"/>
        <v>B</v>
      </c>
      <c r="AL19" s="24" t="str">
        <f t="shared" si="212"/>
        <v>D</v>
      </c>
      <c r="AM19" s="24">
        <f t="shared" si="213"/>
        <v>2</v>
      </c>
      <c r="AN19" s="24">
        <f t="shared" si="214"/>
        <v>2</v>
      </c>
      <c r="AO19" s="24">
        <f t="shared" si="215"/>
        <v>3</v>
      </c>
      <c r="AP19" s="24">
        <f t="shared" si="216"/>
        <v>1</v>
      </c>
      <c r="AQ19" s="24">
        <f t="shared" si="217"/>
        <v>5</v>
      </c>
      <c r="AR19" s="24">
        <f t="shared" si="218"/>
        <v>3</v>
      </c>
      <c r="AS19" s="24">
        <f t="shared" si="219"/>
        <v>2</v>
      </c>
      <c r="AT19" s="24">
        <f t="shared" si="220"/>
        <v>1</v>
      </c>
      <c r="AU19" s="24">
        <f t="shared" si="221"/>
        <v>1</v>
      </c>
      <c r="AV19" s="24">
        <f t="shared" si="222"/>
        <v>5</v>
      </c>
      <c r="AW19" s="24">
        <f t="shared" si="223"/>
        <v>1</v>
      </c>
      <c r="AX19" s="24">
        <f t="shared" si="224"/>
        <v>5</v>
      </c>
      <c r="AY19" s="24">
        <f t="shared" si="225"/>
        <v>3</v>
      </c>
      <c r="AZ19" s="24">
        <f t="shared" si="226"/>
        <v>2</v>
      </c>
      <c r="BA19" s="24">
        <f t="shared" si="227"/>
        <v>2</v>
      </c>
      <c r="BB19" s="24">
        <f t="shared" si="228"/>
        <v>2</v>
      </c>
      <c r="BC19" s="26">
        <f t="shared" si="229"/>
        <v>121.83333333333334</v>
      </c>
      <c r="BD19" s="26">
        <f t="shared" si="230"/>
        <v>135.68333333333334</v>
      </c>
      <c r="BE19" s="26">
        <f t="shared" si="231"/>
        <v>235.90000000000003</v>
      </c>
      <c r="BF19" s="26">
        <f t="shared" si="232"/>
        <v>69.416666666666671</v>
      </c>
      <c r="BG19" s="26">
        <f t="shared" si="233"/>
        <v>387.83333333333331</v>
      </c>
      <c r="BH19" s="26">
        <f t="shared" si="234"/>
        <v>202.00500000000002</v>
      </c>
      <c r="BI19" s="26">
        <f t="shared" si="235"/>
        <v>126.68333333333334</v>
      </c>
      <c r="BJ19" s="26">
        <f t="shared" si="236"/>
        <v>83.666666666666671</v>
      </c>
      <c r="BK19" s="26">
        <f t="shared" si="237"/>
        <v>83.666666666666671</v>
      </c>
      <c r="BL19" s="26">
        <f t="shared" si="238"/>
        <v>390.91250000000002</v>
      </c>
      <c r="BM19" s="26">
        <f t="shared" si="239"/>
        <v>86.365000000000009</v>
      </c>
      <c r="BN19" s="26">
        <f t="shared" si="240"/>
        <v>249.47499999999997</v>
      </c>
      <c r="BO19" s="26">
        <f t="shared" si="241"/>
        <v>156.05454545454546</v>
      </c>
      <c r="BP19" s="26">
        <f t="shared" si="242"/>
        <v>124.46666666666667</v>
      </c>
      <c r="BQ19" s="26">
        <f t="shared" si="243"/>
        <v>160.91666666666666</v>
      </c>
      <c r="BR19" s="26">
        <f t="shared" si="244"/>
        <v>135.91666666666669</v>
      </c>
      <c r="BS19" s="24">
        <f t="shared" ref="BS19:CH19" si="428">IF(OR(AM19="",W19=""),"",AM19*(IF(OR(W19="A",W19="a"),4,(IF(OR(W455="B",W19="b"),3,(IF(OR(W19="C",W19="c"),2,(IF(OR(W19="D",W19="d"),1.5,(IF(OR(W19="E",W19="e"),1,(IF(OR(W19="F",W19="f"),0)))))))))))))</f>
        <v>3</v>
      </c>
      <c r="BT19" s="24">
        <f t="shared" si="428"/>
        <v>3</v>
      </c>
      <c r="BU19" s="24">
        <f t="shared" si="428"/>
        <v>6</v>
      </c>
      <c r="BV19" s="24">
        <f t="shared" si="428"/>
        <v>1.5</v>
      </c>
      <c r="BW19" s="24">
        <f t="shared" si="428"/>
        <v>10</v>
      </c>
      <c r="BX19" s="24">
        <f t="shared" si="428"/>
        <v>4.5</v>
      </c>
      <c r="BY19" s="24">
        <f t="shared" si="428"/>
        <v>3</v>
      </c>
      <c r="BZ19" s="24">
        <f t="shared" si="428"/>
        <v>3</v>
      </c>
      <c r="CA19" s="24">
        <f t="shared" si="428"/>
        <v>3</v>
      </c>
      <c r="CB19" s="24">
        <f t="shared" si="428"/>
        <v>10</v>
      </c>
      <c r="CC19" s="24">
        <f t="shared" si="428"/>
        <v>3</v>
      </c>
      <c r="CD19" s="24">
        <f t="shared" si="428"/>
        <v>0</v>
      </c>
      <c r="CE19" s="24">
        <f t="shared" si="428"/>
        <v>3</v>
      </c>
      <c r="CF19" s="24">
        <f t="shared" si="428"/>
        <v>3</v>
      </c>
      <c r="CG19" s="24">
        <f t="shared" si="428"/>
        <v>6</v>
      </c>
      <c r="CH19" s="24">
        <f t="shared" si="428"/>
        <v>3</v>
      </c>
      <c r="CI19" s="24">
        <f t="shared" si="246"/>
        <v>20</v>
      </c>
      <c r="CJ19" s="24">
        <f t="shared" si="247"/>
        <v>1680.0241666666664</v>
      </c>
      <c r="CK19" s="26">
        <f t="shared" si="248"/>
        <v>38</v>
      </c>
      <c r="CL19" s="26">
        <f t="shared" si="249"/>
        <v>84.001208333333324</v>
      </c>
      <c r="CM19" s="24" t="str">
        <f t="shared" si="250"/>
        <v>B</v>
      </c>
      <c r="CN19" s="26">
        <f t="shared" si="251"/>
        <v>1.9</v>
      </c>
      <c r="CO19" s="24">
        <f t="shared" si="252"/>
        <v>20</v>
      </c>
      <c r="CP19" s="26">
        <f t="shared" si="253"/>
        <v>1304.1070454545456</v>
      </c>
      <c r="CQ19" s="26">
        <f t="shared" si="254"/>
        <v>28</v>
      </c>
      <c r="CR19" s="26">
        <f t="shared" si="255"/>
        <v>65.205352272727282</v>
      </c>
      <c r="CS19" s="24" t="str">
        <f t="shared" si="256"/>
        <v>D</v>
      </c>
      <c r="CT19" s="26">
        <f t="shared" si="257"/>
        <v>1.4</v>
      </c>
      <c r="CU19" s="24">
        <f t="shared" si="258"/>
        <v>40</v>
      </c>
      <c r="CV19" s="26">
        <f t="shared" si="259"/>
        <v>2750.7953787878791</v>
      </c>
      <c r="CW19" s="26">
        <f t="shared" si="260"/>
        <v>65</v>
      </c>
      <c r="CX19" s="26">
        <f t="shared" si="261"/>
        <v>68.769884469696976</v>
      </c>
      <c r="CY19" s="27" t="str">
        <f t="shared" si="262"/>
        <v>D</v>
      </c>
      <c r="CZ19" s="26">
        <f t="shared" si="263"/>
        <v>1.625</v>
      </c>
      <c r="DA19" s="24">
        <f t="shared" si="264"/>
        <v>8</v>
      </c>
      <c r="DB19" s="24" t="str">
        <f t="shared" si="265"/>
        <v>6A</v>
      </c>
      <c r="DC19" s="24">
        <f t="shared" si="266"/>
        <v>13</v>
      </c>
      <c r="DD19" s="24">
        <f>IF(B19="","",FinalSem1!$C$8)</f>
        <v>100</v>
      </c>
      <c r="DE19" s="24">
        <f>IF(A19="","",FinalSem1!PG19)</f>
        <v>0</v>
      </c>
      <c r="DF19" s="24">
        <f>IF(B19="","",FinalSem1!PH19)</f>
        <v>0</v>
      </c>
      <c r="DG19" s="24">
        <f>IF(B19="","",FinalSem1!PI19)</f>
        <v>0</v>
      </c>
      <c r="DH19" s="24">
        <f t="shared" si="267"/>
        <v>0</v>
      </c>
      <c r="DI19" s="25">
        <f t="shared" si="268"/>
        <v>1</v>
      </c>
      <c r="DJ19" s="26">
        <f>IF(FinalSem2!G19="","",FinalSem2!LJ19)</f>
        <v>62.583333333333336</v>
      </c>
      <c r="DK19" s="26">
        <f>IF(FinalSem2!H19="","",FinalSem2!LK19)</f>
        <v>77.050000000000011</v>
      </c>
      <c r="DL19" s="26">
        <f>IF(FinalSem2!I19="","",FinalSem2!LL19)</f>
        <v>77.38333333333334</v>
      </c>
      <c r="DM19" s="26">
        <f>IF(FinalSem2!J19="","",FinalSem2!LM19)</f>
        <v>74.416666666666671</v>
      </c>
      <c r="DN19" s="26">
        <f>IF(FinalSem2!K19="","",FinalSem2!LN19)</f>
        <v>79.216666666666669</v>
      </c>
      <c r="DO19" s="26">
        <f>IF(FinalSem2!L19="","",FinalSem2!LO19)</f>
        <v>71.233333333333334</v>
      </c>
      <c r="DP19" s="26">
        <f>IF(FinalSem2!M19="","",FinalSem2!LP19)</f>
        <v>76.099999999999994</v>
      </c>
      <c r="DQ19" s="26">
        <f>IF(FinalSem2!N19="","",FinalSem2!LQ19)</f>
        <v>95.5</v>
      </c>
      <c r="DR19" s="26">
        <f>IF(FinalSem2!O19="","",FinalSem2!LR19)</f>
        <v>95.5</v>
      </c>
      <c r="DS19" s="26">
        <f>IF(FinalSem2!P19="","",FinalSem2!LS19)</f>
        <v>78.694999999999993</v>
      </c>
      <c r="DT19" s="26">
        <f>IF(FinalSem2!Q19="","",FinalSem2!LT19)</f>
        <v>70.39</v>
      </c>
      <c r="DU19" s="26">
        <f>IF(FinalSem2!R19="","",FinalSem2!LU19)</f>
        <v>42.237499999999997</v>
      </c>
      <c r="DV19" s="26">
        <f>IF(FinalSem2!S19="","",FinalSem2!LV19)</f>
        <v>58.302499999999995</v>
      </c>
      <c r="DW19" s="26">
        <f>IF(FinalSem2!T19="","",FinalSem2!LW19)</f>
        <v>62.125</v>
      </c>
      <c r="DX19" s="26">
        <f>IF(FinalSem2!U19="","",FinalSem2!LX19)</f>
        <v>78.041666666666671</v>
      </c>
      <c r="DY19" s="26">
        <f>IF(FinalSem2!V19="","",FinalSem2!LY19)</f>
        <v>62.874166666666667</v>
      </c>
      <c r="DZ19" s="26" t="str">
        <f t="shared" si="269"/>
        <v>D</v>
      </c>
      <c r="EA19" s="26" t="str">
        <f t="shared" si="270"/>
        <v>C</v>
      </c>
      <c r="EB19" s="26" t="str">
        <f t="shared" si="271"/>
        <v>C</v>
      </c>
      <c r="EC19" s="26" t="str">
        <f t="shared" si="272"/>
        <v>C</v>
      </c>
      <c r="ED19" s="26" t="str">
        <f t="shared" si="273"/>
        <v>C</v>
      </c>
      <c r="EE19" s="26" t="str">
        <f t="shared" si="274"/>
        <v>C</v>
      </c>
      <c r="EF19" s="26" t="str">
        <f t="shared" si="275"/>
        <v>C</v>
      </c>
      <c r="EG19" s="26" t="str">
        <f t="shared" si="276"/>
        <v>A</v>
      </c>
      <c r="EH19" s="26" t="str">
        <f t="shared" si="277"/>
        <v>A</v>
      </c>
      <c r="EI19" s="24" t="str">
        <f t="shared" si="278"/>
        <v>C</v>
      </c>
      <c r="EJ19" s="24" t="str">
        <f t="shared" si="279"/>
        <v>C</v>
      </c>
      <c r="EK19" s="24" t="str">
        <f t="shared" si="280"/>
        <v>F</v>
      </c>
      <c r="EL19" s="24" t="str">
        <f t="shared" si="281"/>
        <v>E</v>
      </c>
      <c r="EM19" s="24" t="str">
        <f t="shared" si="282"/>
        <v>D</v>
      </c>
      <c r="EN19" s="24" t="str">
        <f t="shared" si="283"/>
        <v>C</v>
      </c>
      <c r="EO19" s="24" t="str">
        <f t="shared" si="284"/>
        <v>D</v>
      </c>
      <c r="EP19" s="24">
        <f t="shared" si="285"/>
        <v>2</v>
      </c>
      <c r="EQ19" s="24">
        <f t="shared" si="286"/>
        <v>2</v>
      </c>
      <c r="ER19" s="24">
        <f t="shared" si="287"/>
        <v>3</v>
      </c>
      <c r="ES19" s="24">
        <f t="shared" si="288"/>
        <v>1</v>
      </c>
      <c r="ET19" s="24">
        <f t="shared" si="289"/>
        <v>5</v>
      </c>
      <c r="EU19" s="24">
        <f t="shared" si="290"/>
        <v>3</v>
      </c>
      <c r="EV19" s="24">
        <f t="shared" si="291"/>
        <v>2</v>
      </c>
      <c r="EW19" s="24">
        <f t="shared" si="292"/>
        <v>1</v>
      </c>
      <c r="EX19" s="24">
        <f t="shared" si="293"/>
        <v>1</v>
      </c>
      <c r="EY19" s="24">
        <f t="shared" si="294"/>
        <v>5</v>
      </c>
      <c r="EZ19" s="24">
        <f t="shared" si="295"/>
        <v>1</v>
      </c>
      <c r="FA19" s="24">
        <f t="shared" si="296"/>
        <v>5</v>
      </c>
      <c r="FB19" s="24">
        <f t="shared" si="297"/>
        <v>3</v>
      </c>
      <c r="FC19" s="24">
        <f t="shared" si="298"/>
        <v>2</v>
      </c>
      <c r="FD19" s="24">
        <f t="shared" si="299"/>
        <v>2</v>
      </c>
      <c r="FE19" s="24">
        <f t="shared" si="300"/>
        <v>2</v>
      </c>
      <c r="FF19" s="26">
        <f t="shared" si="301"/>
        <v>125.16666666666667</v>
      </c>
      <c r="FG19" s="26">
        <f t="shared" si="302"/>
        <v>154.10000000000002</v>
      </c>
      <c r="FH19" s="26">
        <f t="shared" si="303"/>
        <v>232.15000000000003</v>
      </c>
      <c r="FI19" s="26">
        <f t="shared" si="304"/>
        <v>74.416666666666671</v>
      </c>
      <c r="FJ19" s="26">
        <f t="shared" si="305"/>
        <v>396.08333333333337</v>
      </c>
      <c r="FK19" s="26">
        <f t="shared" si="306"/>
        <v>213.7</v>
      </c>
      <c r="FL19" s="26">
        <f t="shared" si="307"/>
        <v>152.19999999999999</v>
      </c>
      <c r="FM19" s="26">
        <f t="shared" si="308"/>
        <v>95.5</v>
      </c>
      <c r="FN19" s="26">
        <f t="shared" si="309"/>
        <v>95.5</v>
      </c>
      <c r="FO19" s="26">
        <f t="shared" si="310"/>
        <v>393.47499999999997</v>
      </c>
      <c r="FP19" s="26">
        <f t="shared" si="311"/>
        <v>70.39</v>
      </c>
      <c r="FQ19" s="26">
        <f t="shared" si="312"/>
        <v>211.1875</v>
      </c>
      <c r="FR19" s="26">
        <f t="shared" si="313"/>
        <v>174.90749999999997</v>
      </c>
      <c r="FS19" s="26">
        <f t="shared" si="314"/>
        <v>124.25</v>
      </c>
      <c r="FT19" s="26">
        <f t="shared" si="315"/>
        <v>156.08333333333334</v>
      </c>
      <c r="FU19" s="26">
        <f t="shared" si="316"/>
        <v>125.74833333333333</v>
      </c>
      <c r="FV19" s="24">
        <f t="shared" ref="FV19:GK19" si="429">IF(OR(EP19="",DZ19=""),"",EP19*(IF(OR(DZ19="A",DZ19="a"),4,(IF(OR(DZ455="B",DZ19="b"),3,(IF(OR(DZ19="C",DZ19="c"),2,(IF(OR(DZ19="D",DZ19="d"),1.5,(IF(OR(DZ19="E",DZ19="e"),1,(IF(OR(DZ19="F",DZ19="f"),0)))))))))))))</f>
        <v>3</v>
      </c>
      <c r="FW19" s="24">
        <f t="shared" si="429"/>
        <v>4</v>
      </c>
      <c r="FX19" s="24">
        <f t="shared" si="429"/>
        <v>6</v>
      </c>
      <c r="FY19" s="24">
        <f t="shared" si="429"/>
        <v>2</v>
      </c>
      <c r="FZ19" s="24">
        <f t="shared" si="429"/>
        <v>10</v>
      </c>
      <c r="GA19" s="24">
        <f t="shared" si="429"/>
        <v>6</v>
      </c>
      <c r="GB19" s="24">
        <f t="shared" si="429"/>
        <v>4</v>
      </c>
      <c r="GC19" s="24">
        <f t="shared" si="429"/>
        <v>4</v>
      </c>
      <c r="GD19" s="24">
        <f t="shared" si="429"/>
        <v>4</v>
      </c>
      <c r="GE19" s="24">
        <f t="shared" si="429"/>
        <v>10</v>
      </c>
      <c r="GF19" s="24">
        <f t="shared" si="429"/>
        <v>2</v>
      </c>
      <c r="GG19" s="24">
        <f t="shared" si="429"/>
        <v>0</v>
      </c>
      <c r="GH19" s="24">
        <f t="shared" si="429"/>
        <v>3</v>
      </c>
      <c r="GI19" s="24">
        <f t="shared" si="429"/>
        <v>3</v>
      </c>
      <c r="GJ19" s="24">
        <f t="shared" si="429"/>
        <v>4</v>
      </c>
      <c r="GK19" s="24">
        <f t="shared" si="429"/>
        <v>3</v>
      </c>
      <c r="GL19" s="24">
        <f t="shared" si="318"/>
        <v>20</v>
      </c>
      <c r="GM19" s="26">
        <f t="shared" si="319"/>
        <v>1538.8166666666668</v>
      </c>
      <c r="GN19" s="26">
        <f t="shared" si="320"/>
        <v>43</v>
      </c>
      <c r="GO19" s="26">
        <f t="shared" si="321"/>
        <v>76.940833333333345</v>
      </c>
      <c r="GP19" s="24" t="str">
        <f t="shared" si="322"/>
        <v>C</v>
      </c>
      <c r="GQ19" s="26">
        <f t="shared" si="323"/>
        <v>2.15</v>
      </c>
      <c r="GR19" s="24">
        <f t="shared" si="324"/>
        <v>20</v>
      </c>
      <c r="GS19" s="26">
        <f t="shared" si="325"/>
        <v>1256.0416666666665</v>
      </c>
      <c r="GT19" s="26">
        <f t="shared" si="326"/>
        <v>25</v>
      </c>
      <c r="GU19" s="26">
        <f t="shared" si="327"/>
        <v>62.802083333333329</v>
      </c>
      <c r="GV19" s="24" t="str">
        <f t="shared" si="328"/>
        <v>D</v>
      </c>
      <c r="GW19" s="27">
        <f t="shared" si="329"/>
        <v>1.25</v>
      </c>
      <c r="GX19" s="24">
        <f t="shared" si="330"/>
        <v>40</v>
      </c>
      <c r="GY19" s="26">
        <f t="shared" si="331"/>
        <v>2794.8583333333336</v>
      </c>
      <c r="GZ19" s="26">
        <f t="shared" si="332"/>
        <v>68</v>
      </c>
      <c r="HA19" s="26">
        <f t="shared" si="333"/>
        <v>69.871458333333337</v>
      </c>
      <c r="HB19" s="27" t="str">
        <f t="shared" si="334"/>
        <v>D</v>
      </c>
      <c r="HC19" s="26">
        <f t="shared" si="335"/>
        <v>1.7</v>
      </c>
      <c r="HD19" s="24">
        <f t="shared" si="336"/>
        <v>11</v>
      </c>
      <c r="HE19" s="24" t="str">
        <f t="shared" si="337"/>
        <v>6A</v>
      </c>
      <c r="HF19" s="24">
        <f t="shared" si="338"/>
        <v>13</v>
      </c>
      <c r="HG19" s="24">
        <f>IF(B19="","",FinalSem2!$C$8)</f>
        <v>104</v>
      </c>
      <c r="HH19" s="24">
        <f>IF(A19="","",FinalSem2!PH19)</f>
        <v>0</v>
      </c>
      <c r="HI19" s="24">
        <f>IF(B19="","",FinalSem2!PI19)</f>
        <v>0</v>
      </c>
      <c r="HJ19" s="24">
        <f>IF(C19="","",FinalSem2!PJ19)</f>
        <v>0</v>
      </c>
      <c r="HK19" s="24">
        <f t="shared" si="339"/>
        <v>0</v>
      </c>
      <c r="HL19" s="25">
        <f t="shared" si="340"/>
        <v>1</v>
      </c>
      <c r="HM19" s="26">
        <f>IF($B$15="","",IF(FinalSem2!LJ19="","",IF(AND(FinalSem1!LI19,FinalSem2!LJ19)="","",AVERAGE(FinalSem1!LI19,FinalSem2!LJ19))))</f>
        <v>61.75</v>
      </c>
      <c r="HN19" s="26">
        <f>IF($B$15="","",IF(FinalSem2!LK19="","",IF(AND(FinalSem1!LJ19,FinalSem2!LK19)="","",AVERAGE(FinalSem1!LJ19,FinalSem2!LK19))))</f>
        <v>72.44583333333334</v>
      </c>
      <c r="HO19" s="26">
        <f>IF($B$15="","",IF(FinalSem2!LL19="","",IF(AND(FinalSem1!LK19,FinalSem2!LL19)="","",AVERAGE(FinalSem1!LK19,FinalSem2!LL19))))</f>
        <v>78.00833333333334</v>
      </c>
      <c r="HP19" s="26">
        <f>IF($B$15="","",IF(FinalSem2!LM19="","",IF(AND(FinalSem1!LL19,FinalSem2!LM19)="","",AVERAGE(FinalSem1!LL19,FinalSem2!LM19))))</f>
        <v>71.916666666666671</v>
      </c>
      <c r="HQ19" s="26">
        <f>IF($B$15="","",IF(FinalSem2!LN19="","",IF(AND(FinalSem1!LM19,FinalSem2!LN19)="","",AVERAGE(FinalSem1!LM19,FinalSem2!LN19))))</f>
        <v>78.391666666666666</v>
      </c>
      <c r="HR19" s="26">
        <f>IF($B$15="","",IF(FinalSem2!LO19="","",IF(AND(FinalSem1!LN19,FinalSem2!LO19)="","",AVERAGE(FinalSem1!LN19,FinalSem2!LO19))))</f>
        <v>69.284166666666664</v>
      </c>
      <c r="HS19" s="26">
        <f>IF($B$15="","",IF(FinalSem2!LP19="","",IF(AND(FinalSem1!LO19,FinalSem2!LP19)="","",AVERAGE(FinalSem1!LO19,FinalSem2!LP19))))</f>
        <v>69.720833333333331</v>
      </c>
      <c r="HT19" s="26">
        <f>IF($B$15="","",IF(FinalSem2!LQ19="","",IF(AND(FinalSem1!LP19,FinalSem2!LQ19)="","",AVERAGE(FinalSem1!LP19,FinalSem2!LQ19))))</f>
        <v>89.583333333333343</v>
      </c>
      <c r="HU19" s="26">
        <f>IF($B$15="","",IF(FinalSem2!LR19="","",IF(AND(FinalSem1!LQ19,FinalSem2!LR19)="","",AVERAGE(FinalSem1!LQ19,FinalSem2!LR19))))</f>
        <v>89.583333333333343</v>
      </c>
      <c r="HV19" s="26">
        <f>IF($B$15="","",IF(FinalSem2!LS19="","",IF(AND(FinalSem1!LR19,FinalSem2!LS19)="","",AVERAGE(FinalSem1!LR19,FinalSem2!LS19))))</f>
        <v>78.438749999999999</v>
      </c>
      <c r="HW19" s="26">
        <f>IF($B$15="","",IF(FinalSem2!LT19="","",IF(AND(FinalSem1!LS19,FinalSem2!LT19)="","",AVERAGE(FinalSem1!LS19,FinalSem2!LT19))))</f>
        <v>78.377499999999998</v>
      </c>
      <c r="HX19" s="26">
        <f>IF($B$15="","",IF(FinalSem2!LU19="","",IF(AND(FinalSem1!LT19,FinalSem2!LU19)="","",AVERAGE(FinalSem1!LT19,FinalSem2!LU19))))</f>
        <v>46.066249999999997</v>
      </c>
      <c r="HY19" s="26">
        <f>IF($B$15="","",IF(FinalSem2!LV19="","",IF(AND(FinalSem1!LU19,FinalSem2!LV19)="","",AVERAGE(FinalSem1!LU19,FinalSem2!LV19))))</f>
        <v>55.160340909090905</v>
      </c>
      <c r="HZ19" s="26">
        <f>IF($B$15="","",IF(FinalSem2!LW19="","",IF(AND(FinalSem1!LV19,FinalSem2!LW19)="","",AVERAGE(FinalSem1!LV19,FinalSem2!LW19))))</f>
        <v>62.179166666666667</v>
      </c>
      <c r="IA19" s="26">
        <f>IF($B$15="","",IF(FinalSem2!LX19="","",IF(AND(FinalSem1!LW19,FinalSem2!LX19)="","",AVERAGE(FinalSem1!LW19,FinalSem2!LX19))))</f>
        <v>79.25</v>
      </c>
      <c r="IB19" s="26">
        <f>IF($B$15="","",IF(FinalSem2!LY19="","",IF(AND(FinalSem1!LX19,FinalSem2!LY19)="","",AVERAGE(FinalSem1!LX19,FinalSem2!LY19))))</f>
        <v>65.416250000000005</v>
      </c>
      <c r="IC19" s="26" t="str">
        <f t="shared" si="341"/>
        <v>D</v>
      </c>
      <c r="ID19" s="26" t="str">
        <f t="shared" si="342"/>
        <v>C</v>
      </c>
      <c r="IE19" s="26" t="str">
        <f t="shared" si="343"/>
        <v>C</v>
      </c>
      <c r="IF19" s="26" t="str">
        <f t="shared" si="344"/>
        <v>C</v>
      </c>
      <c r="IG19" s="26" t="str">
        <f t="shared" si="345"/>
        <v>C</v>
      </c>
      <c r="IH19" s="26" t="str">
        <f t="shared" si="346"/>
        <v>D</v>
      </c>
      <c r="II19" s="26" t="str">
        <f t="shared" si="347"/>
        <v>D</v>
      </c>
      <c r="IJ19" s="26" t="str">
        <f t="shared" si="348"/>
        <v>B</v>
      </c>
      <c r="IK19" s="26" t="str">
        <f t="shared" si="349"/>
        <v>B</v>
      </c>
      <c r="IL19" s="24" t="str">
        <f t="shared" si="350"/>
        <v>C</v>
      </c>
      <c r="IM19" s="24" t="str">
        <f t="shared" si="351"/>
        <v>C</v>
      </c>
      <c r="IN19" s="24" t="str">
        <f t="shared" si="352"/>
        <v>F</v>
      </c>
      <c r="IO19" s="24" t="str">
        <f t="shared" si="353"/>
        <v>E</v>
      </c>
      <c r="IP19" s="24" t="str">
        <f t="shared" si="354"/>
        <v>D</v>
      </c>
      <c r="IQ19" s="24" t="str">
        <f t="shared" si="355"/>
        <v>C</v>
      </c>
      <c r="IR19" s="24" t="str">
        <f t="shared" si="356"/>
        <v>D</v>
      </c>
      <c r="IS19" s="24">
        <f t="shared" si="357"/>
        <v>4</v>
      </c>
      <c r="IT19" s="24">
        <f t="shared" si="358"/>
        <v>4</v>
      </c>
      <c r="IU19" s="24">
        <f t="shared" si="359"/>
        <v>6</v>
      </c>
      <c r="IV19" s="24">
        <f t="shared" si="360"/>
        <v>2</v>
      </c>
      <c r="IW19" s="24">
        <f t="shared" si="361"/>
        <v>10</v>
      </c>
      <c r="IX19" s="24">
        <f t="shared" si="362"/>
        <v>6</v>
      </c>
      <c r="IY19" s="24">
        <f t="shared" si="363"/>
        <v>4</v>
      </c>
      <c r="IZ19" s="24">
        <f t="shared" si="364"/>
        <v>2</v>
      </c>
      <c r="JA19" s="24">
        <f t="shared" si="365"/>
        <v>2</v>
      </c>
      <c r="JB19" s="24">
        <f t="shared" si="366"/>
        <v>10</v>
      </c>
      <c r="JC19" s="24">
        <f t="shared" si="367"/>
        <v>2</v>
      </c>
      <c r="JD19" s="24">
        <f t="shared" si="368"/>
        <v>10</v>
      </c>
      <c r="JE19" s="24">
        <f t="shared" si="369"/>
        <v>6</v>
      </c>
      <c r="JF19" s="24">
        <f t="shared" si="370"/>
        <v>4</v>
      </c>
      <c r="JG19" s="24">
        <f t="shared" si="371"/>
        <v>4</v>
      </c>
      <c r="JH19" s="24">
        <f t="shared" si="372"/>
        <v>4</v>
      </c>
      <c r="JI19" s="26">
        <f t="shared" si="373"/>
        <v>247</v>
      </c>
      <c r="JJ19" s="26">
        <f t="shared" si="374"/>
        <v>289.78333333333336</v>
      </c>
      <c r="JK19" s="26">
        <f t="shared" si="375"/>
        <v>468.05000000000007</v>
      </c>
      <c r="JL19" s="26">
        <f t="shared" si="376"/>
        <v>143.83333333333334</v>
      </c>
      <c r="JM19" s="26">
        <f t="shared" si="377"/>
        <v>783.91666666666663</v>
      </c>
      <c r="JN19" s="26">
        <f t="shared" si="378"/>
        <v>415.70499999999998</v>
      </c>
      <c r="JO19" s="26">
        <f t="shared" si="379"/>
        <v>278.88333333333333</v>
      </c>
      <c r="JP19" s="26">
        <f t="shared" si="380"/>
        <v>179.16666666666669</v>
      </c>
      <c r="JQ19" s="26">
        <f t="shared" si="381"/>
        <v>179.16666666666669</v>
      </c>
      <c r="JR19" s="26">
        <f t="shared" si="382"/>
        <v>784.38750000000005</v>
      </c>
      <c r="JS19" s="26">
        <f t="shared" si="383"/>
        <v>156.755</v>
      </c>
      <c r="JT19" s="26">
        <f t="shared" si="384"/>
        <v>460.66249999999997</v>
      </c>
      <c r="JU19" s="26">
        <f t="shared" si="385"/>
        <v>330.96204545454543</v>
      </c>
      <c r="JV19" s="26">
        <f t="shared" si="386"/>
        <v>248.71666666666667</v>
      </c>
      <c r="JW19" s="26">
        <f t="shared" si="387"/>
        <v>317</v>
      </c>
      <c r="JX19" s="26">
        <f t="shared" si="388"/>
        <v>261.66500000000002</v>
      </c>
      <c r="JY19" s="24">
        <f t="shared" ref="JY19:KN19" si="430">IF(OR(IS19="",IC19=""),"",IS19*(IF(OR(IC19="A",IC19="a"),4,(IF(OR(IC455="B",IC19="b"),3,(IF(OR(IC19="C",IC19="c"),2,(IF(OR(IC19="D",IC19="d"),1.5,(IF(OR(IC19="E",IC19="e"),1,(IF(OR(IC19="F",IC19="f"),0)))))))))))))</f>
        <v>6</v>
      </c>
      <c r="JZ19" s="24">
        <f t="shared" si="430"/>
        <v>8</v>
      </c>
      <c r="KA19" s="24">
        <f t="shared" si="430"/>
        <v>12</v>
      </c>
      <c r="KB19" s="24">
        <f t="shared" si="430"/>
        <v>4</v>
      </c>
      <c r="KC19" s="24">
        <f t="shared" si="430"/>
        <v>20</v>
      </c>
      <c r="KD19" s="24">
        <f t="shared" si="430"/>
        <v>9</v>
      </c>
      <c r="KE19" s="24">
        <f t="shared" si="430"/>
        <v>6</v>
      </c>
      <c r="KF19" s="24">
        <f t="shared" si="430"/>
        <v>6</v>
      </c>
      <c r="KG19" s="24">
        <f t="shared" si="430"/>
        <v>6</v>
      </c>
      <c r="KH19" s="24">
        <f t="shared" si="430"/>
        <v>20</v>
      </c>
      <c r="KI19" s="24">
        <f t="shared" si="430"/>
        <v>4</v>
      </c>
      <c r="KJ19" s="24">
        <f t="shared" si="430"/>
        <v>0</v>
      </c>
      <c r="KK19" s="24">
        <f t="shared" si="430"/>
        <v>6</v>
      </c>
      <c r="KL19" s="24">
        <f t="shared" si="430"/>
        <v>6</v>
      </c>
      <c r="KM19" s="24">
        <f t="shared" si="430"/>
        <v>8</v>
      </c>
      <c r="KN19" s="24">
        <f t="shared" si="430"/>
        <v>6</v>
      </c>
      <c r="KO19" s="24">
        <f t="shared" si="390"/>
        <v>40</v>
      </c>
      <c r="KP19" s="26">
        <f t="shared" si="391"/>
        <v>2985.5049999999997</v>
      </c>
      <c r="KQ19" s="26">
        <f t="shared" si="392"/>
        <v>77</v>
      </c>
      <c r="KR19" s="26">
        <f t="shared" si="393"/>
        <v>74.637624999999986</v>
      </c>
      <c r="KS19" s="24" t="str">
        <f t="shared" si="394"/>
        <v>C</v>
      </c>
      <c r="KT19" s="26">
        <f t="shared" si="395"/>
        <v>1.925</v>
      </c>
      <c r="KU19" s="24">
        <f t="shared" si="396"/>
        <v>40</v>
      </c>
      <c r="KV19" s="26">
        <f t="shared" si="397"/>
        <v>2560.1487121212122</v>
      </c>
      <c r="KW19" s="26">
        <f t="shared" si="398"/>
        <v>50</v>
      </c>
      <c r="KX19" s="26">
        <f t="shared" si="399"/>
        <v>64.003717803030298</v>
      </c>
      <c r="KY19" s="24" t="str">
        <f t="shared" si="400"/>
        <v>D</v>
      </c>
      <c r="KZ19" s="26">
        <f t="shared" si="401"/>
        <v>1.25</v>
      </c>
      <c r="LA19" s="24">
        <f t="shared" si="402"/>
        <v>80</v>
      </c>
      <c r="LB19" s="26">
        <f t="shared" si="403"/>
        <v>5545.6537121212123</v>
      </c>
      <c r="LC19" s="27">
        <f t="shared" si="404"/>
        <v>127</v>
      </c>
      <c r="LD19" s="26">
        <f t="shared" si="405"/>
        <v>69.320671401515156</v>
      </c>
      <c r="LE19" s="27" t="str">
        <f t="shared" si="406"/>
        <v>D</v>
      </c>
      <c r="LF19" s="26">
        <f t="shared" si="407"/>
        <v>1.5874999999999999</v>
      </c>
      <c r="LG19" s="24">
        <f t="shared" si="408"/>
        <v>10</v>
      </c>
      <c r="LH19" s="24" t="str">
        <f t="shared" si="409"/>
        <v>6A</v>
      </c>
      <c r="LI19" s="24">
        <f t="shared" si="410"/>
        <v>13</v>
      </c>
      <c r="LJ19" s="24">
        <f t="shared" si="411"/>
        <v>204</v>
      </c>
      <c r="LK19" s="24">
        <f t="shared" si="412"/>
        <v>0</v>
      </c>
      <c r="LL19" s="24">
        <f t="shared" si="413"/>
        <v>0</v>
      </c>
      <c r="LM19" s="24">
        <f t="shared" si="414"/>
        <v>0</v>
      </c>
      <c r="LN19" s="24">
        <f t="shared" si="415"/>
        <v>0</v>
      </c>
      <c r="LO19" s="25">
        <f t="shared" si="416"/>
        <v>1</v>
      </c>
      <c r="LP19" s="24" t="str">
        <f t="shared" si="417"/>
        <v>Pass - Promoted to Grade</v>
      </c>
      <c r="LQ19" s="24" t="str">
        <f t="shared" si="418"/>
        <v>ជាប់ត្រូវបានឡើងថ្នាក់ទី</v>
      </c>
      <c r="LR19" s="24">
        <f t="shared" si="419"/>
        <v>6</v>
      </c>
      <c r="LS19" s="24">
        <f t="shared" si="420"/>
        <v>7</v>
      </c>
    </row>
    <row r="20" spans="1:331" ht="27" customHeight="1" x14ac:dyDescent="0.35">
      <c r="A20" s="24">
        <f t="shared" si="421"/>
        <v>6</v>
      </c>
      <c r="B20" s="86" t="str">
        <f>IF(FinalSem2!B20="","",FinalSem2!B20)</f>
        <v>Pheng Meili</v>
      </c>
      <c r="C20" s="29" t="str">
        <f>IF(FinalSem2!C20="","",FinalSem2!C20)</f>
        <v>ផេង ម៉ីលី</v>
      </c>
      <c r="D20" s="24" t="str">
        <f>IF(FinalSem2!D20="","",FinalSem2!D20)</f>
        <v>F</v>
      </c>
      <c r="E20" s="24">
        <f>IF(FinalSem2!E20="","",FinalSem2!E20)</f>
        <v>720</v>
      </c>
      <c r="F20" s="24" t="str">
        <f>IF(FinalSem2!F20="","",FinalSem2!F20)</f>
        <v>I</v>
      </c>
      <c r="G20" s="26">
        <f>IF(FinalSem1!G20="","",FinalSem1!LI20)</f>
        <v>72.333333333333343</v>
      </c>
      <c r="H20" s="26">
        <f>IF(FinalSem1!H20="","",FinalSem1!LJ20)</f>
        <v>87.266666666666666</v>
      </c>
      <c r="I20" s="26">
        <f>IF(FinalSem1!I20="","",FinalSem1!LK20)</f>
        <v>92.266666666666666</v>
      </c>
      <c r="J20" s="26">
        <f>IF(FinalSem1!J20="","",FinalSem1!LL20)</f>
        <v>84.833333333333343</v>
      </c>
      <c r="K20" s="26">
        <f>IF(FinalSem1!K20="","",FinalSem1!LM20)</f>
        <v>78.766666666666666</v>
      </c>
      <c r="L20" s="26">
        <f>IF(FinalSem1!L20="","",FinalSem1!LN20)</f>
        <v>77.550000000000011</v>
      </c>
      <c r="M20" s="26">
        <f>IF(FinalSem1!M20="","",FinalSem1!LO20)</f>
        <v>74.933333333333337</v>
      </c>
      <c r="N20" s="26">
        <f>IF(FinalSem1!N20="","",FinalSem1!LP20)</f>
        <v>95.416666666666671</v>
      </c>
      <c r="O20" s="26">
        <f>IF(FinalSem1!O20="","",FinalSem1!LQ20)</f>
        <v>95.416666666666671</v>
      </c>
      <c r="P20" s="26">
        <f>IF(FinalSem1!P20="","",FinalSem1!LR20)</f>
        <v>90.844999999999999</v>
      </c>
      <c r="Q20" s="26">
        <f>IF(FinalSem1!Q20="","",FinalSem1!LS20)</f>
        <v>95.69</v>
      </c>
      <c r="R20" s="26">
        <f>IF(FinalSem1!R20="","",FinalSem1!LT20)</f>
        <v>60.552500000000002</v>
      </c>
      <c r="S20" s="26">
        <f>IF(FinalSem1!S20="","",FinalSem1!LU20)</f>
        <v>62.866666666666674</v>
      </c>
      <c r="T20" s="26">
        <f>IF(FinalSem1!T20="","",FinalSem1!LV20)</f>
        <v>87.083333333333343</v>
      </c>
      <c r="U20" s="26">
        <f>IF(FinalSem1!U20="","",FinalSem1!LW20)</f>
        <v>93.625</v>
      </c>
      <c r="V20" s="26">
        <f>IF(FinalSem1!V20="","",FinalSem1!LX20)</f>
        <v>87.25</v>
      </c>
      <c r="W20" s="26" t="str">
        <f t="shared" si="197"/>
        <v>C</v>
      </c>
      <c r="X20" s="26" t="str">
        <f t="shared" si="198"/>
        <v>B</v>
      </c>
      <c r="Y20" s="26" t="str">
        <f t="shared" si="199"/>
        <v>A</v>
      </c>
      <c r="Z20" s="26" t="str">
        <f t="shared" si="200"/>
        <v>B</v>
      </c>
      <c r="AA20" s="26" t="str">
        <f t="shared" si="201"/>
        <v>C</v>
      </c>
      <c r="AB20" s="26" t="str">
        <f t="shared" si="202"/>
        <v>C</v>
      </c>
      <c r="AC20" s="26" t="str">
        <f t="shared" si="203"/>
        <v>C</v>
      </c>
      <c r="AD20" s="26" t="str">
        <f t="shared" si="204"/>
        <v>A</v>
      </c>
      <c r="AE20" s="26" t="str">
        <f t="shared" si="205"/>
        <v>A</v>
      </c>
      <c r="AF20" s="24" t="str">
        <f t="shared" si="206"/>
        <v>A</v>
      </c>
      <c r="AG20" s="24" t="str">
        <f t="shared" si="207"/>
        <v>A</v>
      </c>
      <c r="AH20" s="24" t="str">
        <f t="shared" si="208"/>
        <v>D</v>
      </c>
      <c r="AI20" s="24" t="str">
        <f t="shared" si="209"/>
        <v>D</v>
      </c>
      <c r="AJ20" s="24" t="str">
        <f t="shared" si="210"/>
        <v>B</v>
      </c>
      <c r="AK20" s="24" t="str">
        <f t="shared" si="211"/>
        <v>A</v>
      </c>
      <c r="AL20" s="24" t="str">
        <f t="shared" si="212"/>
        <v>B</v>
      </c>
      <c r="AM20" s="24">
        <f t="shared" si="213"/>
        <v>2</v>
      </c>
      <c r="AN20" s="24">
        <f t="shared" si="214"/>
        <v>2</v>
      </c>
      <c r="AO20" s="24">
        <f t="shared" si="215"/>
        <v>3</v>
      </c>
      <c r="AP20" s="24">
        <f t="shared" si="216"/>
        <v>1</v>
      </c>
      <c r="AQ20" s="24">
        <f t="shared" si="217"/>
        <v>5</v>
      </c>
      <c r="AR20" s="24">
        <f t="shared" si="218"/>
        <v>3</v>
      </c>
      <c r="AS20" s="24">
        <f t="shared" si="219"/>
        <v>2</v>
      </c>
      <c r="AT20" s="24">
        <f t="shared" si="220"/>
        <v>1</v>
      </c>
      <c r="AU20" s="24">
        <f t="shared" si="221"/>
        <v>1</v>
      </c>
      <c r="AV20" s="24">
        <f t="shared" si="222"/>
        <v>5</v>
      </c>
      <c r="AW20" s="24">
        <f t="shared" si="223"/>
        <v>1</v>
      </c>
      <c r="AX20" s="24">
        <f t="shared" si="224"/>
        <v>5</v>
      </c>
      <c r="AY20" s="24">
        <f t="shared" si="225"/>
        <v>3</v>
      </c>
      <c r="AZ20" s="24">
        <f t="shared" si="226"/>
        <v>2</v>
      </c>
      <c r="BA20" s="24">
        <f t="shared" si="227"/>
        <v>2</v>
      </c>
      <c r="BB20" s="24">
        <f t="shared" si="228"/>
        <v>2</v>
      </c>
      <c r="BC20" s="26">
        <f t="shared" si="229"/>
        <v>144.66666666666669</v>
      </c>
      <c r="BD20" s="26">
        <f t="shared" si="230"/>
        <v>174.53333333333333</v>
      </c>
      <c r="BE20" s="26">
        <f t="shared" si="231"/>
        <v>276.8</v>
      </c>
      <c r="BF20" s="26">
        <f t="shared" si="232"/>
        <v>84.833333333333343</v>
      </c>
      <c r="BG20" s="26">
        <f t="shared" si="233"/>
        <v>393.83333333333331</v>
      </c>
      <c r="BH20" s="26">
        <f t="shared" si="234"/>
        <v>232.65000000000003</v>
      </c>
      <c r="BI20" s="26">
        <f t="shared" si="235"/>
        <v>149.86666666666667</v>
      </c>
      <c r="BJ20" s="26">
        <f t="shared" si="236"/>
        <v>95.416666666666671</v>
      </c>
      <c r="BK20" s="26">
        <f t="shared" si="237"/>
        <v>95.416666666666671</v>
      </c>
      <c r="BL20" s="26">
        <f t="shared" si="238"/>
        <v>454.22500000000002</v>
      </c>
      <c r="BM20" s="26">
        <f t="shared" si="239"/>
        <v>95.69</v>
      </c>
      <c r="BN20" s="26">
        <f t="shared" si="240"/>
        <v>302.76249999999999</v>
      </c>
      <c r="BO20" s="26">
        <f t="shared" si="241"/>
        <v>188.60000000000002</v>
      </c>
      <c r="BP20" s="26">
        <f t="shared" si="242"/>
        <v>174.16666666666669</v>
      </c>
      <c r="BQ20" s="26">
        <f t="shared" si="243"/>
        <v>187.25</v>
      </c>
      <c r="BR20" s="26">
        <f t="shared" si="244"/>
        <v>174.5</v>
      </c>
      <c r="BS20" s="24">
        <f t="shared" ref="BS20:CH20" si="431">IF(OR(AM20="",W20=""),"",AM20*(IF(OR(W20="A",W20="a"),4,(IF(OR(W456="B",W20="b"),3,(IF(OR(W20="C",W20="c"),2,(IF(OR(W20="D",W20="d"),1.5,(IF(OR(W20="E",W20="e"),1,(IF(OR(W20="F",W20="f"),0)))))))))))))</f>
        <v>4</v>
      </c>
      <c r="BT20" s="24">
        <f t="shared" si="431"/>
        <v>6</v>
      </c>
      <c r="BU20" s="24">
        <f t="shared" si="431"/>
        <v>12</v>
      </c>
      <c r="BV20" s="24">
        <f t="shared" si="431"/>
        <v>3</v>
      </c>
      <c r="BW20" s="24">
        <f t="shared" si="431"/>
        <v>10</v>
      </c>
      <c r="BX20" s="24">
        <f t="shared" si="431"/>
        <v>6</v>
      </c>
      <c r="BY20" s="24">
        <f t="shared" si="431"/>
        <v>4</v>
      </c>
      <c r="BZ20" s="24">
        <f t="shared" si="431"/>
        <v>4</v>
      </c>
      <c r="CA20" s="24">
        <f t="shared" si="431"/>
        <v>4</v>
      </c>
      <c r="CB20" s="24">
        <f t="shared" si="431"/>
        <v>20</v>
      </c>
      <c r="CC20" s="24">
        <f t="shared" si="431"/>
        <v>4</v>
      </c>
      <c r="CD20" s="24">
        <f t="shared" si="431"/>
        <v>7.5</v>
      </c>
      <c r="CE20" s="24">
        <f t="shared" si="431"/>
        <v>4.5</v>
      </c>
      <c r="CF20" s="24">
        <f t="shared" si="431"/>
        <v>6</v>
      </c>
      <c r="CG20" s="24">
        <f t="shared" si="431"/>
        <v>8</v>
      </c>
      <c r="CH20" s="24">
        <f t="shared" si="431"/>
        <v>6</v>
      </c>
      <c r="CI20" s="24">
        <f t="shared" si="246"/>
        <v>20</v>
      </c>
      <c r="CJ20" s="24">
        <f t="shared" si="247"/>
        <v>1904.6941666666669</v>
      </c>
      <c r="CK20" s="26">
        <f t="shared" si="248"/>
        <v>62.5</v>
      </c>
      <c r="CL20" s="26">
        <f t="shared" si="249"/>
        <v>95.234708333333344</v>
      </c>
      <c r="CM20" s="24" t="str">
        <f t="shared" si="250"/>
        <v>A</v>
      </c>
      <c r="CN20" s="26">
        <f t="shared" si="251"/>
        <v>3.125</v>
      </c>
      <c r="CO20" s="24">
        <f t="shared" si="252"/>
        <v>20</v>
      </c>
      <c r="CP20" s="26">
        <f t="shared" si="253"/>
        <v>1577.1941666666669</v>
      </c>
      <c r="CQ20" s="26">
        <f t="shared" si="254"/>
        <v>56</v>
      </c>
      <c r="CR20" s="26">
        <f t="shared" si="255"/>
        <v>78.859708333333344</v>
      </c>
      <c r="CS20" s="24" t="str">
        <f t="shared" si="256"/>
        <v>C</v>
      </c>
      <c r="CT20" s="26">
        <f t="shared" si="257"/>
        <v>2.8</v>
      </c>
      <c r="CU20" s="24">
        <f t="shared" si="258"/>
        <v>40</v>
      </c>
      <c r="CV20" s="26">
        <f t="shared" si="259"/>
        <v>3225.2108333333331</v>
      </c>
      <c r="CW20" s="26">
        <f t="shared" si="260"/>
        <v>109</v>
      </c>
      <c r="CX20" s="26">
        <f t="shared" si="261"/>
        <v>80.630270833333327</v>
      </c>
      <c r="CY20" s="27" t="str">
        <f t="shared" si="262"/>
        <v>B</v>
      </c>
      <c r="CZ20" s="26">
        <f t="shared" si="263"/>
        <v>2.7250000000000001</v>
      </c>
      <c r="DA20" s="24">
        <f t="shared" si="264"/>
        <v>4</v>
      </c>
      <c r="DB20" s="24" t="str">
        <f t="shared" si="265"/>
        <v>6A</v>
      </c>
      <c r="DC20" s="24">
        <f t="shared" si="266"/>
        <v>13</v>
      </c>
      <c r="DD20" s="24">
        <f>IF(B20="","",FinalSem1!$C$8)</f>
        <v>100</v>
      </c>
      <c r="DE20" s="24">
        <f>IF(A20="","",FinalSem1!PG20)</f>
        <v>0</v>
      </c>
      <c r="DF20" s="24">
        <f>IF(B20="","",FinalSem1!PH20)</f>
        <v>0</v>
      </c>
      <c r="DG20" s="24">
        <f>IF(B20="","",FinalSem1!PI20)</f>
        <v>0</v>
      </c>
      <c r="DH20" s="24">
        <f t="shared" si="267"/>
        <v>0</v>
      </c>
      <c r="DI20" s="25">
        <f t="shared" si="268"/>
        <v>1</v>
      </c>
      <c r="DJ20" s="26">
        <f>IF(FinalSem2!G20="","",FinalSem2!LJ20)</f>
        <v>91.833333333333343</v>
      </c>
      <c r="DK20" s="26">
        <f>IF(FinalSem2!H20="","",FinalSem2!LK20)</f>
        <v>91.416666666666671</v>
      </c>
      <c r="DL20" s="26">
        <f>IF(FinalSem2!I20="","",FinalSem2!LL20)</f>
        <v>92.033333333333331</v>
      </c>
      <c r="DM20" s="26">
        <f>IF(FinalSem2!J20="","",FinalSem2!LM20)</f>
        <v>93.166666666666671</v>
      </c>
      <c r="DN20" s="26">
        <f>IF(FinalSem2!K20="","",FinalSem2!LN20)</f>
        <v>78.38333333333334</v>
      </c>
      <c r="DO20" s="26">
        <f>IF(FinalSem2!L20="","",FinalSem2!LO20)</f>
        <v>87.325000000000003</v>
      </c>
      <c r="DP20" s="26">
        <f>IF(FinalSem2!M20="","",FinalSem2!LP20)</f>
        <v>87.825000000000003</v>
      </c>
      <c r="DQ20" s="26">
        <f>IF(FinalSem2!N20="","",FinalSem2!LQ20)</f>
        <v>98</v>
      </c>
      <c r="DR20" s="26">
        <f>IF(FinalSem2!O20="","",FinalSem2!LR20)</f>
        <v>98</v>
      </c>
      <c r="DS20" s="26">
        <f>IF(FinalSem2!P20="","",FinalSem2!LS20)</f>
        <v>87.048333333333332</v>
      </c>
      <c r="DT20" s="26">
        <f>IF(FinalSem2!Q20="","",FinalSem2!LT20)</f>
        <v>79.096666666666664</v>
      </c>
      <c r="DU20" s="26">
        <f>IF(FinalSem2!R20="","",FinalSem2!LU20)</f>
        <v>65.447500000000005</v>
      </c>
      <c r="DV20" s="26">
        <f>IF(FinalSem2!S20="","",FinalSem2!LV20)</f>
        <v>71.822499999999991</v>
      </c>
      <c r="DW20" s="26">
        <f>IF(FinalSem2!T20="","",FinalSem2!LW20)</f>
        <v>90.125</v>
      </c>
      <c r="DX20" s="26">
        <f>IF(FinalSem2!U20="","",FinalSem2!LX20)</f>
        <v>90.666666666666671</v>
      </c>
      <c r="DY20" s="26">
        <f>IF(FinalSem2!V20="","",FinalSem2!LY20)</f>
        <v>86.208333333333343</v>
      </c>
      <c r="DZ20" s="26" t="str">
        <f t="shared" si="269"/>
        <v>A</v>
      </c>
      <c r="EA20" s="26" t="str">
        <f t="shared" si="270"/>
        <v>A</v>
      </c>
      <c r="EB20" s="26" t="str">
        <f t="shared" si="271"/>
        <v>A</v>
      </c>
      <c r="EC20" s="26" t="str">
        <f t="shared" si="272"/>
        <v>A</v>
      </c>
      <c r="ED20" s="26" t="str">
        <f t="shared" si="273"/>
        <v>C</v>
      </c>
      <c r="EE20" s="26" t="str">
        <f t="shared" si="274"/>
        <v>B</v>
      </c>
      <c r="EF20" s="26" t="str">
        <f t="shared" si="275"/>
        <v>B</v>
      </c>
      <c r="EG20" s="26" t="str">
        <f t="shared" si="276"/>
        <v>A</v>
      </c>
      <c r="EH20" s="26" t="str">
        <f t="shared" si="277"/>
        <v>A</v>
      </c>
      <c r="EI20" s="24" t="str">
        <f t="shared" si="278"/>
        <v>B</v>
      </c>
      <c r="EJ20" s="24" t="str">
        <f t="shared" si="279"/>
        <v>C</v>
      </c>
      <c r="EK20" s="24" t="str">
        <f t="shared" si="280"/>
        <v>D</v>
      </c>
      <c r="EL20" s="24" t="str">
        <f t="shared" si="281"/>
        <v>C</v>
      </c>
      <c r="EM20" s="24" t="str">
        <f t="shared" si="282"/>
        <v>A</v>
      </c>
      <c r="EN20" s="24" t="str">
        <f t="shared" si="283"/>
        <v>A</v>
      </c>
      <c r="EO20" s="24" t="str">
        <f t="shared" si="284"/>
        <v>B</v>
      </c>
      <c r="EP20" s="24">
        <f t="shared" si="285"/>
        <v>2</v>
      </c>
      <c r="EQ20" s="24">
        <f t="shared" si="286"/>
        <v>2</v>
      </c>
      <c r="ER20" s="24">
        <f t="shared" si="287"/>
        <v>3</v>
      </c>
      <c r="ES20" s="24">
        <f t="shared" si="288"/>
        <v>1</v>
      </c>
      <c r="ET20" s="24">
        <f t="shared" si="289"/>
        <v>5</v>
      </c>
      <c r="EU20" s="24">
        <f t="shared" si="290"/>
        <v>3</v>
      </c>
      <c r="EV20" s="24">
        <f t="shared" si="291"/>
        <v>2</v>
      </c>
      <c r="EW20" s="24">
        <f t="shared" si="292"/>
        <v>1</v>
      </c>
      <c r="EX20" s="24">
        <f t="shared" si="293"/>
        <v>1</v>
      </c>
      <c r="EY20" s="24">
        <f t="shared" si="294"/>
        <v>5</v>
      </c>
      <c r="EZ20" s="24">
        <f t="shared" si="295"/>
        <v>1</v>
      </c>
      <c r="FA20" s="24">
        <f t="shared" si="296"/>
        <v>5</v>
      </c>
      <c r="FB20" s="24">
        <f t="shared" si="297"/>
        <v>3</v>
      </c>
      <c r="FC20" s="24">
        <f t="shared" si="298"/>
        <v>2</v>
      </c>
      <c r="FD20" s="24">
        <f t="shared" si="299"/>
        <v>2</v>
      </c>
      <c r="FE20" s="24">
        <f t="shared" si="300"/>
        <v>2</v>
      </c>
      <c r="FF20" s="26">
        <f t="shared" si="301"/>
        <v>183.66666666666669</v>
      </c>
      <c r="FG20" s="26">
        <f t="shared" si="302"/>
        <v>182.83333333333334</v>
      </c>
      <c r="FH20" s="26">
        <f t="shared" si="303"/>
        <v>276.10000000000002</v>
      </c>
      <c r="FI20" s="26">
        <f t="shared" si="304"/>
        <v>93.166666666666671</v>
      </c>
      <c r="FJ20" s="26">
        <f t="shared" si="305"/>
        <v>391.91666666666669</v>
      </c>
      <c r="FK20" s="26">
        <f t="shared" si="306"/>
        <v>261.97500000000002</v>
      </c>
      <c r="FL20" s="26">
        <f t="shared" si="307"/>
        <v>175.65</v>
      </c>
      <c r="FM20" s="26">
        <f t="shared" si="308"/>
        <v>98</v>
      </c>
      <c r="FN20" s="26">
        <f t="shared" si="309"/>
        <v>98</v>
      </c>
      <c r="FO20" s="26">
        <f t="shared" si="310"/>
        <v>435.24166666666667</v>
      </c>
      <c r="FP20" s="26">
        <f t="shared" si="311"/>
        <v>79.096666666666664</v>
      </c>
      <c r="FQ20" s="26">
        <f t="shared" si="312"/>
        <v>327.23750000000001</v>
      </c>
      <c r="FR20" s="26">
        <f t="shared" si="313"/>
        <v>215.46749999999997</v>
      </c>
      <c r="FS20" s="26">
        <f t="shared" si="314"/>
        <v>180.25</v>
      </c>
      <c r="FT20" s="26">
        <f t="shared" si="315"/>
        <v>181.33333333333334</v>
      </c>
      <c r="FU20" s="26">
        <f t="shared" si="316"/>
        <v>172.41666666666669</v>
      </c>
      <c r="FV20" s="24">
        <f t="shared" ref="FV20:GK20" si="432">IF(OR(EP20="",DZ20=""),"",EP20*(IF(OR(DZ20="A",DZ20="a"),4,(IF(OR(DZ456="B",DZ20="b"),3,(IF(OR(DZ20="C",DZ20="c"),2,(IF(OR(DZ20="D",DZ20="d"),1.5,(IF(OR(DZ20="E",DZ20="e"),1,(IF(OR(DZ20="F",DZ20="f"),0)))))))))))))</f>
        <v>8</v>
      </c>
      <c r="FW20" s="24">
        <f t="shared" si="432"/>
        <v>8</v>
      </c>
      <c r="FX20" s="24">
        <f t="shared" si="432"/>
        <v>12</v>
      </c>
      <c r="FY20" s="24">
        <f t="shared" si="432"/>
        <v>4</v>
      </c>
      <c r="FZ20" s="24">
        <f t="shared" si="432"/>
        <v>10</v>
      </c>
      <c r="GA20" s="24">
        <f t="shared" si="432"/>
        <v>9</v>
      </c>
      <c r="GB20" s="24">
        <f t="shared" si="432"/>
        <v>6</v>
      </c>
      <c r="GC20" s="24">
        <f t="shared" si="432"/>
        <v>4</v>
      </c>
      <c r="GD20" s="24">
        <f t="shared" si="432"/>
        <v>4</v>
      </c>
      <c r="GE20" s="24">
        <f t="shared" si="432"/>
        <v>15</v>
      </c>
      <c r="GF20" s="24">
        <f t="shared" si="432"/>
        <v>2</v>
      </c>
      <c r="GG20" s="24">
        <f t="shared" si="432"/>
        <v>7.5</v>
      </c>
      <c r="GH20" s="24">
        <f t="shared" si="432"/>
        <v>6</v>
      </c>
      <c r="GI20" s="24">
        <f t="shared" si="432"/>
        <v>8</v>
      </c>
      <c r="GJ20" s="24">
        <f t="shared" si="432"/>
        <v>8</v>
      </c>
      <c r="GK20" s="24">
        <f t="shared" si="432"/>
        <v>6</v>
      </c>
      <c r="GL20" s="24">
        <f t="shared" si="318"/>
        <v>20</v>
      </c>
      <c r="GM20" s="26">
        <f t="shared" si="319"/>
        <v>1761.3083333333334</v>
      </c>
      <c r="GN20" s="26">
        <f t="shared" si="320"/>
        <v>65</v>
      </c>
      <c r="GO20" s="26">
        <f t="shared" si="321"/>
        <v>88.065416666666664</v>
      </c>
      <c r="GP20" s="24" t="str">
        <f t="shared" si="322"/>
        <v>B</v>
      </c>
      <c r="GQ20" s="26">
        <f t="shared" si="323"/>
        <v>3.25</v>
      </c>
      <c r="GR20" s="24">
        <f t="shared" si="324"/>
        <v>20</v>
      </c>
      <c r="GS20" s="26">
        <f t="shared" si="325"/>
        <v>1591.0433333333333</v>
      </c>
      <c r="GT20" s="26">
        <f t="shared" si="326"/>
        <v>52.5</v>
      </c>
      <c r="GU20" s="26">
        <f t="shared" si="327"/>
        <v>79.552166666666665</v>
      </c>
      <c r="GV20" s="24" t="str">
        <f t="shared" si="328"/>
        <v>C</v>
      </c>
      <c r="GW20" s="27">
        <f t="shared" si="329"/>
        <v>2.625</v>
      </c>
      <c r="GX20" s="24">
        <f t="shared" si="330"/>
        <v>40</v>
      </c>
      <c r="GY20" s="26">
        <f t="shared" si="331"/>
        <v>3352.3516666666674</v>
      </c>
      <c r="GZ20" s="26">
        <f t="shared" si="332"/>
        <v>117.5</v>
      </c>
      <c r="HA20" s="26">
        <f t="shared" si="333"/>
        <v>83.808791666666679</v>
      </c>
      <c r="HB20" s="27" t="str">
        <f t="shared" si="334"/>
        <v>B</v>
      </c>
      <c r="HC20" s="26">
        <f t="shared" si="335"/>
        <v>2.9375</v>
      </c>
      <c r="HD20" s="24">
        <f t="shared" si="336"/>
        <v>3</v>
      </c>
      <c r="HE20" s="24" t="str">
        <f t="shared" si="337"/>
        <v>6A</v>
      </c>
      <c r="HF20" s="24">
        <f t="shared" si="338"/>
        <v>13</v>
      </c>
      <c r="HG20" s="24">
        <f>IF(B20="","",FinalSem2!$C$8)</f>
        <v>104</v>
      </c>
      <c r="HH20" s="24">
        <f>IF(A20="","",FinalSem2!PH20)</f>
        <v>0</v>
      </c>
      <c r="HI20" s="24">
        <f>IF(B20="","",FinalSem2!PI20)</f>
        <v>0</v>
      </c>
      <c r="HJ20" s="24">
        <f>IF(C20="","",FinalSem2!PJ20)</f>
        <v>0</v>
      </c>
      <c r="HK20" s="24">
        <f t="shared" si="339"/>
        <v>0</v>
      </c>
      <c r="HL20" s="25">
        <f t="shared" si="340"/>
        <v>1</v>
      </c>
      <c r="HM20" s="26">
        <f>IF($B$15="","",IF(FinalSem2!LJ20="","",IF(AND(FinalSem1!LI20,FinalSem2!LJ20)="","",AVERAGE(FinalSem1!LI20,FinalSem2!LJ20))))</f>
        <v>82.083333333333343</v>
      </c>
      <c r="HN20" s="26">
        <f>IF($B$15="","",IF(FinalSem2!LK20="","",IF(AND(FinalSem1!LJ20,FinalSem2!LK20)="","",AVERAGE(FinalSem1!LJ20,FinalSem2!LK20))))</f>
        <v>89.341666666666669</v>
      </c>
      <c r="HO20" s="26">
        <f>IF($B$15="","",IF(FinalSem2!LL20="","",IF(AND(FinalSem1!LK20,FinalSem2!LL20)="","",AVERAGE(FinalSem1!LK20,FinalSem2!LL20))))</f>
        <v>92.15</v>
      </c>
      <c r="HP20" s="26">
        <f>IF($B$15="","",IF(FinalSem2!LM20="","",IF(AND(FinalSem1!LL20,FinalSem2!LM20)="","",AVERAGE(FinalSem1!LL20,FinalSem2!LM20))))</f>
        <v>89</v>
      </c>
      <c r="HQ20" s="26">
        <f>IF($B$15="","",IF(FinalSem2!LN20="","",IF(AND(FinalSem1!LM20,FinalSem2!LN20)="","",AVERAGE(FinalSem1!LM20,FinalSem2!LN20))))</f>
        <v>78.575000000000003</v>
      </c>
      <c r="HR20" s="26">
        <f>IF($B$15="","",IF(FinalSem2!LO20="","",IF(AND(FinalSem1!LN20,FinalSem2!LO20)="","",AVERAGE(FinalSem1!LN20,FinalSem2!LO20))))</f>
        <v>82.4375</v>
      </c>
      <c r="HS20" s="26">
        <f>IF($B$15="","",IF(FinalSem2!LP20="","",IF(AND(FinalSem1!LO20,FinalSem2!LP20)="","",AVERAGE(FinalSem1!LO20,FinalSem2!LP20))))</f>
        <v>81.379166666666663</v>
      </c>
      <c r="HT20" s="26">
        <f>IF($B$15="","",IF(FinalSem2!LQ20="","",IF(AND(FinalSem1!LP20,FinalSem2!LQ20)="","",AVERAGE(FinalSem1!LP20,FinalSem2!LQ20))))</f>
        <v>96.708333333333343</v>
      </c>
      <c r="HU20" s="26">
        <f>IF($B$15="","",IF(FinalSem2!LR20="","",IF(AND(FinalSem1!LQ20,FinalSem2!LR20)="","",AVERAGE(FinalSem1!LQ20,FinalSem2!LR20))))</f>
        <v>96.708333333333343</v>
      </c>
      <c r="HV20" s="26">
        <f>IF($B$15="","",IF(FinalSem2!LS20="","",IF(AND(FinalSem1!LR20,FinalSem2!LS20)="","",AVERAGE(FinalSem1!LR20,FinalSem2!LS20))))</f>
        <v>88.946666666666658</v>
      </c>
      <c r="HW20" s="26">
        <f>IF($B$15="","",IF(FinalSem2!LT20="","",IF(AND(FinalSem1!LS20,FinalSem2!LT20)="","",AVERAGE(FinalSem1!LS20,FinalSem2!LT20))))</f>
        <v>87.393333333333331</v>
      </c>
      <c r="HX20" s="26">
        <f>IF($B$15="","",IF(FinalSem2!LU20="","",IF(AND(FinalSem1!LT20,FinalSem2!LU20)="","",AVERAGE(FinalSem1!LT20,FinalSem2!LU20))))</f>
        <v>63</v>
      </c>
      <c r="HY20" s="26">
        <f>IF($B$15="","",IF(FinalSem2!LV20="","",IF(AND(FinalSem1!LU20,FinalSem2!LV20)="","",AVERAGE(FinalSem1!LU20,FinalSem2!LV20))))</f>
        <v>67.344583333333333</v>
      </c>
      <c r="HZ20" s="26">
        <f>IF($B$15="","",IF(FinalSem2!LW20="","",IF(AND(FinalSem1!LV20,FinalSem2!LW20)="","",AVERAGE(FinalSem1!LV20,FinalSem2!LW20))))</f>
        <v>88.604166666666671</v>
      </c>
      <c r="IA20" s="26">
        <f>IF($B$15="","",IF(FinalSem2!LX20="","",IF(AND(FinalSem1!LW20,FinalSem2!LX20)="","",AVERAGE(FinalSem1!LW20,FinalSem2!LX20))))</f>
        <v>92.145833333333343</v>
      </c>
      <c r="IB20" s="26">
        <f>IF($B$15="","",IF(FinalSem2!LY20="","",IF(AND(FinalSem1!LX20,FinalSem2!LY20)="","",AVERAGE(FinalSem1!LX20,FinalSem2!LY20))))</f>
        <v>86.729166666666671</v>
      </c>
      <c r="IC20" s="26" t="str">
        <f t="shared" si="341"/>
        <v>B</v>
      </c>
      <c r="ID20" s="26" t="str">
        <f t="shared" si="342"/>
        <v>B</v>
      </c>
      <c r="IE20" s="26" t="str">
        <f t="shared" si="343"/>
        <v>A</v>
      </c>
      <c r="IF20" s="26" t="str">
        <f t="shared" si="344"/>
        <v>B</v>
      </c>
      <c r="IG20" s="26" t="str">
        <f t="shared" si="345"/>
        <v>C</v>
      </c>
      <c r="IH20" s="26" t="str">
        <f t="shared" si="346"/>
        <v>B</v>
      </c>
      <c r="II20" s="26" t="str">
        <f t="shared" si="347"/>
        <v>B</v>
      </c>
      <c r="IJ20" s="26" t="str">
        <f t="shared" si="348"/>
        <v>A</v>
      </c>
      <c r="IK20" s="26" t="str">
        <f t="shared" si="349"/>
        <v>A</v>
      </c>
      <c r="IL20" s="24" t="str">
        <f t="shared" si="350"/>
        <v>B</v>
      </c>
      <c r="IM20" s="24" t="str">
        <f t="shared" si="351"/>
        <v>B</v>
      </c>
      <c r="IN20" s="24" t="str">
        <f t="shared" si="352"/>
        <v>D</v>
      </c>
      <c r="IO20" s="24" t="str">
        <f t="shared" si="353"/>
        <v>D</v>
      </c>
      <c r="IP20" s="24" t="str">
        <f t="shared" si="354"/>
        <v>B</v>
      </c>
      <c r="IQ20" s="24" t="str">
        <f t="shared" si="355"/>
        <v>A</v>
      </c>
      <c r="IR20" s="24" t="str">
        <f t="shared" si="356"/>
        <v>B</v>
      </c>
      <c r="IS20" s="24">
        <f t="shared" si="357"/>
        <v>4</v>
      </c>
      <c r="IT20" s="24">
        <f t="shared" si="358"/>
        <v>4</v>
      </c>
      <c r="IU20" s="24">
        <f t="shared" si="359"/>
        <v>6</v>
      </c>
      <c r="IV20" s="24">
        <f t="shared" si="360"/>
        <v>2</v>
      </c>
      <c r="IW20" s="24">
        <f t="shared" si="361"/>
        <v>10</v>
      </c>
      <c r="IX20" s="24">
        <f t="shared" si="362"/>
        <v>6</v>
      </c>
      <c r="IY20" s="24">
        <f t="shared" si="363"/>
        <v>4</v>
      </c>
      <c r="IZ20" s="24">
        <f t="shared" si="364"/>
        <v>2</v>
      </c>
      <c r="JA20" s="24">
        <f t="shared" si="365"/>
        <v>2</v>
      </c>
      <c r="JB20" s="24">
        <f t="shared" si="366"/>
        <v>10</v>
      </c>
      <c r="JC20" s="24">
        <f t="shared" si="367"/>
        <v>2</v>
      </c>
      <c r="JD20" s="24">
        <f t="shared" si="368"/>
        <v>10</v>
      </c>
      <c r="JE20" s="24">
        <f t="shared" si="369"/>
        <v>6</v>
      </c>
      <c r="JF20" s="24">
        <f t="shared" si="370"/>
        <v>4</v>
      </c>
      <c r="JG20" s="24">
        <f t="shared" si="371"/>
        <v>4</v>
      </c>
      <c r="JH20" s="24">
        <f t="shared" si="372"/>
        <v>4</v>
      </c>
      <c r="JI20" s="26">
        <f t="shared" si="373"/>
        <v>328.33333333333337</v>
      </c>
      <c r="JJ20" s="26">
        <f t="shared" si="374"/>
        <v>357.36666666666667</v>
      </c>
      <c r="JK20" s="26">
        <f t="shared" si="375"/>
        <v>552.90000000000009</v>
      </c>
      <c r="JL20" s="26">
        <f t="shared" si="376"/>
        <v>178</v>
      </c>
      <c r="JM20" s="26">
        <f t="shared" si="377"/>
        <v>785.75</v>
      </c>
      <c r="JN20" s="26">
        <f t="shared" si="378"/>
        <v>494.625</v>
      </c>
      <c r="JO20" s="26">
        <f t="shared" si="379"/>
        <v>325.51666666666665</v>
      </c>
      <c r="JP20" s="26">
        <f t="shared" si="380"/>
        <v>193.41666666666669</v>
      </c>
      <c r="JQ20" s="26">
        <f t="shared" si="381"/>
        <v>193.41666666666669</v>
      </c>
      <c r="JR20" s="26">
        <f t="shared" si="382"/>
        <v>889.46666666666658</v>
      </c>
      <c r="JS20" s="26">
        <f t="shared" si="383"/>
        <v>174.78666666666666</v>
      </c>
      <c r="JT20" s="26">
        <f t="shared" si="384"/>
        <v>630</v>
      </c>
      <c r="JU20" s="26">
        <f t="shared" si="385"/>
        <v>404.0675</v>
      </c>
      <c r="JV20" s="26">
        <f t="shared" si="386"/>
        <v>354.41666666666669</v>
      </c>
      <c r="JW20" s="26">
        <f t="shared" si="387"/>
        <v>368.58333333333337</v>
      </c>
      <c r="JX20" s="26">
        <f t="shared" si="388"/>
        <v>346.91666666666669</v>
      </c>
      <c r="JY20" s="24">
        <f t="shared" ref="JY20:KN20" si="433">IF(OR(IS20="",IC20=""),"",IS20*(IF(OR(IC20="A",IC20="a"),4,(IF(OR(IC456="B",IC20="b"),3,(IF(OR(IC20="C",IC20="c"),2,(IF(OR(IC20="D",IC20="d"),1.5,(IF(OR(IC20="E",IC20="e"),1,(IF(OR(IC20="F",IC20="f"),0)))))))))))))</f>
        <v>12</v>
      </c>
      <c r="JZ20" s="24">
        <f t="shared" si="433"/>
        <v>12</v>
      </c>
      <c r="KA20" s="24">
        <f t="shared" si="433"/>
        <v>24</v>
      </c>
      <c r="KB20" s="24">
        <f t="shared" si="433"/>
        <v>6</v>
      </c>
      <c r="KC20" s="24">
        <f t="shared" si="433"/>
        <v>20</v>
      </c>
      <c r="KD20" s="24">
        <f t="shared" si="433"/>
        <v>18</v>
      </c>
      <c r="KE20" s="24">
        <f t="shared" si="433"/>
        <v>12</v>
      </c>
      <c r="KF20" s="24">
        <f t="shared" si="433"/>
        <v>8</v>
      </c>
      <c r="KG20" s="24">
        <f t="shared" si="433"/>
        <v>8</v>
      </c>
      <c r="KH20" s="24">
        <f t="shared" si="433"/>
        <v>30</v>
      </c>
      <c r="KI20" s="24">
        <f t="shared" si="433"/>
        <v>6</v>
      </c>
      <c r="KJ20" s="24">
        <f t="shared" si="433"/>
        <v>15</v>
      </c>
      <c r="KK20" s="24">
        <f t="shared" si="433"/>
        <v>9</v>
      </c>
      <c r="KL20" s="24">
        <f t="shared" si="433"/>
        <v>12</v>
      </c>
      <c r="KM20" s="24">
        <f t="shared" si="433"/>
        <v>16</v>
      </c>
      <c r="KN20" s="24">
        <f t="shared" si="433"/>
        <v>12</v>
      </c>
      <c r="KO20" s="24">
        <f t="shared" si="390"/>
        <v>40</v>
      </c>
      <c r="KP20" s="26">
        <f t="shared" si="391"/>
        <v>3409.3249999999998</v>
      </c>
      <c r="KQ20" s="26">
        <f t="shared" si="392"/>
        <v>120</v>
      </c>
      <c r="KR20" s="26">
        <f t="shared" si="393"/>
        <v>85.233125000000001</v>
      </c>
      <c r="KS20" s="24" t="str">
        <f t="shared" si="394"/>
        <v>B</v>
      </c>
      <c r="KT20" s="26">
        <f t="shared" si="395"/>
        <v>3</v>
      </c>
      <c r="KU20" s="24">
        <f t="shared" si="396"/>
        <v>40</v>
      </c>
      <c r="KV20" s="26">
        <f t="shared" si="397"/>
        <v>3168.2374999999997</v>
      </c>
      <c r="KW20" s="26">
        <f t="shared" si="398"/>
        <v>100</v>
      </c>
      <c r="KX20" s="26">
        <f t="shared" si="399"/>
        <v>79.20593749999999</v>
      </c>
      <c r="KY20" s="24" t="str">
        <f t="shared" si="400"/>
        <v>C</v>
      </c>
      <c r="KZ20" s="26">
        <f t="shared" si="401"/>
        <v>2.5</v>
      </c>
      <c r="LA20" s="24">
        <f t="shared" si="402"/>
        <v>80</v>
      </c>
      <c r="LB20" s="26">
        <f t="shared" si="403"/>
        <v>6577.5625</v>
      </c>
      <c r="LC20" s="27">
        <f t="shared" si="404"/>
        <v>220</v>
      </c>
      <c r="LD20" s="26">
        <f t="shared" si="405"/>
        <v>82.219531250000003</v>
      </c>
      <c r="LE20" s="27" t="str">
        <f t="shared" si="406"/>
        <v>B</v>
      </c>
      <c r="LF20" s="26">
        <f t="shared" si="407"/>
        <v>2.75</v>
      </c>
      <c r="LG20" s="24">
        <f t="shared" si="408"/>
        <v>4</v>
      </c>
      <c r="LH20" s="24" t="str">
        <f t="shared" si="409"/>
        <v>6A</v>
      </c>
      <c r="LI20" s="24">
        <f t="shared" si="410"/>
        <v>13</v>
      </c>
      <c r="LJ20" s="24">
        <f t="shared" si="411"/>
        <v>204</v>
      </c>
      <c r="LK20" s="24">
        <f t="shared" si="412"/>
        <v>0</v>
      </c>
      <c r="LL20" s="24">
        <f t="shared" si="413"/>
        <v>0</v>
      </c>
      <c r="LM20" s="24">
        <f t="shared" si="414"/>
        <v>0</v>
      </c>
      <c r="LN20" s="24">
        <f t="shared" si="415"/>
        <v>0</v>
      </c>
      <c r="LO20" s="25">
        <f t="shared" si="416"/>
        <v>1</v>
      </c>
      <c r="LP20" s="24" t="str">
        <f t="shared" si="417"/>
        <v>Pass - Promoted to Grade</v>
      </c>
      <c r="LQ20" s="24" t="str">
        <f t="shared" si="418"/>
        <v>ជាប់ត្រូវបានឡើងថ្នាក់ទី</v>
      </c>
      <c r="LR20" s="24">
        <f t="shared" si="419"/>
        <v>6</v>
      </c>
      <c r="LS20" s="24">
        <f t="shared" si="420"/>
        <v>7</v>
      </c>
    </row>
    <row r="21" spans="1:331" ht="27" customHeight="1" x14ac:dyDescent="0.35">
      <c r="A21" s="24">
        <f t="shared" si="421"/>
        <v>7</v>
      </c>
      <c r="B21" s="86" t="str">
        <f>IF(FinalSem2!B21="","",FinalSem2!B21)</f>
        <v>Vuthy Eanvisal</v>
      </c>
      <c r="C21" s="29" t="str">
        <f>IF(FinalSem2!C21="","",FinalSem2!C21)</f>
        <v>វុទ្ធី អ៊ានវិសាល</v>
      </c>
      <c r="D21" s="24" t="str">
        <f>IF(FinalSem2!D21="","",FinalSem2!D21)</f>
        <v>M</v>
      </c>
      <c r="E21" s="24">
        <f>IF(FinalSem2!E21="","",FinalSem2!E21)</f>
        <v>690</v>
      </c>
      <c r="F21" s="24" t="str">
        <f>IF(FinalSem2!F21="","",FinalSem2!F21)</f>
        <v>I</v>
      </c>
      <c r="G21" s="26">
        <f>IF(FinalSem1!G21="","",FinalSem1!LI21)</f>
        <v>65</v>
      </c>
      <c r="H21" s="26">
        <f>IF(FinalSem1!H21="","",FinalSem1!LJ21)</f>
        <v>75.941666666666663</v>
      </c>
      <c r="I21" s="26">
        <f>IF(FinalSem1!I21="","",FinalSem1!LK21)</f>
        <v>81.275000000000006</v>
      </c>
      <c r="J21" s="26">
        <f>IF(FinalSem1!J21="","",FinalSem1!LL21)</f>
        <v>71</v>
      </c>
      <c r="K21" s="26">
        <f>IF(FinalSem1!K21="","",FinalSem1!LM21)</f>
        <v>75.991666666666674</v>
      </c>
      <c r="L21" s="26">
        <f>IF(FinalSem1!L21="","",FinalSem1!LN21)</f>
        <v>78.083333333333343</v>
      </c>
      <c r="M21" s="26">
        <f>IF(FinalSem1!M21="","",FinalSem1!LO21)</f>
        <v>73.683333333333337</v>
      </c>
      <c r="N21" s="26">
        <f>IF(FinalSem1!N21="","",FinalSem1!LP21)</f>
        <v>90.916666666666671</v>
      </c>
      <c r="O21" s="26">
        <f>IF(FinalSem1!O21="","",FinalSem1!LQ21)</f>
        <v>90.916666666666671</v>
      </c>
      <c r="P21" s="26">
        <f>IF(FinalSem1!P21="","",FinalSem1!LR21)</f>
        <v>83.174166666666679</v>
      </c>
      <c r="Q21" s="26">
        <f>IF(FinalSem1!Q21="","",FinalSem1!LS21)</f>
        <v>92.348333333333343</v>
      </c>
      <c r="R21" s="26">
        <f>IF(FinalSem1!R21="","",FinalSem1!LT21)</f>
        <v>57.412499999999994</v>
      </c>
      <c r="S21" s="26">
        <f>IF(FinalSem1!S21="","",FinalSem1!LU21)</f>
        <v>83.671212121212122</v>
      </c>
      <c r="T21" s="26">
        <f>IF(FinalSem1!T21="","",FinalSem1!LV21)</f>
        <v>74.25</v>
      </c>
      <c r="U21" s="26">
        <f>IF(FinalSem1!U21="","",FinalSem1!LW21)</f>
        <v>92.125</v>
      </c>
      <c r="V21" s="26">
        <f>IF(FinalSem1!V21="","",FinalSem1!LX21)</f>
        <v>76.2</v>
      </c>
      <c r="W21" s="26" t="str">
        <f t="shared" si="197"/>
        <v>D</v>
      </c>
      <c r="X21" s="26" t="str">
        <f t="shared" si="198"/>
        <v>C</v>
      </c>
      <c r="Y21" s="26" t="str">
        <f t="shared" si="199"/>
        <v>B</v>
      </c>
      <c r="Z21" s="26" t="str">
        <f t="shared" si="200"/>
        <v>C</v>
      </c>
      <c r="AA21" s="26" t="str">
        <f t="shared" si="201"/>
        <v>C</v>
      </c>
      <c r="AB21" s="26" t="str">
        <f t="shared" si="202"/>
        <v>C</v>
      </c>
      <c r="AC21" s="26" t="str">
        <f t="shared" si="203"/>
        <v>C</v>
      </c>
      <c r="AD21" s="26" t="str">
        <f t="shared" si="204"/>
        <v>A</v>
      </c>
      <c r="AE21" s="26" t="str">
        <f t="shared" si="205"/>
        <v>A</v>
      </c>
      <c r="AF21" s="24" t="str">
        <f t="shared" si="206"/>
        <v>B</v>
      </c>
      <c r="AG21" s="24" t="str">
        <f t="shared" si="207"/>
        <v>A</v>
      </c>
      <c r="AH21" s="24" t="str">
        <f t="shared" si="208"/>
        <v>E</v>
      </c>
      <c r="AI21" s="24" t="str">
        <f t="shared" si="209"/>
        <v>B</v>
      </c>
      <c r="AJ21" s="24" t="str">
        <f t="shared" si="210"/>
        <v>C</v>
      </c>
      <c r="AK21" s="24" t="str">
        <f t="shared" si="211"/>
        <v>A</v>
      </c>
      <c r="AL21" s="24" t="str">
        <f t="shared" si="212"/>
        <v>C</v>
      </c>
      <c r="AM21" s="24">
        <f t="shared" si="213"/>
        <v>2</v>
      </c>
      <c r="AN21" s="24">
        <f t="shared" si="214"/>
        <v>2</v>
      </c>
      <c r="AO21" s="24">
        <f t="shared" si="215"/>
        <v>3</v>
      </c>
      <c r="AP21" s="24">
        <f t="shared" si="216"/>
        <v>1</v>
      </c>
      <c r="AQ21" s="24">
        <f t="shared" si="217"/>
        <v>5</v>
      </c>
      <c r="AR21" s="24">
        <f t="shared" si="218"/>
        <v>3</v>
      </c>
      <c r="AS21" s="24">
        <f t="shared" si="219"/>
        <v>2</v>
      </c>
      <c r="AT21" s="24">
        <f t="shared" si="220"/>
        <v>1</v>
      </c>
      <c r="AU21" s="24">
        <f t="shared" si="221"/>
        <v>1</v>
      </c>
      <c r="AV21" s="24">
        <f t="shared" si="222"/>
        <v>5</v>
      </c>
      <c r="AW21" s="24">
        <f t="shared" si="223"/>
        <v>1</v>
      </c>
      <c r="AX21" s="24">
        <f t="shared" si="224"/>
        <v>5</v>
      </c>
      <c r="AY21" s="24">
        <f t="shared" si="225"/>
        <v>3</v>
      </c>
      <c r="AZ21" s="24">
        <f t="shared" si="226"/>
        <v>2</v>
      </c>
      <c r="BA21" s="24">
        <f t="shared" si="227"/>
        <v>2</v>
      </c>
      <c r="BB21" s="24">
        <f t="shared" si="228"/>
        <v>2</v>
      </c>
      <c r="BC21" s="26">
        <f t="shared" si="229"/>
        <v>130</v>
      </c>
      <c r="BD21" s="26">
        <f t="shared" si="230"/>
        <v>151.88333333333333</v>
      </c>
      <c r="BE21" s="26">
        <f t="shared" si="231"/>
        <v>243.82500000000002</v>
      </c>
      <c r="BF21" s="26">
        <f t="shared" si="232"/>
        <v>71</v>
      </c>
      <c r="BG21" s="26">
        <f t="shared" si="233"/>
        <v>379.95833333333337</v>
      </c>
      <c r="BH21" s="26">
        <f t="shared" si="234"/>
        <v>234.25000000000003</v>
      </c>
      <c r="BI21" s="26">
        <f t="shared" si="235"/>
        <v>147.36666666666667</v>
      </c>
      <c r="BJ21" s="26">
        <f t="shared" si="236"/>
        <v>90.916666666666671</v>
      </c>
      <c r="BK21" s="26">
        <f t="shared" si="237"/>
        <v>90.916666666666671</v>
      </c>
      <c r="BL21" s="26">
        <f t="shared" si="238"/>
        <v>415.87083333333339</v>
      </c>
      <c r="BM21" s="26">
        <f t="shared" si="239"/>
        <v>92.348333333333343</v>
      </c>
      <c r="BN21" s="26">
        <f t="shared" si="240"/>
        <v>287.0625</v>
      </c>
      <c r="BO21" s="26">
        <f t="shared" si="241"/>
        <v>251.01363636363635</v>
      </c>
      <c r="BP21" s="26">
        <f t="shared" si="242"/>
        <v>148.5</v>
      </c>
      <c r="BQ21" s="26">
        <f t="shared" si="243"/>
        <v>184.25</v>
      </c>
      <c r="BR21" s="26">
        <f t="shared" si="244"/>
        <v>152.4</v>
      </c>
      <c r="BS21" s="24">
        <f t="shared" ref="BS21:CH21" si="434">IF(OR(AM21="",W21=""),"",AM21*(IF(OR(W21="A",W21="a"),4,(IF(OR(W457="B",W21="b"),3,(IF(OR(W21="C",W21="c"),2,(IF(OR(W21="D",W21="d"),1.5,(IF(OR(W21="E",W21="e"),1,(IF(OR(W21="F",W21="f"),0)))))))))))))</f>
        <v>3</v>
      </c>
      <c r="BT21" s="24">
        <f t="shared" si="434"/>
        <v>4</v>
      </c>
      <c r="BU21" s="24">
        <f t="shared" si="434"/>
        <v>9</v>
      </c>
      <c r="BV21" s="24">
        <f t="shared" si="434"/>
        <v>2</v>
      </c>
      <c r="BW21" s="24">
        <f t="shared" si="434"/>
        <v>10</v>
      </c>
      <c r="BX21" s="24">
        <f t="shared" si="434"/>
        <v>6</v>
      </c>
      <c r="BY21" s="24">
        <f t="shared" si="434"/>
        <v>4</v>
      </c>
      <c r="BZ21" s="24">
        <f t="shared" si="434"/>
        <v>4</v>
      </c>
      <c r="CA21" s="24">
        <f t="shared" si="434"/>
        <v>4</v>
      </c>
      <c r="CB21" s="24">
        <f t="shared" si="434"/>
        <v>15</v>
      </c>
      <c r="CC21" s="24">
        <f t="shared" si="434"/>
        <v>4</v>
      </c>
      <c r="CD21" s="24">
        <f t="shared" si="434"/>
        <v>5</v>
      </c>
      <c r="CE21" s="24">
        <f t="shared" si="434"/>
        <v>9</v>
      </c>
      <c r="CF21" s="24">
        <f t="shared" si="434"/>
        <v>4</v>
      </c>
      <c r="CG21" s="24">
        <f t="shared" si="434"/>
        <v>8</v>
      </c>
      <c r="CH21" s="24">
        <f t="shared" si="434"/>
        <v>4</v>
      </c>
      <c r="CI21" s="24">
        <f t="shared" si="246"/>
        <v>20</v>
      </c>
      <c r="CJ21" s="24">
        <f t="shared" si="247"/>
        <v>1809.69</v>
      </c>
      <c r="CK21" s="26">
        <f t="shared" si="248"/>
        <v>54</v>
      </c>
      <c r="CL21" s="26">
        <f t="shared" si="249"/>
        <v>90.484499999999997</v>
      </c>
      <c r="CM21" s="24" t="str">
        <f t="shared" si="250"/>
        <v>A</v>
      </c>
      <c r="CN21" s="26">
        <f t="shared" si="251"/>
        <v>2.7</v>
      </c>
      <c r="CO21" s="24">
        <f t="shared" si="252"/>
        <v>20</v>
      </c>
      <c r="CP21" s="26">
        <f t="shared" si="253"/>
        <v>1531.4453030303032</v>
      </c>
      <c r="CQ21" s="26">
        <f t="shared" si="254"/>
        <v>49</v>
      </c>
      <c r="CR21" s="26">
        <f t="shared" si="255"/>
        <v>76.572265151515154</v>
      </c>
      <c r="CS21" s="24" t="str">
        <f t="shared" si="256"/>
        <v>C</v>
      </c>
      <c r="CT21" s="26">
        <f t="shared" si="257"/>
        <v>2.4500000000000002</v>
      </c>
      <c r="CU21" s="24">
        <f t="shared" si="258"/>
        <v>40</v>
      </c>
      <c r="CV21" s="26">
        <f t="shared" si="259"/>
        <v>3071.5619696969702</v>
      </c>
      <c r="CW21" s="26">
        <f t="shared" si="260"/>
        <v>95</v>
      </c>
      <c r="CX21" s="26">
        <f t="shared" si="261"/>
        <v>76.789049242424255</v>
      </c>
      <c r="CY21" s="27" t="str">
        <f t="shared" si="262"/>
        <v>C</v>
      </c>
      <c r="CZ21" s="26">
        <f t="shared" si="263"/>
        <v>2.375</v>
      </c>
      <c r="DA21" s="24">
        <f t="shared" si="264"/>
        <v>7</v>
      </c>
      <c r="DB21" s="24" t="str">
        <f t="shared" si="265"/>
        <v>6A</v>
      </c>
      <c r="DC21" s="24">
        <f t="shared" si="266"/>
        <v>13</v>
      </c>
      <c r="DD21" s="24">
        <f>IF(B21="","",FinalSem1!$C$8)</f>
        <v>100</v>
      </c>
      <c r="DE21" s="24">
        <f>IF(A21="","",FinalSem1!PG21)</f>
        <v>0</v>
      </c>
      <c r="DF21" s="24">
        <f>IF(B21="","",FinalSem1!PH21)</f>
        <v>0</v>
      </c>
      <c r="DG21" s="24">
        <f>IF(B21="","",FinalSem1!PI21)</f>
        <v>0</v>
      </c>
      <c r="DH21" s="24">
        <f t="shared" si="267"/>
        <v>0</v>
      </c>
      <c r="DI21" s="25">
        <f t="shared" si="268"/>
        <v>1</v>
      </c>
      <c r="DJ21" s="26">
        <f>IF(FinalSem2!G21="","",FinalSem2!LJ21)</f>
        <v>70.166666666666657</v>
      </c>
      <c r="DK21" s="26">
        <f>IF(FinalSem2!H21="","",FinalSem2!LK21)</f>
        <v>83.600000000000009</v>
      </c>
      <c r="DL21" s="26">
        <f>IF(FinalSem2!I21="","",FinalSem2!LL21)</f>
        <v>84.033333333333331</v>
      </c>
      <c r="DM21" s="26">
        <f>IF(FinalSem2!J21="","",FinalSem2!LM21)</f>
        <v>82.333333333333329</v>
      </c>
      <c r="DN21" s="26">
        <f>IF(FinalSem2!K21="","",FinalSem2!LN21)</f>
        <v>82.241666666666674</v>
      </c>
      <c r="DO21" s="26">
        <f>IF(FinalSem2!L21="","",FinalSem2!LO21)</f>
        <v>71.616666666666674</v>
      </c>
      <c r="DP21" s="26">
        <f>IF(FinalSem2!M21="","",FinalSem2!LP21)</f>
        <v>81.8</v>
      </c>
      <c r="DQ21" s="26">
        <f>IF(FinalSem2!N21="","",FinalSem2!LQ21)</f>
        <v>97</v>
      </c>
      <c r="DR21" s="26">
        <f>IF(FinalSem2!O21="","",FinalSem2!LR21)</f>
        <v>97</v>
      </c>
      <c r="DS21" s="26">
        <f>IF(FinalSem2!P21="","",FinalSem2!LS21)</f>
        <v>80.376666666666665</v>
      </c>
      <c r="DT21" s="26">
        <f>IF(FinalSem2!Q21="","",FinalSem2!LT21)</f>
        <v>74.753333333333345</v>
      </c>
      <c r="DU21" s="26">
        <f>IF(FinalSem2!R21="","",FinalSem2!LU21)</f>
        <v>78.541666666666657</v>
      </c>
      <c r="DV21" s="26">
        <f>IF(FinalSem2!S21="","",FinalSem2!LV21)</f>
        <v>88.775000000000006</v>
      </c>
      <c r="DW21" s="26">
        <f>IF(FinalSem2!T21="","",FinalSem2!LW21)</f>
        <v>74.625</v>
      </c>
      <c r="DX21" s="26">
        <f>IF(FinalSem2!U21="","",FinalSem2!LX21)</f>
        <v>94.95</v>
      </c>
      <c r="DY21" s="26">
        <f>IF(FinalSem2!V21="","",FinalSem2!LY21)</f>
        <v>99</v>
      </c>
      <c r="DZ21" s="26" t="str">
        <f t="shared" si="269"/>
        <v>C</v>
      </c>
      <c r="EA21" s="26" t="str">
        <f t="shared" si="270"/>
        <v>B</v>
      </c>
      <c r="EB21" s="26" t="str">
        <f t="shared" si="271"/>
        <v>B</v>
      </c>
      <c r="EC21" s="26" t="str">
        <f t="shared" si="272"/>
        <v>B</v>
      </c>
      <c r="ED21" s="26" t="str">
        <f t="shared" si="273"/>
        <v>B</v>
      </c>
      <c r="EE21" s="26" t="str">
        <f t="shared" si="274"/>
        <v>C</v>
      </c>
      <c r="EF21" s="26" t="str">
        <f t="shared" si="275"/>
        <v>B</v>
      </c>
      <c r="EG21" s="26" t="str">
        <f t="shared" si="276"/>
        <v>A</v>
      </c>
      <c r="EH21" s="26" t="str">
        <f t="shared" si="277"/>
        <v>A</v>
      </c>
      <c r="EI21" s="24" t="str">
        <f t="shared" si="278"/>
        <v>B</v>
      </c>
      <c r="EJ21" s="24" t="str">
        <f t="shared" si="279"/>
        <v>C</v>
      </c>
      <c r="EK21" s="24" t="str">
        <f t="shared" si="280"/>
        <v>C</v>
      </c>
      <c r="EL21" s="24" t="str">
        <f t="shared" si="281"/>
        <v>B</v>
      </c>
      <c r="EM21" s="24" t="str">
        <f t="shared" si="282"/>
        <v>C</v>
      </c>
      <c r="EN21" s="24" t="str">
        <f t="shared" si="283"/>
        <v>A</v>
      </c>
      <c r="EO21" s="24" t="str">
        <f t="shared" si="284"/>
        <v>A</v>
      </c>
      <c r="EP21" s="24">
        <f t="shared" si="285"/>
        <v>2</v>
      </c>
      <c r="EQ21" s="24">
        <f t="shared" si="286"/>
        <v>2</v>
      </c>
      <c r="ER21" s="24">
        <f t="shared" si="287"/>
        <v>3</v>
      </c>
      <c r="ES21" s="24">
        <f t="shared" si="288"/>
        <v>1</v>
      </c>
      <c r="ET21" s="24">
        <f t="shared" si="289"/>
        <v>5</v>
      </c>
      <c r="EU21" s="24">
        <f t="shared" si="290"/>
        <v>3</v>
      </c>
      <c r="EV21" s="24">
        <f t="shared" si="291"/>
        <v>2</v>
      </c>
      <c r="EW21" s="24">
        <f t="shared" si="292"/>
        <v>1</v>
      </c>
      <c r="EX21" s="24">
        <f t="shared" si="293"/>
        <v>1</v>
      </c>
      <c r="EY21" s="24">
        <f t="shared" si="294"/>
        <v>5</v>
      </c>
      <c r="EZ21" s="24">
        <f t="shared" si="295"/>
        <v>1</v>
      </c>
      <c r="FA21" s="24">
        <f t="shared" si="296"/>
        <v>5</v>
      </c>
      <c r="FB21" s="24">
        <f t="shared" si="297"/>
        <v>3</v>
      </c>
      <c r="FC21" s="24">
        <f t="shared" si="298"/>
        <v>2</v>
      </c>
      <c r="FD21" s="24">
        <f t="shared" si="299"/>
        <v>2</v>
      </c>
      <c r="FE21" s="24">
        <f t="shared" si="300"/>
        <v>2</v>
      </c>
      <c r="FF21" s="26">
        <f t="shared" si="301"/>
        <v>140.33333333333331</v>
      </c>
      <c r="FG21" s="26">
        <f t="shared" si="302"/>
        <v>167.20000000000002</v>
      </c>
      <c r="FH21" s="26">
        <f t="shared" si="303"/>
        <v>252.1</v>
      </c>
      <c r="FI21" s="26">
        <f t="shared" si="304"/>
        <v>82.333333333333329</v>
      </c>
      <c r="FJ21" s="26">
        <f t="shared" si="305"/>
        <v>411.20833333333337</v>
      </c>
      <c r="FK21" s="26">
        <f t="shared" si="306"/>
        <v>214.85000000000002</v>
      </c>
      <c r="FL21" s="26">
        <f t="shared" si="307"/>
        <v>163.6</v>
      </c>
      <c r="FM21" s="26">
        <f t="shared" si="308"/>
        <v>97</v>
      </c>
      <c r="FN21" s="26">
        <f t="shared" si="309"/>
        <v>97</v>
      </c>
      <c r="FO21" s="26">
        <f t="shared" si="310"/>
        <v>401.88333333333333</v>
      </c>
      <c r="FP21" s="26">
        <f t="shared" si="311"/>
        <v>74.753333333333345</v>
      </c>
      <c r="FQ21" s="26">
        <f t="shared" si="312"/>
        <v>392.70833333333326</v>
      </c>
      <c r="FR21" s="26">
        <f t="shared" si="313"/>
        <v>266.32500000000005</v>
      </c>
      <c r="FS21" s="26">
        <f t="shared" si="314"/>
        <v>149.25</v>
      </c>
      <c r="FT21" s="26">
        <f t="shared" si="315"/>
        <v>189.9</v>
      </c>
      <c r="FU21" s="26">
        <f t="shared" si="316"/>
        <v>198</v>
      </c>
      <c r="FV21" s="24">
        <f t="shared" ref="FV21:GK21" si="435">IF(OR(EP21="",DZ21=""),"",EP21*(IF(OR(DZ21="A",DZ21="a"),4,(IF(OR(DZ457="B",DZ21="b"),3,(IF(OR(DZ21="C",DZ21="c"),2,(IF(OR(DZ21="D",DZ21="d"),1.5,(IF(OR(DZ21="E",DZ21="e"),1,(IF(OR(DZ21="F",DZ21="f"),0)))))))))))))</f>
        <v>4</v>
      </c>
      <c r="FW21" s="24">
        <f t="shared" si="435"/>
        <v>6</v>
      </c>
      <c r="FX21" s="24">
        <f t="shared" si="435"/>
        <v>9</v>
      </c>
      <c r="FY21" s="24">
        <f t="shared" si="435"/>
        <v>3</v>
      </c>
      <c r="FZ21" s="24">
        <f t="shared" si="435"/>
        <v>15</v>
      </c>
      <c r="GA21" s="24">
        <f t="shared" si="435"/>
        <v>6</v>
      </c>
      <c r="GB21" s="24">
        <f t="shared" si="435"/>
        <v>6</v>
      </c>
      <c r="GC21" s="24">
        <f t="shared" si="435"/>
        <v>4</v>
      </c>
      <c r="GD21" s="24">
        <f t="shared" si="435"/>
        <v>4</v>
      </c>
      <c r="GE21" s="24">
        <f t="shared" si="435"/>
        <v>15</v>
      </c>
      <c r="GF21" s="24">
        <f t="shared" si="435"/>
        <v>2</v>
      </c>
      <c r="GG21" s="24">
        <f t="shared" si="435"/>
        <v>10</v>
      </c>
      <c r="GH21" s="24">
        <f t="shared" si="435"/>
        <v>9</v>
      </c>
      <c r="GI21" s="24">
        <f t="shared" si="435"/>
        <v>4</v>
      </c>
      <c r="GJ21" s="24">
        <f t="shared" si="435"/>
        <v>8</v>
      </c>
      <c r="GK21" s="24">
        <f t="shared" si="435"/>
        <v>8</v>
      </c>
      <c r="GL21" s="24">
        <f t="shared" si="318"/>
        <v>20</v>
      </c>
      <c r="GM21" s="26">
        <f t="shared" si="319"/>
        <v>1625.625</v>
      </c>
      <c r="GN21" s="26">
        <f t="shared" si="320"/>
        <v>57</v>
      </c>
      <c r="GO21" s="26">
        <f t="shared" si="321"/>
        <v>81.28125</v>
      </c>
      <c r="GP21" s="24" t="str">
        <f t="shared" si="322"/>
        <v>B</v>
      </c>
      <c r="GQ21" s="26">
        <f t="shared" si="323"/>
        <v>2.85</v>
      </c>
      <c r="GR21" s="24">
        <f t="shared" si="324"/>
        <v>20</v>
      </c>
      <c r="GS21" s="26">
        <f t="shared" si="325"/>
        <v>1672.8200000000002</v>
      </c>
      <c r="GT21" s="26">
        <f t="shared" si="326"/>
        <v>56</v>
      </c>
      <c r="GU21" s="26">
        <f t="shared" si="327"/>
        <v>83.641000000000005</v>
      </c>
      <c r="GV21" s="24" t="str">
        <f t="shared" si="328"/>
        <v>B</v>
      </c>
      <c r="GW21" s="27">
        <f t="shared" si="329"/>
        <v>2.8</v>
      </c>
      <c r="GX21" s="24">
        <f t="shared" si="330"/>
        <v>40</v>
      </c>
      <c r="GY21" s="26">
        <f t="shared" si="331"/>
        <v>3298.4450000000002</v>
      </c>
      <c r="GZ21" s="26">
        <f t="shared" si="332"/>
        <v>113</v>
      </c>
      <c r="HA21" s="26">
        <f t="shared" si="333"/>
        <v>82.46112500000001</v>
      </c>
      <c r="HB21" s="27" t="str">
        <f t="shared" si="334"/>
        <v>B</v>
      </c>
      <c r="HC21" s="26">
        <f t="shared" si="335"/>
        <v>2.8250000000000002</v>
      </c>
      <c r="HD21" s="24">
        <f t="shared" si="336"/>
        <v>5</v>
      </c>
      <c r="HE21" s="24" t="str">
        <f t="shared" si="337"/>
        <v>6A</v>
      </c>
      <c r="HF21" s="24">
        <f t="shared" si="338"/>
        <v>13</v>
      </c>
      <c r="HG21" s="24">
        <f>IF(B21="","",FinalSem2!$C$8)</f>
        <v>104</v>
      </c>
      <c r="HH21" s="24">
        <f>IF(A21="","",FinalSem2!PH21)</f>
        <v>0</v>
      </c>
      <c r="HI21" s="24">
        <f>IF(B21="","",FinalSem2!PI21)</f>
        <v>0</v>
      </c>
      <c r="HJ21" s="24">
        <f>IF(C21="","",FinalSem2!PJ21)</f>
        <v>0</v>
      </c>
      <c r="HK21" s="24">
        <f t="shared" si="339"/>
        <v>0</v>
      </c>
      <c r="HL21" s="25">
        <f t="shared" si="340"/>
        <v>1</v>
      </c>
      <c r="HM21" s="26">
        <f>IF($B$15="","",IF(FinalSem2!LJ21="","",IF(AND(FinalSem1!LI21,FinalSem2!LJ21)="","",AVERAGE(FinalSem1!LI21,FinalSem2!LJ21))))</f>
        <v>67.583333333333329</v>
      </c>
      <c r="HN21" s="26">
        <f>IF($B$15="","",IF(FinalSem2!LK21="","",IF(AND(FinalSem1!LJ21,FinalSem2!LK21)="","",AVERAGE(FinalSem1!LJ21,FinalSem2!LK21))))</f>
        <v>79.770833333333343</v>
      </c>
      <c r="HO21" s="26">
        <f>IF($B$15="","",IF(FinalSem2!LL21="","",IF(AND(FinalSem1!LK21,FinalSem2!LL21)="","",AVERAGE(FinalSem1!LK21,FinalSem2!LL21))))</f>
        <v>82.654166666666669</v>
      </c>
      <c r="HP21" s="26">
        <f>IF($B$15="","",IF(FinalSem2!LM21="","",IF(AND(FinalSem1!LL21,FinalSem2!LM21)="","",AVERAGE(FinalSem1!LL21,FinalSem2!LM21))))</f>
        <v>76.666666666666657</v>
      </c>
      <c r="HQ21" s="26">
        <f>IF($B$15="","",IF(FinalSem2!LN21="","",IF(AND(FinalSem1!LM21,FinalSem2!LN21)="","",AVERAGE(FinalSem1!LM21,FinalSem2!LN21))))</f>
        <v>79.116666666666674</v>
      </c>
      <c r="HR21" s="26">
        <f>IF($B$15="","",IF(FinalSem2!LO21="","",IF(AND(FinalSem1!LN21,FinalSem2!LO21)="","",AVERAGE(FinalSem1!LN21,FinalSem2!LO21))))</f>
        <v>74.850000000000009</v>
      </c>
      <c r="HS21" s="26">
        <f>IF($B$15="","",IF(FinalSem2!LP21="","",IF(AND(FinalSem1!LO21,FinalSem2!LP21)="","",AVERAGE(FinalSem1!LO21,FinalSem2!LP21))))</f>
        <v>77.741666666666674</v>
      </c>
      <c r="HT21" s="26">
        <f>IF($B$15="","",IF(FinalSem2!LQ21="","",IF(AND(FinalSem1!LP21,FinalSem2!LQ21)="","",AVERAGE(FinalSem1!LP21,FinalSem2!LQ21))))</f>
        <v>93.958333333333343</v>
      </c>
      <c r="HU21" s="26">
        <f>IF($B$15="","",IF(FinalSem2!LR21="","",IF(AND(FinalSem1!LQ21,FinalSem2!LR21)="","",AVERAGE(FinalSem1!LQ21,FinalSem2!LR21))))</f>
        <v>93.958333333333343</v>
      </c>
      <c r="HV21" s="26">
        <f>IF($B$15="","",IF(FinalSem2!LS21="","",IF(AND(FinalSem1!LR21,FinalSem2!LS21)="","",AVERAGE(FinalSem1!LR21,FinalSem2!LS21))))</f>
        <v>81.775416666666672</v>
      </c>
      <c r="HW21" s="26">
        <f>IF($B$15="","",IF(FinalSem2!LT21="","",IF(AND(FinalSem1!LS21,FinalSem2!LT21)="","",AVERAGE(FinalSem1!LS21,FinalSem2!LT21))))</f>
        <v>83.550833333333344</v>
      </c>
      <c r="HX21" s="26">
        <f>IF($B$15="","",IF(FinalSem2!LU21="","",IF(AND(FinalSem1!LT21,FinalSem2!LU21)="","",AVERAGE(FinalSem1!LT21,FinalSem2!LU21))))</f>
        <v>67.977083333333326</v>
      </c>
      <c r="HY21" s="26">
        <f>IF($B$15="","",IF(FinalSem2!LV21="","",IF(AND(FinalSem1!LU21,FinalSem2!LV21)="","",AVERAGE(FinalSem1!LU21,FinalSem2!LV21))))</f>
        <v>86.223106060606057</v>
      </c>
      <c r="HZ21" s="26">
        <f>IF($B$15="","",IF(FinalSem2!LW21="","",IF(AND(FinalSem1!LV21,FinalSem2!LW21)="","",AVERAGE(FinalSem1!LV21,FinalSem2!LW21))))</f>
        <v>74.4375</v>
      </c>
      <c r="IA21" s="26">
        <f>IF($B$15="","",IF(FinalSem2!LX21="","",IF(AND(FinalSem1!LW21,FinalSem2!LX21)="","",AVERAGE(FinalSem1!LW21,FinalSem2!LX21))))</f>
        <v>93.537499999999994</v>
      </c>
      <c r="IB21" s="26">
        <f>IF($B$15="","",IF(FinalSem2!LY21="","",IF(AND(FinalSem1!LX21,FinalSem2!LY21)="","",AVERAGE(FinalSem1!LX21,FinalSem2!LY21))))</f>
        <v>87.6</v>
      </c>
      <c r="IC21" s="26" t="str">
        <f t="shared" si="341"/>
        <v>D</v>
      </c>
      <c r="ID21" s="26" t="str">
        <f t="shared" si="342"/>
        <v>C</v>
      </c>
      <c r="IE21" s="26" t="str">
        <f t="shared" si="343"/>
        <v>B</v>
      </c>
      <c r="IF21" s="26" t="str">
        <f t="shared" si="344"/>
        <v>C</v>
      </c>
      <c r="IG21" s="26" t="str">
        <f t="shared" si="345"/>
        <v>C</v>
      </c>
      <c r="IH21" s="26" t="str">
        <f t="shared" si="346"/>
        <v>C</v>
      </c>
      <c r="II21" s="26" t="str">
        <f t="shared" si="347"/>
        <v>C</v>
      </c>
      <c r="IJ21" s="26" t="str">
        <f t="shared" si="348"/>
        <v>A</v>
      </c>
      <c r="IK21" s="26" t="str">
        <f t="shared" si="349"/>
        <v>A</v>
      </c>
      <c r="IL21" s="24" t="str">
        <f t="shared" si="350"/>
        <v>B</v>
      </c>
      <c r="IM21" s="24" t="str">
        <f t="shared" si="351"/>
        <v>B</v>
      </c>
      <c r="IN21" s="24" t="str">
        <f t="shared" si="352"/>
        <v>D</v>
      </c>
      <c r="IO21" s="24" t="str">
        <f t="shared" si="353"/>
        <v>B</v>
      </c>
      <c r="IP21" s="24" t="str">
        <f t="shared" si="354"/>
        <v>C</v>
      </c>
      <c r="IQ21" s="24" t="str">
        <f t="shared" si="355"/>
        <v>A</v>
      </c>
      <c r="IR21" s="24" t="str">
        <f t="shared" si="356"/>
        <v>B</v>
      </c>
      <c r="IS21" s="24">
        <f t="shared" si="357"/>
        <v>4</v>
      </c>
      <c r="IT21" s="24">
        <f t="shared" si="358"/>
        <v>4</v>
      </c>
      <c r="IU21" s="24">
        <f t="shared" si="359"/>
        <v>6</v>
      </c>
      <c r="IV21" s="24">
        <f t="shared" si="360"/>
        <v>2</v>
      </c>
      <c r="IW21" s="24">
        <f t="shared" si="361"/>
        <v>10</v>
      </c>
      <c r="IX21" s="24">
        <f t="shared" si="362"/>
        <v>6</v>
      </c>
      <c r="IY21" s="24">
        <f t="shared" si="363"/>
        <v>4</v>
      </c>
      <c r="IZ21" s="24">
        <f t="shared" si="364"/>
        <v>2</v>
      </c>
      <c r="JA21" s="24">
        <f t="shared" si="365"/>
        <v>2</v>
      </c>
      <c r="JB21" s="24">
        <f t="shared" si="366"/>
        <v>10</v>
      </c>
      <c r="JC21" s="24">
        <f t="shared" si="367"/>
        <v>2</v>
      </c>
      <c r="JD21" s="24">
        <f t="shared" si="368"/>
        <v>10</v>
      </c>
      <c r="JE21" s="24">
        <f t="shared" si="369"/>
        <v>6</v>
      </c>
      <c r="JF21" s="24">
        <f t="shared" si="370"/>
        <v>4</v>
      </c>
      <c r="JG21" s="24">
        <f t="shared" si="371"/>
        <v>4</v>
      </c>
      <c r="JH21" s="24">
        <f t="shared" si="372"/>
        <v>4</v>
      </c>
      <c r="JI21" s="26">
        <f t="shared" si="373"/>
        <v>270.33333333333331</v>
      </c>
      <c r="JJ21" s="26">
        <f t="shared" si="374"/>
        <v>319.08333333333337</v>
      </c>
      <c r="JK21" s="26">
        <f t="shared" si="375"/>
        <v>495.92500000000001</v>
      </c>
      <c r="JL21" s="26">
        <f t="shared" si="376"/>
        <v>153.33333333333331</v>
      </c>
      <c r="JM21" s="26">
        <f t="shared" si="377"/>
        <v>791.16666666666674</v>
      </c>
      <c r="JN21" s="26">
        <f t="shared" si="378"/>
        <v>449.1</v>
      </c>
      <c r="JO21" s="26">
        <f t="shared" si="379"/>
        <v>310.9666666666667</v>
      </c>
      <c r="JP21" s="26">
        <f t="shared" si="380"/>
        <v>187.91666666666669</v>
      </c>
      <c r="JQ21" s="26">
        <f t="shared" si="381"/>
        <v>187.91666666666669</v>
      </c>
      <c r="JR21" s="26">
        <f t="shared" si="382"/>
        <v>817.75416666666672</v>
      </c>
      <c r="JS21" s="26">
        <f t="shared" si="383"/>
        <v>167.10166666666669</v>
      </c>
      <c r="JT21" s="26">
        <f t="shared" si="384"/>
        <v>679.77083333333326</v>
      </c>
      <c r="JU21" s="26">
        <f t="shared" si="385"/>
        <v>517.3386363636364</v>
      </c>
      <c r="JV21" s="26">
        <f t="shared" si="386"/>
        <v>297.75</v>
      </c>
      <c r="JW21" s="26">
        <f t="shared" si="387"/>
        <v>374.15</v>
      </c>
      <c r="JX21" s="26">
        <f t="shared" si="388"/>
        <v>350.4</v>
      </c>
      <c r="JY21" s="24">
        <f t="shared" ref="JY21:KN21" si="436">IF(OR(IS21="",IC21=""),"",IS21*(IF(OR(IC21="A",IC21="a"),4,(IF(OR(IC457="B",IC21="b"),3,(IF(OR(IC21="C",IC21="c"),2,(IF(OR(IC21="D",IC21="d"),1.5,(IF(OR(IC21="E",IC21="e"),1,(IF(OR(IC21="F",IC21="f"),0)))))))))))))</f>
        <v>6</v>
      </c>
      <c r="JZ21" s="24">
        <f t="shared" si="436"/>
        <v>8</v>
      </c>
      <c r="KA21" s="24">
        <f t="shared" si="436"/>
        <v>18</v>
      </c>
      <c r="KB21" s="24">
        <f t="shared" si="436"/>
        <v>4</v>
      </c>
      <c r="KC21" s="24">
        <f t="shared" si="436"/>
        <v>20</v>
      </c>
      <c r="KD21" s="24">
        <f t="shared" si="436"/>
        <v>12</v>
      </c>
      <c r="KE21" s="24">
        <f t="shared" si="436"/>
        <v>8</v>
      </c>
      <c r="KF21" s="24">
        <f t="shared" si="436"/>
        <v>8</v>
      </c>
      <c r="KG21" s="24">
        <f t="shared" si="436"/>
        <v>8</v>
      </c>
      <c r="KH21" s="24">
        <f t="shared" si="436"/>
        <v>30</v>
      </c>
      <c r="KI21" s="24">
        <f t="shared" si="436"/>
        <v>6</v>
      </c>
      <c r="KJ21" s="24">
        <f t="shared" si="436"/>
        <v>15</v>
      </c>
      <c r="KK21" s="24">
        <f t="shared" si="436"/>
        <v>18</v>
      </c>
      <c r="KL21" s="24">
        <f t="shared" si="436"/>
        <v>8</v>
      </c>
      <c r="KM21" s="24">
        <f t="shared" si="436"/>
        <v>16</v>
      </c>
      <c r="KN21" s="24">
        <f t="shared" si="436"/>
        <v>12</v>
      </c>
      <c r="KO21" s="24">
        <f t="shared" si="390"/>
        <v>40</v>
      </c>
      <c r="KP21" s="26">
        <f t="shared" si="391"/>
        <v>3165.7416666666663</v>
      </c>
      <c r="KQ21" s="26">
        <f t="shared" si="392"/>
        <v>92</v>
      </c>
      <c r="KR21" s="26">
        <f t="shared" si="393"/>
        <v>79.143541666666664</v>
      </c>
      <c r="KS21" s="24" t="str">
        <f t="shared" si="394"/>
        <v>C</v>
      </c>
      <c r="KT21" s="26">
        <f t="shared" si="395"/>
        <v>2.2999999999999998</v>
      </c>
      <c r="KU21" s="24">
        <f t="shared" si="396"/>
        <v>40</v>
      </c>
      <c r="KV21" s="26">
        <f t="shared" si="397"/>
        <v>3204.2653030303031</v>
      </c>
      <c r="KW21" s="26">
        <f t="shared" si="398"/>
        <v>105</v>
      </c>
      <c r="KX21" s="26">
        <f t="shared" si="399"/>
        <v>80.106632575757573</v>
      </c>
      <c r="KY21" s="24" t="str">
        <f t="shared" si="400"/>
        <v>B</v>
      </c>
      <c r="KZ21" s="26">
        <f t="shared" si="401"/>
        <v>2.625</v>
      </c>
      <c r="LA21" s="24">
        <f t="shared" si="402"/>
        <v>80</v>
      </c>
      <c r="LB21" s="26">
        <f t="shared" si="403"/>
        <v>6370.0069696969686</v>
      </c>
      <c r="LC21" s="27">
        <f t="shared" si="404"/>
        <v>197</v>
      </c>
      <c r="LD21" s="26">
        <f t="shared" si="405"/>
        <v>79.625087121212104</v>
      </c>
      <c r="LE21" s="27" t="str">
        <f t="shared" si="406"/>
        <v>C</v>
      </c>
      <c r="LF21" s="26">
        <f t="shared" si="407"/>
        <v>2.4624999999999999</v>
      </c>
      <c r="LG21" s="24">
        <f t="shared" si="408"/>
        <v>7</v>
      </c>
      <c r="LH21" s="24" t="str">
        <f t="shared" si="409"/>
        <v>6A</v>
      </c>
      <c r="LI21" s="24">
        <f t="shared" si="410"/>
        <v>13</v>
      </c>
      <c r="LJ21" s="24">
        <f t="shared" si="411"/>
        <v>204</v>
      </c>
      <c r="LK21" s="24">
        <f t="shared" si="412"/>
        <v>0</v>
      </c>
      <c r="LL21" s="24">
        <f t="shared" si="413"/>
        <v>0</v>
      </c>
      <c r="LM21" s="24">
        <f t="shared" si="414"/>
        <v>0</v>
      </c>
      <c r="LN21" s="24">
        <f t="shared" si="415"/>
        <v>0</v>
      </c>
      <c r="LO21" s="25">
        <f t="shared" si="416"/>
        <v>1</v>
      </c>
      <c r="LP21" s="24" t="str">
        <f t="shared" si="417"/>
        <v>Pass - Promoted to Grade</v>
      </c>
      <c r="LQ21" s="24" t="str">
        <f t="shared" si="418"/>
        <v>ជាប់ត្រូវបានឡើងថ្នាក់ទី</v>
      </c>
      <c r="LR21" s="24">
        <f t="shared" si="419"/>
        <v>6</v>
      </c>
      <c r="LS21" s="24">
        <f t="shared" si="420"/>
        <v>7</v>
      </c>
    </row>
    <row r="22" spans="1:331" ht="27" customHeight="1" x14ac:dyDescent="0.35">
      <c r="A22" s="24">
        <f t="shared" si="421"/>
        <v>8</v>
      </c>
      <c r="B22" s="86" t="str">
        <f>IF(FinalSem2!B22="","",FinalSem2!B22)</f>
        <v>Dyna Sovanysa</v>
      </c>
      <c r="C22" s="29" t="str">
        <f>IF(FinalSem2!C22="","",FinalSem2!C22)</f>
        <v>ឌីណា សុវណ្ណីហ្សា</v>
      </c>
      <c r="D22" s="24" t="str">
        <f>IF(FinalSem2!D22="","",FinalSem2!D22)</f>
        <v>F</v>
      </c>
      <c r="E22" s="24">
        <f>IF(FinalSem2!E22="","",FinalSem2!E22)</f>
        <v>687</v>
      </c>
      <c r="F22" s="24" t="str">
        <f>IF(FinalSem2!F22="","",FinalSem2!F22)</f>
        <v>I</v>
      </c>
      <c r="G22" s="26">
        <f>IF(FinalSem1!G22="","",FinalSem1!LI22)</f>
        <v>71.333333333333343</v>
      </c>
      <c r="H22" s="26">
        <f>IF(FinalSem1!H22="","",FinalSem1!LJ22)</f>
        <v>86.108333333333348</v>
      </c>
      <c r="I22" s="26">
        <f>IF(FinalSem1!I22="","",FinalSem1!LK22)</f>
        <v>91.341666666666669</v>
      </c>
      <c r="J22" s="26">
        <f>IF(FinalSem1!J22="","",FinalSem1!LL22)</f>
        <v>79.166666666666671</v>
      </c>
      <c r="K22" s="26">
        <f>IF(FinalSem1!K22="","",FinalSem1!LM22)</f>
        <v>86.791666666666671</v>
      </c>
      <c r="L22" s="26">
        <f>IF(FinalSem1!L22="","",FinalSem1!LN22)</f>
        <v>81.083333333333343</v>
      </c>
      <c r="M22" s="26">
        <f>IF(FinalSem1!M22="","",FinalSem1!LO22)</f>
        <v>73.608333333333334</v>
      </c>
      <c r="N22" s="26">
        <f>IF(FinalSem1!N22="","",FinalSem1!LP22)</f>
        <v>92.916666666666671</v>
      </c>
      <c r="O22" s="26">
        <f>IF(FinalSem1!O22="","",FinalSem1!LQ22)</f>
        <v>92.916666666666671</v>
      </c>
      <c r="P22" s="26">
        <f>IF(FinalSem1!P22="","",FinalSem1!LR22)</f>
        <v>92.410833333333329</v>
      </c>
      <c r="Q22" s="26">
        <f>IF(FinalSem1!Q22="","",FinalSem1!LS22)</f>
        <v>94.821666666666658</v>
      </c>
      <c r="R22" s="26">
        <f>IF(FinalSem1!R22="","",FinalSem1!LT22)</f>
        <v>82.44</v>
      </c>
      <c r="S22" s="26">
        <f>IF(FinalSem1!S22="","",FinalSem1!LU22)</f>
        <v>76.093939393939394</v>
      </c>
      <c r="T22" s="26">
        <f>IF(FinalSem1!T22="","",FinalSem1!LV22)</f>
        <v>92</v>
      </c>
      <c r="U22" s="26">
        <f>IF(FinalSem1!U22="","",FinalSem1!LW22)</f>
        <v>94.575000000000003</v>
      </c>
      <c r="V22" s="26">
        <f>IF(FinalSem1!V22="","",FinalSem1!LX22)</f>
        <v>93.5</v>
      </c>
      <c r="W22" s="26" t="str">
        <f t="shared" si="197"/>
        <v>C</v>
      </c>
      <c r="X22" s="26" t="str">
        <f t="shared" si="198"/>
        <v>B</v>
      </c>
      <c r="Y22" s="26" t="str">
        <f t="shared" si="199"/>
        <v>A</v>
      </c>
      <c r="Z22" s="26" t="str">
        <f t="shared" si="200"/>
        <v>C</v>
      </c>
      <c r="AA22" s="26" t="str">
        <f t="shared" si="201"/>
        <v>B</v>
      </c>
      <c r="AB22" s="26" t="str">
        <f t="shared" si="202"/>
        <v>B</v>
      </c>
      <c r="AC22" s="26" t="str">
        <f t="shared" si="203"/>
        <v>C</v>
      </c>
      <c r="AD22" s="26" t="str">
        <f t="shared" si="204"/>
        <v>A</v>
      </c>
      <c r="AE22" s="26" t="str">
        <f t="shared" si="205"/>
        <v>A</v>
      </c>
      <c r="AF22" s="24" t="str">
        <f t="shared" si="206"/>
        <v>A</v>
      </c>
      <c r="AG22" s="24" t="str">
        <f t="shared" si="207"/>
        <v>A</v>
      </c>
      <c r="AH22" s="24" t="str">
        <f t="shared" si="208"/>
        <v>B</v>
      </c>
      <c r="AI22" s="24" t="str">
        <f t="shared" si="209"/>
        <v>C</v>
      </c>
      <c r="AJ22" s="24" t="str">
        <f t="shared" si="210"/>
        <v>A</v>
      </c>
      <c r="AK22" s="24" t="str">
        <f t="shared" si="211"/>
        <v>A</v>
      </c>
      <c r="AL22" s="24" t="str">
        <f t="shared" si="212"/>
        <v>A</v>
      </c>
      <c r="AM22" s="24">
        <f t="shared" si="213"/>
        <v>2</v>
      </c>
      <c r="AN22" s="24">
        <f t="shared" si="214"/>
        <v>2</v>
      </c>
      <c r="AO22" s="24">
        <f t="shared" si="215"/>
        <v>3</v>
      </c>
      <c r="AP22" s="24">
        <f t="shared" si="216"/>
        <v>1</v>
      </c>
      <c r="AQ22" s="24">
        <f t="shared" si="217"/>
        <v>5</v>
      </c>
      <c r="AR22" s="24">
        <f t="shared" si="218"/>
        <v>3</v>
      </c>
      <c r="AS22" s="24">
        <f t="shared" si="219"/>
        <v>2</v>
      </c>
      <c r="AT22" s="24">
        <f t="shared" si="220"/>
        <v>1</v>
      </c>
      <c r="AU22" s="24">
        <f t="shared" si="221"/>
        <v>1</v>
      </c>
      <c r="AV22" s="24">
        <f t="shared" si="222"/>
        <v>5</v>
      </c>
      <c r="AW22" s="24">
        <f t="shared" si="223"/>
        <v>1</v>
      </c>
      <c r="AX22" s="24">
        <f t="shared" si="224"/>
        <v>5</v>
      </c>
      <c r="AY22" s="24">
        <f t="shared" si="225"/>
        <v>3</v>
      </c>
      <c r="AZ22" s="24">
        <f t="shared" si="226"/>
        <v>2</v>
      </c>
      <c r="BA22" s="24">
        <f t="shared" si="227"/>
        <v>2</v>
      </c>
      <c r="BB22" s="24">
        <f t="shared" si="228"/>
        <v>2</v>
      </c>
      <c r="BC22" s="26">
        <f t="shared" si="229"/>
        <v>142.66666666666669</v>
      </c>
      <c r="BD22" s="26">
        <f t="shared" si="230"/>
        <v>172.2166666666667</v>
      </c>
      <c r="BE22" s="26">
        <f t="shared" si="231"/>
        <v>274.02499999999998</v>
      </c>
      <c r="BF22" s="26">
        <f t="shared" si="232"/>
        <v>79.166666666666671</v>
      </c>
      <c r="BG22" s="26">
        <f t="shared" si="233"/>
        <v>433.95833333333337</v>
      </c>
      <c r="BH22" s="26">
        <f t="shared" si="234"/>
        <v>243.25000000000003</v>
      </c>
      <c r="BI22" s="26">
        <f t="shared" si="235"/>
        <v>147.21666666666667</v>
      </c>
      <c r="BJ22" s="26">
        <f t="shared" si="236"/>
        <v>92.916666666666671</v>
      </c>
      <c r="BK22" s="26">
        <f t="shared" si="237"/>
        <v>92.916666666666671</v>
      </c>
      <c r="BL22" s="26">
        <f t="shared" si="238"/>
        <v>462.05416666666667</v>
      </c>
      <c r="BM22" s="26">
        <f t="shared" si="239"/>
        <v>94.821666666666658</v>
      </c>
      <c r="BN22" s="26">
        <f t="shared" si="240"/>
        <v>412.2</v>
      </c>
      <c r="BO22" s="26">
        <f t="shared" si="241"/>
        <v>228.28181818181818</v>
      </c>
      <c r="BP22" s="26">
        <f t="shared" si="242"/>
        <v>184</v>
      </c>
      <c r="BQ22" s="26">
        <f t="shared" si="243"/>
        <v>189.15</v>
      </c>
      <c r="BR22" s="26">
        <f t="shared" si="244"/>
        <v>187</v>
      </c>
      <c r="BS22" s="24">
        <f t="shared" ref="BS22:CH22" si="437">IF(OR(AM22="",W22=""),"",AM22*(IF(OR(W22="A",W22="a"),4,(IF(OR(W458="B",W22="b"),3,(IF(OR(W22="C",W22="c"),2,(IF(OR(W22="D",W22="d"),1.5,(IF(OR(W22="E",W22="e"),1,(IF(OR(W22="F",W22="f"),0)))))))))))))</f>
        <v>4</v>
      </c>
      <c r="BT22" s="24">
        <f t="shared" si="437"/>
        <v>6</v>
      </c>
      <c r="BU22" s="24">
        <f t="shared" si="437"/>
        <v>12</v>
      </c>
      <c r="BV22" s="24">
        <f t="shared" si="437"/>
        <v>2</v>
      </c>
      <c r="BW22" s="24">
        <f t="shared" si="437"/>
        <v>15</v>
      </c>
      <c r="BX22" s="24">
        <f t="shared" si="437"/>
        <v>9</v>
      </c>
      <c r="BY22" s="24">
        <f t="shared" si="437"/>
        <v>4</v>
      </c>
      <c r="BZ22" s="24">
        <f t="shared" si="437"/>
        <v>4</v>
      </c>
      <c r="CA22" s="24">
        <f t="shared" si="437"/>
        <v>4</v>
      </c>
      <c r="CB22" s="24">
        <f t="shared" si="437"/>
        <v>20</v>
      </c>
      <c r="CC22" s="24">
        <f t="shared" si="437"/>
        <v>4</v>
      </c>
      <c r="CD22" s="24">
        <f t="shared" si="437"/>
        <v>15</v>
      </c>
      <c r="CE22" s="24">
        <f t="shared" si="437"/>
        <v>6</v>
      </c>
      <c r="CF22" s="24">
        <f t="shared" si="437"/>
        <v>8</v>
      </c>
      <c r="CG22" s="24">
        <f t="shared" si="437"/>
        <v>8</v>
      </c>
      <c r="CH22" s="24">
        <f t="shared" si="437"/>
        <v>8</v>
      </c>
      <c r="CI22" s="24">
        <f t="shared" si="246"/>
        <v>20</v>
      </c>
      <c r="CJ22" s="24">
        <f t="shared" si="247"/>
        <v>2058.500833333333</v>
      </c>
      <c r="CK22" s="26">
        <f t="shared" si="248"/>
        <v>77</v>
      </c>
      <c r="CL22" s="26">
        <f t="shared" si="249"/>
        <v>102.92504166666666</v>
      </c>
      <c r="CM22" s="24" t="str">
        <f t="shared" si="250"/>
        <v>A</v>
      </c>
      <c r="CN22" s="26">
        <f t="shared" si="251"/>
        <v>3.85</v>
      </c>
      <c r="CO22" s="24">
        <f t="shared" si="252"/>
        <v>20</v>
      </c>
      <c r="CP22" s="26">
        <f t="shared" si="253"/>
        <v>1757.5076515151516</v>
      </c>
      <c r="CQ22" s="26">
        <f t="shared" si="254"/>
        <v>69</v>
      </c>
      <c r="CR22" s="26">
        <f t="shared" si="255"/>
        <v>87.875382575757584</v>
      </c>
      <c r="CS22" s="24" t="str">
        <f t="shared" si="256"/>
        <v>B</v>
      </c>
      <c r="CT22" s="26">
        <f t="shared" si="257"/>
        <v>3.45</v>
      </c>
      <c r="CU22" s="24">
        <f t="shared" si="258"/>
        <v>40</v>
      </c>
      <c r="CV22" s="26">
        <f t="shared" si="259"/>
        <v>3435.8409848484853</v>
      </c>
      <c r="CW22" s="26">
        <f t="shared" si="260"/>
        <v>129</v>
      </c>
      <c r="CX22" s="26">
        <f t="shared" si="261"/>
        <v>85.896024621212135</v>
      </c>
      <c r="CY22" s="27" t="str">
        <f t="shared" si="262"/>
        <v>B</v>
      </c>
      <c r="CZ22" s="26">
        <f t="shared" si="263"/>
        <v>3.2250000000000001</v>
      </c>
      <c r="DA22" s="24">
        <f t="shared" si="264"/>
        <v>2</v>
      </c>
      <c r="DB22" s="24" t="str">
        <f t="shared" si="265"/>
        <v>6A</v>
      </c>
      <c r="DC22" s="24">
        <f t="shared" si="266"/>
        <v>13</v>
      </c>
      <c r="DD22" s="24">
        <f>IF(B22="","",FinalSem1!$C$8)</f>
        <v>100</v>
      </c>
      <c r="DE22" s="24">
        <f>IF(A22="","",FinalSem1!PG22)</f>
        <v>0</v>
      </c>
      <c r="DF22" s="24">
        <f>IF(B22="","",FinalSem1!PH22)</f>
        <v>0</v>
      </c>
      <c r="DG22" s="24">
        <f>IF(B22="","",FinalSem1!PI22)</f>
        <v>0</v>
      </c>
      <c r="DH22" s="24">
        <f t="shared" si="267"/>
        <v>0</v>
      </c>
      <c r="DI22" s="25">
        <f t="shared" si="268"/>
        <v>1</v>
      </c>
      <c r="DJ22" s="26">
        <f>IF(FinalSem2!G22="","",FinalSem2!LJ22)</f>
        <v>83.666666666666671</v>
      </c>
      <c r="DK22" s="26">
        <f>IF(FinalSem2!H22="","",FinalSem2!LK22)</f>
        <v>90.550000000000011</v>
      </c>
      <c r="DL22" s="26">
        <f>IF(FinalSem2!I22="","",FinalSem2!LL22)</f>
        <v>91.65</v>
      </c>
      <c r="DM22" s="26">
        <f>IF(FinalSem2!J22="","",FinalSem2!LM22)</f>
        <v>90.5</v>
      </c>
      <c r="DN22" s="26">
        <f>IF(FinalSem2!K22="","",FinalSem2!LN22)</f>
        <v>93.433333333333337</v>
      </c>
      <c r="DO22" s="26">
        <f>IF(FinalSem2!L22="","",FinalSem2!LO22)</f>
        <v>91.5</v>
      </c>
      <c r="DP22" s="26">
        <f>IF(FinalSem2!M22="","",FinalSem2!LP22)</f>
        <v>84.983333333333334</v>
      </c>
      <c r="DQ22" s="26">
        <f>IF(FinalSem2!N22="","",FinalSem2!LQ22)</f>
        <v>98</v>
      </c>
      <c r="DR22" s="26">
        <f>IF(FinalSem2!O22="","",FinalSem2!LR22)</f>
        <v>98</v>
      </c>
      <c r="DS22" s="26">
        <f>IF(FinalSem2!P22="","",FinalSem2!LS22)</f>
        <v>93.271666666666675</v>
      </c>
      <c r="DT22" s="26">
        <f>IF(FinalSem2!Q22="","",FinalSem2!LT22)</f>
        <v>88.543333333333337</v>
      </c>
      <c r="DU22" s="26">
        <f>IF(FinalSem2!R22="","",FinalSem2!LU22)</f>
        <v>86.677500000000009</v>
      </c>
      <c r="DV22" s="26">
        <f>IF(FinalSem2!S22="","",FinalSem2!LV22)</f>
        <v>85.527500000000003</v>
      </c>
      <c r="DW22" s="26">
        <f>IF(FinalSem2!T22="","",FinalSem2!LW22)</f>
        <v>88.75</v>
      </c>
      <c r="DX22" s="26">
        <f>IF(FinalSem2!U22="","",FinalSem2!LX22)</f>
        <v>95.833333333333343</v>
      </c>
      <c r="DY22" s="26">
        <f>IF(FinalSem2!V22="","",FinalSem2!LY22)</f>
        <v>93.416666666666671</v>
      </c>
      <c r="DZ22" s="26" t="str">
        <f t="shared" si="269"/>
        <v>B</v>
      </c>
      <c r="EA22" s="26" t="str">
        <f t="shared" si="270"/>
        <v>A</v>
      </c>
      <c r="EB22" s="26" t="str">
        <f t="shared" si="271"/>
        <v>A</v>
      </c>
      <c r="EC22" s="26" t="str">
        <f t="shared" si="272"/>
        <v>A</v>
      </c>
      <c r="ED22" s="26" t="str">
        <f t="shared" si="273"/>
        <v>A</v>
      </c>
      <c r="EE22" s="26" t="str">
        <f t="shared" si="274"/>
        <v>A</v>
      </c>
      <c r="EF22" s="26" t="str">
        <f t="shared" si="275"/>
        <v>B</v>
      </c>
      <c r="EG22" s="26" t="str">
        <f t="shared" si="276"/>
        <v>A</v>
      </c>
      <c r="EH22" s="26" t="str">
        <f t="shared" si="277"/>
        <v>A</v>
      </c>
      <c r="EI22" s="24" t="str">
        <f t="shared" si="278"/>
        <v>A</v>
      </c>
      <c r="EJ22" s="24" t="str">
        <f t="shared" si="279"/>
        <v>B</v>
      </c>
      <c r="EK22" s="24" t="str">
        <f t="shared" si="280"/>
        <v>B</v>
      </c>
      <c r="EL22" s="24" t="str">
        <f t="shared" si="281"/>
        <v>B</v>
      </c>
      <c r="EM22" s="24" t="str">
        <f t="shared" si="282"/>
        <v>B</v>
      </c>
      <c r="EN22" s="24" t="str">
        <f t="shared" si="283"/>
        <v>A</v>
      </c>
      <c r="EO22" s="24" t="str">
        <f t="shared" si="284"/>
        <v>A</v>
      </c>
      <c r="EP22" s="24">
        <f t="shared" si="285"/>
        <v>2</v>
      </c>
      <c r="EQ22" s="24">
        <f t="shared" si="286"/>
        <v>2</v>
      </c>
      <c r="ER22" s="24">
        <f t="shared" si="287"/>
        <v>3</v>
      </c>
      <c r="ES22" s="24">
        <f t="shared" si="288"/>
        <v>1</v>
      </c>
      <c r="ET22" s="24">
        <f t="shared" si="289"/>
        <v>5</v>
      </c>
      <c r="EU22" s="24">
        <f t="shared" si="290"/>
        <v>3</v>
      </c>
      <c r="EV22" s="24">
        <f t="shared" si="291"/>
        <v>2</v>
      </c>
      <c r="EW22" s="24">
        <f t="shared" si="292"/>
        <v>1</v>
      </c>
      <c r="EX22" s="24">
        <f t="shared" si="293"/>
        <v>1</v>
      </c>
      <c r="EY22" s="24">
        <f t="shared" si="294"/>
        <v>5</v>
      </c>
      <c r="EZ22" s="24">
        <f t="shared" si="295"/>
        <v>1</v>
      </c>
      <c r="FA22" s="24">
        <f t="shared" si="296"/>
        <v>5</v>
      </c>
      <c r="FB22" s="24">
        <f t="shared" si="297"/>
        <v>3</v>
      </c>
      <c r="FC22" s="24">
        <f t="shared" si="298"/>
        <v>2</v>
      </c>
      <c r="FD22" s="24">
        <f t="shared" si="299"/>
        <v>2</v>
      </c>
      <c r="FE22" s="24">
        <f t="shared" si="300"/>
        <v>2</v>
      </c>
      <c r="FF22" s="26">
        <f t="shared" si="301"/>
        <v>167.33333333333334</v>
      </c>
      <c r="FG22" s="26">
        <f t="shared" si="302"/>
        <v>181.10000000000002</v>
      </c>
      <c r="FH22" s="26">
        <f t="shared" si="303"/>
        <v>274.95000000000005</v>
      </c>
      <c r="FI22" s="26">
        <f t="shared" si="304"/>
        <v>90.5</v>
      </c>
      <c r="FJ22" s="26">
        <f t="shared" si="305"/>
        <v>467.16666666666669</v>
      </c>
      <c r="FK22" s="26">
        <f t="shared" si="306"/>
        <v>274.5</v>
      </c>
      <c r="FL22" s="26">
        <f t="shared" si="307"/>
        <v>169.96666666666667</v>
      </c>
      <c r="FM22" s="26">
        <f t="shared" si="308"/>
        <v>98</v>
      </c>
      <c r="FN22" s="26">
        <f t="shared" si="309"/>
        <v>98</v>
      </c>
      <c r="FO22" s="26">
        <f t="shared" si="310"/>
        <v>466.35833333333335</v>
      </c>
      <c r="FP22" s="26">
        <f t="shared" si="311"/>
        <v>88.543333333333337</v>
      </c>
      <c r="FQ22" s="26">
        <f t="shared" si="312"/>
        <v>433.38750000000005</v>
      </c>
      <c r="FR22" s="26">
        <f t="shared" si="313"/>
        <v>256.58249999999998</v>
      </c>
      <c r="FS22" s="26">
        <f t="shared" si="314"/>
        <v>177.5</v>
      </c>
      <c r="FT22" s="26">
        <f t="shared" si="315"/>
        <v>191.66666666666669</v>
      </c>
      <c r="FU22" s="26">
        <f t="shared" si="316"/>
        <v>186.83333333333334</v>
      </c>
      <c r="FV22" s="24">
        <f t="shared" ref="FV22:GK22" si="438">IF(OR(EP22="",DZ22=""),"",EP22*(IF(OR(DZ22="A",DZ22="a"),4,(IF(OR(DZ458="B",DZ22="b"),3,(IF(OR(DZ22="C",DZ22="c"),2,(IF(OR(DZ22="D",DZ22="d"),1.5,(IF(OR(DZ22="E",DZ22="e"),1,(IF(OR(DZ22="F",DZ22="f"),0)))))))))))))</f>
        <v>6</v>
      </c>
      <c r="FW22" s="24">
        <f t="shared" si="438"/>
        <v>8</v>
      </c>
      <c r="FX22" s="24">
        <f t="shared" si="438"/>
        <v>12</v>
      </c>
      <c r="FY22" s="24">
        <f t="shared" si="438"/>
        <v>4</v>
      </c>
      <c r="FZ22" s="24">
        <f t="shared" si="438"/>
        <v>20</v>
      </c>
      <c r="GA22" s="24">
        <f t="shared" si="438"/>
        <v>12</v>
      </c>
      <c r="GB22" s="24">
        <f t="shared" si="438"/>
        <v>6</v>
      </c>
      <c r="GC22" s="24">
        <f t="shared" si="438"/>
        <v>4</v>
      </c>
      <c r="GD22" s="24">
        <f t="shared" si="438"/>
        <v>4</v>
      </c>
      <c r="GE22" s="24">
        <f t="shared" si="438"/>
        <v>20</v>
      </c>
      <c r="GF22" s="24">
        <f t="shared" si="438"/>
        <v>3</v>
      </c>
      <c r="GG22" s="24">
        <f t="shared" si="438"/>
        <v>15</v>
      </c>
      <c r="GH22" s="24">
        <f t="shared" si="438"/>
        <v>9</v>
      </c>
      <c r="GI22" s="24">
        <f t="shared" si="438"/>
        <v>6</v>
      </c>
      <c r="GJ22" s="24">
        <f t="shared" si="438"/>
        <v>8</v>
      </c>
      <c r="GK22" s="24">
        <f t="shared" si="438"/>
        <v>8</v>
      </c>
      <c r="GL22" s="24">
        <f t="shared" si="318"/>
        <v>20</v>
      </c>
      <c r="GM22" s="26">
        <f t="shared" si="319"/>
        <v>1821.5166666666669</v>
      </c>
      <c r="GN22" s="26">
        <f t="shared" si="320"/>
        <v>76</v>
      </c>
      <c r="GO22" s="26">
        <f t="shared" si="321"/>
        <v>91.07583333333335</v>
      </c>
      <c r="GP22" s="24" t="str">
        <f t="shared" si="322"/>
        <v>A</v>
      </c>
      <c r="GQ22" s="26">
        <f t="shared" si="323"/>
        <v>3.8</v>
      </c>
      <c r="GR22" s="24">
        <f t="shared" si="324"/>
        <v>20</v>
      </c>
      <c r="GS22" s="26">
        <f t="shared" si="325"/>
        <v>1800.8716666666667</v>
      </c>
      <c r="GT22" s="26">
        <f t="shared" si="326"/>
        <v>69</v>
      </c>
      <c r="GU22" s="26">
        <f t="shared" si="327"/>
        <v>90.043583333333331</v>
      </c>
      <c r="GV22" s="24" t="str">
        <f t="shared" si="328"/>
        <v>A</v>
      </c>
      <c r="GW22" s="27">
        <f t="shared" si="329"/>
        <v>3.45</v>
      </c>
      <c r="GX22" s="24">
        <f t="shared" si="330"/>
        <v>40</v>
      </c>
      <c r="GY22" s="26">
        <f t="shared" si="331"/>
        <v>3622.3883333333338</v>
      </c>
      <c r="GZ22" s="26">
        <f t="shared" si="332"/>
        <v>145</v>
      </c>
      <c r="HA22" s="26">
        <f t="shared" si="333"/>
        <v>90.559708333333347</v>
      </c>
      <c r="HB22" s="27" t="str">
        <f t="shared" si="334"/>
        <v>A</v>
      </c>
      <c r="HC22" s="26">
        <f t="shared" si="335"/>
        <v>3.625</v>
      </c>
      <c r="HD22" s="24">
        <f t="shared" si="336"/>
        <v>1</v>
      </c>
      <c r="HE22" s="24" t="str">
        <f t="shared" si="337"/>
        <v>6A</v>
      </c>
      <c r="HF22" s="24">
        <f t="shared" si="338"/>
        <v>13</v>
      </c>
      <c r="HG22" s="24">
        <f>IF(B22="","",FinalSem2!$C$8)</f>
        <v>104</v>
      </c>
      <c r="HH22" s="24">
        <f>IF(A22="","",FinalSem2!PH22)</f>
        <v>0</v>
      </c>
      <c r="HI22" s="24">
        <f>IF(B22="","",FinalSem2!PI22)</f>
        <v>0</v>
      </c>
      <c r="HJ22" s="24">
        <f>IF(C22="","",FinalSem2!PJ22)</f>
        <v>2</v>
      </c>
      <c r="HK22" s="24">
        <f t="shared" si="339"/>
        <v>2</v>
      </c>
      <c r="HL22" s="25">
        <f t="shared" si="340"/>
        <v>0.98076923076923073</v>
      </c>
      <c r="HM22" s="26">
        <f>IF($B$15="","",IF(FinalSem2!LJ22="","",IF(AND(FinalSem1!LI22,FinalSem2!LJ22)="","",AVERAGE(FinalSem1!LI22,FinalSem2!LJ22))))</f>
        <v>77.5</v>
      </c>
      <c r="HN22" s="26">
        <f>IF($B$15="","",IF(FinalSem2!LK22="","",IF(AND(FinalSem1!LJ22,FinalSem2!LK22)="","",AVERAGE(FinalSem1!LJ22,FinalSem2!LK22))))</f>
        <v>88.32916666666668</v>
      </c>
      <c r="HO22" s="26">
        <f>IF($B$15="","",IF(FinalSem2!LL22="","",IF(AND(FinalSem1!LK22,FinalSem2!LL22)="","",AVERAGE(FinalSem1!LK22,FinalSem2!LL22))))</f>
        <v>91.495833333333337</v>
      </c>
      <c r="HP22" s="26">
        <f>IF($B$15="","",IF(FinalSem2!LM22="","",IF(AND(FinalSem1!LL22,FinalSem2!LM22)="","",AVERAGE(FinalSem1!LL22,FinalSem2!LM22))))</f>
        <v>84.833333333333343</v>
      </c>
      <c r="HQ22" s="26">
        <f>IF($B$15="","",IF(FinalSem2!LN22="","",IF(AND(FinalSem1!LM22,FinalSem2!LN22)="","",AVERAGE(FinalSem1!LM22,FinalSem2!LN22))))</f>
        <v>90.112500000000011</v>
      </c>
      <c r="HR22" s="26">
        <f>IF($B$15="","",IF(FinalSem2!LO22="","",IF(AND(FinalSem1!LN22,FinalSem2!LO22)="","",AVERAGE(FinalSem1!LN22,FinalSem2!LO22))))</f>
        <v>86.291666666666671</v>
      </c>
      <c r="HS22" s="26">
        <f>IF($B$15="","",IF(FinalSem2!LP22="","",IF(AND(FinalSem1!LO22,FinalSem2!LP22)="","",AVERAGE(FinalSem1!LO22,FinalSem2!LP22))))</f>
        <v>79.295833333333334</v>
      </c>
      <c r="HT22" s="26">
        <f>IF($B$15="","",IF(FinalSem2!LQ22="","",IF(AND(FinalSem1!LP22,FinalSem2!LQ22)="","",AVERAGE(FinalSem1!LP22,FinalSem2!LQ22))))</f>
        <v>95.458333333333343</v>
      </c>
      <c r="HU22" s="26">
        <f>IF($B$15="","",IF(FinalSem2!LR22="","",IF(AND(FinalSem1!LQ22,FinalSem2!LR22)="","",AVERAGE(FinalSem1!LQ22,FinalSem2!LR22))))</f>
        <v>95.458333333333343</v>
      </c>
      <c r="HV22" s="26">
        <f>IF($B$15="","",IF(FinalSem2!LS22="","",IF(AND(FinalSem1!LR22,FinalSem2!LS22)="","",AVERAGE(FinalSem1!LR22,FinalSem2!LS22))))</f>
        <v>92.841250000000002</v>
      </c>
      <c r="HW22" s="26">
        <f>IF($B$15="","",IF(FinalSem2!LT22="","",IF(AND(FinalSem1!LS22,FinalSem2!LT22)="","",AVERAGE(FinalSem1!LS22,FinalSem2!LT22))))</f>
        <v>91.682500000000005</v>
      </c>
      <c r="HX22" s="26">
        <f>IF($B$15="","",IF(FinalSem2!LU22="","",IF(AND(FinalSem1!LT22,FinalSem2!LU22)="","",AVERAGE(FinalSem1!LT22,FinalSem2!LU22))))</f>
        <v>84.558750000000003</v>
      </c>
      <c r="HY22" s="26">
        <f>IF($B$15="","",IF(FinalSem2!LV22="","",IF(AND(FinalSem1!LU22,FinalSem2!LV22)="","",AVERAGE(FinalSem1!LU22,FinalSem2!LV22))))</f>
        <v>80.810719696969699</v>
      </c>
      <c r="HZ22" s="26">
        <f>IF($B$15="","",IF(FinalSem2!LW22="","",IF(AND(FinalSem1!LV22,FinalSem2!LW22)="","",AVERAGE(FinalSem1!LV22,FinalSem2!LW22))))</f>
        <v>90.375</v>
      </c>
      <c r="IA22" s="26">
        <f>IF($B$15="","",IF(FinalSem2!LX22="","",IF(AND(FinalSem1!LW22,FinalSem2!LX22)="","",AVERAGE(FinalSem1!LW22,FinalSem2!LX22))))</f>
        <v>95.20416666666668</v>
      </c>
      <c r="IB22" s="26">
        <f>IF($B$15="","",IF(FinalSem2!LY22="","",IF(AND(FinalSem1!LX22,FinalSem2!LY22)="","",AVERAGE(FinalSem1!LX22,FinalSem2!LY22))))</f>
        <v>93.458333333333343</v>
      </c>
      <c r="IC22" s="26" t="str">
        <f t="shared" si="341"/>
        <v>C</v>
      </c>
      <c r="ID22" s="26" t="str">
        <f t="shared" si="342"/>
        <v>B</v>
      </c>
      <c r="IE22" s="26" t="str">
        <f t="shared" si="343"/>
        <v>A</v>
      </c>
      <c r="IF22" s="26" t="str">
        <f t="shared" si="344"/>
        <v>B</v>
      </c>
      <c r="IG22" s="26" t="str">
        <f t="shared" si="345"/>
        <v>A</v>
      </c>
      <c r="IH22" s="26" t="str">
        <f t="shared" si="346"/>
        <v>B</v>
      </c>
      <c r="II22" s="26" t="str">
        <f t="shared" si="347"/>
        <v>C</v>
      </c>
      <c r="IJ22" s="26" t="str">
        <f t="shared" si="348"/>
        <v>A</v>
      </c>
      <c r="IK22" s="26" t="str">
        <f t="shared" si="349"/>
        <v>A</v>
      </c>
      <c r="IL22" s="24" t="str">
        <f t="shared" si="350"/>
        <v>A</v>
      </c>
      <c r="IM22" s="24" t="str">
        <f t="shared" si="351"/>
        <v>A</v>
      </c>
      <c r="IN22" s="24" t="str">
        <f t="shared" si="352"/>
        <v>B</v>
      </c>
      <c r="IO22" s="24" t="str">
        <f t="shared" si="353"/>
        <v>B</v>
      </c>
      <c r="IP22" s="24" t="str">
        <f t="shared" si="354"/>
        <v>A</v>
      </c>
      <c r="IQ22" s="24" t="str">
        <f t="shared" si="355"/>
        <v>A</v>
      </c>
      <c r="IR22" s="24" t="str">
        <f t="shared" si="356"/>
        <v>A</v>
      </c>
      <c r="IS22" s="24">
        <f t="shared" si="357"/>
        <v>4</v>
      </c>
      <c r="IT22" s="24">
        <f t="shared" si="358"/>
        <v>4</v>
      </c>
      <c r="IU22" s="24">
        <f t="shared" si="359"/>
        <v>6</v>
      </c>
      <c r="IV22" s="24">
        <f t="shared" si="360"/>
        <v>2</v>
      </c>
      <c r="IW22" s="24">
        <f t="shared" si="361"/>
        <v>10</v>
      </c>
      <c r="IX22" s="24">
        <f t="shared" si="362"/>
        <v>6</v>
      </c>
      <c r="IY22" s="24">
        <f t="shared" si="363"/>
        <v>4</v>
      </c>
      <c r="IZ22" s="24">
        <f t="shared" si="364"/>
        <v>2</v>
      </c>
      <c r="JA22" s="24">
        <f t="shared" si="365"/>
        <v>2</v>
      </c>
      <c r="JB22" s="24">
        <f t="shared" si="366"/>
        <v>10</v>
      </c>
      <c r="JC22" s="24">
        <f t="shared" si="367"/>
        <v>2</v>
      </c>
      <c r="JD22" s="24">
        <f t="shared" si="368"/>
        <v>10</v>
      </c>
      <c r="JE22" s="24">
        <f t="shared" si="369"/>
        <v>6</v>
      </c>
      <c r="JF22" s="24">
        <f t="shared" si="370"/>
        <v>4</v>
      </c>
      <c r="JG22" s="24">
        <f t="shared" si="371"/>
        <v>4</v>
      </c>
      <c r="JH22" s="24">
        <f t="shared" si="372"/>
        <v>4</v>
      </c>
      <c r="JI22" s="26">
        <f t="shared" si="373"/>
        <v>310</v>
      </c>
      <c r="JJ22" s="26">
        <f t="shared" si="374"/>
        <v>353.31666666666672</v>
      </c>
      <c r="JK22" s="26">
        <f t="shared" si="375"/>
        <v>548.97500000000002</v>
      </c>
      <c r="JL22" s="26">
        <f t="shared" si="376"/>
        <v>169.66666666666669</v>
      </c>
      <c r="JM22" s="26">
        <f t="shared" si="377"/>
        <v>901.12500000000011</v>
      </c>
      <c r="JN22" s="26">
        <f t="shared" si="378"/>
        <v>517.75</v>
      </c>
      <c r="JO22" s="26">
        <f t="shared" si="379"/>
        <v>317.18333333333334</v>
      </c>
      <c r="JP22" s="26">
        <f t="shared" si="380"/>
        <v>190.91666666666669</v>
      </c>
      <c r="JQ22" s="26">
        <f t="shared" si="381"/>
        <v>190.91666666666669</v>
      </c>
      <c r="JR22" s="26">
        <f t="shared" si="382"/>
        <v>928.41250000000002</v>
      </c>
      <c r="JS22" s="26">
        <f t="shared" si="383"/>
        <v>183.36500000000001</v>
      </c>
      <c r="JT22" s="26">
        <f t="shared" si="384"/>
        <v>845.58750000000009</v>
      </c>
      <c r="JU22" s="26">
        <f t="shared" si="385"/>
        <v>484.86431818181819</v>
      </c>
      <c r="JV22" s="26">
        <f t="shared" si="386"/>
        <v>361.5</v>
      </c>
      <c r="JW22" s="26">
        <f t="shared" si="387"/>
        <v>380.81666666666672</v>
      </c>
      <c r="JX22" s="26">
        <f t="shared" si="388"/>
        <v>373.83333333333337</v>
      </c>
      <c r="JY22" s="24">
        <f t="shared" ref="JY22:KN22" si="439">IF(OR(IS22="",IC22=""),"",IS22*(IF(OR(IC22="A",IC22="a"),4,(IF(OR(IC458="B",IC22="b"),3,(IF(OR(IC22="C",IC22="c"),2,(IF(OR(IC22="D",IC22="d"),1.5,(IF(OR(IC22="E",IC22="e"),1,(IF(OR(IC22="F",IC22="f"),0)))))))))))))</f>
        <v>8</v>
      </c>
      <c r="JZ22" s="24">
        <f t="shared" si="439"/>
        <v>12</v>
      </c>
      <c r="KA22" s="24">
        <f t="shared" si="439"/>
        <v>24</v>
      </c>
      <c r="KB22" s="24">
        <f t="shared" si="439"/>
        <v>6</v>
      </c>
      <c r="KC22" s="24">
        <f t="shared" si="439"/>
        <v>40</v>
      </c>
      <c r="KD22" s="24">
        <f t="shared" si="439"/>
        <v>18</v>
      </c>
      <c r="KE22" s="24">
        <f t="shared" si="439"/>
        <v>8</v>
      </c>
      <c r="KF22" s="24">
        <f t="shared" si="439"/>
        <v>8</v>
      </c>
      <c r="KG22" s="24">
        <f t="shared" si="439"/>
        <v>8</v>
      </c>
      <c r="KH22" s="24">
        <f t="shared" si="439"/>
        <v>40</v>
      </c>
      <c r="KI22" s="24">
        <f t="shared" si="439"/>
        <v>8</v>
      </c>
      <c r="KJ22" s="24">
        <f t="shared" si="439"/>
        <v>30</v>
      </c>
      <c r="KK22" s="24">
        <f t="shared" si="439"/>
        <v>18</v>
      </c>
      <c r="KL22" s="24">
        <f t="shared" si="439"/>
        <v>16</v>
      </c>
      <c r="KM22" s="24">
        <f t="shared" si="439"/>
        <v>16</v>
      </c>
      <c r="KN22" s="24">
        <f t="shared" si="439"/>
        <v>16</v>
      </c>
      <c r="KO22" s="24">
        <f t="shared" si="390"/>
        <v>40</v>
      </c>
      <c r="KP22" s="26">
        <f t="shared" si="391"/>
        <v>3499.85</v>
      </c>
      <c r="KQ22" s="26">
        <f t="shared" si="392"/>
        <v>132</v>
      </c>
      <c r="KR22" s="26">
        <f t="shared" si="393"/>
        <v>87.496250000000003</v>
      </c>
      <c r="KS22" s="24" t="str">
        <f t="shared" si="394"/>
        <v>B</v>
      </c>
      <c r="KT22" s="26">
        <f t="shared" si="395"/>
        <v>3.3</v>
      </c>
      <c r="KU22" s="24">
        <f t="shared" si="396"/>
        <v>40</v>
      </c>
      <c r="KV22" s="26">
        <f t="shared" si="397"/>
        <v>3558.3793181818187</v>
      </c>
      <c r="KW22" s="26">
        <f t="shared" si="398"/>
        <v>144</v>
      </c>
      <c r="KX22" s="26">
        <f t="shared" si="399"/>
        <v>88.959482954545464</v>
      </c>
      <c r="KY22" s="24" t="str">
        <f t="shared" si="400"/>
        <v>B</v>
      </c>
      <c r="KZ22" s="26">
        <f t="shared" si="401"/>
        <v>3.6</v>
      </c>
      <c r="LA22" s="24">
        <f t="shared" si="402"/>
        <v>80</v>
      </c>
      <c r="LB22" s="26">
        <f t="shared" si="403"/>
        <v>7058.2293181818177</v>
      </c>
      <c r="LC22" s="27">
        <f t="shared" si="404"/>
        <v>276</v>
      </c>
      <c r="LD22" s="26">
        <f t="shared" si="405"/>
        <v>88.227866477272727</v>
      </c>
      <c r="LE22" s="27" t="str">
        <f t="shared" si="406"/>
        <v>B</v>
      </c>
      <c r="LF22" s="26">
        <f t="shared" si="407"/>
        <v>3.45</v>
      </c>
      <c r="LG22" s="24">
        <f t="shared" si="408"/>
        <v>2</v>
      </c>
      <c r="LH22" s="24" t="str">
        <f t="shared" si="409"/>
        <v>6A</v>
      </c>
      <c r="LI22" s="24">
        <f t="shared" si="410"/>
        <v>13</v>
      </c>
      <c r="LJ22" s="24">
        <f t="shared" si="411"/>
        <v>204</v>
      </c>
      <c r="LK22" s="24">
        <f t="shared" si="412"/>
        <v>0</v>
      </c>
      <c r="LL22" s="24">
        <f t="shared" si="413"/>
        <v>0</v>
      </c>
      <c r="LM22" s="24">
        <f t="shared" si="414"/>
        <v>2</v>
      </c>
      <c r="LN22" s="24">
        <f t="shared" si="415"/>
        <v>2</v>
      </c>
      <c r="LO22" s="25">
        <f t="shared" si="416"/>
        <v>0.99019607843137258</v>
      </c>
      <c r="LP22" s="24" t="str">
        <f t="shared" si="417"/>
        <v>Pass - Promoted to Grade</v>
      </c>
      <c r="LQ22" s="24" t="str">
        <f t="shared" si="418"/>
        <v>ជាប់ត្រូវបានឡើងថ្នាក់ទី</v>
      </c>
      <c r="LR22" s="24">
        <f t="shared" si="419"/>
        <v>6</v>
      </c>
      <c r="LS22" s="24">
        <f t="shared" si="420"/>
        <v>7</v>
      </c>
    </row>
    <row r="23" spans="1:331" ht="27" customHeight="1" x14ac:dyDescent="0.35">
      <c r="A23" s="24">
        <f t="shared" si="421"/>
        <v>9</v>
      </c>
      <c r="B23" s="86" t="str">
        <f>IF(FinalSem2!B23="","",FinalSem2!B23)</f>
        <v>Sann Visorth</v>
      </c>
      <c r="C23" s="29" t="str">
        <f>IF(FinalSem2!C23="","",FinalSem2!C23)</f>
        <v>សាន វីសុទ្ធ</v>
      </c>
      <c r="D23" s="24" t="str">
        <f>IF(FinalSem2!D23="","",FinalSem2!D23)</f>
        <v>M</v>
      </c>
      <c r="E23" s="24">
        <f>IF(FinalSem2!E23="","",FinalSem2!E23)</f>
        <v>692</v>
      </c>
      <c r="F23" s="24" t="str">
        <f>IF(FinalSem2!F23="","",FinalSem2!F23)</f>
        <v>I</v>
      </c>
      <c r="G23" s="26">
        <f>IF(FinalSem1!G23="","",FinalSem1!LI23)</f>
        <v>56</v>
      </c>
      <c r="H23" s="26">
        <f>IF(FinalSem1!H23="","",FinalSem1!LJ23)</f>
        <v>74.349999999999994</v>
      </c>
      <c r="I23" s="26">
        <f>IF(FinalSem1!I23="","",FinalSem1!LK23)</f>
        <v>79.708333333333343</v>
      </c>
      <c r="J23" s="26">
        <f>IF(FinalSem1!J23="","",FinalSem1!LL23)</f>
        <v>65</v>
      </c>
      <c r="K23" s="26">
        <f>IF(FinalSem1!K23="","",FinalSem1!LM23)</f>
        <v>71.95</v>
      </c>
      <c r="L23" s="26">
        <f>IF(FinalSem1!L23="","",FinalSem1!LN23)</f>
        <v>66.683333333333337</v>
      </c>
      <c r="M23" s="26">
        <f>IF(FinalSem1!M23="","",FinalSem1!LO23)</f>
        <v>69.783333333333331</v>
      </c>
      <c r="N23" s="26">
        <f>IF(FinalSem1!N23="","",FinalSem1!LP23)</f>
        <v>85.083333333333329</v>
      </c>
      <c r="O23" s="26">
        <f>IF(FinalSem1!O23="","",FinalSem1!LQ23)</f>
        <v>85.083333333333329</v>
      </c>
      <c r="P23" s="26">
        <f>IF(FinalSem1!P23="","",FinalSem1!LR23)</f>
        <v>53.150833333333338</v>
      </c>
      <c r="Q23" s="26">
        <f>IF(FinalSem1!Q23="","",FinalSem1!LS23)</f>
        <v>60.301666666666669</v>
      </c>
      <c r="R23" s="26">
        <f>IF(FinalSem1!R23="","",FinalSem1!LT23)</f>
        <v>37.017499999999998</v>
      </c>
      <c r="S23" s="26">
        <f>IF(FinalSem1!S23="","",FinalSem1!LU23)</f>
        <v>27.774999999999999</v>
      </c>
      <c r="T23" s="26">
        <f>IF(FinalSem1!T23="","",FinalSem1!LV23)</f>
        <v>55.533333333333331</v>
      </c>
      <c r="U23" s="26">
        <f>IF(FinalSem1!U23="","",FinalSem1!LW23)</f>
        <v>73.333333333333343</v>
      </c>
      <c r="V23" s="26">
        <f>IF(FinalSem1!V23="","",FinalSem1!LX23)</f>
        <v>63.208333333333329</v>
      </c>
      <c r="W23" s="26" t="str">
        <f t="shared" si="197"/>
        <v>E</v>
      </c>
      <c r="X23" s="26" t="str">
        <f t="shared" si="198"/>
        <v>C</v>
      </c>
      <c r="Y23" s="26" t="str">
        <f t="shared" si="199"/>
        <v>C</v>
      </c>
      <c r="Z23" s="26" t="str">
        <f t="shared" si="200"/>
        <v>D</v>
      </c>
      <c r="AA23" s="26" t="str">
        <f t="shared" si="201"/>
        <v>C</v>
      </c>
      <c r="AB23" s="26" t="str">
        <f t="shared" si="202"/>
        <v>D</v>
      </c>
      <c r="AC23" s="26" t="str">
        <f t="shared" si="203"/>
        <v>D</v>
      </c>
      <c r="AD23" s="26" t="str">
        <f t="shared" si="204"/>
        <v>B</v>
      </c>
      <c r="AE23" s="26" t="str">
        <f t="shared" si="205"/>
        <v>B</v>
      </c>
      <c r="AF23" s="24" t="str">
        <f t="shared" si="206"/>
        <v>E</v>
      </c>
      <c r="AG23" s="24" t="str">
        <f t="shared" si="207"/>
        <v>D</v>
      </c>
      <c r="AH23" s="24" t="str">
        <f t="shared" si="208"/>
        <v>F</v>
      </c>
      <c r="AI23" s="24" t="str">
        <f t="shared" si="209"/>
        <v>F</v>
      </c>
      <c r="AJ23" s="24" t="str">
        <f t="shared" si="210"/>
        <v>E</v>
      </c>
      <c r="AK23" s="24" t="str">
        <f t="shared" si="211"/>
        <v>C</v>
      </c>
      <c r="AL23" s="24" t="str">
        <f t="shared" si="212"/>
        <v>D</v>
      </c>
      <c r="AM23" s="24">
        <f t="shared" si="213"/>
        <v>2</v>
      </c>
      <c r="AN23" s="24">
        <f t="shared" si="214"/>
        <v>2</v>
      </c>
      <c r="AO23" s="24">
        <f t="shared" si="215"/>
        <v>3</v>
      </c>
      <c r="AP23" s="24">
        <f t="shared" si="216"/>
        <v>1</v>
      </c>
      <c r="AQ23" s="24">
        <f t="shared" si="217"/>
        <v>5</v>
      </c>
      <c r="AR23" s="24">
        <f t="shared" si="218"/>
        <v>3</v>
      </c>
      <c r="AS23" s="24">
        <f t="shared" si="219"/>
        <v>2</v>
      </c>
      <c r="AT23" s="24">
        <f t="shared" si="220"/>
        <v>1</v>
      </c>
      <c r="AU23" s="24">
        <f t="shared" si="221"/>
        <v>1</v>
      </c>
      <c r="AV23" s="24">
        <f t="shared" si="222"/>
        <v>5</v>
      </c>
      <c r="AW23" s="24">
        <f t="shared" si="223"/>
        <v>1</v>
      </c>
      <c r="AX23" s="24">
        <f t="shared" si="224"/>
        <v>5</v>
      </c>
      <c r="AY23" s="24">
        <f t="shared" si="225"/>
        <v>3</v>
      </c>
      <c r="AZ23" s="24">
        <f t="shared" si="226"/>
        <v>2</v>
      </c>
      <c r="BA23" s="24">
        <f t="shared" si="227"/>
        <v>2</v>
      </c>
      <c r="BB23" s="24">
        <f t="shared" si="228"/>
        <v>2</v>
      </c>
      <c r="BC23" s="26">
        <f t="shared" si="229"/>
        <v>112</v>
      </c>
      <c r="BD23" s="26">
        <f t="shared" si="230"/>
        <v>148.69999999999999</v>
      </c>
      <c r="BE23" s="26">
        <f t="shared" si="231"/>
        <v>239.12500000000003</v>
      </c>
      <c r="BF23" s="26">
        <f t="shared" si="232"/>
        <v>65</v>
      </c>
      <c r="BG23" s="26">
        <f t="shared" si="233"/>
        <v>359.75</v>
      </c>
      <c r="BH23" s="26">
        <f t="shared" si="234"/>
        <v>200.05</v>
      </c>
      <c r="BI23" s="26">
        <f t="shared" si="235"/>
        <v>139.56666666666666</v>
      </c>
      <c r="BJ23" s="26">
        <f t="shared" si="236"/>
        <v>85.083333333333329</v>
      </c>
      <c r="BK23" s="26">
        <f t="shared" si="237"/>
        <v>85.083333333333329</v>
      </c>
      <c r="BL23" s="26">
        <f t="shared" si="238"/>
        <v>265.75416666666672</v>
      </c>
      <c r="BM23" s="26">
        <f t="shared" si="239"/>
        <v>60.301666666666669</v>
      </c>
      <c r="BN23" s="26">
        <f t="shared" si="240"/>
        <v>185.08749999999998</v>
      </c>
      <c r="BO23" s="26">
        <f t="shared" si="241"/>
        <v>83.324999999999989</v>
      </c>
      <c r="BP23" s="26">
        <f t="shared" si="242"/>
        <v>111.06666666666666</v>
      </c>
      <c r="BQ23" s="26">
        <f t="shared" si="243"/>
        <v>146.66666666666669</v>
      </c>
      <c r="BR23" s="26">
        <f t="shared" si="244"/>
        <v>126.41666666666666</v>
      </c>
      <c r="BS23" s="24">
        <f t="shared" ref="BS23:CH23" si="440">IF(OR(AM23="",W23=""),"",AM23*(IF(OR(W23="A",W23="a"),4,(IF(OR(W459="B",W23="b"),3,(IF(OR(W23="C",W23="c"),2,(IF(OR(W23="D",W23="d"),1.5,(IF(OR(W23="E",W23="e"),1,(IF(OR(W23="F",W23="f"),0)))))))))))))</f>
        <v>2</v>
      </c>
      <c r="BT23" s="24">
        <f t="shared" si="440"/>
        <v>4</v>
      </c>
      <c r="BU23" s="24">
        <f t="shared" si="440"/>
        <v>6</v>
      </c>
      <c r="BV23" s="24">
        <f t="shared" si="440"/>
        <v>1.5</v>
      </c>
      <c r="BW23" s="24">
        <f t="shared" si="440"/>
        <v>10</v>
      </c>
      <c r="BX23" s="24">
        <f t="shared" si="440"/>
        <v>4.5</v>
      </c>
      <c r="BY23" s="24">
        <f t="shared" si="440"/>
        <v>3</v>
      </c>
      <c r="BZ23" s="24">
        <f t="shared" si="440"/>
        <v>3</v>
      </c>
      <c r="CA23" s="24">
        <f t="shared" si="440"/>
        <v>3</v>
      </c>
      <c r="CB23" s="24">
        <f t="shared" si="440"/>
        <v>5</v>
      </c>
      <c r="CC23" s="24">
        <f t="shared" si="440"/>
        <v>1.5</v>
      </c>
      <c r="CD23" s="24">
        <f t="shared" si="440"/>
        <v>0</v>
      </c>
      <c r="CE23" s="24">
        <f t="shared" si="440"/>
        <v>0</v>
      </c>
      <c r="CF23" s="24">
        <f t="shared" si="440"/>
        <v>2</v>
      </c>
      <c r="CG23" s="24">
        <f t="shared" si="440"/>
        <v>4</v>
      </c>
      <c r="CH23" s="24">
        <f t="shared" si="440"/>
        <v>3</v>
      </c>
      <c r="CI23" s="24">
        <f t="shared" si="246"/>
        <v>20</v>
      </c>
      <c r="CJ23" s="24">
        <f t="shared" si="247"/>
        <v>1445.6766666666667</v>
      </c>
      <c r="CK23" s="26">
        <f t="shared" si="248"/>
        <v>31.5</v>
      </c>
      <c r="CL23" s="26">
        <f t="shared" si="249"/>
        <v>72.283833333333334</v>
      </c>
      <c r="CM23" s="24" t="str">
        <f t="shared" si="250"/>
        <v>C</v>
      </c>
      <c r="CN23" s="26">
        <f t="shared" si="251"/>
        <v>1.575</v>
      </c>
      <c r="CO23" s="24">
        <f t="shared" si="252"/>
        <v>20</v>
      </c>
      <c r="CP23" s="26">
        <f t="shared" si="253"/>
        <v>978.61833333333345</v>
      </c>
      <c r="CQ23" s="26">
        <f t="shared" si="254"/>
        <v>15.5</v>
      </c>
      <c r="CR23" s="26">
        <f t="shared" si="255"/>
        <v>48.930916666666675</v>
      </c>
      <c r="CS23" s="24" t="str">
        <f t="shared" si="256"/>
        <v>F</v>
      </c>
      <c r="CT23" s="26">
        <f t="shared" si="257"/>
        <v>0.77500000000000002</v>
      </c>
      <c r="CU23" s="24">
        <f t="shared" si="258"/>
        <v>40</v>
      </c>
      <c r="CV23" s="26">
        <f t="shared" si="259"/>
        <v>2412.9766666666665</v>
      </c>
      <c r="CW23" s="26">
        <f t="shared" si="260"/>
        <v>52.5</v>
      </c>
      <c r="CX23" s="26">
        <f t="shared" si="261"/>
        <v>60.324416666666664</v>
      </c>
      <c r="CY23" s="27" t="str">
        <f t="shared" si="262"/>
        <v>D</v>
      </c>
      <c r="CZ23" s="26">
        <f t="shared" si="263"/>
        <v>1.3125</v>
      </c>
      <c r="DA23" s="24">
        <f t="shared" si="264"/>
        <v>12</v>
      </c>
      <c r="DB23" s="24" t="str">
        <f t="shared" si="265"/>
        <v>6A</v>
      </c>
      <c r="DC23" s="24">
        <f t="shared" si="266"/>
        <v>13</v>
      </c>
      <c r="DD23" s="24">
        <f>IF(B23="","",FinalSem1!$C$8)</f>
        <v>100</v>
      </c>
      <c r="DE23" s="24">
        <f>IF(A23="","",FinalSem1!PG23)</f>
        <v>0</v>
      </c>
      <c r="DF23" s="24">
        <f>IF(B23="","",FinalSem1!PH23)</f>
        <v>0</v>
      </c>
      <c r="DG23" s="24">
        <f>IF(B23="","",FinalSem1!PI23)</f>
        <v>1</v>
      </c>
      <c r="DH23" s="24">
        <f t="shared" si="267"/>
        <v>1</v>
      </c>
      <c r="DI23" s="25">
        <f t="shared" si="268"/>
        <v>0.99</v>
      </c>
      <c r="DJ23" s="26">
        <f>IF(FinalSem2!G23="","",FinalSem2!LJ23)</f>
        <v>59.333333333333336</v>
      </c>
      <c r="DK23" s="26">
        <f>IF(FinalSem2!H23="","",FinalSem2!LK23)</f>
        <v>77.666666666666671</v>
      </c>
      <c r="DL23" s="26">
        <f>IF(FinalSem2!I23="","",FinalSem2!LL23)</f>
        <v>78.308333333333337</v>
      </c>
      <c r="DM23" s="26">
        <f>IF(FinalSem2!J23="","",FinalSem2!LM23)</f>
        <v>75.333333333333329</v>
      </c>
      <c r="DN23" s="26">
        <f>IF(FinalSem2!K23="","",FinalSem2!LN23)</f>
        <v>64.858333333333334</v>
      </c>
      <c r="DO23" s="26">
        <f>IF(FinalSem2!L23="","",FinalSem2!LO23)</f>
        <v>66.5</v>
      </c>
      <c r="DP23" s="26">
        <f>IF(FinalSem2!M23="","",FinalSem2!LP23)</f>
        <v>71.666666666666671</v>
      </c>
      <c r="DQ23" s="26">
        <f>IF(FinalSem2!N23="","",FinalSem2!LQ23)</f>
        <v>96</v>
      </c>
      <c r="DR23" s="26">
        <f>IF(FinalSem2!O23="","",FinalSem2!LR23)</f>
        <v>96</v>
      </c>
      <c r="DS23" s="26">
        <f>IF(FinalSem2!P23="","",FinalSem2!LS23)</f>
        <v>53.400000000000006</v>
      </c>
      <c r="DT23" s="26">
        <f>IF(FinalSem2!Q23="","",FinalSem2!LT23)</f>
        <v>58.800000000000004</v>
      </c>
      <c r="DU23" s="26">
        <f>IF(FinalSem2!R23="","",FinalSem2!LU23)</f>
        <v>48.335000000000001</v>
      </c>
      <c r="DV23" s="26">
        <f>IF(FinalSem2!S23="","",FinalSem2!LV23)</f>
        <v>51.912500000000001</v>
      </c>
      <c r="DW23" s="26">
        <f>IF(FinalSem2!T23="","",FinalSem2!LW23)</f>
        <v>66.625</v>
      </c>
      <c r="DX23" s="26">
        <f>IF(FinalSem2!U23="","",FinalSem2!LX23)</f>
        <v>74.875</v>
      </c>
      <c r="DY23" s="26">
        <f>IF(FinalSem2!V23="","",FinalSem2!LY23)</f>
        <v>68.917500000000004</v>
      </c>
      <c r="DZ23" s="26" t="str">
        <f t="shared" si="269"/>
        <v>E</v>
      </c>
      <c r="EA23" s="26" t="str">
        <f t="shared" si="270"/>
        <v>C</v>
      </c>
      <c r="EB23" s="26" t="str">
        <f t="shared" si="271"/>
        <v>C</v>
      </c>
      <c r="EC23" s="26" t="str">
        <f t="shared" si="272"/>
        <v>C</v>
      </c>
      <c r="ED23" s="26" t="str">
        <f t="shared" si="273"/>
        <v>D</v>
      </c>
      <c r="EE23" s="26" t="str">
        <f t="shared" si="274"/>
        <v>D</v>
      </c>
      <c r="EF23" s="26" t="str">
        <f t="shared" si="275"/>
        <v>C</v>
      </c>
      <c r="EG23" s="26" t="str">
        <f t="shared" si="276"/>
        <v>A</v>
      </c>
      <c r="EH23" s="26" t="str">
        <f t="shared" si="277"/>
        <v>A</v>
      </c>
      <c r="EI23" s="24" t="str">
        <f t="shared" si="278"/>
        <v>E</v>
      </c>
      <c r="EJ23" s="24" t="str">
        <f t="shared" si="279"/>
        <v>E</v>
      </c>
      <c r="EK23" s="24" t="str">
        <f t="shared" si="280"/>
        <v>F</v>
      </c>
      <c r="EL23" s="24" t="str">
        <f t="shared" si="281"/>
        <v>E</v>
      </c>
      <c r="EM23" s="24" t="str">
        <f t="shared" si="282"/>
        <v>D</v>
      </c>
      <c r="EN23" s="24" t="str">
        <f t="shared" si="283"/>
        <v>C</v>
      </c>
      <c r="EO23" s="24" t="str">
        <f t="shared" si="284"/>
        <v>D</v>
      </c>
      <c r="EP23" s="24">
        <f t="shared" si="285"/>
        <v>2</v>
      </c>
      <c r="EQ23" s="24">
        <f t="shared" si="286"/>
        <v>2</v>
      </c>
      <c r="ER23" s="24">
        <f t="shared" si="287"/>
        <v>3</v>
      </c>
      <c r="ES23" s="24">
        <f t="shared" si="288"/>
        <v>1</v>
      </c>
      <c r="ET23" s="24">
        <f t="shared" si="289"/>
        <v>5</v>
      </c>
      <c r="EU23" s="24">
        <f t="shared" si="290"/>
        <v>3</v>
      </c>
      <c r="EV23" s="24">
        <f t="shared" si="291"/>
        <v>2</v>
      </c>
      <c r="EW23" s="24">
        <f t="shared" si="292"/>
        <v>1</v>
      </c>
      <c r="EX23" s="24">
        <f t="shared" si="293"/>
        <v>1</v>
      </c>
      <c r="EY23" s="24">
        <f t="shared" si="294"/>
        <v>5</v>
      </c>
      <c r="EZ23" s="24">
        <f t="shared" si="295"/>
        <v>1</v>
      </c>
      <c r="FA23" s="24">
        <f t="shared" si="296"/>
        <v>5</v>
      </c>
      <c r="FB23" s="24">
        <f t="shared" si="297"/>
        <v>3</v>
      </c>
      <c r="FC23" s="24">
        <f t="shared" si="298"/>
        <v>2</v>
      </c>
      <c r="FD23" s="24">
        <f t="shared" si="299"/>
        <v>2</v>
      </c>
      <c r="FE23" s="24">
        <f t="shared" si="300"/>
        <v>2</v>
      </c>
      <c r="FF23" s="26">
        <f t="shared" si="301"/>
        <v>118.66666666666667</v>
      </c>
      <c r="FG23" s="26">
        <f t="shared" si="302"/>
        <v>155.33333333333334</v>
      </c>
      <c r="FH23" s="26">
        <f t="shared" si="303"/>
        <v>234.92500000000001</v>
      </c>
      <c r="FI23" s="26">
        <f t="shared" si="304"/>
        <v>75.333333333333329</v>
      </c>
      <c r="FJ23" s="26">
        <f t="shared" si="305"/>
        <v>324.29166666666669</v>
      </c>
      <c r="FK23" s="26">
        <f t="shared" si="306"/>
        <v>199.5</v>
      </c>
      <c r="FL23" s="26">
        <f t="shared" si="307"/>
        <v>143.33333333333334</v>
      </c>
      <c r="FM23" s="26">
        <f t="shared" si="308"/>
        <v>96</v>
      </c>
      <c r="FN23" s="26">
        <f t="shared" si="309"/>
        <v>96</v>
      </c>
      <c r="FO23" s="26">
        <f t="shared" si="310"/>
        <v>267</v>
      </c>
      <c r="FP23" s="26">
        <f t="shared" si="311"/>
        <v>58.800000000000004</v>
      </c>
      <c r="FQ23" s="26">
        <f t="shared" si="312"/>
        <v>241.67500000000001</v>
      </c>
      <c r="FR23" s="26">
        <f t="shared" si="313"/>
        <v>155.73750000000001</v>
      </c>
      <c r="FS23" s="26">
        <f t="shared" si="314"/>
        <v>133.25</v>
      </c>
      <c r="FT23" s="26">
        <f t="shared" si="315"/>
        <v>149.75</v>
      </c>
      <c r="FU23" s="26">
        <f t="shared" si="316"/>
        <v>137.83500000000001</v>
      </c>
      <c r="FV23" s="24">
        <f t="shared" ref="FV23:GK23" si="441">IF(OR(EP23="",DZ23=""),"",EP23*(IF(OR(DZ23="A",DZ23="a"),4,(IF(OR(DZ459="B",DZ23="b"),3,(IF(OR(DZ23="C",DZ23="c"),2,(IF(OR(DZ23="D",DZ23="d"),1.5,(IF(OR(DZ23="E",DZ23="e"),1,(IF(OR(DZ23="F",DZ23="f"),0)))))))))))))</f>
        <v>2</v>
      </c>
      <c r="FW23" s="24">
        <f t="shared" si="441"/>
        <v>4</v>
      </c>
      <c r="FX23" s="24">
        <f t="shared" si="441"/>
        <v>6</v>
      </c>
      <c r="FY23" s="24">
        <f t="shared" si="441"/>
        <v>2</v>
      </c>
      <c r="FZ23" s="24">
        <f t="shared" si="441"/>
        <v>7.5</v>
      </c>
      <c r="GA23" s="24">
        <f t="shared" si="441"/>
        <v>4.5</v>
      </c>
      <c r="GB23" s="24">
        <f t="shared" si="441"/>
        <v>4</v>
      </c>
      <c r="GC23" s="24">
        <f t="shared" si="441"/>
        <v>4</v>
      </c>
      <c r="GD23" s="24">
        <f t="shared" si="441"/>
        <v>4</v>
      </c>
      <c r="GE23" s="24">
        <f t="shared" si="441"/>
        <v>5</v>
      </c>
      <c r="GF23" s="24">
        <f t="shared" si="441"/>
        <v>1</v>
      </c>
      <c r="GG23" s="24">
        <f t="shared" si="441"/>
        <v>0</v>
      </c>
      <c r="GH23" s="24">
        <f t="shared" si="441"/>
        <v>3</v>
      </c>
      <c r="GI23" s="24">
        <f t="shared" si="441"/>
        <v>3</v>
      </c>
      <c r="GJ23" s="24">
        <f t="shared" si="441"/>
        <v>4</v>
      </c>
      <c r="GK23" s="24">
        <f t="shared" si="441"/>
        <v>3</v>
      </c>
      <c r="GL23" s="24">
        <f t="shared" si="318"/>
        <v>20</v>
      </c>
      <c r="GM23" s="26">
        <f t="shared" si="319"/>
        <v>1443.3833333333332</v>
      </c>
      <c r="GN23" s="26">
        <f t="shared" si="320"/>
        <v>38</v>
      </c>
      <c r="GO23" s="26">
        <f t="shared" si="321"/>
        <v>72.169166666666655</v>
      </c>
      <c r="GP23" s="24" t="str">
        <f t="shared" si="322"/>
        <v>C</v>
      </c>
      <c r="GQ23" s="26">
        <f t="shared" si="323"/>
        <v>1.9</v>
      </c>
      <c r="GR23" s="24">
        <f t="shared" si="324"/>
        <v>20</v>
      </c>
      <c r="GS23" s="26">
        <f t="shared" si="325"/>
        <v>1144.0475000000001</v>
      </c>
      <c r="GT23" s="26">
        <f t="shared" si="326"/>
        <v>19</v>
      </c>
      <c r="GU23" s="26">
        <f t="shared" si="327"/>
        <v>57.202375000000004</v>
      </c>
      <c r="GV23" s="24" t="str">
        <f t="shared" si="328"/>
        <v>E</v>
      </c>
      <c r="GW23" s="27">
        <f t="shared" si="329"/>
        <v>0.95</v>
      </c>
      <c r="GX23" s="24">
        <f t="shared" si="330"/>
        <v>40</v>
      </c>
      <c r="GY23" s="26">
        <f t="shared" si="331"/>
        <v>2587.4308333333333</v>
      </c>
      <c r="GZ23" s="26">
        <f t="shared" si="332"/>
        <v>57</v>
      </c>
      <c r="HA23" s="26">
        <f t="shared" si="333"/>
        <v>64.685770833333336</v>
      </c>
      <c r="HB23" s="27" t="str">
        <f t="shared" si="334"/>
        <v>D</v>
      </c>
      <c r="HC23" s="26">
        <f t="shared" si="335"/>
        <v>1.425</v>
      </c>
      <c r="HD23" s="24">
        <f t="shared" si="336"/>
        <v>12</v>
      </c>
      <c r="HE23" s="24" t="str">
        <f t="shared" si="337"/>
        <v>6A</v>
      </c>
      <c r="HF23" s="24">
        <f t="shared" si="338"/>
        <v>13</v>
      </c>
      <c r="HG23" s="24">
        <f>IF(B23="","",FinalSem2!$C$8)</f>
        <v>104</v>
      </c>
      <c r="HH23" s="24">
        <f>IF(A23="","",FinalSem2!PH23)</f>
        <v>0</v>
      </c>
      <c r="HI23" s="24">
        <f>IF(B23="","",FinalSem2!PI23)</f>
        <v>0</v>
      </c>
      <c r="HJ23" s="24">
        <f>IF(C23="","",FinalSem2!PJ23)</f>
        <v>0</v>
      </c>
      <c r="HK23" s="24">
        <f t="shared" si="339"/>
        <v>0</v>
      </c>
      <c r="HL23" s="25">
        <f t="shared" si="340"/>
        <v>1</v>
      </c>
      <c r="HM23" s="26">
        <f>IF($B$15="","",IF(FinalSem2!LJ23="","",IF(AND(FinalSem1!LI23,FinalSem2!LJ23)="","",AVERAGE(FinalSem1!LI23,FinalSem2!LJ23))))</f>
        <v>57.666666666666671</v>
      </c>
      <c r="HN23" s="26">
        <f>IF($B$15="","",IF(FinalSem2!LK23="","",IF(AND(FinalSem1!LJ23,FinalSem2!LK23)="","",AVERAGE(FinalSem1!LJ23,FinalSem2!LK23))))</f>
        <v>76.008333333333326</v>
      </c>
      <c r="HO23" s="26">
        <f>IF($B$15="","",IF(FinalSem2!LL23="","",IF(AND(FinalSem1!LK23,FinalSem2!LL23)="","",AVERAGE(FinalSem1!LK23,FinalSem2!LL23))))</f>
        <v>79.00833333333334</v>
      </c>
      <c r="HP23" s="26">
        <f>IF($B$15="","",IF(FinalSem2!LM23="","",IF(AND(FinalSem1!LL23,FinalSem2!LM23)="","",AVERAGE(FinalSem1!LL23,FinalSem2!LM23))))</f>
        <v>70.166666666666657</v>
      </c>
      <c r="HQ23" s="26">
        <f>IF($B$15="","",IF(FinalSem2!LN23="","",IF(AND(FinalSem1!LM23,FinalSem2!LN23)="","",AVERAGE(FinalSem1!LM23,FinalSem2!LN23))))</f>
        <v>68.404166666666669</v>
      </c>
      <c r="HR23" s="26">
        <f>IF($B$15="","",IF(FinalSem2!LO23="","",IF(AND(FinalSem1!LN23,FinalSem2!LO23)="","",AVERAGE(FinalSem1!LN23,FinalSem2!LO23))))</f>
        <v>66.591666666666669</v>
      </c>
      <c r="HS23" s="26">
        <f>IF($B$15="","",IF(FinalSem2!LP23="","",IF(AND(FinalSem1!LO23,FinalSem2!LP23)="","",AVERAGE(FinalSem1!LO23,FinalSem2!LP23))))</f>
        <v>70.724999999999994</v>
      </c>
      <c r="HT23" s="26">
        <f>IF($B$15="","",IF(FinalSem2!LQ23="","",IF(AND(FinalSem1!LP23,FinalSem2!LQ23)="","",AVERAGE(FinalSem1!LP23,FinalSem2!LQ23))))</f>
        <v>90.541666666666657</v>
      </c>
      <c r="HU23" s="26">
        <f>IF($B$15="","",IF(FinalSem2!LR23="","",IF(AND(FinalSem1!LQ23,FinalSem2!LR23)="","",AVERAGE(FinalSem1!LQ23,FinalSem2!LR23))))</f>
        <v>90.541666666666657</v>
      </c>
      <c r="HV23" s="26">
        <f>IF($B$15="","",IF(FinalSem2!LS23="","",IF(AND(FinalSem1!LR23,FinalSem2!LS23)="","",AVERAGE(FinalSem1!LR23,FinalSem2!LS23))))</f>
        <v>53.275416666666672</v>
      </c>
      <c r="HW23" s="26">
        <f>IF($B$15="","",IF(FinalSem2!LT23="","",IF(AND(FinalSem1!LS23,FinalSem2!LT23)="","",AVERAGE(FinalSem1!LS23,FinalSem2!LT23))))</f>
        <v>59.550833333333337</v>
      </c>
      <c r="HX23" s="26">
        <f>IF($B$15="","",IF(FinalSem2!LU23="","",IF(AND(FinalSem1!LT23,FinalSem2!LU23)="","",AVERAGE(FinalSem1!LT23,FinalSem2!LU23))))</f>
        <v>42.676249999999996</v>
      </c>
      <c r="HY23" s="26">
        <f>IF($B$15="","",IF(FinalSem2!LV23="","",IF(AND(FinalSem1!LU23,FinalSem2!LV23)="","",AVERAGE(FinalSem1!LU23,FinalSem2!LV23))))</f>
        <v>39.84375</v>
      </c>
      <c r="HZ23" s="26">
        <f>IF($B$15="","",IF(FinalSem2!LW23="","",IF(AND(FinalSem1!LV23,FinalSem2!LW23)="","",AVERAGE(FinalSem1!LV23,FinalSem2!LW23))))</f>
        <v>61.079166666666666</v>
      </c>
      <c r="IA23" s="26">
        <f>IF($B$15="","",IF(FinalSem2!LX23="","",IF(AND(FinalSem1!LW23,FinalSem2!LX23)="","",AVERAGE(FinalSem1!LW23,FinalSem2!LX23))))</f>
        <v>74.104166666666671</v>
      </c>
      <c r="IB23" s="26">
        <f>IF($B$15="","",IF(FinalSem2!LY23="","",IF(AND(FinalSem1!LX23,FinalSem2!LY23)="","",AVERAGE(FinalSem1!LX23,FinalSem2!LY23))))</f>
        <v>66.062916666666666</v>
      </c>
      <c r="IC23" s="26" t="str">
        <f t="shared" si="341"/>
        <v>E</v>
      </c>
      <c r="ID23" s="26" t="str">
        <f t="shared" si="342"/>
        <v>C</v>
      </c>
      <c r="IE23" s="26" t="str">
        <f t="shared" si="343"/>
        <v>C</v>
      </c>
      <c r="IF23" s="26" t="str">
        <f t="shared" si="344"/>
        <v>C</v>
      </c>
      <c r="IG23" s="26" t="str">
        <f t="shared" si="345"/>
        <v>D</v>
      </c>
      <c r="IH23" s="26" t="str">
        <f t="shared" si="346"/>
        <v>D</v>
      </c>
      <c r="II23" s="26" t="str">
        <f t="shared" si="347"/>
        <v>C</v>
      </c>
      <c r="IJ23" s="26" t="str">
        <f t="shared" si="348"/>
        <v>A</v>
      </c>
      <c r="IK23" s="26" t="str">
        <f t="shared" si="349"/>
        <v>A</v>
      </c>
      <c r="IL23" s="24" t="str">
        <f t="shared" si="350"/>
        <v>E</v>
      </c>
      <c r="IM23" s="24" t="str">
        <f t="shared" si="351"/>
        <v>E</v>
      </c>
      <c r="IN23" s="24" t="str">
        <f t="shared" si="352"/>
        <v>F</v>
      </c>
      <c r="IO23" s="24" t="str">
        <f t="shared" si="353"/>
        <v>F</v>
      </c>
      <c r="IP23" s="24" t="str">
        <f t="shared" si="354"/>
        <v>D</v>
      </c>
      <c r="IQ23" s="24" t="str">
        <f t="shared" si="355"/>
        <v>C</v>
      </c>
      <c r="IR23" s="24" t="str">
        <f t="shared" si="356"/>
        <v>D</v>
      </c>
      <c r="IS23" s="24">
        <f t="shared" si="357"/>
        <v>4</v>
      </c>
      <c r="IT23" s="24">
        <f t="shared" si="358"/>
        <v>4</v>
      </c>
      <c r="IU23" s="24">
        <f t="shared" si="359"/>
        <v>6</v>
      </c>
      <c r="IV23" s="24">
        <f t="shared" si="360"/>
        <v>2</v>
      </c>
      <c r="IW23" s="24">
        <f t="shared" si="361"/>
        <v>10</v>
      </c>
      <c r="IX23" s="24">
        <f t="shared" si="362"/>
        <v>6</v>
      </c>
      <c r="IY23" s="24">
        <f t="shared" si="363"/>
        <v>4</v>
      </c>
      <c r="IZ23" s="24">
        <f t="shared" si="364"/>
        <v>2</v>
      </c>
      <c r="JA23" s="24">
        <f t="shared" si="365"/>
        <v>2</v>
      </c>
      <c r="JB23" s="24">
        <f t="shared" si="366"/>
        <v>10</v>
      </c>
      <c r="JC23" s="24">
        <f t="shared" si="367"/>
        <v>2</v>
      </c>
      <c r="JD23" s="24">
        <f t="shared" si="368"/>
        <v>10</v>
      </c>
      <c r="JE23" s="24">
        <f t="shared" si="369"/>
        <v>6</v>
      </c>
      <c r="JF23" s="24">
        <f t="shared" si="370"/>
        <v>4</v>
      </c>
      <c r="JG23" s="24">
        <f t="shared" si="371"/>
        <v>4</v>
      </c>
      <c r="JH23" s="24">
        <f t="shared" si="372"/>
        <v>4</v>
      </c>
      <c r="JI23" s="26">
        <f t="shared" si="373"/>
        <v>230.66666666666669</v>
      </c>
      <c r="JJ23" s="26">
        <f t="shared" si="374"/>
        <v>304.0333333333333</v>
      </c>
      <c r="JK23" s="26">
        <f t="shared" si="375"/>
        <v>474.05000000000007</v>
      </c>
      <c r="JL23" s="26">
        <f t="shared" si="376"/>
        <v>140.33333333333331</v>
      </c>
      <c r="JM23" s="26">
        <f t="shared" si="377"/>
        <v>684.04166666666674</v>
      </c>
      <c r="JN23" s="26">
        <f t="shared" si="378"/>
        <v>399.55</v>
      </c>
      <c r="JO23" s="26">
        <f t="shared" si="379"/>
        <v>282.89999999999998</v>
      </c>
      <c r="JP23" s="26">
        <f t="shared" si="380"/>
        <v>181.08333333333331</v>
      </c>
      <c r="JQ23" s="26">
        <f t="shared" si="381"/>
        <v>181.08333333333331</v>
      </c>
      <c r="JR23" s="26">
        <f t="shared" si="382"/>
        <v>532.75416666666672</v>
      </c>
      <c r="JS23" s="26">
        <f t="shared" si="383"/>
        <v>119.10166666666667</v>
      </c>
      <c r="JT23" s="26">
        <f t="shared" si="384"/>
        <v>426.76249999999993</v>
      </c>
      <c r="JU23" s="26">
        <f t="shared" si="385"/>
        <v>239.0625</v>
      </c>
      <c r="JV23" s="26">
        <f t="shared" si="386"/>
        <v>244.31666666666666</v>
      </c>
      <c r="JW23" s="26">
        <f t="shared" si="387"/>
        <v>296.41666666666669</v>
      </c>
      <c r="JX23" s="26">
        <f t="shared" si="388"/>
        <v>264.25166666666667</v>
      </c>
      <c r="JY23" s="24">
        <f t="shared" ref="JY23:KN23" si="442">IF(OR(IS23="",IC23=""),"",IS23*(IF(OR(IC23="A",IC23="a"),4,(IF(OR(IC459="B",IC23="b"),3,(IF(OR(IC23="C",IC23="c"),2,(IF(OR(IC23="D",IC23="d"),1.5,(IF(OR(IC23="E",IC23="e"),1,(IF(OR(IC23="F",IC23="f"),0)))))))))))))</f>
        <v>4</v>
      </c>
      <c r="JZ23" s="24">
        <f t="shared" si="442"/>
        <v>8</v>
      </c>
      <c r="KA23" s="24">
        <f t="shared" si="442"/>
        <v>12</v>
      </c>
      <c r="KB23" s="24">
        <f t="shared" si="442"/>
        <v>4</v>
      </c>
      <c r="KC23" s="24">
        <f t="shared" si="442"/>
        <v>15</v>
      </c>
      <c r="KD23" s="24">
        <f t="shared" si="442"/>
        <v>9</v>
      </c>
      <c r="KE23" s="24">
        <f t="shared" si="442"/>
        <v>8</v>
      </c>
      <c r="KF23" s="24">
        <f t="shared" si="442"/>
        <v>8</v>
      </c>
      <c r="KG23" s="24">
        <f t="shared" si="442"/>
        <v>8</v>
      </c>
      <c r="KH23" s="24">
        <f t="shared" si="442"/>
        <v>10</v>
      </c>
      <c r="KI23" s="24">
        <f t="shared" si="442"/>
        <v>2</v>
      </c>
      <c r="KJ23" s="24">
        <f t="shared" si="442"/>
        <v>0</v>
      </c>
      <c r="KK23" s="24">
        <f t="shared" si="442"/>
        <v>0</v>
      </c>
      <c r="KL23" s="24">
        <f t="shared" si="442"/>
        <v>6</v>
      </c>
      <c r="KM23" s="24">
        <f t="shared" si="442"/>
        <v>8</v>
      </c>
      <c r="KN23" s="24">
        <f t="shared" si="442"/>
        <v>6</v>
      </c>
      <c r="KO23" s="24">
        <f t="shared" si="390"/>
        <v>40</v>
      </c>
      <c r="KP23" s="26">
        <f t="shared" si="391"/>
        <v>2877.7416666666672</v>
      </c>
      <c r="KQ23" s="26">
        <f t="shared" si="392"/>
        <v>76</v>
      </c>
      <c r="KR23" s="26">
        <f t="shared" si="393"/>
        <v>71.943541666666675</v>
      </c>
      <c r="KS23" s="24" t="str">
        <f t="shared" si="394"/>
        <v>C</v>
      </c>
      <c r="KT23" s="26">
        <f t="shared" si="395"/>
        <v>1.9</v>
      </c>
      <c r="KU23" s="24">
        <f t="shared" si="396"/>
        <v>40</v>
      </c>
      <c r="KV23" s="26">
        <f t="shared" si="397"/>
        <v>2122.6658333333335</v>
      </c>
      <c r="KW23" s="26">
        <f t="shared" si="398"/>
        <v>32</v>
      </c>
      <c r="KX23" s="26">
        <f t="shared" si="399"/>
        <v>53.06664583333334</v>
      </c>
      <c r="KY23" s="24" t="str">
        <f t="shared" si="400"/>
        <v>E</v>
      </c>
      <c r="KZ23" s="26">
        <f t="shared" si="401"/>
        <v>0.8</v>
      </c>
      <c r="LA23" s="24">
        <f t="shared" si="402"/>
        <v>80</v>
      </c>
      <c r="LB23" s="26">
        <f t="shared" si="403"/>
        <v>5000.4075000000012</v>
      </c>
      <c r="LC23" s="27">
        <f t="shared" si="404"/>
        <v>108</v>
      </c>
      <c r="LD23" s="26">
        <f t="shared" si="405"/>
        <v>62.505093750000015</v>
      </c>
      <c r="LE23" s="27" t="str">
        <f t="shared" si="406"/>
        <v>D</v>
      </c>
      <c r="LF23" s="26">
        <f t="shared" si="407"/>
        <v>1.35</v>
      </c>
      <c r="LG23" s="24">
        <f t="shared" si="408"/>
        <v>13</v>
      </c>
      <c r="LH23" s="24" t="str">
        <f t="shared" si="409"/>
        <v>6A</v>
      </c>
      <c r="LI23" s="24">
        <f t="shared" si="410"/>
        <v>13</v>
      </c>
      <c r="LJ23" s="24">
        <f t="shared" si="411"/>
        <v>204</v>
      </c>
      <c r="LK23" s="24">
        <f t="shared" si="412"/>
        <v>0</v>
      </c>
      <c r="LL23" s="24">
        <f t="shared" si="413"/>
        <v>0</v>
      </c>
      <c r="LM23" s="24">
        <f t="shared" si="414"/>
        <v>1</v>
      </c>
      <c r="LN23" s="24">
        <f t="shared" si="415"/>
        <v>1</v>
      </c>
      <c r="LO23" s="25">
        <f t="shared" si="416"/>
        <v>0.99509803921568629</v>
      </c>
      <c r="LP23" s="24" t="str">
        <f t="shared" si="417"/>
        <v>Fail - Detained in Grade</v>
      </c>
      <c r="LQ23" s="24" t="str">
        <f t="shared" si="418"/>
        <v>ធ្លាក់ត្រូវរៀនត្រួតថ្នាក់ទី</v>
      </c>
      <c r="LR23" s="24">
        <f t="shared" si="419"/>
        <v>6</v>
      </c>
      <c r="LS23" s="24">
        <f t="shared" si="420"/>
        <v>6</v>
      </c>
    </row>
    <row r="24" spans="1:331" ht="27" customHeight="1" x14ac:dyDescent="0.35">
      <c r="A24" s="24">
        <f t="shared" si="421"/>
        <v>10</v>
      </c>
      <c r="B24" s="86" t="str">
        <f>IF(FinalSem2!B24="","",FinalSem2!B24)</f>
        <v xml:space="preserve">Danong Kellen </v>
      </c>
      <c r="C24" s="29" t="str">
        <f>IF(FinalSem2!C24="","",FinalSem2!C24)</f>
        <v>ដាណង់ ខេលេន</v>
      </c>
      <c r="D24" s="24" t="str">
        <f>IF(FinalSem2!D24="","",FinalSem2!D24)</f>
        <v>M</v>
      </c>
      <c r="E24" s="24">
        <f>IF(FinalSem2!E24="","",FinalSem2!E24)</f>
        <v>686</v>
      </c>
      <c r="F24" s="24" t="str">
        <f>IF(FinalSem2!F24="","",FinalSem2!F24)</f>
        <v>I</v>
      </c>
      <c r="G24" s="26">
        <f>IF(FinalSem1!G24="","",FinalSem1!LI24)</f>
        <v>57.083333333333336</v>
      </c>
      <c r="H24" s="26">
        <f>IF(FinalSem1!H24="","",FinalSem1!LJ24)</f>
        <v>61.924999999999997</v>
      </c>
      <c r="I24" s="26">
        <f>IF(FinalSem1!I24="","",FinalSem1!LK24)</f>
        <v>75.116666666666674</v>
      </c>
      <c r="J24" s="26">
        <f>IF(FinalSem1!J24="","",FinalSem1!LL24)</f>
        <v>63.75</v>
      </c>
      <c r="K24" s="26">
        <f>IF(FinalSem1!K24="","",FinalSem1!LM24)</f>
        <v>77.150000000000006</v>
      </c>
      <c r="L24" s="26">
        <f>IF(FinalSem1!L24="","",FinalSem1!LN24)</f>
        <v>66.974999999999994</v>
      </c>
      <c r="M24" s="26">
        <f>IF(FinalSem1!M24="","",FinalSem1!LO24)</f>
        <v>62.641666666666666</v>
      </c>
      <c r="N24" s="26">
        <f>IF(FinalSem1!N24="","",FinalSem1!LP24)</f>
        <v>83</v>
      </c>
      <c r="O24" s="26">
        <f>IF(FinalSem1!O24="","",FinalSem1!LQ24)</f>
        <v>83</v>
      </c>
      <c r="P24" s="26">
        <f>IF(FinalSem1!P24="","",FinalSem1!LR24)</f>
        <v>78.293333333333337</v>
      </c>
      <c r="Q24" s="26">
        <f>IF(FinalSem1!Q24="","",FinalSem1!LS24)</f>
        <v>91.586666666666673</v>
      </c>
      <c r="R24" s="26">
        <f>IF(FinalSem1!R24="","",FinalSem1!LT24)</f>
        <v>52.922499999999999</v>
      </c>
      <c r="S24" s="26">
        <f>IF(FinalSem1!S24="","",FinalSem1!LU24)</f>
        <v>38.056060606060605</v>
      </c>
      <c r="T24" s="26">
        <f>IF(FinalSem1!T24="","",FinalSem1!LV24)</f>
        <v>61.15</v>
      </c>
      <c r="U24" s="26">
        <f>IF(FinalSem1!U24="","",FinalSem1!LW24)</f>
        <v>86.95</v>
      </c>
      <c r="V24" s="26">
        <f>IF(FinalSem1!V24="","",FinalSem1!LX24)</f>
        <v>66.375</v>
      </c>
      <c r="W24" s="26" t="str">
        <f t="shared" si="197"/>
        <v>E</v>
      </c>
      <c r="X24" s="26" t="str">
        <f t="shared" si="198"/>
        <v>D</v>
      </c>
      <c r="Y24" s="26" t="str">
        <f t="shared" si="199"/>
        <v>C</v>
      </c>
      <c r="Z24" s="26" t="str">
        <f t="shared" si="200"/>
        <v>D</v>
      </c>
      <c r="AA24" s="26" t="str">
        <f t="shared" si="201"/>
        <v>C</v>
      </c>
      <c r="AB24" s="26" t="str">
        <f t="shared" si="202"/>
        <v>D</v>
      </c>
      <c r="AC24" s="26" t="str">
        <f t="shared" si="203"/>
        <v>D</v>
      </c>
      <c r="AD24" s="26" t="str">
        <f t="shared" si="204"/>
        <v>B</v>
      </c>
      <c r="AE24" s="26" t="str">
        <f t="shared" si="205"/>
        <v>B</v>
      </c>
      <c r="AF24" s="24" t="str">
        <f t="shared" si="206"/>
        <v>C</v>
      </c>
      <c r="AG24" s="24" t="str">
        <f t="shared" si="207"/>
        <v>A</v>
      </c>
      <c r="AH24" s="24" t="str">
        <f t="shared" si="208"/>
        <v>E</v>
      </c>
      <c r="AI24" s="24" t="str">
        <f t="shared" si="209"/>
        <v>F</v>
      </c>
      <c r="AJ24" s="24" t="str">
        <f t="shared" si="210"/>
        <v>D</v>
      </c>
      <c r="AK24" s="24" t="str">
        <f t="shared" si="211"/>
        <v>B</v>
      </c>
      <c r="AL24" s="24" t="str">
        <f t="shared" si="212"/>
        <v>D</v>
      </c>
      <c r="AM24" s="24">
        <f t="shared" si="213"/>
        <v>2</v>
      </c>
      <c r="AN24" s="24">
        <f t="shared" si="214"/>
        <v>2</v>
      </c>
      <c r="AO24" s="24">
        <f t="shared" si="215"/>
        <v>3</v>
      </c>
      <c r="AP24" s="24">
        <f t="shared" si="216"/>
        <v>1</v>
      </c>
      <c r="AQ24" s="24">
        <f t="shared" si="217"/>
        <v>5</v>
      </c>
      <c r="AR24" s="24">
        <f t="shared" si="218"/>
        <v>3</v>
      </c>
      <c r="AS24" s="24">
        <f t="shared" si="219"/>
        <v>2</v>
      </c>
      <c r="AT24" s="24">
        <f t="shared" si="220"/>
        <v>1</v>
      </c>
      <c r="AU24" s="24">
        <f t="shared" si="221"/>
        <v>1</v>
      </c>
      <c r="AV24" s="24">
        <f t="shared" si="222"/>
        <v>5</v>
      </c>
      <c r="AW24" s="24">
        <f t="shared" si="223"/>
        <v>1</v>
      </c>
      <c r="AX24" s="24">
        <f t="shared" si="224"/>
        <v>5</v>
      </c>
      <c r="AY24" s="24">
        <f t="shared" si="225"/>
        <v>3</v>
      </c>
      <c r="AZ24" s="24">
        <f t="shared" si="226"/>
        <v>2</v>
      </c>
      <c r="BA24" s="24">
        <f t="shared" si="227"/>
        <v>2</v>
      </c>
      <c r="BB24" s="24">
        <f t="shared" si="228"/>
        <v>2</v>
      </c>
      <c r="BC24" s="26">
        <f t="shared" si="229"/>
        <v>114.16666666666667</v>
      </c>
      <c r="BD24" s="26">
        <f t="shared" si="230"/>
        <v>123.85</v>
      </c>
      <c r="BE24" s="26">
        <f t="shared" si="231"/>
        <v>225.35000000000002</v>
      </c>
      <c r="BF24" s="26">
        <f t="shared" si="232"/>
        <v>63.75</v>
      </c>
      <c r="BG24" s="26">
        <f t="shared" si="233"/>
        <v>385.75</v>
      </c>
      <c r="BH24" s="26">
        <f t="shared" si="234"/>
        <v>200.92499999999998</v>
      </c>
      <c r="BI24" s="26">
        <f t="shared" si="235"/>
        <v>125.28333333333333</v>
      </c>
      <c r="BJ24" s="26">
        <f t="shared" si="236"/>
        <v>83</v>
      </c>
      <c r="BK24" s="26">
        <f t="shared" si="237"/>
        <v>83</v>
      </c>
      <c r="BL24" s="26">
        <f t="shared" si="238"/>
        <v>391.4666666666667</v>
      </c>
      <c r="BM24" s="26">
        <f t="shared" si="239"/>
        <v>91.586666666666673</v>
      </c>
      <c r="BN24" s="26">
        <f t="shared" si="240"/>
        <v>264.61250000000001</v>
      </c>
      <c r="BO24" s="26">
        <f t="shared" si="241"/>
        <v>114.16818181818181</v>
      </c>
      <c r="BP24" s="26">
        <f t="shared" si="242"/>
        <v>122.3</v>
      </c>
      <c r="BQ24" s="26">
        <f t="shared" si="243"/>
        <v>173.9</v>
      </c>
      <c r="BR24" s="26">
        <f t="shared" si="244"/>
        <v>132.75</v>
      </c>
      <c r="BS24" s="24">
        <f t="shared" ref="BS24:CH24" si="443">IF(OR(AM24="",W24=""),"",AM24*(IF(OR(W24="A",W24="a"),4,(IF(OR(W460="B",W24="b"),3,(IF(OR(W24="C",W24="c"),2,(IF(OR(W24="D",W24="d"),1.5,(IF(OR(W24="E",W24="e"),1,(IF(OR(W24="F",W24="f"),0)))))))))))))</f>
        <v>2</v>
      </c>
      <c r="BT24" s="24">
        <f t="shared" si="443"/>
        <v>3</v>
      </c>
      <c r="BU24" s="24">
        <f t="shared" si="443"/>
        <v>6</v>
      </c>
      <c r="BV24" s="24">
        <f t="shared" si="443"/>
        <v>1.5</v>
      </c>
      <c r="BW24" s="24">
        <f t="shared" si="443"/>
        <v>10</v>
      </c>
      <c r="BX24" s="24">
        <f t="shared" si="443"/>
        <v>4.5</v>
      </c>
      <c r="BY24" s="24">
        <f t="shared" si="443"/>
        <v>3</v>
      </c>
      <c r="BZ24" s="24">
        <f t="shared" si="443"/>
        <v>3</v>
      </c>
      <c r="CA24" s="24">
        <f t="shared" si="443"/>
        <v>3</v>
      </c>
      <c r="CB24" s="24">
        <f t="shared" si="443"/>
        <v>10</v>
      </c>
      <c r="CC24" s="24">
        <f t="shared" si="443"/>
        <v>4</v>
      </c>
      <c r="CD24" s="24">
        <f t="shared" si="443"/>
        <v>5</v>
      </c>
      <c r="CE24" s="24">
        <f t="shared" si="443"/>
        <v>0</v>
      </c>
      <c r="CF24" s="24">
        <f t="shared" si="443"/>
        <v>3</v>
      </c>
      <c r="CG24" s="24">
        <f t="shared" si="443"/>
        <v>6</v>
      </c>
      <c r="CH24" s="24">
        <f t="shared" si="443"/>
        <v>3</v>
      </c>
      <c r="CI24" s="24">
        <f t="shared" si="246"/>
        <v>20</v>
      </c>
      <c r="CJ24" s="24">
        <f t="shared" si="247"/>
        <v>1689.3741666666665</v>
      </c>
      <c r="CK24" s="26">
        <f t="shared" si="248"/>
        <v>44</v>
      </c>
      <c r="CL24" s="26">
        <f t="shared" si="249"/>
        <v>84.468708333333325</v>
      </c>
      <c r="CM24" s="24" t="str">
        <f t="shared" si="250"/>
        <v>B</v>
      </c>
      <c r="CN24" s="26">
        <f t="shared" si="251"/>
        <v>2.2000000000000002</v>
      </c>
      <c r="CO24" s="24">
        <f t="shared" si="252"/>
        <v>20</v>
      </c>
      <c r="CP24" s="26">
        <f t="shared" si="253"/>
        <v>1290.7840151515152</v>
      </c>
      <c r="CQ24" s="26">
        <f t="shared" si="254"/>
        <v>31</v>
      </c>
      <c r="CR24" s="26">
        <f t="shared" si="255"/>
        <v>64.539200757575756</v>
      </c>
      <c r="CS24" s="24" t="str">
        <f t="shared" si="256"/>
        <v>D</v>
      </c>
      <c r="CT24" s="26">
        <f t="shared" si="257"/>
        <v>1.55</v>
      </c>
      <c r="CU24" s="24">
        <f t="shared" si="258"/>
        <v>40</v>
      </c>
      <c r="CV24" s="26">
        <f t="shared" si="259"/>
        <v>2695.8590151515155</v>
      </c>
      <c r="CW24" s="26">
        <f t="shared" si="260"/>
        <v>67</v>
      </c>
      <c r="CX24" s="26">
        <f t="shared" si="261"/>
        <v>67.396475378787883</v>
      </c>
      <c r="CY24" s="27" t="str">
        <f t="shared" si="262"/>
        <v>D</v>
      </c>
      <c r="CZ24" s="26">
        <f t="shared" si="263"/>
        <v>1.675</v>
      </c>
      <c r="DA24" s="24">
        <f t="shared" si="264"/>
        <v>10</v>
      </c>
      <c r="DB24" s="24" t="str">
        <f t="shared" si="265"/>
        <v>6A</v>
      </c>
      <c r="DC24" s="24">
        <f t="shared" si="266"/>
        <v>13</v>
      </c>
      <c r="DD24" s="24">
        <f>IF(B24="","",FinalSem1!$C$8)</f>
        <v>100</v>
      </c>
      <c r="DE24" s="24">
        <f>IF(A24="","",FinalSem1!PG24)</f>
        <v>0</v>
      </c>
      <c r="DF24" s="24">
        <f>IF(B24="","",FinalSem1!PH24)</f>
        <v>0</v>
      </c>
      <c r="DG24" s="24">
        <f>IF(B24="","",FinalSem1!PI24)</f>
        <v>0</v>
      </c>
      <c r="DH24" s="24">
        <f t="shared" si="267"/>
        <v>0</v>
      </c>
      <c r="DI24" s="25">
        <f t="shared" si="268"/>
        <v>1</v>
      </c>
      <c r="DJ24" s="26">
        <f>IF(FinalSem2!G24="","",FinalSem2!LJ24)</f>
        <v>57.683333333333337</v>
      </c>
      <c r="DK24" s="26">
        <f>IF(FinalSem2!H24="","",FinalSem2!LK24)</f>
        <v>73.75333333333333</v>
      </c>
      <c r="DL24" s="26">
        <f>IF(FinalSem2!I24="","",FinalSem2!LL24)</f>
        <v>73.726666666666674</v>
      </c>
      <c r="DM24" s="26">
        <f>IF(FinalSem2!J24="","",FinalSem2!LM24)</f>
        <v>68.75</v>
      </c>
      <c r="DN24" s="26">
        <f>IF(FinalSem2!K24="","",FinalSem2!LN24)</f>
        <v>75.713333333333338</v>
      </c>
      <c r="DO24" s="26">
        <f>IF(FinalSem2!L24="","",FinalSem2!LO24)</f>
        <v>63.12166666666667</v>
      </c>
      <c r="DP24" s="26">
        <f>IF(FinalSem2!M24="","",FinalSem2!LP24)</f>
        <v>70.055000000000007</v>
      </c>
      <c r="DQ24" s="26">
        <f>IF(FinalSem2!N24="","",FinalSem2!LQ24)</f>
        <v>95.5</v>
      </c>
      <c r="DR24" s="26">
        <f>IF(FinalSem2!O24="","",FinalSem2!LR24)</f>
        <v>95.5</v>
      </c>
      <c r="DS24" s="26">
        <f>IF(FinalSem2!P24="","",FinalSem2!LS24)</f>
        <v>75.78</v>
      </c>
      <c r="DT24" s="26">
        <f>IF(FinalSem2!Q24="","",FinalSem2!LT24)</f>
        <v>77.56</v>
      </c>
      <c r="DU24" s="26">
        <f>IF(FinalSem2!R24="","",FinalSem2!LU24)</f>
        <v>64.994166666666644</v>
      </c>
      <c r="DV24" s="26">
        <f>IF(FinalSem2!S24="","",FinalSem2!LV24)</f>
        <v>58.787500000000001</v>
      </c>
      <c r="DW24" s="26">
        <f>IF(FinalSem2!T24="","",FinalSem2!LW24)</f>
        <v>65.375</v>
      </c>
      <c r="DX24" s="26">
        <f>IF(FinalSem2!U24="","",FinalSem2!LX24)</f>
        <v>82.25</v>
      </c>
      <c r="DY24" s="26">
        <f>IF(FinalSem2!V24="","",FinalSem2!LY24)</f>
        <v>67.75</v>
      </c>
      <c r="DZ24" s="26" t="str">
        <f t="shared" si="269"/>
        <v>E</v>
      </c>
      <c r="EA24" s="26" t="str">
        <f t="shared" si="270"/>
        <v>C</v>
      </c>
      <c r="EB24" s="26" t="str">
        <f t="shared" si="271"/>
        <v>C</v>
      </c>
      <c r="EC24" s="26" t="str">
        <f t="shared" si="272"/>
        <v>D</v>
      </c>
      <c r="ED24" s="26" t="str">
        <f t="shared" si="273"/>
        <v>C</v>
      </c>
      <c r="EE24" s="26" t="str">
        <f t="shared" si="274"/>
        <v>D</v>
      </c>
      <c r="EF24" s="26" t="str">
        <f t="shared" si="275"/>
        <v>C</v>
      </c>
      <c r="EG24" s="26" t="str">
        <f t="shared" si="276"/>
        <v>A</v>
      </c>
      <c r="EH24" s="26" t="str">
        <f t="shared" si="277"/>
        <v>A</v>
      </c>
      <c r="EI24" s="24" t="str">
        <f t="shared" si="278"/>
        <v>C</v>
      </c>
      <c r="EJ24" s="24" t="str">
        <f t="shared" si="279"/>
        <v>C</v>
      </c>
      <c r="EK24" s="24" t="str">
        <f t="shared" si="280"/>
        <v>D</v>
      </c>
      <c r="EL24" s="24" t="str">
        <f t="shared" si="281"/>
        <v>E</v>
      </c>
      <c r="EM24" s="24" t="str">
        <f t="shared" si="282"/>
        <v>D</v>
      </c>
      <c r="EN24" s="24" t="str">
        <f t="shared" si="283"/>
        <v>B</v>
      </c>
      <c r="EO24" s="24" t="str">
        <f t="shared" si="284"/>
        <v>D</v>
      </c>
      <c r="EP24" s="24">
        <f t="shared" si="285"/>
        <v>2</v>
      </c>
      <c r="EQ24" s="24">
        <f t="shared" si="286"/>
        <v>2</v>
      </c>
      <c r="ER24" s="24">
        <f t="shared" si="287"/>
        <v>3</v>
      </c>
      <c r="ES24" s="24">
        <f t="shared" si="288"/>
        <v>1</v>
      </c>
      <c r="ET24" s="24">
        <f t="shared" si="289"/>
        <v>5</v>
      </c>
      <c r="EU24" s="24">
        <f t="shared" si="290"/>
        <v>3</v>
      </c>
      <c r="EV24" s="24">
        <f t="shared" si="291"/>
        <v>2</v>
      </c>
      <c r="EW24" s="24">
        <f t="shared" si="292"/>
        <v>1</v>
      </c>
      <c r="EX24" s="24">
        <f t="shared" si="293"/>
        <v>1</v>
      </c>
      <c r="EY24" s="24">
        <f t="shared" si="294"/>
        <v>5</v>
      </c>
      <c r="EZ24" s="24">
        <f t="shared" si="295"/>
        <v>1</v>
      </c>
      <c r="FA24" s="24">
        <f t="shared" si="296"/>
        <v>5</v>
      </c>
      <c r="FB24" s="24">
        <f t="shared" si="297"/>
        <v>3</v>
      </c>
      <c r="FC24" s="24">
        <f t="shared" si="298"/>
        <v>2</v>
      </c>
      <c r="FD24" s="24">
        <f t="shared" si="299"/>
        <v>2</v>
      </c>
      <c r="FE24" s="24">
        <f t="shared" si="300"/>
        <v>2</v>
      </c>
      <c r="FF24" s="26">
        <f t="shared" si="301"/>
        <v>115.36666666666667</v>
      </c>
      <c r="FG24" s="26">
        <f t="shared" si="302"/>
        <v>147.50666666666666</v>
      </c>
      <c r="FH24" s="26">
        <f t="shared" si="303"/>
        <v>221.18</v>
      </c>
      <c r="FI24" s="26">
        <f t="shared" si="304"/>
        <v>68.75</v>
      </c>
      <c r="FJ24" s="26">
        <f t="shared" si="305"/>
        <v>378.56666666666672</v>
      </c>
      <c r="FK24" s="26">
        <f t="shared" si="306"/>
        <v>189.36500000000001</v>
      </c>
      <c r="FL24" s="26">
        <f t="shared" si="307"/>
        <v>140.11000000000001</v>
      </c>
      <c r="FM24" s="26">
        <f t="shared" si="308"/>
        <v>95.5</v>
      </c>
      <c r="FN24" s="26">
        <f t="shared" si="309"/>
        <v>95.5</v>
      </c>
      <c r="FO24" s="26">
        <f t="shared" si="310"/>
        <v>378.9</v>
      </c>
      <c r="FP24" s="26">
        <f t="shared" si="311"/>
        <v>77.56</v>
      </c>
      <c r="FQ24" s="26">
        <f t="shared" si="312"/>
        <v>324.97083333333319</v>
      </c>
      <c r="FR24" s="26">
        <f t="shared" si="313"/>
        <v>176.36250000000001</v>
      </c>
      <c r="FS24" s="26">
        <f t="shared" si="314"/>
        <v>130.75</v>
      </c>
      <c r="FT24" s="26">
        <f t="shared" si="315"/>
        <v>164.5</v>
      </c>
      <c r="FU24" s="26">
        <f t="shared" si="316"/>
        <v>135.5</v>
      </c>
      <c r="FV24" s="24">
        <f t="shared" ref="FV24:GK24" si="444">IF(OR(EP24="",DZ24=""),"",EP24*(IF(OR(DZ24="A",DZ24="a"),4,(IF(OR(DZ460="B",DZ24="b"),3,(IF(OR(DZ24="C",DZ24="c"),2,(IF(OR(DZ24="D",DZ24="d"),1.5,(IF(OR(DZ24="E",DZ24="e"),1,(IF(OR(DZ24="F",DZ24="f"),0)))))))))))))</f>
        <v>2</v>
      </c>
      <c r="FW24" s="24">
        <f t="shared" si="444"/>
        <v>4</v>
      </c>
      <c r="FX24" s="24">
        <f t="shared" si="444"/>
        <v>6</v>
      </c>
      <c r="FY24" s="24">
        <f t="shared" si="444"/>
        <v>1.5</v>
      </c>
      <c r="FZ24" s="24">
        <f t="shared" si="444"/>
        <v>10</v>
      </c>
      <c r="GA24" s="24">
        <f t="shared" si="444"/>
        <v>4.5</v>
      </c>
      <c r="GB24" s="24">
        <f t="shared" si="444"/>
        <v>4</v>
      </c>
      <c r="GC24" s="24">
        <f t="shared" si="444"/>
        <v>4</v>
      </c>
      <c r="GD24" s="24">
        <f t="shared" si="444"/>
        <v>4</v>
      </c>
      <c r="GE24" s="24">
        <f t="shared" si="444"/>
        <v>10</v>
      </c>
      <c r="GF24" s="24">
        <f t="shared" si="444"/>
        <v>2</v>
      </c>
      <c r="GG24" s="24">
        <f t="shared" si="444"/>
        <v>7.5</v>
      </c>
      <c r="GH24" s="24">
        <f t="shared" si="444"/>
        <v>3</v>
      </c>
      <c r="GI24" s="24">
        <f t="shared" si="444"/>
        <v>3</v>
      </c>
      <c r="GJ24" s="24">
        <f t="shared" si="444"/>
        <v>6</v>
      </c>
      <c r="GK24" s="24">
        <f t="shared" si="444"/>
        <v>3</v>
      </c>
      <c r="GL24" s="24">
        <f t="shared" si="318"/>
        <v>20</v>
      </c>
      <c r="GM24" s="26">
        <f t="shared" si="319"/>
        <v>1451.8450000000003</v>
      </c>
      <c r="GN24" s="26">
        <f t="shared" si="320"/>
        <v>40</v>
      </c>
      <c r="GO24" s="26">
        <f t="shared" si="321"/>
        <v>72.592250000000007</v>
      </c>
      <c r="GP24" s="24" t="str">
        <f t="shared" si="322"/>
        <v>C</v>
      </c>
      <c r="GQ24" s="26">
        <f t="shared" si="323"/>
        <v>2</v>
      </c>
      <c r="GR24" s="24">
        <f t="shared" si="324"/>
        <v>20</v>
      </c>
      <c r="GS24" s="26">
        <f t="shared" si="325"/>
        <v>1388.5433333333331</v>
      </c>
      <c r="GT24" s="26">
        <f t="shared" si="326"/>
        <v>34.5</v>
      </c>
      <c r="GU24" s="26">
        <f t="shared" si="327"/>
        <v>69.42716666666665</v>
      </c>
      <c r="GV24" s="24" t="str">
        <f t="shared" si="328"/>
        <v>D</v>
      </c>
      <c r="GW24" s="27">
        <f t="shared" si="329"/>
        <v>1.7250000000000001</v>
      </c>
      <c r="GX24" s="24">
        <f t="shared" si="330"/>
        <v>40</v>
      </c>
      <c r="GY24" s="26">
        <f t="shared" si="331"/>
        <v>2840.3883333333338</v>
      </c>
      <c r="GZ24" s="26">
        <f t="shared" si="332"/>
        <v>74.5</v>
      </c>
      <c r="HA24" s="26">
        <f t="shared" si="333"/>
        <v>71.00970833333335</v>
      </c>
      <c r="HB24" s="27" t="str">
        <f t="shared" si="334"/>
        <v>C</v>
      </c>
      <c r="HC24" s="26">
        <f t="shared" si="335"/>
        <v>1.8625</v>
      </c>
      <c r="HD24" s="24">
        <f t="shared" si="336"/>
        <v>10</v>
      </c>
      <c r="HE24" s="24" t="str">
        <f t="shared" si="337"/>
        <v>6A</v>
      </c>
      <c r="HF24" s="24">
        <f t="shared" si="338"/>
        <v>13</v>
      </c>
      <c r="HG24" s="24">
        <f>IF(B24="","",FinalSem2!$C$8)</f>
        <v>104</v>
      </c>
      <c r="HH24" s="24">
        <f>IF(A24="","",FinalSem2!PH24)</f>
        <v>0</v>
      </c>
      <c r="HI24" s="24">
        <f>IF(B24="","",FinalSem2!PI24)</f>
        <v>0</v>
      </c>
      <c r="HJ24" s="24">
        <f>IF(C24="","",FinalSem2!PJ24)</f>
        <v>1</v>
      </c>
      <c r="HK24" s="24">
        <f t="shared" si="339"/>
        <v>1</v>
      </c>
      <c r="HL24" s="25">
        <f t="shared" si="340"/>
        <v>0.99038461538461542</v>
      </c>
      <c r="HM24" s="26">
        <f>IF($B$15="","",IF(FinalSem2!LJ24="","",IF(AND(FinalSem1!LI24,FinalSem2!LJ24)="","",AVERAGE(FinalSem1!LI24,FinalSem2!LJ24))))</f>
        <v>57.38333333333334</v>
      </c>
      <c r="HN24" s="26">
        <f>IF($B$15="","",IF(FinalSem2!LK24="","",IF(AND(FinalSem1!LJ24,FinalSem2!LK24)="","",AVERAGE(FinalSem1!LJ24,FinalSem2!LK24))))</f>
        <v>67.839166666666671</v>
      </c>
      <c r="HO24" s="26">
        <f>IF($B$15="","",IF(FinalSem2!LL24="","",IF(AND(FinalSem1!LK24,FinalSem2!LL24)="","",AVERAGE(FinalSem1!LK24,FinalSem2!LL24))))</f>
        <v>74.421666666666681</v>
      </c>
      <c r="HP24" s="26">
        <f>IF($B$15="","",IF(FinalSem2!LM24="","",IF(AND(FinalSem1!LL24,FinalSem2!LM24)="","",AVERAGE(FinalSem1!LL24,FinalSem2!LM24))))</f>
        <v>66.25</v>
      </c>
      <c r="HQ24" s="26">
        <f>IF($B$15="","",IF(FinalSem2!LN24="","",IF(AND(FinalSem1!LM24,FinalSem2!LN24)="","",AVERAGE(FinalSem1!LM24,FinalSem2!LN24))))</f>
        <v>76.431666666666672</v>
      </c>
      <c r="HR24" s="26">
        <f>IF($B$15="","",IF(FinalSem2!LO24="","",IF(AND(FinalSem1!LN24,FinalSem2!LO24)="","",AVERAGE(FinalSem1!LN24,FinalSem2!LO24))))</f>
        <v>65.048333333333332</v>
      </c>
      <c r="HS24" s="26">
        <f>IF($B$15="","",IF(FinalSem2!LP24="","",IF(AND(FinalSem1!LO24,FinalSem2!LP24)="","",AVERAGE(FinalSem1!LO24,FinalSem2!LP24))))</f>
        <v>66.348333333333329</v>
      </c>
      <c r="HT24" s="26">
        <f>IF($B$15="","",IF(FinalSem2!LQ24="","",IF(AND(FinalSem1!LP24,FinalSem2!LQ24)="","",AVERAGE(FinalSem1!LP24,FinalSem2!LQ24))))</f>
        <v>89.25</v>
      </c>
      <c r="HU24" s="26">
        <f>IF($B$15="","",IF(FinalSem2!LR24="","",IF(AND(FinalSem1!LQ24,FinalSem2!LR24)="","",AVERAGE(FinalSem1!LQ24,FinalSem2!LR24))))</f>
        <v>89.25</v>
      </c>
      <c r="HV24" s="26">
        <f>IF($B$15="","",IF(FinalSem2!LS24="","",IF(AND(FinalSem1!LR24,FinalSem2!LS24)="","",AVERAGE(FinalSem1!LR24,FinalSem2!LS24))))</f>
        <v>77.036666666666662</v>
      </c>
      <c r="HW24" s="26">
        <f>IF($B$15="","",IF(FinalSem2!LT24="","",IF(AND(FinalSem1!LS24,FinalSem2!LT24)="","",AVERAGE(FinalSem1!LS24,FinalSem2!LT24))))</f>
        <v>84.573333333333338</v>
      </c>
      <c r="HX24" s="26">
        <f>IF($B$15="","",IF(FinalSem2!LU24="","",IF(AND(FinalSem1!LT24,FinalSem2!LU24)="","",AVERAGE(FinalSem1!LT24,FinalSem2!LU24))))</f>
        <v>58.958333333333321</v>
      </c>
      <c r="HY24" s="26">
        <f>IF($B$15="","",IF(FinalSem2!LV24="","",IF(AND(FinalSem1!LU24,FinalSem2!LV24)="","",AVERAGE(FinalSem1!LU24,FinalSem2!LV24))))</f>
        <v>48.421780303030303</v>
      </c>
      <c r="HZ24" s="26">
        <f>IF($B$15="","",IF(FinalSem2!LW24="","",IF(AND(FinalSem1!LV24,FinalSem2!LW24)="","",AVERAGE(FinalSem1!LV24,FinalSem2!LW24))))</f>
        <v>63.262500000000003</v>
      </c>
      <c r="IA24" s="26">
        <f>IF($B$15="","",IF(FinalSem2!LX24="","",IF(AND(FinalSem1!LW24,FinalSem2!LX24)="","",AVERAGE(FinalSem1!LW24,FinalSem2!LX24))))</f>
        <v>84.6</v>
      </c>
      <c r="IB24" s="26">
        <f>IF($B$15="","",IF(FinalSem2!LY24="","",IF(AND(FinalSem1!LX24,FinalSem2!LY24)="","",AVERAGE(FinalSem1!LX24,FinalSem2!LY24))))</f>
        <v>67.0625</v>
      </c>
      <c r="IC24" s="26" t="str">
        <f t="shared" si="341"/>
        <v>E</v>
      </c>
      <c r="ID24" s="26" t="str">
        <f t="shared" si="342"/>
        <v>D</v>
      </c>
      <c r="IE24" s="26" t="str">
        <f t="shared" si="343"/>
        <v>C</v>
      </c>
      <c r="IF24" s="26" t="str">
        <f t="shared" si="344"/>
        <v>D</v>
      </c>
      <c r="IG24" s="26" t="str">
        <f t="shared" si="345"/>
        <v>C</v>
      </c>
      <c r="IH24" s="26" t="str">
        <f t="shared" si="346"/>
        <v>D</v>
      </c>
      <c r="II24" s="26" t="str">
        <f t="shared" si="347"/>
        <v>D</v>
      </c>
      <c r="IJ24" s="26" t="str">
        <f t="shared" si="348"/>
        <v>B</v>
      </c>
      <c r="IK24" s="26" t="str">
        <f t="shared" si="349"/>
        <v>B</v>
      </c>
      <c r="IL24" s="24" t="str">
        <f t="shared" si="350"/>
        <v>C</v>
      </c>
      <c r="IM24" s="24" t="str">
        <f t="shared" si="351"/>
        <v>B</v>
      </c>
      <c r="IN24" s="24" t="str">
        <f t="shared" si="352"/>
        <v>E</v>
      </c>
      <c r="IO24" s="24" t="str">
        <f t="shared" si="353"/>
        <v>F</v>
      </c>
      <c r="IP24" s="24" t="str">
        <f t="shared" si="354"/>
        <v>D</v>
      </c>
      <c r="IQ24" s="24" t="str">
        <f t="shared" si="355"/>
        <v>B</v>
      </c>
      <c r="IR24" s="24" t="str">
        <f t="shared" si="356"/>
        <v>D</v>
      </c>
      <c r="IS24" s="24">
        <f t="shared" si="357"/>
        <v>4</v>
      </c>
      <c r="IT24" s="24">
        <f t="shared" si="358"/>
        <v>4</v>
      </c>
      <c r="IU24" s="24">
        <f t="shared" si="359"/>
        <v>6</v>
      </c>
      <c r="IV24" s="24">
        <f t="shared" si="360"/>
        <v>2</v>
      </c>
      <c r="IW24" s="24">
        <f t="shared" si="361"/>
        <v>10</v>
      </c>
      <c r="IX24" s="24">
        <f t="shared" si="362"/>
        <v>6</v>
      </c>
      <c r="IY24" s="24">
        <f t="shared" si="363"/>
        <v>4</v>
      </c>
      <c r="IZ24" s="24">
        <f t="shared" si="364"/>
        <v>2</v>
      </c>
      <c r="JA24" s="24">
        <f t="shared" si="365"/>
        <v>2</v>
      </c>
      <c r="JB24" s="24">
        <f t="shared" si="366"/>
        <v>10</v>
      </c>
      <c r="JC24" s="24">
        <f t="shared" si="367"/>
        <v>2</v>
      </c>
      <c r="JD24" s="24">
        <f t="shared" si="368"/>
        <v>10</v>
      </c>
      <c r="JE24" s="24">
        <f t="shared" si="369"/>
        <v>6</v>
      </c>
      <c r="JF24" s="24">
        <f t="shared" si="370"/>
        <v>4</v>
      </c>
      <c r="JG24" s="24">
        <f t="shared" si="371"/>
        <v>4</v>
      </c>
      <c r="JH24" s="24">
        <f t="shared" si="372"/>
        <v>4</v>
      </c>
      <c r="JI24" s="26">
        <f t="shared" si="373"/>
        <v>229.53333333333336</v>
      </c>
      <c r="JJ24" s="26">
        <f t="shared" si="374"/>
        <v>271.35666666666668</v>
      </c>
      <c r="JK24" s="26">
        <f t="shared" si="375"/>
        <v>446.53000000000009</v>
      </c>
      <c r="JL24" s="26">
        <f t="shared" si="376"/>
        <v>132.5</v>
      </c>
      <c r="JM24" s="26">
        <f t="shared" si="377"/>
        <v>764.31666666666672</v>
      </c>
      <c r="JN24" s="26">
        <f t="shared" si="378"/>
        <v>390.28999999999996</v>
      </c>
      <c r="JO24" s="26">
        <f t="shared" si="379"/>
        <v>265.39333333333332</v>
      </c>
      <c r="JP24" s="26">
        <f t="shared" si="380"/>
        <v>178.5</v>
      </c>
      <c r="JQ24" s="26">
        <f t="shared" si="381"/>
        <v>178.5</v>
      </c>
      <c r="JR24" s="26">
        <f t="shared" si="382"/>
        <v>770.36666666666656</v>
      </c>
      <c r="JS24" s="26">
        <f t="shared" si="383"/>
        <v>169.14666666666668</v>
      </c>
      <c r="JT24" s="26">
        <f t="shared" si="384"/>
        <v>589.58333333333326</v>
      </c>
      <c r="JU24" s="26">
        <f t="shared" si="385"/>
        <v>290.53068181818185</v>
      </c>
      <c r="JV24" s="26">
        <f t="shared" si="386"/>
        <v>253.05</v>
      </c>
      <c r="JW24" s="26">
        <f t="shared" si="387"/>
        <v>338.4</v>
      </c>
      <c r="JX24" s="26">
        <f t="shared" si="388"/>
        <v>268.25</v>
      </c>
      <c r="JY24" s="24">
        <f t="shared" ref="JY24:KN24" si="445">IF(OR(IS24="",IC24=""),"",IS24*(IF(OR(IC24="A",IC24="a"),4,(IF(OR(IC460="B",IC24="b"),3,(IF(OR(IC24="C",IC24="c"),2,(IF(OR(IC24="D",IC24="d"),1.5,(IF(OR(IC24="E",IC24="e"),1,(IF(OR(IC24="F",IC24="f"),0)))))))))))))</f>
        <v>4</v>
      </c>
      <c r="JZ24" s="24">
        <f t="shared" si="445"/>
        <v>6</v>
      </c>
      <c r="KA24" s="24">
        <f t="shared" si="445"/>
        <v>12</v>
      </c>
      <c r="KB24" s="24">
        <f t="shared" si="445"/>
        <v>3</v>
      </c>
      <c r="KC24" s="24">
        <f t="shared" si="445"/>
        <v>20</v>
      </c>
      <c r="KD24" s="24">
        <f t="shared" si="445"/>
        <v>9</v>
      </c>
      <c r="KE24" s="24">
        <f t="shared" si="445"/>
        <v>6</v>
      </c>
      <c r="KF24" s="24">
        <f t="shared" si="445"/>
        <v>6</v>
      </c>
      <c r="KG24" s="24">
        <f t="shared" si="445"/>
        <v>6</v>
      </c>
      <c r="KH24" s="24">
        <f t="shared" si="445"/>
        <v>20</v>
      </c>
      <c r="KI24" s="24">
        <f t="shared" si="445"/>
        <v>6</v>
      </c>
      <c r="KJ24" s="24">
        <f t="shared" si="445"/>
        <v>10</v>
      </c>
      <c r="KK24" s="24">
        <f t="shared" si="445"/>
        <v>0</v>
      </c>
      <c r="KL24" s="24">
        <f t="shared" si="445"/>
        <v>6</v>
      </c>
      <c r="KM24" s="24">
        <f t="shared" si="445"/>
        <v>12</v>
      </c>
      <c r="KN24" s="24">
        <f t="shared" si="445"/>
        <v>6</v>
      </c>
      <c r="KO24" s="24">
        <f t="shared" si="390"/>
        <v>40</v>
      </c>
      <c r="KP24" s="26">
        <f t="shared" si="391"/>
        <v>2856.92</v>
      </c>
      <c r="KQ24" s="26">
        <f t="shared" si="392"/>
        <v>72</v>
      </c>
      <c r="KR24" s="26">
        <f t="shared" si="393"/>
        <v>71.423000000000002</v>
      </c>
      <c r="KS24" s="24" t="str">
        <f t="shared" si="394"/>
        <v>C</v>
      </c>
      <c r="KT24" s="26">
        <f t="shared" si="395"/>
        <v>1.8</v>
      </c>
      <c r="KU24" s="24">
        <f t="shared" si="396"/>
        <v>40</v>
      </c>
      <c r="KV24" s="26">
        <f t="shared" si="397"/>
        <v>2679.3273484848482</v>
      </c>
      <c r="KW24" s="26">
        <f t="shared" si="398"/>
        <v>60</v>
      </c>
      <c r="KX24" s="26">
        <f t="shared" si="399"/>
        <v>66.983183712121203</v>
      </c>
      <c r="KY24" s="24" t="str">
        <f t="shared" si="400"/>
        <v>D</v>
      </c>
      <c r="KZ24" s="26">
        <f t="shared" si="401"/>
        <v>1.5</v>
      </c>
      <c r="LA24" s="24">
        <f t="shared" si="402"/>
        <v>80</v>
      </c>
      <c r="LB24" s="26">
        <f t="shared" si="403"/>
        <v>5536.2473484848479</v>
      </c>
      <c r="LC24" s="27">
        <f t="shared" si="404"/>
        <v>132</v>
      </c>
      <c r="LD24" s="26">
        <f t="shared" si="405"/>
        <v>69.203091856060595</v>
      </c>
      <c r="LE24" s="27" t="str">
        <f t="shared" si="406"/>
        <v>D</v>
      </c>
      <c r="LF24" s="26">
        <f t="shared" si="407"/>
        <v>1.65</v>
      </c>
      <c r="LG24" s="24">
        <f t="shared" si="408"/>
        <v>11</v>
      </c>
      <c r="LH24" s="24" t="str">
        <f t="shared" si="409"/>
        <v>6A</v>
      </c>
      <c r="LI24" s="24">
        <f t="shared" si="410"/>
        <v>13</v>
      </c>
      <c r="LJ24" s="24">
        <f t="shared" si="411"/>
        <v>204</v>
      </c>
      <c r="LK24" s="24">
        <f t="shared" si="412"/>
        <v>0</v>
      </c>
      <c r="LL24" s="24">
        <f t="shared" si="413"/>
        <v>0</v>
      </c>
      <c r="LM24" s="24">
        <f t="shared" si="414"/>
        <v>1</v>
      </c>
      <c r="LN24" s="24">
        <f t="shared" si="415"/>
        <v>1</v>
      </c>
      <c r="LO24" s="25">
        <f t="shared" si="416"/>
        <v>0.99509803921568629</v>
      </c>
      <c r="LP24" s="24" t="str">
        <f t="shared" si="417"/>
        <v>Pass - Promoted to Grade</v>
      </c>
      <c r="LQ24" s="24" t="str">
        <f t="shared" si="418"/>
        <v>ជាប់ត្រូវបានឡើងថ្នាក់ទី</v>
      </c>
      <c r="LR24" s="24">
        <f t="shared" si="419"/>
        <v>6</v>
      </c>
      <c r="LS24" s="24">
        <f t="shared" si="420"/>
        <v>7</v>
      </c>
    </row>
    <row r="25" spans="1:331" ht="27" customHeight="1" x14ac:dyDescent="0.35">
      <c r="A25" s="24">
        <f t="shared" si="421"/>
        <v>11</v>
      </c>
      <c r="B25" s="86" t="str">
        <f>IF(FinalSem2!B25="","",FinalSem2!B25)</f>
        <v>Reaksmey Vorakbot</v>
      </c>
      <c r="C25" s="29" t="str">
        <f>IF(FinalSem2!C25="","",FinalSem2!C25)</f>
        <v>រស្មី វរបុត្រ</v>
      </c>
      <c r="D25" s="24" t="str">
        <f>IF(FinalSem2!D25="","",FinalSem2!D25)</f>
        <v>M</v>
      </c>
      <c r="E25" s="24">
        <f>IF(FinalSem2!E25="","",FinalSem2!E25)</f>
        <v>789</v>
      </c>
      <c r="F25" s="24" t="str">
        <f>IF(FinalSem2!F25="","",FinalSem2!F25)</f>
        <v>I</v>
      </c>
      <c r="G25" s="26">
        <f>IF(FinalSem1!G25="","",FinalSem1!LI25)</f>
        <v>66.75</v>
      </c>
      <c r="H25" s="26">
        <f>IF(FinalSem1!H25="","",FinalSem1!LJ25)</f>
        <v>71.341666666666669</v>
      </c>
      <c r="I25" s="26">
        <f>IF(FinalSem1!I25="","",FinalSem1!LK25)</f>
        <v>77.183333333333337</v>
      </c>
      <c r="J25" s="26">
        <f>IF(FinalSem1!J25="","",FinalSem1!LL25)</f>
        <v>70.083333333333343</v>
      </c>
      <c r="K25" s="26">
        <f>IF(FinalSem1!K25="","",FinalSem1!LM25)</f>
        <v>70.866666666666674</v>
      </c>
      <c r="L25" s="26">
        <f>IF(FinalSem1!L25="","",FinalSem1!LN25)</f>
        <v>73.991666666666674</v>
      </c>
      <c r="M25" s="26">
        <f>IF(FinalSem1!M25="","",FinalSem1!LO25)</f>
        <v>63.391666666666666</v>
      </c>
      <c r="N25" s="26">
        <f>IF(FinalSem1!N25="","",FinalSem1!LP25)</f>
        <v>79</v>
      </c>
      <c r="O25" s="26">
        <f>IF(FinalSem1!O25="","",FinalSem1!LQ25)</f>
        <v>79</v>
      </c>
      <c r="P25" s="26">
        <f>IF(FinalSem1!P25="","",FinalSem1!LR25)</f>
        <v>68.142499999999998</v>
      </c>
      <c r="Q25" s="26">
        <f>IF(FinalSem1!Q25="","",FinalSem1!LS25)</f>
        <v>69.284999999999997</v>
      </c>
      <c r="R25" s="26">
        <f>IF(FinalSem1!R25="","",FinalSem1!LT25)</f>
        <v>44.522500000000001</v>
      </c>
      <c r="S25" s="26">
        <f>IF(FinalSem1!S25="","",FinalSem1!LU25)</f>
        <v>27.85</v>
      </c>
      <c r="T25" s="26">
        <f>IF(FinalSem1!T25="","",FinalSem1!LV25)</f>
        <v>58.522500000000001</v>
      </c>
      <c r="U25" s="26">
        <f>IF(FinalSem1!U25="","",FinalSem1!LW25)</f>
        <v>57.25</v>
      </c>
      <c r="V25" s="26">
        <f>IF(FinalSem1!V25="","",FinalSem1!LX25)</f>
        <v>56.6175</v>
      </c>
      <c r="W25" s="26" t="str">
        <f t="shared" si="197"/>
        <v>D</v>
      </c>
      <c r="X25" s="26" t="str">
        <f t="shared" si="198"/>
        <v>C</v>
      </c>
      <c r="Y25" s="26" t="str">
        <f t="shared" si="199"/>
        <v>C</v>
      </c>
      <c r="Z25" s="26" t="str">
        <f t="shared" si="200"/>
        <v>C</v>
      </c>
      <c r="AA25" s="26" t="str">
        <f t="shared" si="201"/>
        <v>C</v>
      </c>
      <c r="AB25" s="26" t="str">
        <f t="shared" si="202"/>
        <v>C</v>
      </c>
      <c r="AC25" s="26" t="str">
        <f t="shared" si="203"/>
        <v>D</v>
      </c>
      <c r="AD25" s="26" t="str">
        <f t="shared" si="204"/>
        <v>C</v>
      </c>
      <c r="AE25" s="26" t="str">
        <f t="shared" si="205"/>
        <v>C</v>
      </c>
      <c r="AF25" s="24" t="str">
        <f t="shared" si="206"/>
        <v>D</v>
      </c>
      <c r="AG25" s="24" t="str">
        <f t="shared" si="207"/>
        <v>D</v>
      </c>
      <c r="AH25" s="24" t="str">
        <f t="shared" si="208"/>
        <v>F</v>
      </c>
      <c r="AI25" s="24" t="str">
        <f t="shared" si="209"/>
        <v>F</v>
      </c>
      <c r="AJ25" s="24" t="str">
        <f t="shared" si="210"/>
        <v>E</v>
      </c>
      <c r="AK25" s="24" t="str">
        <f t="shared" si="211"/>
        <v>E</v>
      </c>
      <c r="AL25" s="24" t="str">
        <f t="shared" si="212"/>
        <v>E</v>
      </c>
      <c r="AM25" s="24">
        <f t="shared" si="213"/>
        <v>2</v>
      </c>
      <c r="AN25" s="24">
        <f t="shared" si="214"/>
        <v>2</v>
      </c>
      <c r="AO25" s="24">
        <f t="shared" si="215"/>
        <v>3</v>
      </c>
      <c r="AP25" s="24">
        <f t="shared" si="216"/>
        <v>1</v>
      </c>
      <c r="AQ25" s="24">
        <f t="shared" si="217"/>
        <v>5</v>
      </c>
      <c r="AR25" s="24">
        <f t="shared" si="218"/>
        <v>3</v>
      </c>
      <c r="AS25" s="24">
        <f t="shared" si="219"/>
        <v>2</v>
      </c>
      <c r="AT25" s="24">
        <f t="shared" si="220"/>
        <v>1</v>
      </c>
      <c r="AU25" s="24">
        <f t="shared" si="221"/>
        <v>1</v>
      </c>
      <c r="AV25" s="24">
        <f t="shared" si="222"/>
        <v>5</v>
      </c>
      <c r="AW25" s="24">
        <f t="shared" si="223"/>
        <v>1</v>
      </c>
      <c r="AX25" s="24">
        <f t="shared" si="224"/>
        <v>5</v>
      </c>
      <c r="AY25" s="24">
        <f t="shared" si="225"/>
        <v>3</v>
      </c>
      <c r="AZ25" s="24">
        <f t="shared" si="226"/>
        <v>2</v>
      </c>
      <c r="BA25" s="24">
        <f t="shared" si="227"/>
        <v>2</v>
      </c>
      <c r="BB25" s="24">
        <f t="shared" si="228"/>
        <v>2</v>
      </c>
      <c r="BC25" s="26">
        <f t="shared" si="229"/>
        <v>133.5</v>
      </c>
      <c r="BD25" s="26">
        <f t="shared" si="230"/>
        <v>142.68333333333334</v>
      </c>
      <c r="BE25" s="26">
        <f t="shared" si="231"/>
        <v>231.55</v>
      </c>
      <c r="BF25" s="26">
        <f t="shared" si="232"/>
        <v>70.083333333333343</v>
      </c>
      <c r="BG25" s="26">
        <f t="shared" si="233"/>
        <v>354.33333333333337</v>
      </c>
      <c r="BH25" s="26">
        <f t="shared" si="234"/>
        <v>221.97500000000002</v>
      </c>
      <c r="BI25" s="26">
        <f t="shared" si="235"/>
        <v>126.78333333333333</v>
      </c>
      <c r="BJ25" s="26">
        <f t="shared" si="236"/>
        <v>79</v>
      </c>
      <c r="BK25" s="26">
        <f t="shared" si="237"/>
        <v>79</v>
      </c>
      <c r="BL25" s="26">
        <f t="shared" si="238"/>
        <v>340.71249999999998</v>
      </c>
      <c r="BM25" s="26">
        <f t="shared" si="239"/>
        <v>69.284999999999997</v>
      </c>
      <c r="BN25" s="26">
        <f t="shared" si="240"/>
        <v>222.61250000000001</v>
      </c>
      <c r="BO25" s="26">
        <f t="shared" si="241"/>
        <v>83.550000000000011</v>
      </c>
      <c r="BP25" s="26">
        <f t="shared" si="242"/>
        <v>117.045</v>
      </c>
      <c r="BQ25" s="26">
        <f t="shared" si="243"/>
        <v>114.5</v>
      </c>
      <c r="BR25" s="26">
        <f t="shared" si="244"/>
        <v>113.235</v>
      </c>
      <c r="BS25" s="24">
        <f t="shared" ref="BS25:CH25" si="446">IF(OR(AM25="",W25=""),"",AM25*(IF(OR(W25="A",W25="a"),4,(IF(OR(W461="B",W25="b"),3,(IF(OR(W25="C",W25="c"),2,(IF(OR(W25="D",W25="d"),1.5,(IF(OR(W25="E",W25="e"),1,(IF(OR(W25="F",W25="f"),0)))))))))))))</f>
        <v>3</v>
      </c>
      <c r="BT25" s="24">
        <f t="shared" si="446"/>
        <v>4</v>
      </c>
      <c r="BU25" s="24">
        <f t="shared" si="446"/>
        <v>6</v>
      </c>
      <c r="BV25" s="24">
        <f t="shared" si="446"/>
        <v>2</v>
      </c>
      <c r="BW25" s="24">
        <f t="shared" si="446"/>
        <v>10</v>
      </c>
      <c r="BX25" s="24">
        <f t="shared" si="446"/>
        <v>6</v>
      </c>
      <c r="BY25" s="24">
        <f t="shared" si="446"/>
        <v>3</v>
      </c>
      <c r="BZ25" s="24">
        <f t="shared" si="446"/>
        <v>2</v>
      </c>
      <c r="CA25" s="24">
        <f t="shared" si="446"/>
        <v>2</v>
      </c>
      <c r="CB25" s="24">
        <f t="shared" si="446"/>
        <v>7.5</v>
      </c>
      <c r="CC25" s="24">
        <f t="shared" si="446"/>
        <v>1.5</v>
      </c>
      <c r="CD25" s="24">
        <f t="shared" si="446"/>
        <v>0</v>
      </c>
      <c r="CE25" s="24">
        <f t="shared" si="446"/>
        <v>0</v>
      </c>
      <c r="CF25" s="24">
        <f t="shared" si="446"/>
        <v>2</v>
      </c>
      <c r="CG25" s="24">
        <f t="shared" si="446"/>
        <v>2</v>
      </c>
      <c r="CH25" s="24">
        <f t="shared" si="446"/>
        <v>2</v>
      </c>
      <c r="CI25" s="24">
        <f t="shared" si="246"/>
        <v>20</v>
      </c>
      <c r="CJ25" s="24">
        <f t="shared" si="247"/>
        <v>1563.7850000000001</v>
      </c>
      <c r="CK25" s="26">
        <f t="shared" si="248"/>
        <v>34</v>
      </c>
      <c r="CL25" s="26">
        <f t="shared" si="249"/>
        <v>78.189250000000001</v>
      </c>
      <c r="CM25" s="24" t="str">
        <f t="shared" si="250"/>
        <v>C</v>
      </c>
      <c r="CN25" s="26">
        <f t="shared" si="251"/>
        <v>1.7</v>
      </c>
      <c r="CO25" s="24">
        <f t="shared" si="252"/>
        <v>20</v>
      </c>
      <c r="CP25" s="26">
        <f t="shared" si="253"/>
        <v>1060.9399999999998</v>
      </c>
      <c r="CQ25" s="26">
        <f t="shared" si="254"/>
        <v>15</v>
      </c>
      <c r="CR25" s="26">
        <f t="shared" si="255"/>
        <v>53.04699999999999</v>
      </c>
      <c r="CS25" s="24" t="str">
        <f t="shared" si="256"/>
        <v>E</v>
      </c>
      <c r="CT25" s="26">
        <f t="shared" si="257"/>
        <v>0.75</v>
      </c>
      <c r="CU25" s="24">
        <f t="shared" si="258"/>
        <v>40</v>
      </c>
      <c r="CV25" s="26">
        <f t="shared" si="259"/>
        <v>2499.8483333333338</v>
      </c>
      <c r="CW25" s="26">
        <f t="shared" si="260"/>
        <v>53</v>
      </c>
      <c r="CX25" s="26">
        <f t="shared" si="261"/>
        <v>62.496208333333342</v>
      </c>
      <c r="CY25" s="27" t="str">
        <f t="shared" si="262"/>
        <v>D</v>
      </c>
      <c r="CZ25" s="26">
        <f t="shared" si="263"/>
        <v>1.325</v>
      </c>
      <c r="DA25" s="24">
        <f t="shared" si="264"/>
        <v>11</v>
      </c>
      <c r="DB25" s="24" t="str">
        <f t="shared" si="265"/>
        <v>6A</v>
      </c>
      <c r="DC25" s="24">
        <f t="shared" si="266"/>
        <v>13</v>
      </c>
      <c r="DD25" s="24">
        <f>IF(B25="","",FinalSem1!$C$8)</f>
        <v>100</v>
      </c>
      <c r="DE25" s="24">
        <f>IF(A25="","",FinalSem1!PG25)</f>
        <v>0</v>
      </c>
      <c r="DF25" s="24">
        <f>IF(B25="","",FinalSem1!PH25)</f>
        <v>0</v>
      </c>
      <c r="DG25" s="24">
        <f>IF(B25="","",FinalSem1!PI25)</f>
        <v>0</v>
      </c>
      <c r="DH25" s="24">
        <f t="shared" si="267"/>
        <v>0</v>
      </c>
      <c r="DI25" s="25">
        <f t="shared" si="268"/>
        <v>1</v>
      </c>
      <c r="DJ25" s="26">
        <f>IF(FinalSem2!G25="","",FinalSem2!LJ25)</f>
        <v>68.416666666666657</v>
      </c>
      <c r="DK25" s="26">
        <f>IF(FinalSem2!H25="","",FinalSem2!LK25)</f>
        <v>71.316666666666663</v>
      </c>
      <c r="DL25" s="26">
        <f>IF(FinalSem2!I25="","",FinalSem2!LL25)</f>
        <v>74.236666666666665</v>
      </c>
      <c r="DM25" s="26">
        <f>IF(FinalSem2!J25="","",FinalSem2!LM25)</f>
        <v>74.583333333333343</v>
      </c>
      <c r="DN25" s="26">
        <f>IF(FinalSem2!K25="","",FinalSem2!LN25)</f>
        <v>60.5</v>
      </c>
      <c r="DO25" s="26">
        <f>IF(FinalSem2!L25="","",FinalSem2!LO25)</f>
        <v>65.349999999999994</v>
      </c>
      <c r="DP25" s="26">
        <f>IF(FinalSem2!M25="","",FinalSem2!LP25)</f>
        <v>65.333333333333343</v>
      </c>
      <c r="DQ25" s="26">
        <f>IF(FinalSem2!N25="","",FinalSem2!LQ25)</f>
        <v>93.5</v>
      </c>
      <c r="DR25" s="26">
        <f>IF(FinalSem2!O25="","",FinalSem2!LR25)</f>
        <v>93.5</v>
      </c>
      <c r="DS25" s="26">
        <f>IF(FinalSem2!P25="","",FinalSem2!LS25)</f>
        <v>63.808333333333337</v>
      </c>
      <c r="DT25" s="26">
        <f>IF(FinalSem2!Q25="","",FinalSem2!LT25)</f>
        <v>67.616666666666674</v>
      </c>
      <c r="DU25" s="26">
        <f>IF(FinalSem2!R25="","",FinalSem2!LU25)</f>
        <v>46.274999999999999</v>
      </c>
      <c r="DV25" s="26">
        <f>IF(FinalSem2!S25="","",FinalSem2!LV25)</f>
        <v>46.41</v>
      </c>
      <c r="DW25" s="26">
        <f>IF(FinalSem2!T25="","",FinalSem2!LW25)</f>
        <v>64</v>
      </c>
      <c r="DX25" s="26">
        <f>IF(FinalSem2!U25="","",FinalSem2!LX25)</f>
        <v>78.291666666666657</v>
      </c>
      <c r="DY25" s="26">
        <f>IF(FinalSem2!V25="","",FinalSem2!LY25)</f>
        <v>65.75</v>
      </c>
      <c r="DZ25" s="26" t="str">
        <f t="shared" si="269"/>
        <v>D</v>
      </c>
      <c r="EA25" s="26" t="str">
        <f t="shared" si="270"/>
        <v>C</v>
      </c>
      <c r="EB25" s="26" t="str">
        <f t="shared" si="271"/>
        <v>C</v>
      </c>
      <c r="EC25" s="26" t="str">
        <f t="shared" si="272"/>
        <v>C</v>
      </c>
      <c r="ED25" s="26" t="str">
        <f t="shared" si="273"/>
        <v>D</v>
      </c>
      <c r="EE25" s="26" t="str">
        <f t="shared" si="274"/>
        <v>D</v>
      </c>
      <c r="EF25" s="26" t="str">
        <f t="shared" si="275"/>
        <v>D</v>
      </c>
      <c r="EG25" s="26" t="str">
        <f t="shared" si="276"/>
        <v>A</v>
      </c>
      <c r="EH25" s="26" t="str">
        <f t="shared" si="277"/>
        <v>A</v>
      </c>
      <c r="EI25" s="24" t="str">
        <f t="shared" si="278"/>
        <v>D</v>
      </c>
      <c r="EJ25" s="24" t="str">
        <f t="shared" si="279"/>
        <v>D</v>
      </c>
      <c r="EK25" s="24" t="str">
        <f t="shared" si="280"/>
        <v>F</v>
      </c>
      <c r="EL25" s="24" t="str">
        <f t="shared" si="281"/>
        <v>F</v>
      </c>
      <c r="EM25" s="24" t="str">
        <f t="shared" si="282"/>
        <v>D</v>
      </c>
      <c r="EN25" s="24" t="str">
        <f t="shared" si="283"/>
        <v>C</v>
      </c>
      <c r="EO25" s="24" t="str">
        <f t="shared" si="284"/>
        <v>D</v>
      </c>
      <c r="EP25" s="24">
        <f t="shared" si="285"/>
        <v>2</v>
      </c>
      <c r="EQ25" s="24">
        <f t="shared" si="286"/>
        <v>2</v>
      </c>
      <c r="ER25" s="24">
        <f t="shared" si="287"/>
        <v>3</v>
      </c>
      <c r="ES25" s="24">
        <f t="shared" si="288"/>
        <v>1</v>
      </c>
      <c r="ET25" s="24">
        <f t="shared" si="289"/>
        <v>5</v>
      </c>
      <c r="EU25" s="24">
        <f t="shared" si="290"/>
        <v>3</v>
      </c>
      <c r="EV25" s="24">
        <f t="shared" si="291"/>
        <v>2</v>
      </c>
      <c r="EW25" s="24">
        <f t="shared" si="292"/>
        <v>1</v>
      </c>
      <c r="EX25" s="24">
        <f t="shared" si="293"/>
        <v>1</v>
      </c>
      <c r="EY25" s="24">
        <f t="shared" si="294"/>
        <v>5</v>
      </c>
      <c r="EZ25" s="24">
        <f t="shared" si="295"/>
        <v>1</v>
      </c>
      <c r="FA25" s="24">
        <f t="shared" si="296"/>
        <v>5</v>
      </c>
      <c r="FB25" s="24">
        <f t="shared" si="297"/>
        <v>3</v>
      </c>
      <c r="FC25" s="24">
        <f t="shared" si="298"/>
        <v>2</v>
      </c>
      <c r="FD25" s="24">
        <f t="shared" si="299"/>
        <v>2</v>
      </c>
      <c r="FE25" s="24">
        <f t="shared" si="300"/>
        <v>2</v>
      </c>
      <c r="FF25" s="26">
        <f t="shared" si="301"/>
        <v>136.83333333333331</v>
      </c>
      <c r="FG25" s="26">
        <f t="shared" si="302"/>
        <v>142.63333333333333</v>
      </c>
      <c r="FH25" s="26">
        <f t="shared" si="303"/>
        <v>222.70999999999998</v>
      </c>
      <c r="FI25" s="26">
        <f t="shared" si="304"/>
        <v>74.583333333333343</v>
      </c>
      <c r="FJ25" s="26">
        <f t="shared" si="305"/>
        <v>302.5</v>
      </c>
      <c r="FK25" s="26">
        <f t="shared" si="306"/>
        <v>196.04999999999998</v>
      </c>
      <c r="FL25" s="26">
        <f t="shared" si="307"/>
        <v>130.66666666666669</v>
      </c>
      <c r="FM25" s="26">
        <f t="shared" si="308"/>
        <v>93.5</v>
      </c>
      <c r="FN25" s="26">
        <f t="shared" si="309"/>
        <v>93.5</v>
      </c>
      <c r="FO25" s="26">
        <f t="shared" si="310"/>
        <v>319.04166666666669</v>
      </c>
      <c r="FP25" s="26">
        <f t="shared" si="311"/>
        <v>67.616666666666674</v>
      </c>
      <c r="FQ25" s="26">
        <f t="shared" si="312"/>
        <v>231.375</v>
      </c>
      <c r="FR25" s="26">
        <f t="shared" si="313"/>
        <v>139.22999999999999</v>
      </c>
      <c r="FS25" s="26">
        <f t="shared" si="314"/>
        <v>128</v>
      </c>
      <c r="FT25" s="26">
        <f t="shared" si="315"/>
        <v>156.58333333333331</v>
      </c>
      <c r="FU25" s="26">
        <f t="shared" si="316"/>
        <v>131.5</v>
      </c>
      <c r="FV25" s="24">
        <f t="shared" ref="FV25:GK25" si="447">IF(OR(EP25="",DZ25=""),"",EP25*(IF(OR(DZ25="A",DZ25="a"),4,(IF(OR(DZ461="B",DZ25="b"),3,(IF(OR(DZ25="C",DZ25="c"),2,(IF(OR(DZ25="D",DZ25="d"),1.5,(IF(OR(DZ25="E",DZ25="e"),1,(IF(OR(DZ25="F",DZ25="f"),0)))))))))))))</f>
        <v>3</v>
      </c>
      <c r="FW25" s="24">
        <f t="shared" si="447"/>
        <v>4</v>
      </c>
      <c r="FX25" s="24">
        <f t="shared" si="447"/>
        <v>6</v>
      </c>
      <c r="FY25" s="24">
        <f t="shared" si="447"/>
        <v>2</v>
      </c>
      <c r="FZ25" s="24">
        <f t="shared" si="447"/>
        <v>7.5</v>
      </c>
      <c r="GA25" s="24">
        <f t="shared" si="447"/>
        <v>4.5</v>
      </c>
      <c r="GB25" s="24">
        <f t="shared" si="447"/>
        <v>3</v>
      </c>
      <c r="GC25" s="24">
        <f t="shared" si="447"/>
        <v>4</v>
      </c>
      <c r="GD25" s="24">
        <f t="shared" si="447"/>
        <v>4</v>
      </c>
      <c r="GE25" s="24">
        <f t="shared" si="447"/>
        <v>7.5</v>
      </c>
      <c r="GF25" s="24">
        <f t="shared" si="447"/>
        <v>1.5</v>
      </c>
      <c r="GG25" s="24">
        <f t="shared" si="447"/>
        <v>0</v>
      </c>
      <c r="GH25" s="24">
        <f t="shared" si="447"/>
        <v>0</v>
      </c>
      <c r="GI25" s="24">
        <f t="shared" si="447"/>
        <v>3</v>
      </c>
      <c r="GJ25" s="24">
        <f t="shared" si="447"/>
        <v>4</v>
      </c>
      <c r="GK25" s="24">
        <f t="shared" si="447"/>
        <v>3</v>
      </c>
      <c r="GL25" s="24">
        <f t="shared" si="318"/>
        <v>20</v>
      </c>
      <c r="GM25" s="26">
        <f t="shared" si="319"/>
        <v>1392.9766666666667</v>
      </c>
      <c r="GN25" s="26">
        <f t="shared" si="320"/>
        <v>38</v>
      </c>
      <c r="GO25" s="26">
        <f t="shared" si="321"/>
        <v>69.648833333333329</v>
      </c>
      <c r="GP25" s="24" t="str">
        <f t="shared" si="322"/>
        <v>D</v>
      </c>
      <c r="GQ25" s="26">
        <f t="shared" si="323"/>
        <v>1.9</v>
      </c>
      <c r="GR25" s="24">
        <f t="shared" si="324"/>
        <v>20</v>
      </c>
      <c r="GS25" s="26">
        <f t="shared" si="325"/>
        <v>1173.3466666666666</v>
      </c>
      <c r="GT25" s="26">
        <f t="shared" si="326"/>
        <v>19</v>
      </c>
      <c r="GU25" s="26">
        <f t="shared" si="327"/>
        <v>58.667333333333332</v>
      </c>
      <c r="GV25" s="24" t="str">
        <f t="shared" si="328"/>
        <v>E</v>
      </c>
      <c r="GW25" s="27">
        <f t="shared" si="329"/>
        <v>0.95</v>
      </c>
      <c r="GX25" s="24">
        <f t="shared" si="330"/>
        <v>40</v>
      </c>
      <c r="GY25" s="26">
        <f t="shared" si="331"/>
        <v>2566.3233333333337</v>
      </c>
      <c r="GZ25" s="26">
        <f t="shared" si="332"/>
        <v>57</v>
      </c>
      <c r="HA25" s="26">
        <f t="shared" si="333"/>
        <v>64.158083333333337</v>
      </c>
      <c r="HB25" s="27" t="str">
        <f t="shared" si="334"/>
        <v>D</v>
      </c>
      <c r="HC25" s="26">
        <f t="shared" si="335"/>
        <v>1.425</v>
      </c>
      <c r="HD25" s="24">
        <f t="shared" si="336"/>
        <v>13</v>
      </c>
      <c r="HE25" s="24" t="str">
        <f t="shared" si="337"/>
        <v>6A</v>
      </c>
      <c r="HF25" s="24">
        <f t="shared" si="338"/>
        <v>13</v>
      </c>
      <c r="HG25" s="24">
        <f>IF(B25="","",FinalSem2!$C$8)</f>
        <v>104</v>
      </c>
      <c r="HH25" s="24">
        <f>IF(A25="","",FinalSem2!PH25)</f>
        <v>0</v>
      </c>
      <c r="HI25" s="24">
        <f>IF(B25="","",FinalSem2!PI25)</f>
        <v>0</v>
      </c>
      <c r="HJ25" s="24">
        <f>IF(C25="","",FinalSem2!PJ25)</f>
        <v>1</v>
      </c>
      <c r="HK25" s="24">
        <f t="shared" si="339"/>
        <v>1</v>
      </c>
      <c r="HL25" s="25">
        <f t="shared" si="340"/>
        <v>0.99038461538461542</v>
      </c>
      <c r="HM25" s="26">
        <f>IF($B$15="","",IF(FinalSem2!LJ25="","",IF(AND(FinalSem1!LI25,FinalSem2!LJ25)="","",AVERAGE(FinalSem1!LI25,FinalSem2!LJ25))))</f>
        <v>67.583333333333329</v>
      </c>
      <c r="HN25" s="26">
        <f>IF($B$15="","",IF(FinalSem2!LK25="","",IF(AND(FinalSem1!LJ25,FinalSem2!LK25)="","",AVERAGE(FinalSem1!LJ25,FinalSem2!LK25))))</f>
        <v>71.329166666666666</v>
      </c>
      <c r="HO25" s="26">
        <f>IF($B$15="","",IF(FinalSem2!LL25="","",IF(AND(FinalSem1!LK25,FinalSem2!LL25)="","",AVERAGE(FinalSem1!LK25,FinalSem2!LL25))))</f>
        <v>75.710000000000008</v>
      </c>
      <c r="HP25" s="26">
        <f>IF($B$15="","",IF(FinalSem2!LM25="","",IF(AND(FinalSem1!LL25,FinalSem2!LM25)="","",AVERAGE(FinalSem1!LL25,FinalSem2!LM25))))</f>
        <v>72.333333333333343</v>
      </c>
      <c r="HQ25" s="26">
        <f>IF($B$15="","",IF(FinalSem2!LN25="","",IF(AND(FinalSem1!LM25,FinalSem2!LN25)="","",AVERAGE(FinalSem1!LM25,FinalSem2!LN25))))</f>
        <v>65.683333333333337</v>
      </c>
      <c r="HR25" s="26">
        <f>IF($B$15="","",IF(FinalSem2!LO25="","",IF(AND(FinalSem1!LN25,FinalSem2!LO25)="","",AVERAGE(FinalSem1!LN25,FinalSem2!LO25))))</f>
        <v>69.670833333333334</v>
      </c>
      <c r="HS25" s="26">
        <f>IF($B$15="","",IF(FinalSem2!LP25="","",IF(AND(FinalSem1!LO25,FinalSem2!LP25)="","",AVERAGE(FinalSem1!LO25,FinalSem2!LP25))))</f>
        <v>64.362500000000011</v>
      </c>
      <c r="HT25" s="26">
        <f>IF($B$15="","",IF(FinalSem2!LQ25="","",IF(AND(FinalSem1!LP25,FinalSem2!LQ25)="","",AVERAGE(FinalSem1!LP25,FinalSem2!LQ25))))</f>
        <v>86.25</v>
      </c>
      <c r="HU25" s="26">
        <f>IF($B$15="","",IF(FinalSem2!LR25="","",IF(AND(FinalSem1!LQ25,FinalSem2!LR25)="","",AVERAGE(FinalSem1!LQ25,FinalSem2!LR25))))</f>
        <v>86.25</v>
      </c>
      <c r="HV25" s="26">
        <f>IF($B$15="","",IF(FinalSem2!LS25="","",IF(AND(FinalSem1!LR25,FinalSem2!LS25)="","",AVERAGE(FinalSem1!LR25,FinalSem2!LS25))))</f>
        <v>65.975416666666661</v>
      </c>
      <c r="HW25" s="26">
        <f>IF($B$15="","",IF(FinalSem2!LT25="","",IF(AND(FinalSem1!LS25,FinalSem2!LT25)="","",AVERAGE(FinalSem1!LS25,FinalSem2!LT25))))</f>
        <v>68.450833333333335</v>
      </c>
      <c r="HX25" s="26">
        <f>IF($B$15="","",IF(FinalSem2!LU25="","",IF(AND(FinalSem1!LT25,FinalSem2!LU25)="","",AVERAGE(FinalSem1!LT25,FinalSem2!LU25))))</f>
        <v>45.39875</v>
      </c>
      <c r="HY25" s="26">
        <f>IF($B$15="","",IF(FinalSem2!LV25="","",IF(AND(FinalSem1!LU25,FinalSem2!LV25)="","",AVERAGE(FinalSem1!LU25,FinalSem2!LV25))))</f>
        <v>37.129999999999995</v>
      </c>
      <c r="HZ25" s="26">
        <f>IF($B$15="","",IF(FinalSem2!LW25="","",IF(AND(FinalSem1!LV25,FinalSem2!LW25)="","",AVERAGE(FinalSem1!LV25,FinalSem2!LW25))))</f>
        <v>61.261250000000004</v>
      </c>
      <c r="IA25" s="26">
        <f>IF($B$15="","",IF(FinalSem2!LX25="","",IF(AND(FinalSem1!LW25,FinalSem2!LX25)="","",AVERAGE(FinalSem1!LW25,FinalSem2!LX25))))</f>
        <v>67.770833333333329</v>
      </c>
      <c r="IB25" s="26">
        <f>IF($B$15="","",IF(FinalSem2!LY25="","",IF(AND(FinalSem1!LX25,FinalSem2!LY25)="","",AVERAGE(FinalSem1!LX25,FinalSem2!LY25))))</f>
        <v>61.183750000000003</v>
      </c>
      <c r="IC25" s="26" t="str">
        <f t="shared" si="341"/>
        <v>D</v>
      </c>
      <c r="ID25" s="26" t="str">
        <f t="shared" si="342"/>
        <v>C</v>
      </c>
      <c r="IE25" s="26" t="str">
        <f t="shared" si="343"/>
        <v>C</v>
      </c>
      <c r="IF25" s="26" t="str">
        <f t="shared" si="344"/>
        <v>C</v>
      </c>
      <c r="IG25" s="26" t="str">
        <f t="shared" si="345"/>
        <v>D</v>
      </c>
      <c r="IH25" s="26" t="str">
        <f t="shared" si="346"/>
        <v>D</v>
      </c>
      <c r="II25" s="26" t="str">
        <f t="shared" si="347"/>
        <v>D</v>
      </c>
      <c r="IJ25" s="26" t="str">
        <f t="shared" si="348"/>
        <v>B</v>
      </c>
      <c r="IK25" s="26" t="str">
        <f t="shared" si="349"/>
        <v>B</v>
      </c>
      <c r="IL25" s="24" t="str">
        <f t="shared" si="350"/>
        <v>D</v>
      </c>
      <c r="IM25" s="24" t="str">
        <f t="shared" si="351"/>
        <v>D</v>
      </c>
      <c r="IN25" s="24" t="str">
        <f t="shared" si="352"/>
        <v>F</v>
      </c>
      <c r="IO25" s="24" t="str">
        <f t="shared" si="353"/>
        <v>F</v>
      </c>
      <c r="IP25" s="24" t="str">
        <f t="shared" si="354"/>
        <v>D</v>
      </c>
      <c r="IQ25" s="24" t="str">
        <f t="shared" si="355"/>
        <v>D</v>
      </c>
      <c r="IR25" s="24" t="str">
        <f t="shared" si="356"/>
        <v>D</v>
      </c>
      <c r="IS25" s="24">
        <f t="shared" si="357"/>
        <v>4</v>
      </c>
      <c r="IT25" s="24">
        <f t="shared" si="358"/>
        <v>4</v>
      </c>
      <c r="IU25" s="24">
        <f t="shared" si="359"/>
        <v>6</v>
      </c>
      <c r="IV25" s="24">
        <f t="shared" si="360"/>
        <v>2</v>
      </c>
      <c r="IW25" s="24">
        <f t="shared" si="361"/>
        <v>10</v>
      </c>
      <c r="IX25" s="24">
        <f t="shared" si="362"/>
        <v>6</v>
      </c>
      <c r="IY25" s="24">
        <f t="shared" si="363"/>
        <v>4</v>
      </c>
      <c r="IZ25" s="24">
        <f t="shared" si="364"/>
        <v>2</v>
      </c>
      <c r="JA25" s="24">
        <f t="shared" si="365"/>
        <v>2</v>
      </c>
      <c r="JB25" s="24">
        <f t="shared" si="366"/>
        <v>10</v>
      </c>
      <c r="JC25" s="24">
        <f t="shared" si="367"/>
        <v>2</v>
      </c>
      <c r="JD25" s="24">
        <f t="shared" si="368"/>
        <v>10</v>
      </c>
      <c r="JE25" s="24">
        <f t="shared" si="369"/>
        <v>6</v>
      </c>
      <c r="JF25" s="24">
        <f t="shared" si="370"/>
        <v>4</v>
      </c>
      <c r="JG25" s="24">
        <f t="shared" si="371"/>
        <v>4</v>
      </c>
      <c r="JH25" s="24">
        <f t="shared" si="372"/>
        <v>4</v>
      </c>
      <c r="JI25" s="26">
        <f t="shared" si="373"/>
        <v>270.33333333333331</v>
      </c>
      <c r="JJ25" s="26">
        <f t="shared" si="374"/>
        <v>285.31666666666666</v>
      </c>
      <c r="JK25" s="26">
        <f t="shared" si="375"/>
        <v>454.26000000000005</v>
      </c>
      <c r="JL25" s="26">
        <f t="shared" si="376"/>
        <v>144.66666666666669</v>
      </c>
      <c r="JM25" s="26">
        <f t="shared" si="377"/>
        <v>656.83333333333337</v>
      </c>
      <c r="JN25" s="26">
        <f t="shared" si="378"/>
        <v>418.02499999999998</v>
      </c>
      <c r="JO25" s="26">
        <f t="shared" si="379"/>
        <v>257.45000000000005</v>
      </c>
      <c r="JP25" s="26">
        <f t="shared" si="380"/>
        <v>172.5</v>
      </c>
      <c r="JQ25" s="26">
        <f t="shared" si="381"/>
        <v>172.5</v>
      </c>
      <c r="JR25" s="26">
        <f t="shared" si="382"/>
        <v>659.75416666666661</v>
      </c>
      <c r="JS25" s="26">
        <f t="shared" si="383"/>
        <v>136.90166666666667</v>
      </c>
      <c r="JT25" s="26">
        <f t="shared" si="384"/>
        <v>453.98750000000001</v>
      </c>
      <c r="JU25" s="26">
        <f t="shared" si="385"/>
        <v>222.77999999999997</v>
      </c>
      <c r="JV25" s="26">
        <f t="shared" si="386"/>
        <v>245.04500000000002</v>
      </c>
      <c r="JW25" s="26">
        <f t="shared" si="387"/>
        <v>271.08333333333331</v>
      </c>
      <c r="JX25" s="26">
        <f t="shared" si="388"/>
        <v>244.73500000000001</v>
      </c>
      <c r="JY25" s="24">
        <f t="shared" ref="JY25:KN25" si="448">IF(OR(IS25="",IC25=""),"",IS25*(IF(OR(IC25="A",IC25="a"),4,(IF(OR(IC461="B",IC25="b"),3,(IF(OR(IC25="C",IC25="c"),2,(IF(OR(IC25="D",IC25="d"),1.5,(IF(OR(IC25="E",IC25="e"),1,(IF(OR(IC25="F",IC25="f"),0)))))))))))))</f>
        <v>6</v>
      </c>
      <c r="JZ25" s="24">
        <f t="shared" si="448"/>
        <v>8</v>
      </c>
      <c r="KA25" s="24">
        <f t="shared" si="448"/>
        <v>12</v>
      </c>
      <c r="KB25" s="24">
        <f t="shared" si="448"/>
        <v>4</v>
      </c>
      <c r="KC25" s="24">
        <f t="shared" si="448"/>
        <v>15</v>
      </c>
      <c r="KD25" s="24">
        <f t="shared" si="448"/>
        <v>9</v>
      </c>
      <c r="KE25" s="24">
        <f t="shared" si="448"/>
        <v>6</v>
      </c>
      <c r="KF25" s="24">
        <f t="shared" si="448"/>
        <v>6</v>
      </c>
      <c r="KG25" s="24">
        <f t="shared" si="448"/>
        <v>6</v>
      </c>
      <c r="KH25" s="24">
        <f t="shared" si="448"/>
        <v>15</v>
      </c>
      <c r="KI25" s="24">
        <f t="shared" si="448"/>
        <v>3</v>
      </c>
      <c r="KJ25" s="24">
        <f t="shared" si="448"/>
        <v>0</v>
      </c>
      <c r="KK25" s="24">
        <f t="shared" si="448"/>
        <v>0</v>
      </c>
      <c r="KL25" s="24">
        <f t="shared" si="448"/>
        <v>6</v>
      </c>
      <c r="KM25" s="24">
        <f t="shared" si="448"/>
        <v>6</v>
      </c>
      <c r="KN25" s="24">
        <f t="shared" si="448"/>
        <v>6</v>
      </c>
      <c r="KO25" s="24">
        <f t="shared" si="390"/>
        <v>40</v>
      </c>
      <c r="KP25" s="26">
        <f t="shared" si="391"/>
        <v>2831.8850000000002</v>
      </c>
      <c r="KQ25" s="26">
        <f t="shared" si="392"/>
        <v>72</v>
      </c>
      <c r="KR25" s="26">
        <f t="shared" si="393"/>
        <v>70.797125000000008</v>
      </c>
      <c r="KS25" s="24" t="str">
        <f t="shared" si="394"/>
        <v>C</v>
      </c>
      <c r="KT25" s="26">
        <f t="shared" si="395"/>
        <v>1.8</v>
      </c>
      <c r="KU25" s="24">
        <f t="shared" si="396"/>
        <v>40</v>
      </c>
      <c r="KV25" s="26">
        <f t="shared" si="397"/>
        <v>2234.2866666666664</v>
      </c>
      <c r="KW25" s="26">
        <f t="shared" si="398"/>
        <v>36</v>
      </c>
      <c r="KX25" s="26">
        <f t="shared" si="399"/>
        <v>55.857166666666657</v>
      </c>
      <c r="KY25" s="24" t="str">
        <f t="shared" si="400"/>
        <v>E</v>
      </c>
      <c r="KZ25" s="26">
        <f t="shared" si="401"/>
        <v>0.9</v>
      </c>
      <c r="LA25" s="24">
        <f t="shared" si="402"/>
        <v>80</v>
      </c>
      <c r="LB25" s="26">
        <f t="shared" si="403"/>
        <v>5066.1716666666662</v>
      </c>
      <c r="LC25" s="27">
        <f t="shared" si="404"/>
        <v>108</v>
      </c>
      <c r="LD25" s="26">
        <f t="shared" si="405"/>
        <v>63.327145833333326</v>
      </c>
      <c r="LE25" s="27" t="str">
        <f t="shared" si="406"/>
        <v>D</v>
      </c>
      <c r="LF25" s="26">
        <f t="shared" si="407"/>
        <v>1.35</v>
      </c>
      <c r="LG25" s="24">
        <f t="shared" si="408"/>
        <v>12</v>
      </c>
      <c r="LH25" s="24" t="str">
        <f t="shared" si="409"/>
        <v>6A</v>
      </c>
      <c r="LI25" s="24">
        <f t="shared" si="410"/>
        <v>13</v>
      </c>
      <c r="LJ25" s="24">
        <f t="shared" si="411"/>
        <v>204</v>
      </c>
      <c r="LK25" s="24">
        <f t="shared" si="412"/>
        <v>0</v>
      </c>
      <c r="LL25" s="24">
        <f t="shared" si="413"/>
        <v>0</v>
      </c>
      <c r="LM25" s="24">
        <f t="shared" si="414"/>
        <v>1</v>
      </c>
      <c r="LN25" s="24">
        <f t="shared" si="415"/>
        <v>1</v>
      </c>
      <c r="LO25" s="25">
        <f t="shared" si="416"/>
        <v>0.99509803921568629</v>
      </c>
      <c r="LP25" s="24" t="str">
        <f t="shared" si="417"/>
        <v>Fail - Detained in Grade</v>
      </c>
      <c r="LQ25" s="24" t="str">
        <f t="shared" si="418"/>
        <v>ធ្លាក់ត្រូវរៀនត្រួតថ្នាក់ទី</v>
      </c>
      <c r="LR25" s="24">
        <f t="shared" si="419"/>
        <v>6</v>
      </c>
      <c r="LS25" s="24">
        <f t="shared" si="420"/>
        <v>6</v>
      </c>
    </row>
    <row r="26" spans="1:331" ht="27" customHeight="1" x14ac:dyDescent="0.35">
      <c r="A26" s="24">
        <f t="shared" si="421"/>
        <v>12</v>
      </c>
      <c r="B26" s="86" t="str">
        <f>IF(FinalSem2!B26="","",FinalSem2!B26)</f>
        <v>Nean Lyhour</v>
      </c>
      <c r="C26" s="29" t="str">
        <f>IF(FinalSem2!C26="","",FinalSem2!C26)</f>
        <v>នាន លីហួរ</v>
      </c>
      <c r="D26" s="24" t="str">
        <f>IF(FinalSem2!D26="","",FinalSem2!D26)</f>
        <v>M</v>
      </c>
      <c r="E26" s="24">
        <f>IF(FinalSem2!E26="","",FinalSem2!E26)</f>
        <v>769</v>
      </c>
      <c r="F26" s="24" t="str">
        <f>IF(FinalSem2!F26="","",FinalSem2!F26)</f>
        <v>I</v>
      </c>
      <c r="G26" s="26">
        <v>87</v>
      </c>
      <c r="H26" s="26">
        <v>70</v>
      </c>
      <c r="I26" s="26">
        <v>95</v>
      </c>
      <c r="J26" s="26">
        <v>69</v>
      </c>
      <c r="K26" s="26">
        <v>95</v>
      </c>
      <c r="L26" s="26">
        <v>75</v>
      </c>
      <c r="M26" s="26">
        <v>97</v>
      </c>
      <c r="N26" s="26">
        <v>90</v>
      </c>
      <c r="O26" s="26">
        <v>90</v>
      </c>
      <c r="P26" s="26">
        <v>50</v>
      </c>
      <c r="Q26" s="26">
        <v>50</v>
      </c>
      <c r="R26" s="26">
        <v>50</v>
      </c>
      <c r="S26" s="26">
        <v>50</v>
      </c>
      <c r="T26" s="26">
        <v>50</v>
      </c>
      <c r="U26" s="26">
        <v>50</v>
      </c>
      <c r="V26" s="26">
        <v>50</v>
      </c>
      <c r="W26" s="26" t="str">
        <f t="shared" si="197"/>
        <v>B</v>
      </c>
      <c r="X26" s="26" t="str">
        <f t="shared" si="198"/>
        <v>C</v>
      </c>
      <c r="Y26" s="26" t="str">
        <f t="shared" si="199"/>
        <v>A</v>
      </c>
      <c r="Z26" s="26" t="str">
        <f t="shared" si="200"/>
        <v>D</v>
      </c>
      <c r="AA26" s="26" t="str">
        <f t="shared" si="201"/>
        <v>A</v>
      </c>
      <c r="AB26" s="26" t="str">
        <f t="shared" si="202"/>
        <v>C</v>
      </c>
      <c r="AC26" s="26" t="str">
        <f t="shared" si="203"/>
        <v>A</v>
      </c>
      <c r="AD26" s="26" t="str">
        <f t="shared" si="204"/>
        <v>A</v>
      </c>
      <c r="AE26" s="26" t="str">
        <f t="shared" si="205"/>
        <v>A</v>
      </c>
      <c r="AF26" s="24" t="str">
        <f t="shared" si="206"/>
        <v>E</v>
      </c>
      <c r="AG26" s="24" t="str">
        <f t="shared" si="207"/>
        <v>E</v>
      </c>
      <c r="AH26" s="24" t="str">
        <f t="shared" si="208"/>
        <v>E</v>
      </c>
      <c r="AI26" s="24" t="str">
        <f t="shared" si="209"/>
        <v>E</v>
      </c>
      <c r="AJ26" s="24" t="str">
        <f t="shared" si="210"/>
        <v>E</v>
      </c>
      <c r="AK26" s="24" t="str">
        <f t="shared" si="211"/>
        <v>E</v>
      </c>
      <c r="AL26" s="24" t="str">
        <f t="shared" si="212"/>
        <v>E</v>
      </c>
      <c r="AM26" s="24">
        <f t="shared" si="213"/>
        <v>2</v>
      </c>
      <c r="AN26" s="24">
        <f t="shared" si="214"/>
        <v>2</v>
      </c>
      <c r="AO26" s="24">
        <f t="shared" si="215"/>
        <v>3</v>
      </c>
      <c r="AP26" s="24">
        <f t="shared" si="216"/>
        <v>1</v>
      </c>
      <c r="AQ26" s="24">
        <f t="shared" si="217"/>
        <v>5</v>
      </c>
      <c r="AR26" s="24">
        <f t="shared" si="218"/>
        <v>3</v>
      </c>
      <c r="AS26" s="24">
        <f t="shared" si="219"/>
        <v>2</v>
      </c>
      <c r="AT26" s="24">
        <f t="shared" si="220"/>
        <v>1</v>
      </c>
      <c r="AU26" s="24">
        <f t="shared" si="221"/>
        <v>1</v>
      </c>
      <c r="AV26" s="24">
        <f t="shared" si="222"/>
        <v>5</v>
      </c>
      <c r="AW26" s="24">
        <f t="shared" si="223"/>
        <v>1</v>
      </c>
      <c r="AX26" s="24">
        <f t="shared" si="224"/>
        <v>5</v>
      </c>
      <c r="AY26" s="24">
        <f t="shared" si="225"/>
        <v>3</v>
      </c>
      <c r="AZ26" s="24">
        <f t="shared" si="226"/>
        <v>2</v>
      </c>
      <c r="BA26" s="24">
        <f t="shared" si="227"/>
        <v>2</v>
      </c>
      <c r="BB26" s="24">
        <f t="shared" si="228"/>
        <v>2</v>
      </c>
      <c r="BC26" s="26">
        <f t="shared" si="229"/>
        <v>174</v>
      </c>
      <c r="BD26" s="26">
        <f t="shared" si="230"/>
        <v>140</v>
      </c>
      <c r="BE26" s="26">
        <f t="shared" si="231"/>
        <v>285</v>
      </c>
      <c r="BF26" s="26">
        <f t="shared" si="232"/>
        <v>69</v>
      </c>
      <c r="BG26" s="26">
        <f t="shared" si="233"/>
        <v>475</v>
      </c>
      <c r="BH26" s="26">
        <f t="shared" si="234"/>
        <v>225</v>
      </c>
      <c r="BI26" s="26">
        <f t="shared" si="235"/>
        <v>194</v>
      </c>
      <c r="BJ26" s="26">
        <f t="shared" si="236"/>
        <v>90</v>
      </c>
      <c r="BK26" s="26">
        <f t="shared" si="237"/>
        <v>90</v>
      </c>
      <c r="BL26" s="26">
        <f t="shared" si="238"/>
        <v>250</v>
      </c>
      <c r="BM26" s="26">
        <f t="shared" si="239"/>
        <v>50</v>
      </c>
      <c r="BN26" s="26">
        <f t="shared" si="240"/>
        <v>250</v>
      </c>
      <c r="BO26" s="26">
        <f t="shared" si="241"/>
        <v>150</v>
      </c>
      <c r="BP26" s="26">
        <f t="shared" si="242"/>
        <v>100</v>
      </c>
      <c r="BQ26" s="26">
        <f t="shared" si="243"/>
        <v>100</v>
      </c>
      <c r="BR26" s="26">
        <f t="shared" si="244"/>
        <v>100</v>
      </c>
      <c r="BS26" s="24">
        <f t="shared" ref="BS26:CH26" si="449">IF(OR(AM26="",W26=""),"",AM26*(IF(OR(W26="A",W26="a"),4,(IF(OR(W462="B",W26="b"),3,(IF(OR(W26="C",W26="c"),2,(IF(OR(W26="D",W26="d"),1.5,(IF(OR(W26="E",W26="e"),1,(IF(OR(W26="F",W26="f"),0)))))))))))))</f>
        <v>6</v>
      </c>
      <c r="BT26" s="24">
        <f t="shared" si="449"/>
        <v>4</v>
      </c>
      <c r="BU26" s="24">
        <f t="shared" si="449"/>
        <v>12</v>
      </c>
      <c r="BV26" s="24">
        <f t="shared" si="449"/>
        <v>1.5</v>
      </c>
      <c r="BW26" s="24">
        <f t="shared" si="449"/>
        <v>20</v>
      </c>
      <c r="BX26" s="24">
        <f t="shared" si="449"/>
        <v>6</v>
      </c>
      <c r="BY26" s="24">
        <f t="shared" si="449"/>
        <v>8</v>
      </c>
      <c r="BZ26" s="24">
        <f t="shared" si="449"/>
        <v>4</v>
      </c>
      <c r="CA26" s="24">
        <f t="shared" si="449"/>
        <v>4</v>
      </c>
      <c r="CB26" s="24">
        <f t="shared" si="449"/>
        <v>5</v>
      </c>
      <c r="CC26" s="24">
        <f t="shared" si="449"/>
        <v>1</v>
      </c>
      <c r="CD26" s="24">
        <f t="shared" si="449"/>
        <v>5</v>
      </c>
      <c r="CE26" s="24">
        <f t="shared" si="449"/>
        <v>3</v>
      </c>
      <c r="CF26" s="24">
        <f t="shared" si="449"/>
        <v>2</v>
      </c>
      <c r="CG26" s="24">
        <f t="shared" si="449"/>
        <v>2</v>
      </c>
      <c r="CH26" s="24">
        <f t="shared" si="449"/>
        <v>2</v>
      </c>
      <c r="CI26" s="24">
        <f t="shared" si="246"/>
        <v>20</v>
      </c>
      <c r="CJ26" s="24">
        <f t="shared" si="247"/>
        <v>1693</v>
      </c>
      <c r="CK26" s="26">
        <f t="shared" si="248"/>
        <v>54.5</v>
      </c>
      <c r="CL26" s="26">
        <f t="shared" si="249"/>
        <v>84.65</v>
      </c>
      <c r="CM26" s="24" t="str">
        <f t="shared" si="250"/>
        <v>B</v>
      </c>
      <c r="CN26" s="26">
        <f t="shared" si="251"/>
        <v>2.7250000000000001</v>
      </c>
      <c r="CO26" s="24">
        <f t="shared" si="252"/>
        <v>20</v>
      </c>
      <c r="CP26" s="26">
        <f t="shared" si="253"/>
        <v>1000</v>
      </c>
      <c r="CQ26" s="26">
        <f t="shared" si="254"/>
        <v>20</v>
      </c>
      <c r="CR26" s="26">
        <f t="shared" si="255"/>
        <v>50</v>
      </c>
      <c r="CS26" s="24" t="str">
        <f t="shared" si="256"/>
        <v>E</v>
      </c>
      <c r="CT26" s="26">
        <f t="shared" si="257"/>
        <v>1</v>
      </c>
      <c r="CU26" s="24">
        <f t="shared" si="258"/>
        <v>40</v>
      </c>
      <c r="CV26" s="26">
        <f t="shared" si="259"/>
        <v>2742</v>
      </c>
      <c r="CW26" s="26">
        <f t="shared" si="260"/>
        <v>85.5</v>
      </c>
      <c r="CX26" s="26">
        <f t="shared" si="261"/>
        <v>68.55</v>
      </c>
      <c r="CY26" s="27" t="str">
        <f t="shared" si="262"/>
        <v>D</v>
      </c>
      <c r="CZ26" s="26">
        <f t="shared" si="263"/>
        <v>2.1375000000000002</v>
      </c>
      <c r="DA26" s="24">
        <f t="shared" si="264"/>
        <v>9</v>
      </c>
      <c r="DB26" s="24" t="str">
        <f t="shared" si="265"/>
        <v>6A</v>
      </c>
      <c r="DC26" s="24">
        <f t="shared" si="266"/>
        <v>13</v>
      </c>
      <c r="DD26" s="24">
        <f>IF(B26="","",FinalSem1!$C$8)</f>
        <v>100</v>
      </c>
      <c r="DE26" s="24">
        <f>IF(A26="","",FinalSem1!PG28)</f>
        <v>0</v>
      </c>
      <c r="DF26" s="24">
        <f>IF(B26="","",FinalSem1!PH28)</f>
        <v>0</v>
      </c>
      <c r="DG26" s="24">
        <f>IF(B26="","",FinalSem1!PI28)</f>
        <v>0</v>
      </c>
      <c r="DH26" s="24">
        <f t="shared" si="267"/>
        <v>0</v>
      </c>
      <c r="DI26" s="25">
        <f t="shared" si="268"/>
        <v>1</v>
      </c>
      <c r="DJ26" s="26">
        <f>IF(FinalSem2!G26="","",FinalSem2!LJ26)</f>
        <v>85.666666666666671</v>
      </c>
      <c r="DK26" s="26">
        <f>IF(FinalSem2!H26="","",FinalSem2!LK26)</f>
        <v>87.883333333333326</v>
      </c>
      <c r="DL26" s="26">
        <f>IF(FinalSem2!I26="","",FinalSem2!LL26)</f>
        <v>88.483333333333334</v>
      </c>
      <c r="DM26" s="26">
        <f>IF(FinalSem2!J26="","",FinalSem2!LM26)</f>
        <v>90.833333333333343</v>
      </c>
      <c r="DN26" s="26">
        <f>IF(FinalSem2!K26="","",FinalSem2!LN26)</f>
        <v>89.63333333333334</v>
      </c>
      <c r="DO26" s="26">
        <f>IF(FinalSem2!L26="","",FinalSem2!LO26)</f>
        <v>85.625</v>
      </c>
      <c r="DP26" s="26">
        <f>IF(FinalSem2!M26="","",FinalSem2!LP26)</f>
        <v>91.308333333333337</v>
      </c>
      <c r="DQ26" s="26">
        <f>IF(FinalSem2!N26="","",FinalSem2!LQ26)</f>
        <v>97</v>
      </c>
      <c r="DR26" s="26">
        <f>IF(FinalSem2!O26="","",FinalSem2!LR26)</f>
        <v>97</v>
      </c>
      <c r="DS26" s="26">
        <f>IF(FinalSem2!P26="","",FinalSem2!LS26)</f>
        <v>73.456666666666678</v>
      </c>
      <c r="DT26" s="26">
        <f>IF(FinalSem2!Q26="","",FinalSem2!LT26)</f>
        <v>71.913333333333341</v>
      </c>
      <c r="DU26" s="26">
        <f>IF(FinalSem2!R26="","",FinalSem2!LU26)</f>
        <v>79.78</v>
      </c>
      <c r="DV26" s="26">
        <f>IF(FinalSem2!S26="","",FinalSem2!LV26)</f>
        <v>72.885000000000005</v>
      </c>
      <c r="DW26" s="26">
        <f>IF(FinalSem2!T26="","",FinalSem2!LW26)</f>
        <v>70.625</v>
      </c>
      <c r="DX26" s="26">
        <f>IF(FinalSem2!U26="","",FinalSem2!LX26)</f>
        <v>87.583333333333343</v>
      </c>
      <c r="DY26" s="26">
        <f>IF(FinalSem2!V26="","",FinalSem2!LY26)</f>
        <v>76.5</v>
      </c>
      <c r="DZ26" s="26" t="str">
        <f t="shared" si="269"/>
        <v>B</v>
      </c>
      <c r="EA26" s="26" t="str">
        <f t="shared" si="270"/>
        <v>B</v>
      </c>
      <c r="EB26" s="26" t="str">
        <f t="shared" si="271"/>
        <v>B</v>
      </c>
      <c r="EC26" s="26" t="str">
        <f t="shared" si="272"/>
        <v>A</v>
      </c>
      <c r="ED26" s="26" t="str">
        <f t="shared" si="273"/>
        <v>B</v>
      </c>
      <c r="EE26" s="26" t="str">
        <f t="shared" si="274"/>
        <v>B</v>
      </c>
      <c r="EF26" s="26" t="str">
        <f t="shared" si="275"/>
        <v>A</v>
      </c>
      <c r="EG26" s="26" t="str">
        <f t="shared" si="276"/>
        <v>A</v>
      </c>
      <c r="EH26" s="26" t="str">
        <f t="shared" si="277"/>
        <v>A</v>
      </c>
      <c r="EI26" s="24" t="str">
        <f t="shared" si="278"/>
        <v>C</v>
      </c>
      <c r="EJ26" s="24" t="str">
        <f t="shared" si="279"/>
        <v>C</v>
      </c>
      <c r="EK26" s="24" t="str">
        <f t="shared" si="280"/>
        <v>C</v>
      </c>
      <c r="EL26" s="24" t="str">
        <f t="shared" si="281"/>
        <v>C</v>
      </c>
      <c r="EM26" s="24" t="str">
        <f t="shared" si="282"/>
        <v>C</v>
      </c>
      <c r="EN26" s="24" t="str">
        <f t="shared" si="283"/>
        <v>B</v>
      </c>
      <c r="EO26" s="24" t="str">
        <f t="shared" si="284"/>
        <v>C</v>
      </c>
      <c r="EP26" s="24">
        <f t="shared" si="285"/>
        <v>2</v>
      </c>
      <c r="EQ26" s="24">
        <f t="shared" si="286"/>
        <v>2</v>
      </c>
      <c r="ER26" s="24">
        <f t="shared" si="287"/>
        <v>3</v>
      </c>
      <c r="ES26" s="24">
        <f t="shared" si="288"/>
        <v>1</v>
      </c>
      <c r="ET26" s="24">
        <f t="shared" si="289"/>
        <v>5</v>
      </c>
      <c r="EU26" s="24">
        <f t="shared" si="290"/>
        <v>3</v>
      </c>
      <c r="EV26" s="24">
        <f t="shared" si="291"/>
        <v>2</v>
      </c>
      <c r="EW26" s="24">
        <f t="shared" si="292"/>
        <v>1</v>
      </c>
      <c r="EX26" s="24">
        <f t="shared" si="293"/>
        <v>1</v>
      </c>
      <c r="EY26" s="24">
        <f t="shared" si="294"/>
        <v>5</v>
      </c>
      <c r="EZ26" s="24">
        <f t="shared" si="295"/>
        <v>1</v>
      </c>
      <c r="FA26" s="24">
        <f t="shared" si="296"/>
        <v>5</v>
      </c>
      <c r="FB26" s="24">
        <f t="shared" si="297"/>
        <v>3</v>
      </c>
      <c r="FC26" s="24">
        <f t="shared" si="298"/>
        <v>2</v>
      </c>
      <c r="FD26" s="24">
        <f t="shared" si="299"/>
        <v>2</v>
      </c>
      <c r="FE26" s="24">
        <f t="shared" si="300"/>
        <v>2</v>
      </c>
      <c r="FF26" s="26">
        <f t="shared" si="301"/>
        <v>171.33333333333334</v>
      </c>
      <c r="FG26" s="26">
        <f t="shared" si="302"/>
        <v>175.76666666666665</v>
      </c>
      <c r="FH26" s="26">
        <f t="shared" si="303"/>
        <v>265.45</v>
      </c>
      <c r="FI26" s="26">
        <f t="shared" si="304"/>
        <v>90.833333333333343</v>
      </c>
      <c r="FJ26" s="26">
        <f t="shared" si="305"/>
        <v>448.16666666666669</v>
      </c>
      <c r="FK26" s="26">
        <f t="shared" si="306"/>
        <v>256.875</v>
      </c>
      <c r="FL26" s="26">
        <f t="shared" si="307"/>
        <v>182.61666666666667</v>
      </c>
      <c r="FM26" s="26">
        <f t="shared" si="308"/>
        <v>97</v>
      </c>
      <c r="FN26" s="26">
        <f t="shared" si="309"/>
        <v>97</v>
      </c>
      <c r="FO26" s="26">
        <f t="shared" si="310"/>
        <v>367.28333333333342</v>
      </c>
      <c r="FP26" s="26">
        <f t="shared" si="311"/>
        <v>71.913333333333341</v>
      </c>
      <c r="FQ26" s="26">
        <f t="shared" si="312"/>
        <v>398.9</v>
      </c>
      <c r="FR26" s="26">
        <f t="shared" si="313"/>
        <v>218.65500000000003</v>
      </c>
      <c r="FS26" s="26">
        <f t="shared" si="314"/>
        <v>141.25</v>
      </c>
      <c r="FT26" s="26">
        <f t="shared" si="315"/>
        <v>175.16666666666669</v>
      </c>
      <c r="FU26" s="26">
        <f t="shared" si="316"/>
        <v>153</v>
      </c>
      <c r="FV26" s="24">
        <f t="shared" ref="FV26:GK26" si="450">IF(OR(EP26="",DZ26=""),"",EP26*(IF(OR(DZ26="A",DZ26="a"),4,(IF(OR(DZ462="B",DZ26="b"),3,(IF(OR(DZ26="C",DZ26="c"),2,(IF(OR(DZ26="D",DZ26="d"),1.5,(IF(OR(DZ26="E",DZ26="e"),1,(IF(OR(DZ26="F",DZ26="f"),0)))))))))))))</f>
        <v>6</v>
      </c>
      <c r="FW26" s="24">
        <f t="shared" si="450"/>
        <v>6</v>
      </c>
      <c r="FX26" s="24">
        <f t="shared" si="450"/>
        <v>9</v>
      </c>
      <c r="FY26" s="24">
        <f t="shared" si="450"/>
        <v>4</v>
      </c>
      <c r="FZ26" s="24">
        <f t="shared" si="450"/>
        <v>15</v>
      </c>
      <c r="GA26" s="24">
        <f t="shared" si="450"/>
        <v>9</v>
      </c>
      <c r="GB26" s="24">
        <f t="shared" si="450"/>
        <v>8</v>
      </c>
      <c r="GC26" s="24">
        <f t="shared" si="450"/>
        <v>4</v>
      </c>
      <c r="GD26" s="24">
        <f t="shared" si="450"/>
        <v>4</v>
      </c>
      <c r="GE26" s="24">
        <f t="shared" si="450"/>
        <v>10</v>
      </c>
      <c r="GF26" s="24">
        <f t="shared" si="450"/>
        <v>2</v>
      </c>
      <c r="GG26" s="24">
        <f t="shared" si="450"/>
        <v>10</v>
      </c>
      <c r="GH26" s="24">
        <f t="shared" si="450"/>
        <v>6</v>
      </c>
      <c r="GI26" s="24">
        <f t="shared" si="450"/>
        <v>4</v>
      </c>
      <c r="GJ26" s="24">
        <f t="shared" si="450"/>
        <v>6</v>
      </c>
      <c r="GK26" s="24">
        <f t="shared" si="450"/>
        <v>4</v>
      </c>
      <c r="GL26" s="24">
        <f t="shared" si="318"/>
        <v>20</v>
      </c>
      <c r="GM26" s="26">
        <f t="shared" si="319"/>
        <v>1785.0416666666665</v>
      </c>
      <c r="GN26" s="26">
        <f t="shared" si="320"/>
        <v>65</v>
      </c>
      <c r="GO26" s="26">
        <f t="shared" si="321"/>
        <v>89.252083333333331</v>
      </c>
      <c r="GP26" s="24" t="str">
        <f t="shared" si="322"/>
        <v>B</v>
      </c>
      <c r="GQ26" s="26">
        <f t="shared" si="323"/>
        <v>3.25</v>
      </c>
      <c r="GR26" s="24">
        <f t="shared" si="324"/>
        <v>20</v>
      </c>
      <c r="GS26" s="26">
        <f t="shared" si="325"/>
        <v>1526.1683333333335</v>
      </c>
      <c r="GT26" s="26">
        <f t="shared" si="326"/>
        <v>42</v>
      </c>
      <c r="GU26" s="26">
        <f t="shared" si="327"/>
        <v>76.308416666666673</v>
      </c>
      <c r="GV26" s="24" t="str">
        <f t="shared" si="328"/>
        <v>C</v>
      </c>
      <c r="GW26" s="27">
        <f t="shared" si="329"/>
        <v>2.1</v>
      </c>
      <c r="GX26" s="24">
        <f t="shared" si="330"/>
        <v>40</v>
      </c>
      <c r="GY26" s="26">
        <f t="shared" si="331"/>
        <v>3311.21</v>
      </c>
      <c r="GZ26" s="26">
        <f t="shared" si="332"/>
        <v>107</v>
      </c>
      <c r="HA26" s="26">
        <f t="shared" si="333"/>
        <v>82.780249999999995</v>
      </c>
      <c r="HB26" s="27" t="str">
        <f t="shared" si="334"/>
        <v>B</v>
      </c>
      <c r="HC26" s="26">
        <f t="shared" si="335"/>
        <v>2.6749999999999998</v>
      </c>
      <c r="HD26" s="24">
        <f t="shared" si="336"/>
        <v>4</v>
      </c>
      <c r="HE26" s="24" t="str">
        <f t="shared" si="337"/>
        <v>6A</v>
      </c>
      <c r="HF26" s="24">
        <f t="shared" si="338"/>
        <v>13</v>
      </c>
      <c r="HG26" s="24">
        <f>IF(B26="","",FinalSem2!$C$8)</f>
        <v>104</v>
      </c>
      <c r="HH26" s="24">
        <f>IF(A26="","",FinalSem2!PH26)</f>
        <v>0</v>
      </c>
      <c r="HI26" s="24">
        <f>IF(B26="","",FinalSem2!PI26)</f>
        <v>0</v>
      </c>
      <c r="HJ26" s="24">
        <f>IF(C26="","",FinalSem2!PJ26)</f>
        <v>0</v>
      </c>
      <c r="HK26" s="24">
        <f t="shared" si="339"/>
        <v>0</v>
      </c>
      <c r="HL26" s="25">
        <f t="shared" si="340"/>
        <v>1</v>
      </c>
      <c r="HM26" s="26">
        <f>IF($B$15="","",IF(FinalSem2!LJ26="","",IF(AND(FinalSem1!LI28,FinalSem2!LJ26)="","",AVERAGE(FinalSem1!LI28,FinalSem2!LJ26))))</f>
        <v>85.666666666666671</v>
      </c>
      <c r="HN26" s="26">
        <f>IF($B$15="","",IF(FinalSem2!LK26="","",IF(AND(FinalSem1!LJ28,FinalSem2!LK26)="","",AVERAGE(FinalSem1!LJ28,FinalSem2!LK26))))</f>
        <v>87.883333333333326</v>
      </c>
      <c r="HO26" s="26">
        <f>IF($B$15="","",IF(FinalSem2!LL26="","",IF(AND(FinalSem1!LK28,FinalSem2!LL26)="","",AVERAGE(FinalSem1!LK28,FinalSem2!LL26))))</f>
        <v>88.483333333333334</v>
      </c>
      <c r="HP26" s="26">
        <f>IF($B$15="","",IF(FinalSem2!LM26="","",IF(AND(FinalSem1!LL28,FinalSem2!LM26)="","",AVERAGE(FinalSem1!LL28,FinalSem2!LM26))))</f>
        <v>90.833333333333343</v>
      </c>
      <c r="HQ26" s="26">
        <f>IF($B$15="","",IF(FinalSem2!LN26="","",IF(AND(FinalSem1!LM28,FinalSem2!LN26)="","",AVERAGE(FinalSem1!LM28,FinalSem2!LN26))))</f>
        <v>89.63333333333334</v>
      </c>
      <c r="HR26" s="26">
        <f>IF($B$15="","",IF(FinalSem2!LO26="","",IF(AND(FinalSem1!LN28,FinalSem2!LO26)="","",AVERAGE(FinalSem1!LN28,FinalSem2!LO26))))</f>
        <v>85.625</v>
      </c>
      <c r="HS26" s="26">
        <f>IF($B$15="","",IF(FinalSem2!LP26="","",IF(AND(FinalSem1!LO28,FinalSem2!LP26)="","",AVERAGE(FinalSem1!LO28,FinalSem2!LP26))))</f>
        <v>91.308333333333337</v>
      </c>
      <c r="HT26" s="26">
        <f>IF($B$15="","",IF(FinalSem2!LQ26="","",IF(AND(FinalSem1!LP28,FinalSem2!LQ26)="","",AVERAGE(FinalSem1!LP28,FinalSem2!LQ26))))</f>
        <v>97</v>
      </c>
      <c r="HU26" s="26">
        <f>IF($B$15="","",IF(FinalSem2!LR26="","",IF(AND(FinalSem1!LQ28,FinalSem2!LR26)="","",AVERAGE(FinalSem1!LQ28,FinalSem2!LR26))))</f>
        <v>97</v>
      </c>
      <c r="HV26" s="26">
        <f>IF($B$15="","",IF(FinalSem2!LS26="","",IF(AND(FinalSem1!LR28,FinalSem2!LS26)="","",AVERAGE(FinalSem1!LR28,FinalSem2!LS26))))</f>
        <v>73.456666666666678</v>
      </c>
      <c r="HW26" s="26">
        <f>IF($B$15="","",IF(FinalSem2!LT26="","",IF(AND(FinalSem1!LS28,FinalSem2!LT26)="","",AVERAGE(FinalSem1!LS28,FinalSem2!LT26))))</f>
        <v>71.913333333333341</v>
      </c>
      <c r="HX26" s="26">
        <f>IF($B$15="","",IF(FinalSem2!LU26="","",IF(AND(FinalSem1!LT28,FinalSem2!LU26)="","",AVERAGE(FinalSem1!LT28,FinalSem2!LU26))))</f>
        <v>79.78</v>
      </c>
      <c r="HY26" s="26">
        <f>IF($B$15="","",IF(FinalSem2!LV26="","",IF(AND(FinalSem1!LU28,FinalSem2!LV26)="","",AVERAGE(FinalSem1!LU28,FinalSem2!LV26))))</f>
        <v>72.885000000000005</v>
      </c>
      <c r="HZ26" s="26">
        <f>IF($B$15="","",IF(FinalSem2!LW26="","",IF(AND(FinalSem1!LV28,FinalSem2!LW26)="","",AVERAGE(FinalSem1!LV28,FinalSem2!LW26))))</f>
        <v>70.625</v>
      </c>
      <c r="IA26" s="26">
        <f>IF($B$15="","",IF(FinalSem2!LX26="","",IF(AND(FinalSem1!LW28,FinalSem2!LX26)="","",AVERAGE(FinalSem1!LW28,FinalSem2!LX26))))</f>
        <v>87.583333333333343</v>
      </c>
      <c r="IB26" s="26">
        <f>IF($B$15="","",IF(FinalSem2!LY26="","",IF(AND(FinalSem1!LX28,FinalSem2!LY26)="","",AVERAGE(FinalSem1!LX28,FinalSem2!LY26))))</f>
        <v>76.5</v>
      </c>
      <c r="IC26" s="26" t="str">
        <f t="shared" si="341"/>
        <v>B</v>
      </c>
      <c r="ID26" s="26" t="str">
        <f t="shared" si="342"/>
        <v>B</v>
      </c>
      <c r="IE26" s="26" t="str">
        <f t="shared" si="343"/>
        <v>B</v>
      </c>
      <c r="IF26" s="26" t="str">
        <f t="shared" si="344"/>
        <v>A</v>
      </c>
      <c r="IG26" s="26" t="str">
        <f t="shared" si="345"/>
        <v>B</v>
      </c>
      <c r="IH26" s="26" t="str">
        <f t="shared" si="346"/>
        <v>B</v>
      </c>
      <c r="II26" s="26" t="str">
        <f t="shared" si="347"/>
        <v>A</v>
      </c>
      <c r="IJ26" s="26" t="str">
        <f t="shared" si="348"/>
        <v>A</v>
      </c>
      <c r="IK26" s="26" t="str">
        <f t="shared" si="349"/>
        <v>A</v>
      </c>
      <c r="IL26" s="24" t="str">
        <f t="shared" si="350"/>
        <v>C</v>
      </c>
      <c r="IM26" s="24" t="str">
        <f t="shared" si="351"/>
        <v>C</v>
      </c>
      <c r="IN26" s="24" t="str">
        <f t="shared" si="352"/>
        <v>C</v>
      </c>
      <c r="IO26" s="24" t="str">
        <f t="shared" si="353"/>
        <v>C</v>
      </c>
      <c r="IP26" s="24" t="str">
        <f t="shared" si="354"/>
        <v>C</v>
      </c>
      <c r="IQ26" s="24" t="str">
        <f t="shared" si="355"/>
        <v>B</v>
      </c>
      <c r="IR26" s="24" t="str">
        <f t="shared" si="356"/>
        <v>C</v>
      </c>
      <c r="IS26" s="24">
        <f t="shared" si="357"/>
        <v>4</v>
      </c>
      <c r="IT26" s="24">
        <f t="shared" si="358"/>
        <v>4</v>
      </c>
      <c r="IU26" s="24">
        <f t="shared" si="359"/>
        <v>6</v>
      </c>
      <c r="IV26" s="24">
        <f t="shared" si="360"/>
        <v>2</v>
      </c>
      <c r="IW26" s="24">
        <f t="shared" si="361"/>
        <v>10</v>
      </c>
      <c r="IX26" s="24">
        <f t="shared" si="362"/>
        <v>6</v>
      </c>
      <c r="IY26" s="24">
        <f t="shared" si="363"/>
        <v>4</v>
      </c>
      <c r="IZ26" s="24">
        <f t="shared" si="364"/>
        <v>2</v>
      </c>
      <c r="JA26" s="24">
        <f t="shared" si="365"/>
        <v>2</v>
      </c>
      <c r="JB26" s="24">
        <f t="shared" si="366"/>
        <v>10</v>
      </c>
      <c r="JC26" s="24">
        <f t="shared" si="367"/>
        <v>2</v>
      </c>
      <c r="JD26" s="24">
        <f t="shared" si="368"/>
        <v>10</v>
      </c>
      <c r="JE26" s="24">
        <f t="shared" si="369"/>
        <v>6</v>
      </c>
      <c r="JF26" s="24">
        <f t="shared" si="370"/>
        <v>4</v>
      </c>
      <c r="JG26" s="24">
        <f t="shared" si="371"/>
        <v>4</v>
      </c>
      <c r="JH26" s="24">
        <f t="shared" si="372"/>
        <v>4</v>
      </c>
      <c r="JI26" s="26">
        <f t="shared" si="373"/>
        <v>342.66666666666669</v>
      </c>
      <c r="JJ26" s="26">
        <f t="shared" si="374"/>
        <v>351.5333333333333</v>
      </c>
      <c r="JK26" s="26">
        <f t="shared" si="375"/>
        <v>530.9</v>
      </c>
      <c r="JL26" s="26">
        <f t="shared" si="376"/>
        <v>181.66666666666669</v>
      </c>
      <c r="JM26" s="26">
        <f t="shared" si="377"/>
        <v>896.33333333333337</v>
      </c>
      <c r="JN26" s="26">
        <f t="shared" si="378"/>
        <v>513.75</v>
      </c>
      <c r="JO26" s="26">
        <f t="shared" si="379"/>
        <v>365.23333333333335</v>
      </c>
      <c r="JP26" s="26">
        <f t="shared" si="380"/>
        <v>194</v>
      </c>
      <c r="JQ26" s="26">
        <f t="shared" si="381"/>
        <v>194</v>
      </c>
      <c r="JR26" s="26">
        <f t="shared" si="382"/>
        <v>734.56666666666683</v>
      </c>
      <c r="JS26" s="26">
        <f t="shared" si="383"/>
        <v>143.82666666666668</v>
      </c>
      <c r="JT26" s="26">
        <f t="shared" si="384"/>
        <v>797.8</v>
      </c>
      <c r="JU26" s="26">
        <f t="shared" si="385"/>
        <v>437.31000000000006</v>
      </c>
      <c r="JV26" s="26">
        <f t="shared" si="386"/>
        <v>282.5</v>
      </c>
      <c r="JW26" s="26">
        <f t="shared" si="387"/>
        <v>350.33333333333337</v>
      </c>
      <c r="JX26" s="26">
        <f t="shared" si="388"/>
        <v>306</v>
      </c>
      <c r="JY26" s="24">
        <f t="shared" ref="JY26:KN26" si="451">IF(OR(IS26="",IC26=""),"",IS26*(IF(OR(IC26="A",IC26="a"),4,(IF(OR(IC462="B",IC26="b"),3,(IF(OR(IC26="C",IC26="c"),2,(IF(OR(IC26="D",IC26="d"),1.5,(IF(OR(IC26="E",IC26="e"),1,(IF(OR(IC26="F",IC26="f"),0)))))))))))))</f>
        <v>12</v>
      </c>
      <c r="JZ26" s="24">
        <f t="shared" si="451"/>
        <v>12</v>
      </c>
      <c r="KA26" s="24">
        <f t="shared" si="451"/>
        <v>18</v>
      </c>
      <c r="KB26" s="24">
        <f t="shared" si="451"/>
        <v>8</v>
      </c>
      <c r="KC26" s="24">
        <f t="shared" si="451"/>
        <v>30</v>
      </c>
      <c r="KD26" s="24">
        <f t="shared" si="451"/>
        <v>18</v>
      </c>
      <c r="KE26" s="24">
        <f t="shared" si="451"/>
        <v>16</v>
      </c>
      <c r="KF26" s="24">
        <f t="shared" si="451"/>
        <v>8</v>
      </c>
      <c r="KG26" s="24">
        <f t="shared" si="451"/>
        <v>8</v>
      </c>
      <c r="KH26" s="24">
        <f t="shared" si="451"/>
        <v>20</v>
      </c>
      <c r="KI26" s="24">
        <f t="shared" si="451"/>
        <v>4</v>
      </c>
      <c r="KJ26" s="24">
        <f t="shared" si="451"/>
        <v>20</v>
      </c>
      <c r="KK26" s="24">
        <f t="shared" si="451"/>
        <v>12</v>
      </c>
      <c r="KL26" s="24">
        <f t="shared" si="451"/>
        <v>8</v>
      </c>
      <c r="KM26" s="24">
        <f t="shared" si="451"/>
        <v>12</v>
      </c>
      <c r="KN26" s="24">
        <f t="shared" si="451"/>
        <v>8</v>
      </c>
      <c r="KO26" s="24">
        <f t="shared" si="390"/>
        <v>40</v>
      </c>
      <c r="KP26" s="26">
        <f t="shared" si="391"/>
        <v>3570.083333333333</v>
      </c>
      <c r="KQ26" s="26">
        <f t="shared" si="392"/>
        <v>130</v>
      </c>
      <c r="KR26" s="26">
        <f t="shared" si="393"/>
        <v>89.252083333333331</v>
      </c>
      <c r="KS26" s="24" t="str">
        <f t="shared" si="394"/>
        <v>B</v>
      </c>
      <c r="KT26" s="26">
        <f t="shared" si="395"/>
        <v>3.25</v>
      </c>
      <c r="KU26" s="24">
        <f t="shared" si="396"/>
        <v>40</v>
      </c>
      <c r="KV26" s="26">
        <f t="shared" si="397"/>
        <v>3052.336666666667</v>
      </c>
      <c r="KW26" s="26">
        <f t="shared" si="398"/>
        <v>84</v>
      </c>
      <c r="KX26" s="26">
        <f t="shared" si="399"/>
        <v>76.308416666666673</v>
      </c>
      <c r="KY26" s="24" t="str">
        <f t="shared" si="400"/>
        <v>C</v>
      </c>
      <c r="KZ26" s="26">
        <f t="shared" si="401"/>
        <v>2.1</v>
      </c>
      <c r="LA26" s="24">
        <f t="shared" si="402"/>
        <v>80</v>
      </c>
      <c r="LB26" s="26">
        <f t="shared" si="403"/>
        <v>6622.42</v>
      </c>
      <c r="LC26" s="27">
        <f t="shared" si="404"/>
        <v>214</v>
      </c>
      <c r="LD26" s="26">
        <f t="shared" si="405"/>
        <v>82.780249999999995</v>
      </c>
      <c r="LE26" s="27" t="str">
        <f t="shared" si="406"/>
        <v>B</v>
      </c>
      <c r="LF26" s="26">
        <f t="shared" si="407"/>
        <v>2.6749999999999998</v>
      </c>
      <c r="LG26" s="24">
        <f t="shared" si="408"/>
        <v>3</v>
      </c>
      <c r="LH26" s="24" t="str">
        <f t="shared" si="409"/>
        <v>6A</v>
      </c>
      <c r="LI26" s="24">
        <f t="shared" si="410"/>
        <v>13</v>
      </c>
      <c r="LJ26" s="24">
        <f t="shared" si="411"/>
        <v>204</v>
      </c>
      <c r="LK26" s="24">
        <f t="shared" si="412"/>
        <v>0</v>
      </c>
      <c r="LL26" s="24">
        <f t="shared" si="413"/>
        <v>0</v>
      </c>
      <c r="LM26" s="24">
        <f t="shared" si="414"/>
        <v>0</v>
      </c>
      <c r="LN26" s="24">
        <f t="shared" si="415"/>
        <v>0</v>
      </c>
      <c r="LO26" s="25">
        <f t="shared" si="416"/>
        <v>1</v>
      </c>
      <c r="LP26" s="24" t="str">
        <f t="shared" si="417"/>
        <v>Pass - Promoted to Grade</v>
      </c>
      <c r="LQ26" s="24" t="str">
        <f t="shared" si="418"/>
        <v>ជាប់ត្រូវបានឡើងថ្នាក់ទី</v>
      </c>
      <c r="LR26" s="24">
        <f t="shared" si="419"/>
        <v>6</v>
      </c>
      <c r="LS26" s="24">
        <f t="shared" si="420"/>
        <v>7</v>
      </c>
    </row>
    <row r="27" spans="1:331" ht="27" customHeight="1" x14ac:dyDescent="0.35">
      <c r="A27" s="24">
        <f t="shared" si="421"/>
        <v>13</v>
      </c>
      <c r="B27" s="86" t="str">
        <f>IF(FinalSem2!B27="","",FinalSem2!B27)</f>
        <v>Pheng Udomveha</v>
      </c>
      <c r="C27" s="29" t="str">
        <f>IF(FinalSem2!C27="","",FinalSem2!C27)</f>
        <v>ផេង ឧត្តមវេហា</v>
      </c>
      <c r="D27" s="24" t="str">
        <f>IF(FinalSem2!D27="","",FinalSem2!D27)</f>
        <v>M</v>
      </c>
      <c r="E27" s="24">
        <f>IF(FinalSem2!E27="","",FinalSem2!E27)</f>
        <v>773</v>
      </c>
      <c r="F27" s="24" t="str">
        <f>IF(FinalSem2!F27="","",FinalSem2!F27)</f>
        <v>I</v>
      </c>
      <c r="G27" s="26">
        <v>57.083333333333336</v>
      </c>
      <c r="H27" s="26">
        <v>61.924999999999997</v>
      </c>
      <c r="I27" s="26">
        <v>75.116666666666674</v>
      </c>
      <c r="J27" s="26">
        <v>63.75</v>
      </c>
      <c r="K27" s="26">
        <v>77.150000000000006</v>
      </c>
      <c r="L27" s="26">
        <v>66.974999999999994</v>
      </c>
      <c r="M27" s="26">
        <v>62.641666666666666</v>
      </c>
      <c r="N27" s="26">
        <v>83</v>
      </c>
      <c r="O27" s="26">
        <v>83</v>
      </c>
      <c r="P27" s="26">
        <v>50</v>
      </c>
      <c r="Q27" s="26">
        <v>50</v>
      </c>
      <c r="R27" s="26">
        <v>50</v>
      </c>
      <c r="S27" s="26">
        <v>50</v>
      </c>
      <c r="T27" s="26">
        <v>50</v>
      </c>
      <c r="U27" s="26">
        <v>50</v>
      </c>
      <c r="V27" s="26">
        <v>50</v>
      </c>
      <c r="W27" s="26" t="str">
        <f t="shared" si="197"/>
        <v>E</v>
      </c>
      <c r="X27" s="26" t="str">
        <f t="shared" si="198"/>
        <v>D</v>
      </c>
      <c r="Y27" s="26" t="str">
        <f t="shared" si="199"/>
        <v>C</v>
      </c>
      <c r="Z27" s="26" t="str">
        <f t="shared" si="200"/>
        <v>D</v>
      </c>
      <c r="AA27" s="26" t="str">
        <f t="shared" si="201"/>
        <v>C</v>
      </c>
      <c r="AB27" s="26" t="str">
        <f t="shared" si="202"/>
        <v>D</v>
      </c>
      <c r="AC27" s="26" t="str">
        <f t="shared" si="203"/>
        <v>D</v>
      </c>
      <c r="AD27" s="26" t="str">
        <f t="shared" si="204"/>
        <v>B</v>
      </c>
      <c r="AE27" s="26" t="str">
        <f t="shared" si="205"/>
        <v>B</v>
      </c>
      <c r="AF27" s="24" t="str">
        <f t="shared" si="206"/>
        <v>E</v>
      </c>
      <c r="AG27" s="24" t="str">
        <f t="shared" si="207"/>
        <v>E</v>
      </c>
      <c r="AH27" s="24" t="str">
        <f t="shared" si="208"/>
        <v>E</v>
      </c>
      <c r="AI27" s="24" t="str">
        <f t="shared" si="209"/>
        <v>E</v>
      </c>
      <c r="AJ27" s="24" t="str">
        <f t="shared" si="210"/>
        <v>E</v>
      </c>
      <c r="AK27" s="24" t="str">
        <f t="shared" si="211"/>
        <v>E</v>
      </c>
      <c r="AL27" s="24" t="str">
        <f t="shared" si="212"/>
        <v>E</v>
      </c>
      <c r="AM27" s="24">
        <f t="shared" si="213"/>
        <v>2</v>
      </c>
      <c r="AN27" s="24">
        <f t="shared" si="214"/>
        <v>2</v>
      </c>
      <c r="AO27" s="24">
        <f t="shared" si="215"/>
        <v>3</v>
      </c>
      <c r="AP27" s="24">
        <f t="shared" si="216"/>
        <v>1</v>
      </c>
      <c r="AQ27" s="24">
        <f t="shared" si="217"/>
        <v>5</v>
      </c>
      <c r="AR27" s="24">
        <f t="shared" si="218"/>
        <v>3</v>
      </c>
      <c r="AS27" s="24">
        <f t="shared" si="219"/>
        <v>2</v>
      </c>
      <c r="AT27" s="24">
        <f t="shared" si="220"/>
        <v>1</v>
      </c>
      <c r="AU27" s="24">
        <f t="shared" si="221"/>
        <v>1</v>
      </c>
      <c r="AV27" s="24">
        <f t="shared" si="222"/>
        <v>5</v>
      </c>
      <c r="AW27" s="24">
        <f t="shared" si="223"/>
        <v>1</v>
      </c>
      <c r="AX27" s="24">
        <f t="shared" si="224"/>
        <v>5</v>
      </c>
      <c r="AY27" s="24">
        <f t="shared" si="225"/>
        <v>3</v>
      </c>
      <c r="AZ27" s="24">
        <f t="shared" si="226"/>
        <v>2</v>
      </c>
      <c r="BA27" s="24">
        <f t="shared" si="227"/>
        <v>2</v>
      </c>
      <c r="BB27" s="24">
        <f t="shared" si="228"/>
        <v>2</v>
      </c>
      <c r="BC27" s="26">
        <f t="shared" si="229"/>
        <v>114.16666666666667</v>
      </c>
      <c r="BD27" s="26">
        <f t="shared" si="230"/>
        <v>123.85</v>
      </c>
      <c r="BE27" s="26">
        <f t="shared" si="231"/>
        <v>225.35000000000002</v>
      </c>
      <c r="BF27" s="26">
        <f t="shared" si="232"/>
        <v>63.75</v>
      </c>
      <c r="BG27" s="26">
        <f t="shared" si="233"/>
        <v>385.75</v>
      </c>
      <c r="BH27" s="26">
        <f t="shared" si="234"/>
        <v>200.92499999999998</v>
      </c>
      <c r="BI27" s="26">
        <f t="shared" si="235"/>
        <v>125.28333333333333</v>
      </c>
      <c r="BJ27" s="26">
        <f t="shared" si="236"/>
        <v>83</v>
      </c>
      <c r="BK27" s="26">
        <f t="shared" si="237"/>
        <v>83</v>
      </c>
      <c r="BL27" s="26">
        <f t="shared" si="238"/>
        <v>250</v>
      </c>
      <c r="BM27" s="26">
        <f t="shared" si="239"/>
        <v>50</v>
      </c>
      <c r="BN27" s="26">
        <f t="shared" si="240"/>
        <v>250</v>
      </c>
      <c r="BO27" s="26">
        <f t="shared" si="241"/>
        <v>150</v>
      </c>
      <c r="BP27" s="26">
        <f t="shared" si="242"/>
        <v>100</v>
      </c>
      <c r="BQ27" s="26">
        <f t="shared" si="243"/>
        <v>100</v>
      </c>
      <c r="BR27" s="26">
        <f t="shared" si="244"/>
        <v>100</v>
      </c>
      <c r="BS27" s="24">
        <f t="shared" ref="BS27:CH27" si="452">IF(OR(AM27="",W27=""),"",AM27*(IF(OR(W27="A",W27="a"),4,(IF(OR(W463="B",W27="b"),3,(IF(OR(W27="C",W27="c"),2,(IF(OR(W27="D",W27="d"),1.5,(IF(OR(W27="E",W27="e"),1,(IF(OR(W27="F",W27="f"),0)))))))))))))</f>
        <v>2</v>
      </c>
      <c r="BT27" s="24">
        <f t="shared" si="452"/>
        <v>3</v>
      </c>
      <c r="BU27" s="24">
        <f t="shared" si="452"/>
        <v>6</v>
      </c>
      <c r="BV27" s="24">
        <f t="shared" si="452"/>
        <v>1.5</v>
      </c>
      <c r="BW27" s="24">
        <f t="shared" si="452"/>
        <v>10</v>
      </c>
      <c r="BX27" s="24">
        <f t="shared" si="452"/>
        <v>4.5</v>
      </c>
      <c r="BY27" s="24">
        <f t="shared" si="452"/>
        <v>3</v>
      </c>
      <c r="BZ27" s="24">
        <f t="shared" si="452"/>
        <v>3</v>
      </c>
      <c r="CA27" s="24">
        <f t="shared" si="452"/>
        <v>3</v>
      </c>
      <c r="CB27" s="24">
        <f t="shared" si="452"/>
        <v>5</v>
      </c>
      <c r="CC27" s="24">
        <f t="shared" si="452"/>
        <v>1</v>
      </c>
      <c r="CD27" s="24">
        <f t="shared" si="452"/>
        <v>5</v>
      </c>
      <c r="CE27" s="24">
        <f t="shared" si="452"/>
        <v>3</v>
      </c>
      <c r="CF27" s="24">
        <f t="shared" si="452"/>
        <v>2</v>
      </c>
      <c r="CG27" s="24">
        <f t="shared" si="452"/>
        <v>2</v>
      </c>
      <c r="CH27" s="24">
        <f t="shared" si="452"/>
        <v>2</v>
      </c>
      <c r="CI27" s="24">
        <f t="shared" si="246"/>
        <v>20</v>
      </c>
      <c r="CJ27" s="24">
        <f t="shared" si="247"/>
        <v>1491.7083333333333</v>
      </c>
      <c r="CK27" s="26">
        <f t="shared" si="248"/>
        <v>36</v>
      </c>
      <c r="CL27" s="26">
        <f t="shared" si="249"/>
        <v>74.58541666666666</v>
      </c>
      <c r="CM27" s="24" t="str">
        <f t="shared" si="250"/>
        <v>C</v>
      </c>
      <c r="CN27" s="26">
        <f t="shared" si="251"/>
        <v>1.8</v>
      </c>
      <c r="CO27" s="24">
        <f t="shared" si="252"/>
        <v>20</v>
      </c>
      <c r="CP27" s="26">
        <f t="shared" si="253"/>
        <v>1000</v>
      </c>
      <c r="CQ27" s="26">
        <f t="shared" si="254"/>
        <v>20</v>
      </c>
      <c r="CR27" s="26">
        <f t="shared" si="255"/>
        <v>50</v>
      </c>
      <c r="CS27" s="24" t="str">
        <f t="shared" si="256"/>
        <v>E</v>
      </c>
      <c r="CT27" s="26">
        <f t="shared" si="257"/>
        <v>1</v>
      </c>
      <c r="CU27" s="24">
        <f t="shared" si="258"/>
        <v>40</v>
      </c>
      <c r="CV27" s="26">
        <f t="shared" si="259"/>
        <v>2405.0749999999998</v>
      </c>
      <c r="CW27" s="26">
        <f t="shared" si="260"/>
        <v>56</v>
      </c>
      <c r="CX27" s="26">
        <f t="shared" si="261"/>
        <v>60.126874999999998</v>
      </c>
      <c r="CY27" s="27" t="str">
        <f t="shared" si="262"/>
        <v>D</v>
      </c>
      <c r="CZ27" s="26">
        <f t="shared" si="263"/>
        <v>1.4</v>
      </c>
      <c r="DA27" s="24">
        <f t="shared" si="264"/>
        <v>13</v>
      </c>
      <c r="DB27" s="24" t="str">
        <f t="shared" si="265"/>
        <v>6A</v>
      </c>
      <c r="DC27" s="24">
        <f t="shared" si="266"/>
        <v>13</v>
      </c>
      <c r="DD27" s="24">
        <f>IF(B27="","",FinalSem1!$C$8)</f>
        <v>100</v>
      </c>
      <c r="DE27" s="24">
        <f>IF(A27="","",FinalSem1!PG29)</f>
        <v>0</v>
      </c>
      <c r="DF27" s="24">
        <f>IF(B27="","",FinalSem1!PH29)</f>
        <v>0</v>
      </c>
      <c r="DG27" s="24">
        <f>IF(B27="","",FinalSem1!PI29)</f>
        <v>0</v>
      </c>
      <c r="DH27" s="24">
        <f t="shared" si="267"/>
        <v>0</v>
      </c>
      <c r="DI27" s="25">
        <f t="shared" si="268"/>
        <v>1</v>
      </c>
      <c r="DJ27" s="26">
        <f>IF(FinalSem2!G27="","",FinalSem2!LJ27)</f>
        <v>88.416666666666657</v>
      </c>
      <c r="DK27" s="26">
        <f>IF(FinalSem2!H27="","",FinalSem2!LK27)</f>
        <v>84.7</v>
      </c>
      <c r="DL27" s="26">
        <f>IF(FinalSem2!I27="","",FinalSem2!LL27)</f>
        <v>85.025000000000006</v>
      </c>
      <c r="DM27" s="26">
        <f>IF(FinalSem2!J27="","",FinalSem2!LM27)</f>
        <v>90.666666666666671</v>
      </c>
      <c r="DN27" s="26">
        <f>IF(FinalSem2!K27="","",FinalSem2!LN27)</f>
        <v>83.166666666666671</v>
      </c>
      <c r="DO27" s="26">
        <f>IF(FinalSem2!L27="","",FinalSem2!LO27)</f>
        <v>90.108333333333334</v>
      </c>
      <c r="DP27" s="26">
        <f>IF(FinalSem2!M27="","",FinalSem2!LP27)</f>
        <v>87.291666666666671</v>
      </c>
      <c r="DQ27" s="26">
        <f>IF(FinalSem2!N27="","",FinalSem2!LQ27)</f>
        <v>96.5</v>
      </c>
      <c r="DR27" s="26">
        <f>IF(FinalSem2!O27="","",FinalSem2!LR27)</f>
        <v>96.5</v>
      </c>
      <c r="DS27" s="26">
        <f>IF(FinalSem2!P27="","",FinalSem2!LS27)</f>
        <v>60.594999999999999</v>
      </c>
      <c r="DT27" s="26">
        <f>IF(FinalSem2!Q27="","",FinalSem2!LT27)</f>
        <v>69.19</v>
      </c>
      <c r="DU27" s="26">
        <f>IF(FinalSem2!R27="","",FinalSem2!LU27)</f>
        <v>59.8825</v>
      </c>
      <c r="DV27" s="26">
        <f>IF(FinalSem2!S27="","",FinalSem2!LV27)</f>
        <v>60.19</v>
      </c>
      <c r="DW27" s="26">
        <f>IF(FinalSem2!T27="","",FinalSem2!LW27)</f>
        <v>73.875</v>
      </c>
      <c r="DX27" s="26">
        <f>IF(FinalSem2!U27="","",FinalSem2!LX27)</f>
        <v>70.041666666666657</v>
      </c>
      <c r="DY27" s="26">
        <f>IF(FinalSem2!V27="","",FinalSem2!LY27)</f>
        <v>52.583333333333336</v>
      </c>
      <c r="DZ27" s="26" t="str">
        <f t="shared" si="269"/>
        <v>B</v>
      </c>
      <c r="EA27" s="26" t="str">
        <f t="shared" si="270"/>
        <v>B</v>
      </c>
      <c r="EB27" s="26" t="str">
        <f t="shared" si="271"/>
        <v>B</v>
      </c>
      <c r="EC27" s="26" t="str">
        <f t="shared" si="272"/>
        <v>A</v>
      </c>
      <c r="ED27" s="26" t="str">
        <f t="shared" si="273"/>
        <v>B</v>
      </c>
      <c r="EE27" s="26" t="str">
        <f t="shared" si="274"/>
        <v>A</v>
      </c>
      <c r="EF27" s="26" t="str">
        <f t="shared" si="275"/>
        <v>B</v>
      </c>
      <c r="EG27" s="26" t="str">
        <f t="shared" si="276"/>
        <v>A</v>
      </c>
      <c r="EH27" s="26" t="str">
        <f t="shared" si="277"/>
        <v>A</v>
      </c>
      <c r="EI27" s="24" t="str">
        <f t="shared" si="278"/>
        <v>D</v>
      </c>
      <c r="EJ27" s="24" t="str">
        <f t="shared" si="279"/>
        <v>D</v>
      </c>
      <c r="EK27" s="24" t="str">
        <f t="shared" si="280"/>
        <v>E</v>
      </c>
      <c r="EL27" s="24" t="str">
        <f t="shared" si="281"/>
        <v>D</v>
      </c>
      <c r="EM27" s="24" t="str">
        <f t="shared" si="282"/>
        <v>C</v>
      </c>
      <c r="EN27" s="24" t="str">
        <f t="shared" si="283"/>
        <v>C</v>
      </c>
      <c r="EO27" s="24" t="str">
        <f t="shared" si="284"/>
        <v>E</v>
      </c>
      <c r="EP27" s="24">
        <f t="shared" si="285"/>
        <v>2</v>
      </c>
      <c r="EQ27" s="24">
        <f t="shared" si="286"/>
        <v>2</v>
      </c>
      <c r="ER27" s="24">
        <f t="shared" si="287"/>
        <v>3</v>
      </c>
      <c r="ES27" s="24">
        <f t="shared" si="288"/>
        <v>1</v>
      </c>
      <c r="ET27" s="24">
        <f t="shared" si="289"/>
        <v>5</v>
      </c>
      <c r="EU27" s="24">
        <f t="shared" si="290"/>
        <v>3</v>
      </c>
      <c r="EV27" s="24">
        <f t="shared" si="291"/>
        <v>2</v>
      </c>
      <c r="EW27" s="24">
        <f t="shared" si="292"/>
        <v>1</v>
      </c>
      <c r="EX27" s="24">
        <f t="shared" si="293"/>
        <v>1</v>
      </c>
      <c r="EY27" s="24">
        <f t="shared" si="294"/>
        <v>5</v>
      </c>
      <c r="EZ27" s="24">
        <f t="shared" si="295"/>
        <v>1</v>
      </c>
      <c r="FA27" s="24">
        <f t="shared" si="296"/>
        <v>5</v>
      </c>
      <c r="FB27" s="24">
        <f t="shared" si="297"/>
        <v>3</v>
      </c>
      <c r="FC27" s="24">
        <f t="shared" si="298"/>
        <v>2</v>
      </c>
      <c r="FD27" s="24">
        <f t="shared" si="299"/>
        <v>2</v>
      </c>
      <c r="FE27" s="24">
        <f t="shared" si="300"/>
        <v>2</v>
      </c>
      <c r="FF27" s="26">
        <f t="shared" si="301"/>
        <v>176.83333333333331</v>
      </c>
      <c r="FG27" s="26">
        <f t="shared" si="302"/>
        <v>169.4</v>
      </c>
      <c r="FH27" s="26">
        <f t="shared" si="303"/>
        <v>255.07500000000002</v>
      </c>
      <c r="FI27" s="26">
        <f t="shared" si="304"/>
        <v>90.666666666666671</v>
      </c>
      <c r="FJ27" s="26">
        <f t="shared" si="305"/>
        <v>415.83333333333337</v>
      </c>
      <c r="FK27" s="26">
        <f t="shared" si="306"/>
        <v>270.32499999999999</v>
      </c>
      <c r="FL27" s="26">
        <f t="shared" si="307"/>
        <v>174.58333333333334</v>
      </c>
      <c r="FM27" s="26">
        <f t="shared" si="308"/>
        <v>96.5</v>
      </c>
      <c r="FN27" s="26">
        <f t="shared" si="309"/>
        <v>96.5</v>
      </c>
      <c r="FO27" s="26">
        <f t="shared" si="310"/>
        <v>302.97500000000002</v>
      </c>
      <c r="FP27" s="26">
        <f t="shared" si="311"/>
        <v>69.19</v>
      </c>
      <c r="FQ27" s="26">
        <f t="shared" si="312"/>
        <v>299.41250000000002</v>
      </c>
      <c r="FR27" s="26">
        <f t="shared" si="313"/>
        <v>180.57</v>
      </c>
      <c r="FS27" s="26">
        <f t="shared" si="314"/>
        <v>147.75</v>
      </c>
      <c r="FT27" s="26">
        <f t="shared" si="315"/>
        <v>140.08333333333331</v>
      </c>
      <c r="FU27" s="26">
        <f t="shared" si="316"/>
        <v>105.16666666666667</v>
      </c>
      <c r="FV27" s="24">
        <f t="shared" ref="FV27:GK27" si="453">IF(OR(EP27="",DZ27=""),"",EP27*(IF(OR(DZ27="A",DZ27="a"),4,(IF(OR(DZ463="B",DZ27="b"),3,(IF(OR(DZ27="C",DZ27="c"),2,(IF(OR(DZ27="D",DZ27="d"),1.5,(IF(OR(DZ27="E",DZ27="e"),1,(IF(OR(DZ27="F",DZ27="f"),0)))))))))))))</f>
        <v>6</v>
      </c>
      <c r="FW27" s="24">
        <f t="shared" si="453"/>
        <v>6</v>
      </c>
      <c r="FX27" s="24">
        <f t="shared" si="453"/>
        <v>9</v>
      </c>
      <c r="FY27" s="24">
        <f t="shared" si="453"/>
        <v>4</v>
      </c>
      <c r="FZ27" s="24">
        <f t="shared" si="453"/>
        <v>15</v>
      </c>
      <c r="GA27" s="24">
        <f t="shared" si="453"/>
        <v>12</v>
      </c>
      <c r="GB27" s="24">
        <f t="shared" si="453"/>
        <v>6</v>
      </c>
      <c r="GC27" s="24">
        <f t="shared" si="453"/>
        <v>4</v>
      </c>
      <c r="GD27" s="24">
        <f t="shared" si="453"/>
        <v>4</v>
      </c>
      <c r="GE27" s="24">
        <f t="shared" si="453"/>
        <v>7.5</v>
      </c>
      <c r="GF27" s="24">
        <f t="shared" si="453"/>
        <v>1.5</v>
      </c>
      <c r="GG27" s="24">
        <f t="shared" si="453"/>
        <v>5</v>
      </c>
      <c r="GH27" s="24">
        <f t="shared" si="453"/>
        <v>4.5</v>
      </c>
      <c r="GI27" s="24">
        <f t="shared" si="453"/>
        <v>4</v>
      </c>
      <c r="GJ27" s="24">
        <f t="shared" si="453"/>
        <v>4</v>
      </c>
      <c r="GK27" s="24">
        <f t="shared" si="453"/>
        <v>2</v>
      </c>
      <c r="GL27" s="24">
        <f t="shared" si="318"/>
        <v>20</v>
      </c>
      <c r="GM27" s="26">
        <f t="shared" si="319"/>
        <v>1745.7166666666667</v>
      </c>
      <c r="GN27" s="26">
        <f t="shared" si="320"/>
        <v>66</v>
      </c>
      <c r="GO27" s="26">
        <f t="shared" si="321"/>
        <v>87.285833333333329</v>
      </c>
      <c r="GP27" s="24" t="str">
        <f t="shared" si="322"/>
        <v>B</v>
      </c>
      <c r="GQ27" s="26">
        <f t="shared" si="323"/>
        <v>3.3</v>
      </c>
      <c r="GR27" s="24">
        <f t="shared" si="324"/>
        <v>20</v>
      </c>
      <c r="GS27" s="26">
        <f t="shared" si="325"/>
        <v>1245.1475</v>
      </c>
      <c r="GT27" s="26">
        <f t="shared" si="326"/>
        <v>28.5</v>
      </c>
      <c r="GU27" s="26">
        <f t="shared" si="327"/>
        <v>62.257375000000003</v>
      </c>
      <c r="GV27" s="24" t="str">
        <f t="shared" si="328"/>
        <v>D</v>
      </c>
      <c r="GW27" s="27">
        <f t="shared" si="329"/>
        <v>1.425</v>
      </c>
      <c r="GX27" s="24">
        <f t="shared" si="330"/>
        <v>40</v>
      </c>
      <c r="GY27" s="26">
        <f t="shared" si="331"/>
        <v>2990.8641666666667</v>
      </c>
      <c r="GZ27" s="26">
        <f t="shared" si="332"/>
        <v>94.5</v>
      </c>
      <c r="HA27" s="26">
        <f t="shared" si="333"/>
        <v>74.771604166666663</v>
      </c>
      <c r="HB27" s="27" t="str">
        <f t="shared" si="334"/>
        <v>C</v>
      </c>
      <c r="HC27" s="26">
        <f t="shared" si="335"/>
        <v>2.3624999999999998</v>
      </c>
      <c r="HD27" s="24">
        <f t="shared" si="336"/>
        <v>9</v>
      </c>
      <c r="HE27" s="24" t="str">
        <f t="shared" si="337"/>
        <v>6A</v>
      </c>
      <c r="HF27" s="24">
        <f t="shared" si="338"/>
        <v>13</v>
      </c>
      <c r="HG27" s="24">
        <f>IF(B27="","",FinalSem2!$C$8)</f>
        <v>104</v>
      </c>
      <c r="HH27" s="24">
        <f>IF(A27="","",FinalSem2!PH27)</f>
        <v>0</v>
      </c>
      <c r="HI27" s="24">
        <f>IF(B27="","",FinalSem2!PI27)</f>
        <v>0</v>
      </c>
      <c r="HJ27" s="24">
        <f>IF(C27="","",FinalSem2!PJ27)</f>
        <v>0</v>
      </c>
      <c r="HK27" s="24">
        <f t="shared" si="339"/>
        <v>0</v>
      </c>
      <c r="HL27" s="25">
        <f t="shared" si="340"/>
        <v>1</v>
      </c>
      <c r="HM27" s="26">
        <f>IF($B$15="","",IF(FinalSem2!LJ27="","",IF(AND(FinalSem1!LI29,FinalSem2!LJ27)="","",AVERAGE(FinalSem1!LI29,FinalSem2!LJ27))))</f>
        <v>88.416666666666657</v>
      </c>
      <c r="HN27" s="26">
        <f>IF($B$15="","",IF(FinalSem2!LK27="","",IF(AND(FinalSem1!LJ29,FinalSem2!LK27)="","",AVERAGE(FinalSem1!LJ29,FinalSem2!LK27))))</f>
        <v>84.7</v>
      </c>
      <c r="HO27" s="26">
        <f>IF($B$15="","",IF(FinalSem2!LL27="","",IF(AND(FinalSem1!LK29,FinalSem2!LL27)="","",AVERAGE(FinalSem1!LK29,FinalSem2!LL27))))</f>
        <v>85.025000000000006</v>
      </c>
      <c r="HP27" s="26">
        <f>IF($B$15="","",IF(FinalSem2!LM27="","",IF(AND(FinalSem1!LL29,FinalSem2!LM27)="","",AVERAGE(FinalSem1!LL29,FinalSem2!LM27))))</f>
        <v>90.666666666666671</v>
      </c>
      <c r="HQ27" s="26">
        <f>IF($B$15="","",IF(FinalSem2!LN27="","",IF(AND(FinalSem1!LM29,FinalSem2!LN27)="","",AVERAGE(FinalSem1!LM29,FinalSem2!LN27))))</f>
        <v>83.166666666666671</v>
      </c>
      <c r="HR27" s="26">
        <f>IF($B$15="","",IF(FinalSem2!LO27="","",IF(AND(FinalSem1!LN29,FinalSem2!LO27)="","",AVERAGE(FinalSem1!LN29,FinalSem2!LO27))))</f>
        <v>90.108333333333334</v>
      </c>
      <c r="HS27" s="26">
        <f>IF($B$15="","",IF(FinalSem2!LP27="","",IF(AND(FinalSem1!LO29,FinalSem2!LP27)="","",AVERAGE(FinalSem1!LO29,FinalSem2!LP27))))</f>
        <v>87.291666666666671</v>
      </c>
      <c r="HT27" s="26">
        <f>IF($B$15="","",IF(FinalSem2!LQ27="","",IF(AND(FinalSem1!LP29,FinalSem2!LQ27)="","",AVERAGE(FinalSem1!LP29,FinalSem2!LQ27))))</f>
        <v>96.5</v>
      </c>
      <c r="HU27" s="26">
        <f>IF($B$15="","",IF(FinalSem2!LR27="","",IF(AND(FinalSem1!LQ29,FinalSem2!LR27)="","",AVERAGE(FinalSem1!LQ29,FinalSem2!LR27))))</f>
        <v>96.5</v>
      </c>
      <c r="HV27" s="26">
        <f>IF($B$15="","",IF(FinalSem2!LS27="","",IF(AND(FinalSem1!LR29,FinalSem2!LS27)="","",AVERAGE(FinalSem1!LR29,FinalSem2!LS27))))</f>
        <v>60.594999999999999</v>
      </c>
      <c r="HW27" s="26">
        <f>IF($B$15="","",IF(FinalSem2!LT27="","",IF(AND(FinalSem1!LS29,FinalSem2!LT27)="","",AVERAGE(FinalSem1!LS29,FinalSem2!LT27))))</f>
        <v>69.19</v>
      </c>
      <c r="HX27" s="26">
        <f>IF($B$15="","",IF(FinalSem2!LU27="","",IF(AND(FinalSem1!LT29,FinalSem2!LU27)="","",AVERAGE(FinalSem1!LT29,FinalSem2!LU27))))</f>
        <v>59.8825</v>
      </c>
      <c r="HY27" s="26">
        <f>IF($B$15="","",IF(FinalSem2!LV27="","",IF(AND(FinalSem1!LU29,FinalSem2!LV27)="","",AVERAGE(FinalSem1!LU29,FinalSem2!LV27))))</f>
        <v>60.19</v>
      </c>
      <c r="HZ27" s="26">
        <f>IF($B$15="","",IF(FinalSem2!LW27="","",IF(AND(FinalSem1!LV29,FinalSem2!LW27)="","",AVERAGE(FinalSem1!LV29,FinalSem2!LW27))))</f>
        <v>73.875</v>
      </c>
      <c r="IA27" s="26">
        <f>IF($B$15="","",IF(FinalSem2!LX27="","",IF(AND(FinalSem1!LW29,FinalSem2!LX27)="","",AVERAGE(FinalSem1!LW29,FinalSem2!LX27))))</f>
        <v>70.041666666666657</v>
      </c>
      <c r="IB27" s="26">
        <f>IF($B$15="","",IF(FinalSem2!LY27="","",IF(AND(FinalSem1!LX29,FinalSem2!LY27)="","",AVERAGE(FinalSem1!LX29,FinalSem2!LY27))))</f>
        <v>52.583333333333336</v>
      </c>
      <c r="IC27" s="26" t="str">
        <f t="shared" si="341"/>
        <v>B</v>
      </c>
      <c r="ID27" s="26" t="str">
        <f t="shared" si="342"/>
        <v>B</v>
      </c>
      <c r="IE27" s="26" t="str">
        <f t="shared" si="343"/>
        <v>B</v>
      </c>
      <c r="IF27" s="26" t="str">
        <f t="shared" si="344"/>
        <v>A</v>
      </c>
      <c r="IG27" s="26" t="str">
        <f t="shared" si="345"/>
        <v>B</v>
      </c>
      <c r="IH27" s="26" t="str">
        <f t="shared" si="346"/>
        <v>A</v>
      </c>
      <c r="II27" s="26" t="str">
        <f t="shared" si="347"/>
        <v>B</v>
      </c>
      <c r="IJ27" s="26" t="str">
        <f t="shared" si="348"/>
        <v>A</v>
      </c>
      <c r="IK27" s="26" t="str">
        <f t="shared" si="349"/>
        <v>A</v>
      </c>
      <c r="IL27" s="24" t="str">
        <f t="shared" si="350"/>
        <v>D</v>
      </c>
      <c r="IM27" s="24" t="str">
        <f t="shared" si="351"/>
        <v>D</v>
      </c>
      <c r="IN27" s="24" t="str">
        <f t="shared" si="352"/>
        <v>E</v>
      </c>
      <c r="IO27" s="24" t="str">
        <f t="shared" si="353"/>
        <v>D</v>
      </c>
      <c r="IP27" s="24" t="str">
        <f t="shared" si="354"/>
        <v>C</v>
      </c>
      <c r="IQ27" s="24" t="str">
        <f t="shared" si="355"/>
        <v>C</v>
      </c>
      <c r="IR27" s="24" t="str">
        <f t="shared" si="356"/>
        <v>E</v>
      </c>
      <c r="IS27" s="24">
        <f t="shared" si="357"/>
        <v>4</v>
      </c>
      <c r="IT27" s="24">
        <f t="shared" si="358"/>
        <v>4</v>
      </c>
      <c r="IU27" s="24">
        <f t="shared" si="359"/>
        <v>6</v>
      </c>
      <c r="IV27" s="24">
        <f t="shared" si="360"/>
        <v>2</v>
      </c>
      <c r="IW27" s="24">
        <f t="shared" si="361"/>
        <v>10</v>
      </c>
      <c r="IX27" s="24">
        <f t="shared" si="362"/>
        <v>6</v>
      </c>
      <c r="IY27" s="24">
        <f t="shared" si="363"/>
        <v>4</v>
      </c>
      <c r="IZ27" s="24">
        <f t="shared" si="364"/>
        <v>2</v>
      </c>
      <c r="JA27" s="24">
        <f t="shared" si="365"/>
        <v>2</v>
      </c>
      <c r="JB27" s="24">
        <f t="shared" si="366"/>
        <v>10</v>
      </c>
      <c r="JC27" s="24">
        <f t="shared" si="367"/>
        <v>2</v>
      </c>
      <c r="JD27" s="24">
        <f t="shared" si="368"/>
        <v>10</v>
      </c>
      <c r="JE27" s="24">
        <f t="shared" si="369"/>
        <v>6</v>
      </c>
      <c r="JF27" s="24">
        <f t="shared" si="370"/>
        <v>4</v>
      </c>
      <c r="JG27" s="24">
        <f t="shared" si="371"/>
        <v>4</v>
      </c>
      <c r="JH27" s="24">
        <f t="shared" si="372"/>
        <v>4</v>
      </c>
      <c r="JI27" s="26">
        <f t="shared" si="373"/>
        <v>353.66666666666663</v>
      </c>
      <c r="JJ27" s="26">
        <f t="shared" si="374"/>
        <v>338.8</v>
      </c>
      <c r="JK27" s="26">
        <f t="shared" si="375"/>
        <v>510.15000000000003</v>
      </c>
      <c r="JL27" s="26">
        <f t="shared" si="376"/>
        <v>181.33333333333334</v>
      </c>
      <c r="JM27" s="26">
        <f t="shared" si="377"/>
        <v>831.66666666666674</v>
      </c>
      <c r="JN27" s="26">
        <f t="shared" si="378"/>
        <v>540.65</v>
      </c>
      <c r="JO27" s="26">
        <f t="shared" si="379"/>
        <v>349.16666666666669</v>
      </c>
      <c r="JP27" s="26">
        <f t="shared" si="380"/>
        <v>193</v>
      </c>
      <c r="JQ27" s="26">
        <f t="shared" si="381"/>
        <v>193</v>
      </c>
      <c r="JR27" s="26">
        <f t="shared" si="382"/>
        <v>605.95000000000005</v>
      </c>
      <c r="JS27" s="26">
        <f t="shared" si="383"/>
        <v>138.38</v>
      </c>
      <c r="JT27" s="26">
        <f t="shared" si="384"/>
        <v>598.82500000000005</v>
      </c>
      <c r="JU27" s="26">
        <f t="shared" si="385"/>
        <v>361.14</v>
      </c>
      <c r="JV27" s="26">
        <f t="shared" si="386"/>
        <v>295.5</v>
      </c>
      <c r="JW27" s="26">
        <f t="shared" si="387"/>
        <v>280.16666666666663</v>
      </c>
      <c r="JX27" s="26">
        <f t="shared" si="388"/>
        <v>210.33333333333334</v>
      </c>
      <c r="JY27" s="24">
        <f t="shared" ref="JY27:KN27" si="454">IF(OR(IS27="",IC27=""),"",IS27*(IF(OR(IC27="A",IC27="a"),4,(IF(OR(IC463="B",IC27="b"),3,(IF(OR(IC27="C",IC27="c"),2,(IF(OR(IC27="D",IC27="d"),1.5,(IF(OR(IC27="E",IC27="e"),1,(IF(OR(IC27="F",IC27="f"),0)))))))))))))</f>
        <v>12</v>
      </c>
      <c r="JZ27" s="24">
        <f t="shared" si="454"/>
        <v>12</v>
      </c>
      <c r="KA27" s="24">
        <f t="shared" si="454"/>
        <v>18</v>
      </c>
      <c r="KB27" s="24">
        <f t="shared" si="454"/>
        <v>8</v>
      </c>
      <c r="KC27" s="24">
        <f t="shared" si="454"/>
        <v>30</v>
      </c>
      <c r="KD27" s="24">
        <f t="shared" si="454"/>
        <v>24</v>
      </c>
      <c r="KE27" s="24">
        <f t="shared" si="454"/>
        <v>12</v>
      </c>
      <c r="KF27" s="24">
        <f t="shared" si="454"/>
        <v>8</v>
      </c>
      <c r="KG27" s="24">
        <f t="shared" si="454"/>
        <v>8</v>
      </c>
      <c r="KH27" s="24">
        <f t="shared" si="454"/>
        <v>15</v>
      </c>
      <c r="KI27" s="24">
        <f t="shared" si="454"/>
        <v>3</v>
      </c>
      <c r="KJ27" s="24">
        <f t="shared" si="454"/>
        <v>10</v>
      </c>
      <c r="KK27" s="24">
        <f t="shared" si="454"/>
        <v>9</v>
      </c>
      <c r="KL27" s="24">
        <f t="shared" si="454"/>
        <v>8</v>
      </c>
      <c r="KM27" s="24">
        <f t="shared" si="454"/>
        <v>8</v>
      </c>
      <c r="KN27" s="24">
        <f t="shared" si="454"/>
        <v>4</v>
      </c>
      <c r="KO27" s="24">
        <f t="shared" si="390"/>
        <v>40</v>
      </c>
      <c r="KP27" s="26">
        <f t="shared" si="391"/>
        <v>3491.4333333333334</v>
      </c>
      <c r="KQ27" s="26">
        <f t="shared" si="392"/>
        <v>132</v>
      </c>
      <c r="KR27" s="26">
        <f t="shared" si="393"/>
        <v>87.285833333333329</v>
      </c>
      <c r="KS27" s="24" t="str">
        <f t="shared" si="394"/>
        <v>B</v>
      </c>
      <c r="KT27" s="26">
        <f t="shared" si="395"/>
        <v>3.3</v>
      </c>
      <c r="KU27" s="24">
        <f t="shared" si="396"/>
        <v>40</v>
      </c>
      <c r="KV27" s="26">
        <f t="shared" si="397"/>
        <v>2490.2950000000001</v>
      </c>
      <c r="KW27" s="26">
        <f t="shared" si="398"/>
        <v>57</v>
      </c>
      <c r="KX27" s="26">
        <f t="shared" si="399"/>
        <v>62.257375000000003</v>
      </c>
      <c r="KY27" s="24" t="str">
        <f t="shared" si="400"/>
        <v>D</v>
      </c>
      <c r="KZ27" s="26">
        <f t="shared" si="401"/>
        <v>1.425</v>
      </c>
      <c r="LA27" s="24">
        <f t="shared" si="402"/>
        <v>80</v>
      </c>
      <c r="LB27" s="26">
        <f t="shared" si="403"/>
        <v>5981.7283333333335</v>
      </c>
      <c r="LC27" s="27">
        <f t="shared" si="404"/>
        <v>189</v>
      </c>
      <c r="LD27" s="26">
        <f t="shared" si="405"/>
        <v>74.771604166666663</v>
      </c>
      <c r="LE27" s="27" t="str">
        <f t="shared" si="406"/>
        <v>C</v>
      </c>
      <c r="LF27" s="26">
        <f t="shared" si="407"/>
        <v>2.3624999999999998</v>
      </c>
      <c r="LG27" s="24">
        <f t="shared" si="408"/>
        <v>9</v>
      </c>
      <c r="LH27" s="24" t="str">
        <f t="shared" si="409"/>
        <v>6A</v>
      </c>
      <c r="LI27" s="24">
        <f t="shared" si="410"/>
        <v>13</v>
      </c>
      <c r="LJ27" s="24">
        <f t="shared" si="411"/>
        <v>204</v>
      </c>
      <c r="LK27" s="24">
        <f t="shared" si="412"/>
        <v>0</v>
      </c>
      <c r="LL27" s="24">
        <f t="shared" si="413"/>
        <v>0</v>
      </c>
      <c r="LM27" s="24">
        <f t="shared" si="414"/>
        <v>0</v>
      </c>
      <c r="LN27" s="24">
        <f t="shared" si="415"/>
        <v>0</v>
      </c>
      <c r="LO27" s="25">
        <f t="shared" si="416"/>
        <v>1</v>
      </c>
      <c r="LP27" s="24" t="str">
        <f t="shared" si="417"/>
        <v>Pass - Promoted to Grade</v>
      </c>
      <c r="LQ27" s="24" t="str">
        <f t="shared" si="418"/>
        <v>ជាប់ត្រូវបានឡើងថ្នាក់ទី</v>
      </c>
      <c r="LR27" s="24">
        <f t="shared" si="419"/>
        <v>6</v>
      </c>
      <c r="LS27" s="24">
        <f t="shared" si="420"/>
        <v>7</v>
      </c>
    </row>
  </sheetData>
  <mergeCells count="317">
    <mergeCell ref="KO12:KT12"/>
    <mergeCell ref="KO13:KO14"/>
    <mergeCell ref="KP13:KP14"/>
    <mergeCell ref="KQ13:KQ14"/>
    <mergeCell ref="KR13:KR14"/>
    <mergeCell ref="KS13:KS14"/>
    <mergeCell ref="KT13:KT14"/>
    <mergeCell ref="LA14:LF14"/>
    <mergeCell ref="JY12:KG12"/>
    <mergeCell ref="JY13:JY14"/>
    <mergeCell ref="JZ13:JZ14"/>
    <mergeCell ref="KA13:KA14"/>
    <mergeCell ref="KB13:KB14"/>
    <mergeCell ref="KC13:KC14"/>
    <mergeCell ref="KD13:KD14"/>
    <mergeCell ref="KE13:KE14"/>
    <mergeCell ref="KF13:KF14"/>
    <mergeCell ref="KG13:KG14"/>
    <mergeCell ref="KU13:KU14"/>
    <mergeCell ref="KV13:KV14"/>
    <mergeCell ref="KW13:KW14"/>
    <mergeCell ref="KX13:KX14"/>
    <mergeCell ref="KY13:KY14"/>
    <mergeCell ref="KZ13:KZ14"/>
    <mergeCell ref="IC12:IK12"/>
    <mergeCell ref="IC13:IC14"/>
    <mergeCell ref="ID13:ID14"/>
    <mergeCell ref="IE13:IE14"/>
    <mergeCell ref="IF13:IF14"/>
    <mergeCell ref="IG13:IG14"/>
    <mergeCell ref="IH13:IH14"/>
    <mergeCell ref="II13:II14"/>
    <mergeCell ref="IJ13:IJ14"/>
    <mergeCell ref="IK13:IK14"/>
    <mergeCell ref="IS12:JA12"/>
    <mergeCell ref="JI12:JQ12"/>
    <mergeCell ref="JI13:JI14"/>
    <mergeCell ref="JJ13:JJ14"/>
    <mergeCell ref="JK13:JK14"/>
    <mergeCell ref="JL13:JL14"/>
    <mergeCell ref="JM13:JM14"/>
    <mergeCell ref="JN13:JN14"/>
    <mergeCell ref="JO13:JO14"/>
    <mergeCell ref="JP13:JP14"/>
    <mergeCell ref="JQ13:JQ14"/>
    <mergeCell ref="JB12:JH12"/>
    <mergeCell ref="GR12:GW12"/>
    <mergeCell ref="GX14:HC14"/>
    <mergeCell ref="GX12:HG12"/>
    <mergeCell ref="HM12:HU12"/>
    <mergeCell ref="HM13:HM14"/>
    <mergeCell ref="HN13:HN14"/>
    <mergeCell ref="HO13:HO14"/>
    <mergeCell ref="HP13:HP14"/>
    <mergeCell ref="HQ13:HQ14"/>
    <mergeCell ref="HR13:HR14"/>
    <mergeCell ref="HS13:HS14"/>
    <mergeCell ref="HT13:HT14"/>
    <mergeCell ref="HU13:HU14"/>
    <mergeCell ref="HH12:HL12"/>
    <mergeCell ref="GU13:GU14"/>
    <mergeCell ref="GL12:GQ12"/>
    <mergeCell ref="GL13:GL14"/>
    <mergeCell ref="GM13:GM14"/>
    <mergeCell ref="GN13:GN14"/>
    <mergeCell ref="GO13:GO14"/>
    <mergeCell ref="GP13:GP14"/>
    <mergeCell ref="GQ13:GQ14"/>
    <mergeCell ref="FV12:GD12"/>
    <mergeCell ref="GH13:GH14"/>
    <mergeCell ref="GB13:GB14"/>
    <mergeCell ref="GC13:GC14"/>
    <mergeCell ref="GD13:GD14"/>
    <mergeCell ref="AA13:AA14"/>
    <mergeCell ref="AB13:AB14"/>
    <mergeCell ref="AC13:AC14"/>
    <mergeCell ref="AD13:AD14"/>
    <mergeCell ref="AE13:AE14"/>
    <mergeCell ref="BX13:BX14"/>
    <mergeCell ref="BY13:BY14"/>
    <mergeCell ref="BQ13:BQ14"/>
    <mergeCell ref="BR13:BR14"/>
    <mergeCell ref="AH13:AH14"/>
    <mergeCell ref="AJ13:AJ14"/>
    <mergeCell ref="BC13:BC14"/>
    <mergeCell ref="BD13:BD14"/>
    <mergeCell ref="BE13:BE14"/>
    <mergeCell ref="BF13:BF14"/>
    <mergeCell ref="BG13:BG14"/>
    <mergeCell ref="BH13:BH14"/>
    <mergeCell ref="BV13:BV14"/>
    <mergeCell ref="BW13:BW14"/>
    <mergeCell ref="BI13:BI14"/>
    <mergeCell ref="BJ13:BJ14"/>
    <mergeCell ref="BK13:BK14"/>
    <mergeCell ref="AI13:AI14"/>
    <mergeCell ref="CI12:CN12"/>
    <mergeCell ref="CI13:CI14"/>
    <mergeCell ref="CJ13:CJ14"/>
    <mergeCell ref="CK13:CK14"/>
    <mergeCell ref="CU14:CZ14"/>
    <mergeCell ref="DP13:DP14"/>
    <mergeCell ref="DQ13:DQ14"/>
    <mergeCell ref="DE12:DI12"/>
    <mergeCell ref="CE13:CE14"/>
    <mergeCell ref="DH13:DH14"/>
    <mergeCell ref="DI13:DI14"/>
    <mergeCell ref="DM13:DM14"/>
    <mergeCell ref="CT13:CT14"/>
    <mergeCell ref="DA13:DA14"/>
    <mergeCell ref="DB13:DB14"/>
    <mergeCell ref="CG13:CG14"/>
    <mergeCell ref="DJ12:DR12"/>
    <mergeCell ref="DJ13:DJ14"/>
    <mergeCell ref="DN13:DN14"/>
    <mergeCell ref="DO13:DO14"/>
    <mergeCell ref="FU13:FU14"/>
    <mergeCell ref="FJ13:FJ14"/>
    <mergeCell ref="FK13:FK14"/>
    <mergeCell ref="FL13:FL14"/>
    <mergeCell ref="GA13:GA14"/>
    <mergeCell ref="FT13:FT14"/>
    <mergeCell ref="BZ13:BZ14"/>
    <mergeCell ref="CA13:CA14"/>
    <mergeCell ref="DR13:DR14"/>
    <mergeCell ref="DZ13:DZ14"/>
    <mergeCell ref="EA13:EA14"/>
    <mergeCell ref="EB13:EB14"/>
    <mergeCell ref="EC13:EC14"/>
    <mergeCell ref="ED13:ED14"/>
    <mergeCell ref="EH13:EH14"/>
    <mergeCell ref="FF13:FF14"/>
    <mergeCell ref="FG13:FG14"/>
    <mergeCell ref="FH13:FH14"/>
    <mergeCell ref="FI13:FI14"/>
    <mergeCell ref="FM13:FM14"/>
    <mergeCell ref="EL13:EL14"/>
    <mergeCell ref="FR13:FR14"/>
    <mergeCell ref="FP13:FP14"/>
    <mergeCell ref="KU12:KZ12"/>
    <mergeCell ref="HV12:IB12"/>
    <mergeCell ref="FO13:FO14"/>
    <mergeCell ref="DV13:DV14"/>
    <mergeCell ref="FY13:FY14"/>
    <mergeCell ref="FZ13:FZ14"/>
    <mergeCell ref="JR12:JX12"/>
    <mergeCell ref="KH12:KN12"/>
    <mergeCell ref="DS12:DY12"/>
    <mergeCell ref="KH13:KH14"/>
    <mergeCell ref="FV13:FV14"/>
    <mergeCell ref="JS13:JS14"/>
    <mergeCell ref="JT13:JT14"/>
    <mergeCell ref="IL13:IL14"/>
    <mergeCell ref="JV13:JV14"/>
    <mergeCell ref="DS13:DS14"/>
    <mergeCell ref="DT13:DT14"/>
    <mergeCell ref="HW13:HW14"/>
    <mergeCell ref="DW13:DW14"/>
    <mergeCell ref="EE13:EE14"/>
    <mergeCell ref="EF13:EF14"/>
    <mergeCell ref="EG13:EG14"/>
    <mergeCell ref="EK13:EK14"/>
    <mergeCell ref="EM13:EM14"/>
    <mergeCell ref="LP11:LS11"/>
    <mergeCell ref="LP12:LP14"/>
    <mergeCell ref="LQ12:LQ14"/>
    <mergeCell ref="LM13:LM14"/>
    <mergeCell ref="LN13:LN14"/>
    <mergeCell ref="LO13:LO14"/>
    <mergeCell ref="LG13:LG14"/>
    <mergeCell ref="LH13:LH14"/>
    <mergeCell ref="LI13:LI14"/>
    <mergeCell ref="LJ13:LJ14"/>
    <mergeCell ref="LK13:LK14"/>
    <mergeCell ref="LL13:LL14"/>
    <mergeCell ref="LR12:LR13"/>
    <mergeCell ref="LS12:LS14"/>
    <mergeCell ref="LG12:LJ12"/>
    <mergeCell ref="LK12:LO12"/>
    <mergeCell ref="A8:B8"/>
    <mergeCell ref="IL12:IR12"/>
    <mergeCell ref="HH13:HH14"/>
    <mergeCell ref="HI13:HI14"/>
    <mergeCell ref="HJ13:HJ14"/>
    <mergeCell ref="HK13:HK14"/>
    <mergeCell ref="HL13:HL14"/>
    <mergeCell ref="GV13:GV14"/>
    <mergeCell ref="GW13:GW14"/>
    <mergeCell ref="HD13:HD14"/>
    <mergeCell ref="HE13:HE14"/>
    <mergeCell ref="HF13:HF14"/>
    <mergeCell ref="HG13:HG14"/>
    <mergeCell ref="GI13:GI14"/>
    <mergeCell ref="GR13:GR14"/>
    <mergeCell ref="GS13:GS14"/>
    <mergeCell ref="GT13:GT14"/>
    <mergeCell ref="GJ13:GJ14"/>
    <mergeCell ref="GK13:GK14"/>
    <mergeCell ref="EN13:EN14"/>
    <mergeCell ref="EO13:EO14"/>
    <mergeCell ref="EI13:EI14"/>
    <mergeCell ref="GG13:GG14"/>
    <mergeCell ref="EJ13:EJ14"/>
    <mergeCell ref="HX13:HX14"/>
    <mergeCell ref="HZ13:HZ14"/>
    <mergeCell ref="HV13:HV14"/>
    <mergeCell ref="FQ13:FQ14"/>
    <mergeCell ref="FS13:FS14"/>
    <mergeCell ref="HY13:HY14"/>
    <mergeCell ref="FN13:FN14"/>
    <mergeCell ref="Q13:Q14"/>
    <mergeCell ref="R13:R14"/>
    <mergeCell ref="T13:T14"/>
    <mergeCell ref="BL13:BL14"/>
    <mergeCell ref="BM13:BM14"/>
    <mergeCell ref="BN13:BN14"/>
    <mergeCell ref="BP13:BP14"/>
    <mergeCell ref="CB13:CB14"/>
    <mergeCell ref="AF13:AF14"/>
    <mergeCell ref="AG13:AG14"/>
    <mergeCell ref="AK13:AK14"/>
    <mergeCell ref="AL13:AL14"/>
    <mergeCell ref="BO13:BO14"/>
    <mergeCell ref="BS13:BS14"/>
    <mergeCell ref="BT13:BT14"/>
    <mergeCell ref="BU13:BU14"/>
    <mergeCell ref="W13:W14"/>
    <mergeCell ref="X13:X14"/>
    <mergeCell ref="C13:C14"/>
    <mergeCell ref="D13:D14"/>
    <mergeCell ref="E13:E14"/>
    <mergeCell ref="I13:I14"/>
    <mergeCell ref="J13:J14"/>
    <mergeCell ref="K13:K14"/>
    <mergeCell ref="L13:L14"/>
    <mergeCell ref="F13:F14"/>
    <mergeCell ref="P13:P14"/>
    <mergeCell ref="M13:M14"/>
    <mergeCell ref="N13:N14"/>
    <mergeCell ref="O13:O14"/>
    <mergeCell ref="G13:G14"/>
    <mergeCell ref="H13:H14"/>
    <mergeCell ref="S13:S14"/>
    <mergeCell ref="U13:U14"/>
    <mergeCell ref="V13:V14"/>
    <mergeCell ref="Y13:Y14"/>
    <mergeCell ref="Z13:Z14"/>
    <mergeCell ref="CN13:CN14"/>
    <mergeCell ref="CH13:CH14"/>
    <mergeCell ref="DX13:DX14"/>
    <mergeCell ref="DY13:DY14"/>
    <mergeCell ref="DF13:DF14"/>
    <mergeCell ref="DG13:DG14"/>
    <mergeCell ref="CL13:CL14"/>
    <mergeCell ref="CM13:CM14"/>
    <mergeCell ref="DU13:DU14"/>
    <mergeCell ref="DD13:DD14"/>
    <mergeCell ref="DE13:DE14"/>
    <mergeCell ref="CC13:CC14"/>
    <mergeCell ref="CD13:CD14"/>
    <mergeCell ref="CF13:CF14"/>
    <mergeCell ref="CO13:CO14"/>
    <mergeCell ref="CP13:CP14"/>
    <mergeCell ref="CQ13:CQ14"/>
    <mergeCell ref="DC13:DC14"/>
    <mergeCell ref="CR13:CR14"/>
    <mergeCell ref="CS13:CS14"/>
    <mergeCell ref="DK13:DK14"/>
    <mergeCell ref="DL13:DL14"/>
    <mergeCell ref="A9:B9"/>
    <mergeCell ref="D11:DI11"/>
    <mergeCell ref="P12:V12"/>
    <mergeCell ref="EI12:EO12"/>
    <mergeCell ref="EY12:FE12"/>
    <mergeCell ref="FO12:FU12"/>
    <mergeCell ref="GE12:GK12"/>
    <mergeCell ref="A10:B10"/>
    <mergeCell ref="A11:B11"/>
    <mergeCell ref="AV12:BB12"/>
    <mergeCell ref="G12:O12"/>
    <mergeCell ref="W12:AE12"/>
    <mergeCell ref="AM12:AU12"/>
    <mergeCell ref="BC12:BK12"/>
    <mergeCell ref="BS12:CA12"/>
    <mergeCell ref="CO12:CT12"/>
    <mergeCell ref="DZ12:EH12"/>
    <mergeCell ref="EP12:EX12"/>
    <mergeCell ref="FF12:FN12"/>
    <mergeCell ref="AF12:AL12"/>
    <mergeCell ref="BL12:BR12"/>
    <mergeCell ref="CB12:CH12"/>
    <mergeCell ref="A12:F12"/>
    <mergeCell ref="CU12:DD12"/>
    <mergeCell ref="A13:A14"/>
    <mergeCell ref="B13:B14"/>
    <mergeCell ref="FW13:FW14"/>
    <mergeCell ref="KN13:KN14"/>
    <mergeCell ref="IA13:IA14"/>
    <mergeCell ref="IB13:IB14"/>
    <mergeCell ref="IQ13:IQ14"/>
    <mergeCell ref="IR13:IR14"/>
    <mergeCell ref="JW13:JW14"/>
    <mergeCell ref="JX13:JX14"/>
    <mergeCell ref="IM13:IM14"/>
    <mergeCell ref="IO13:IO14"/>
    <mergeCell ref="JU13:JU14"/>
    <mergeCell ref="KK13:KK14"/>
    <mergeCell ref="KI13:KI14"/>
    <mergeCell ref="KJ13:KJ14"/>
    <mergeCell ref="KL13:KL14"/>
    <mergeCell ref="IN13:IN14"/>
    <mergeCell ref="IP13:IP14"/>
    <mergeCell ref="JR13:JR14"/>
    <mergeCell ref="KM13:KM14"/>
    <mergeCell ref="FX13:FX14"/>
    <mergeCell ref="GE13:GE14"/>
    <mergeCell ref="GF13:GF14"/>
  </mergeCells>
  <conditionalFormatting sqref="GU15:GU27 CR15:CR27 KX15:KX27">
    <cfRule type="cellIs" dxfId="1" priority="6" operator="lessThan">
      <formula>50</formula>
    </cfRule>
  </conditionalFormatting>
  <conditionalFormatting sqref="GV15:GV27 CS15:CS27 KY15:KY27">
    <cfRule type="cellIs" dxfId="0" priority="5" operator="equal">
      <formula>"F"</formula>
    </cfRule>
  </conditionalFormatting>
  <dataValidations count="2">
    <dataValidation allowBlank="1" showInputMessage="1" showErrorMessage="1" promptTitle="Grade Last Year" prompt="Please insert Grade Last Year!" sqref="LR14" xr:uid="{00000000-0002-0000-0A00-000000000000}"/>
    <dataValidation allowBlank="1" showInputMessage="1" showErrorMessage="1" promptTitle="Creadit" prompt="Please insert credit here!" sqref="G14:J14 W14:Z14 BC14:BF14 BS14:BV14 DJ14:DM14 DZ14:EC14 FF14:FI14 FV14:FY14 HM14:HP14 IC14:IF14 JI14:JL14 JY14:KB14" xr:uid="{00000000-0002-0000-0A00-000001000000}"/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Q1</vt:lpstr>
      <vt:lpstr>Comment Q1</vt:lpstr>
      <vt:lpstr>Q2</vt:lpstr>
      <vt:lpstr>Comment Q2</vt:lpstr>
      <vt:lpstr>FinalSem1 reportcard</vt:lpstr>
      <vt:lpstr>FinalSem1</vt:lpstr>
      <vt:lpstr>Q3</vt:lpstr>
      <vt:lpstr>Comment Q3</vt:lpstr>
      <vt:lpstr>Q4</vt:lpstr>
      <vt:lpstr>Comment Q4</vt:lpstr>
      <vt:lpstr>FinalSem2</vt:lpstr>
      <vt:lpstr>End Of Year 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</dc:creator>
  <cp:lastModifiedBy>PENG SAMNANG</cp:lastModifiedBy>
  <cp:lastPrinted>2026-08-24T01:04:44Z</cp:lastPrinted>
  <dcterms:created xsi:type="dcterms:W3CDTF">2019-11-20T12:10:01Z</dcterms:created>
  <dcterms:modified xsi:type="dcterms:W3CDTF">2026-10-13T08:51:39Z</dcterms:modified>
</cp:coreProperties>
</file>